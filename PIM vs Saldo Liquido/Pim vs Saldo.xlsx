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Tebaldi\Dropbox\bruno-tebaldi\PIM vs Saldo Liquido\"/>
    </mc:Choice>
  </mc:AlternateContent>
  <bookViews>
    <workbookView xWindow="0" yWindow="0" windowWidth="19200" windowHeight="11595" activeTab="1"/>
  </bookViews>
  <sheets>
    <sheet name="MAIN" sheetId="5" r:id="rId1"/>
    <sheet name="Planilha3" sheetId="12" r:id="rId2"/>
    <sheet name="Planilha2" sheetId="11" r:id="rId3"/>
    <sheet name="Plan7" sheetId="9" r:id="rId4"/>
    <sheet name="Planilha1" sheetId="10" r:id="rId5"/>
    <sheet name="PIM" sheetId="6" r:id="rId6"/>
    <sheet name="DesSéries" sheetId="4" r:id="rId7"/>
    <sheet name="AdmSéries" sheetId="3" r:id="rId8"/>
    <sheet name="desl" sheetId="2" r:id="rId9"/>
    <sheet name="adm" sheetId="1" r:id="rId10"/>
  </sheets>
  <definedNames>
    <definedName name="_xlnm._FilterDatabase" localSheetId="0" hidden="1">MAIN!$A$3:$V$507</definedName>
    <definedName name="B">#REF!</definedName>
    <definedName name="bootstrap_flag">#REF!</definedName>
    <definedName name="cb_blockdiag">#REF!</definedName>
    <definedName name="cb_blockdiagexc">#REF!</definedName>
    <definedName name="cb_exccountry">#REF!</definedName>
    <definedName name="cb_lambda">#REF!</definedName>
    <definedName name="cb_samplecov">#REF!</definedName>
    <definedName name="ccodes">#REF!</definedName>
    <definedName name="chow_cut">#REF!</definedName>
    <definedName name="cnames">#REF!</definedName>
    <definedName name="cnames_long">#REF!</definedName>
    <definedName name="criterion">#REF!</definedName>
    <definedName name="dvflag">#REF!</definedName>
    <definedName name="estcase">#REF!</definedName>
    <definedName name="first_trdyear">#REF!</definedName>
    <definedName name="firstcountries">#REF!</definedName>
    <definedName name="firstobs">#REF!</definedName>
    <definedName name="fvflag">#REF!</definedName>
    <definedName name="fvflag_we">#REF!</definedName>
    <definedName name="graphsflag">#REF!</definedName>
    <definedName name="gvflag">#REF!</definedName>
    <definedName name="gvflag_we">#REF!</definedName>
    <definedName name="gvnames">#REF!</definedName>
    <definedName name="gvnames_long">#REF!</definedName>
    <definedName name="gvshockmtrx">#REF!</definedName>
    <definedName name="importbuild_wmat_flag">#REF!</definedName>
    <definedName name="last_trdyear">#REF!</definedName>
    <definedName name="lastobs">#REF!</definedName>
    <definedName name="maxlag">#REF!</definedName>
    <definedName name="N">#REF!</definedName>
    <definedName name="newordervars">#REF!</definedName>
    <definedName name="outdir">#REF!</definedName>
    <definedName name="overid_flag">#REF!</definedName>
    <definedName name="pauseflag">#REF!</definedName>
    <definedName name="pe_blockdiag">#REF!</definedName>
    <definedName name="pe_blockdiagexc">#REF!</definedName>
    <definedName name="pe_exccountry">#REF!</definedName>
    <definedName name="pe_lambda">#REF!</definedName>
    <definedName name="pe_samplecov">#REF!</definedName>
    <definedName name="rank">#REF!</definedName>
    <definedName name="regcountries">#REF!</definedName>
    <definedName name="regcountriesx">#REF!</definedName>
    <definedName name="rnames">#REF!</definedName>
    <definedName name="rnames_long">#REF!</definedName>
    <definedName name="rnamesx">#REF!</definedName>
    <definedName name="rnamesx_long">#REF!</definedName>
    <definedName name="ss_B">#REF!</definedName>
    <definedName name="ss_bootstrap_flag">#REF!</definedName>
    <definedName name="ss_flag">#REF!</definedName>
    <definedName name="trade_window">#REF!</definedName>
    <definedName name="tvw_solution">#REF!</definedName>
    <definedName name="tvw_solution_modeflag">#REF!</definedName>
    <definedName name="urt_criterion">#REF!</definedName>
    <definedName name="urt_maxlag">#REF!</definedName>
    <definedName name="urtflag">#REF!</definedName>
    <definedName name="varxlag">#REF!</definedName>
    <definedName name="varxlag_we">#REF!</definedName>
    <definedName name="vnames">#REF!</definedName>
    <definedName name="vnames_long">#REF!</definedName>
    <definedName name="vshockmtrx">#REF!</definedName>
    <definedName name="we_flag">#REF!</definedName>
    <definedName name="weightstype_flag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2" l="1"/>
  <c r="P4" i="12"/>
  <c r="P3" i="12"/>
  <c r="N3" i="12"/>
  <c r="O3" i="12"/>
  <c r="N4" i="12"/>
  <c r="O4" i="12"/>
  <c r="N5" i="12"/>
  <c r="O5" i="12"/>
  <c r="M4" i="12"/>
  <c r="M5" i="12"/>
  <c r="M3" i="12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244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232" i="5"/>
  <c r="J37" i="9"/>
  <c r="L37" i="9"/>
  <c r="M37" i="9"/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3" i="9"/>
  <c r="B4" i="9"/>
  <c r="E4" i="9" s="1"/>
  <c r="B5" i="9"/>
  <c r="E5" i="9" s="1"/>
  <c r="B6" i="9"/>
  <c r="E6" i="9" s="1"/>
  <c r="B7" i="9"/>
  <c r="E7" i="9" s="1"/>
  <c r="B8" i="9"/>
  <c r="E8" i="9" s="1"/>
  <c r="B9" i="9"/>
  <c r="E9" i="9" s="1"/>
  <c r="B10" i="9"/>
  <c r="E10" i="9" s="1"/>
  <c r="B11" i="9"/>
  <c r="E11" i="9" s="1"/>
  <c r="B12" i="9"/>
  <c r="E12" i="9" s="1"/>
  <c r="B13" i="9"/>
  <c r="E13" i="9" s="1"/>
  <c r="B14" i="9"/>
  <c r="E14" i="9" s="1"/>
  <c r="B15" i="9"/>
  <c r="E15" i="9" s="1"/>
  <c r="B16" i="9"/>
  <c r="E16" i="9" s="1"/>
  <c r="B17" i="9"/>
  <c r="E17" i="9" s="1"/>
  <c r="B18" i="9"/>
  <c r="E18" i="9" s="1"/>
  <c r="B19" i="9"/>
  <c r="E19" i="9" s="1"/>
  <c r="B20" i="9"/>
  <c r="E20" i="9" s="1"/>
  <c r="B21" i="9"/>
  <c r="E21" i="9" s="1"/>
  <c r="B22" i="9"/>
  <c r="E22" i="9" s="1"/>
  <c r="B23" i="9"/>
  <c r="E23" i="9" s="1"/>
  <c r="B24" i="9"/>
  <c r="E24" i="9" s="1"/>
  <c r="B3" i="9"/>
  <c r="E3" i="9" s="1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232" i="5"/>
  <c r="U5" i="5" l="1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4" i="5"/>
  <c r="Q231" i="5"/>
  <c r="P231" i="5"/>
  <c r="Q230" i="5"/>
  <c r="P230" i="5"/>
  <c r="Q229" i="5"/>
  <c r="P229" i="5"/>
  <c r="Q228" i="5"/>
  <c r="P228" i="5"/>
  <c r="Q227" i="5"/>
  <c r="P227" i="5"/>
  <c r="Q226" i="5"/>
  <c r="P226" i="5"/>
  <c r="Q225" i="5"/>
  <c r="P225" i="5"/>
  <c r="Q224" i="5"/>
  <c r="P224" i="5"/>
  <c r="Q223" i="5"/>
  <c r="P223" i="5"/>
  <c r="Q222" i="5"/>
  <c r="P222" i="5"/>
  <c r="Q221" i="5"/>
  <c r="P221" i="5"/>
  <c r="Q220" i="5"/>
  <c r="P220" i="5"/>
  <c r="Q219" i="5"/>
  <c r="P219" i="5"/>
  <c r="Q218" i="5"/>
  <c r="P218" i="5"/>
  <c r="Q217" i="5"/>
  <c r="P217" i="5"/>
  <c r="Q216" i="5"/>
  <c r="P216" i="5"/>
  <c r="Q215" i="5"/>
  <c r="P215" i="5"/>
  <c r="Q214" i="5"/>
  <c r="P214" i="5"/>
  <c r="Q213" i="5"/>
  <c r="P213" i="5"/>
  <c r="Q212" i="5"/>
  <c r="P212" i="5"/>
  <c r="Q211" i="5"/>
  <c r="P211" i="5"/>
  <c r="Q210" i="5"/>
  <c r="P210" i="5"/>
  <c r="Q209" i="5"/>
  <c r="P209" i="5"/>
  <c r="Q208" i="5"/>
  <c r="P208" i="5"/>
  <c r="Q207" i="5"/>
  <c r="P207" i="5"/>
  <c r="Q206" i="5"/>
  <c r="P206" i="5"/>
  <c r="Q205" i="5"/>
  <c r="P205" i="5"/>
  <c r="Q204" i="5"/>
  <c r="P204" i="5"/>
  <c r="Q203" i="5"/>
  <c r="P203" i="5"/>
  <c r="Q202" i="5"/>
  <c r="P202" i="5"/>
  <c r="Q201" i="5"/>
  <c r="P201" i="5"/>
  <c r="Q200" i="5"/>
  <c r="P200" i="5"/>
  <c r="Q199" i="5"/>
  <c r="P199" i="5"/>
  <c r="Q198" i="5"/>
  <c r="P198" i="5"/>
  <c r="Q197" i="5"/>
  <c r="P197" i="5"/>
  <c r="Q196" i="5"/>
  <c r="P196" i="5"/>
  <c r="Q195" i="5"/>
  <c r="P195" i="5"/>
  <c r="Q194" i="5"/>
  <c r="P194" i="5"/>
  <c r="Q193" i="5"/>
  <c r="P193" i="5"/>
  <c r="Q192" i="5"/>
  <c r="P192" i="5"/>
  <c r="Q191" i="5"/>
  <c r="P191" i="5"/>
  <c r="Q190" i="5"/>
  <c r="P190" i="5"/>
  <c r="Q189" i="5"/>
  <c r="P189" i="5"/>
  <c r="Q188" i="5"/>
  <c r="P188" i="5"/>
  <c r="Q187" i="5"/>
  <c r="P187" i="5"/>
  <c r="Q186" i="5"/>
  <c r="P186" i="5"/>
  <c r="Q185" i="5"/>
  <c r="P185" i="5"/>
  <c r="Q184" i="5"/>
  <c r="P184" i="5"/>
  <c r="Q183" i="5"/>
  <c r="P183" i="5"/>
  <c r="Q182" i="5"/>
  <c r="P182" i="5"/>
  <c r="Q181" i="5"/>
  <c r="P181" i="5"/>
  <c r="Q180" i="5"/>
  <c r="P180" i="5"/>
  <c r="Q179" i="5"/>
  <c r="P179" i="5"/>
  <c r="Q178" i="5"/>
  <c r="P178" i="5"/>
  <c r="Q177" i="5"/>
  <c r="P177" i="5"/>
  <c r="Q176" i="5"/>
  <c r="P176" i="5"/>
  <c r="Q175" i="5"/>
  <c r="P175" i="5"/>
  <c r="Q174" i="5"/>
  <c r="P174" i="5"/>
  <c r="Q173" i="5"/>
  <c r="P173" i="5"/>
  <c r="Q172" i="5"/>
  <c r="P172" i="5"/>
  <c r="Q171" i="5"/>
  <c r="P171" i="5"/>
  <c r="Q170" i="5"/>
  <c r="P170" i="5"/>
  <c r="Q169" i="5"/>
  <c r="P169" i="5"/>
  <c r="Q168" i="5"/>
  <c r="P168" i="5"/>
  <c r="Q167" i="5"/>
  <c r="P167" i="5"/>
  <c r="Q166" i="5"/>
  <c r="P166" i="5"/>
  <c r="Q165" i="5"/>
  <c r="P165" i="5"/>
  <c r="Q164" i="5"/>
  <c r="P164" i="5"/>
  <c r="Q163" i="5"/>
  <c r="P163" i="5"/>
  <c r="Q162" i="5"/>
  <c r="P162" i="5"/>
  <c r="Q161" i="5"/>
  <c r="P161" i="5"/>
  <c r="Q160" i="5"/>
  <c r="P160" i="5"/>
  <c r="Q159" i="5"/>
  <c r="P159" i="5"/>
  <c r="Q158" i="5"/>
  <c r="P158" i="5"/>
  <c r="Q157" i="5"/>
  <c r="P157" i="5"/>
  <c r="Q156" i="5"/>
  <c r="P156" i="5"/>
  <c r="Q155" i="5"/>
  <c r="P155" i="5"/>
  <c r="Q154" i="5"/>
  <c r="P154" i="5"/>
  <c r="Q153" i="5"/>
  <c r="P153" i="5"/>
  <c r="Q152" i="5"/>
  <c r="P152" i="5"/>
  <c r="Q151" i="5"/>
  <c r="P151" i="5"/>
  <c r="Q150" i="5"/>
  <c r="P150" i="5"/>
  <c r="Q149" i="5"/>
  <c r="P149" i="5"/>
  <c r="Q148" i="5"/>
  <c r="P148" i="5"/>
  <c r="Q147" i="5"/>
  <c r="P147" i="5"/>
  <c r="Q146" i="5"/>
  <c r="P146" i="5"/>
  <c r="Q145" i="5"/>
  <c r="P145" i="5"/>
  <c r="Q144" i="5"/>
  <c r="P144" i="5"/>
  <c r="Q143" i="5"/>
  <c r="P143" i="5"/>
  <c r="Q142" i="5"/>
  <c r="P142" i="5"/>
  <c r="Q141" i="5"/>
  <c r="P141" i="5"/>
  <c r="Q140" i="5"/>
  <c r="P140" i="5"/>
  <c r="Q139" i="5"/>
  <c r="P139" i="5"/>
  <c r="Q138" i="5"/>
  <c r="P138" i="5"/>
  <c r="Q137" i="5"/>
  <c r="P137" i="5"/>
  <c r="Q136" i="5"/>
  <c r="P136" i="5"/>
  <c r="Q135" i="5"/>
  <c r="P135" i="5"/>
  <c r="Q134" i="5"/>
  <c r="P134" i="5"/>
  <c r="Q133" i="5"/>
  <c r="P133" i="5"/>
  <c r="Q132" i="5"/>
  <c r="P132" i="5"/>
  <c r="Q131" i="5"/>
  <c r="P131" i="5"/>
  <c r="Q130" i="5"/>
  <c r="P130" i="5"/>
  <c r="Q129" i="5"/>
  <c r="P129" i="5"/>
  <c r="Q128" i="5"/>
  <c r="P128" i="5"/>
  <c r="Q127" i="5"/>
  <c r="P127" i="5"/>
  <c r="Q126" i="5"/>
  <c r="P126" i="5"/>
  <c r="Q125" i="5"/>
  <c r="P125" i="5"/>
  <c r="Q124" i="5"/>
  <c r="P124" i="5"/>
  <c r="Q123" i="5"/>
  <c r="P123" i="5"/>
  <c r="Q122" i="5"/>
  <c r="P122" i="5"/>
  <c r="Q121" i="5"/>
  <c r="P121" i="5"/>
  <c r="Q120" i="5"/>
  <c r="P120" i="5"/>
  <c r="Q119" i="5"/>
  <c r="P119" i="5"/>
  <c r="Q118" i="5"/>
  <c r="P118" i="5"/>
  <c r="Q117" i="5"/>
  <c r="P117" i="5"/>
  <c r="Q116" i="5"/>
  <c r="P116" i="5"/>
  <c r="Q115" i="5"/>
  <c r="P115" i="5"/>
  <c r="Q114" i="5"/>
  <c r="P114" i="5"/>
  <c r="Q113" i="5"/>
  <c r="P113" i="5"/>
  <c r="Q112" i="5"/>
  <c r="P112" i="5"/>
  <c r="Q111" i="5"/>
  <c r="P111" i="5"/>
  <c r="Q110" i="5"/>
  <c r="P110" i="5"/>
  <c r="Q109" i="5"/>
  <c r="P109" i="5"/>
  <c r="Q108" i="5"/>
  <c r="P108" i="5"/>
  <c r="Q107" i="5"/>
  <c r="P107" i="5"/>
  <c r="Q106" i="5"/>
  <c r="P106" i="5"/>
  <c r="Q105" i="5"/>
  <c r="P105" i="5"/>
  <c r="Q104" i="5"/>
  <c r="P104" i="5"/>
  <c r="Q103" i="5"/>
  <c r="P103" i="5"/>
  <c r="Q102" i="5"/>
  <c r="P102" i="5"/>
  <c r="Q101" i="5"/>
  <c r="P101" i="5"/>
  <c r="Q100" i="5"/>
  <c r="P100" i="5"/>
  <c r="Q99" i="5"/>
  <c r="P99" i="5"/>
  <c r="Q98" i="5"/>
  <c r="P98" i="5"/>
  <c r="Q97" i="5"/>
  <c r="P97" i="5"/>
  <c r="Q96" i="5"/>
  <c r="P96" i="5"/>
  <c r="Q95" i="5"/>
  <c r="R95" i="5" s="1"/>
  <c r="P95" i="5"/>
  <c r="Q94" i="5"/>
  <c r="P94" i="5"/>
  <c r="Q93" i="5"/>
  <c r="P93" i="5"/>
  <c r="Q92" i="5"/>
  <c r="P92" i="5"/>
  <c r="Q91" i="5"/>
  <c r="R91" i="5" s="1"/>
  <c r="P91" i="5"/>
  <c r="Q90" i="5"/>
  <c r="P90" i="5"/>
  <c r="Q89" i="5"/>
  <c r="P89" i="5"/>
  <c r="Q88" i="5"/>
  <c r="P88" i="5"/>
  <c r="Q87" i="5"/>
  <c r="R87" i="5" s="1"/>
  <c r="P87" i="5"/>
  <c r="Q86" i="5"/>
  <c r="P86" i="5"/>
  <c r="Q85" i="5"/>
  <c r="P85" i="5"/>
  <c r="Q84" i="5"/>
  <c r="P84" i="5"/>
  <c r="Q83" i="5"/>
  <c r="R83" i="5" s="1"/>
  <c r="P83" i="5"/>
  <c r="Q82" i="5"/>
  <c r="P82" i="5"/>
  <c r="Q81" i="5"/>
  <c r="P81" i="5"/>
  <c r="Q80" i="5"/>
  <c r="P80" i="5"/>
  <c r="Q79" i="5"/>
  <c r="R79" i="5" s="1"/>
  <c r="P79" i="5"/>
  <c r="Q78" i="5"/>
  <c r="P78" i="5"/>
  <c r="Q77" i="5"/>
  <c r="P77" i="5"/>
  <c r="Q76" i="5"/>
  <c r="P76" i="5"/>
  <c r="Q75" i="5"/>
  <c r="R75" i="5" s="1"/>
  <c r="P75" i="5"/>
  <c r="Q74" i="5"/>
  <c r="P74" i="5"/>
  <c r="Q73" i="5"/>
  <c r="P73" i="5"/>
  <c r="Q72" i="5"/>
  <c r="P72" i="5"/>
  <c r="Q71" i="5"/>
  <c r="R71" i="5" s="1"/>
  <c r="P71" i="5"/>
  <c r="Q70" i="5"/>
  <c r="P70" i="5"/>
  <c r="Q69" i="5"/>
  <c r="P69" i="5"/>
  <c r="Q68" i="5"/>
  <c r="P68" i="5"/>
  <c r="Q67" i="5"/>
  <c r="R67" i="5" s="1"/>
  <c r="P67" i="5"/>
  <c r="Q66" i="5"/>
  <c r="P66" i="5"/>
  <c r="Q65" i="5"/>
  <c r="P65" i="5"/>
  <c r="Q64" i="5"/>
  <c r="P64" i="5"/>
  <c r="Q63" i="5"/>
  <c r="R63" i="5" s="1"/>
  <c r="P63" i="5"/>
  <c r="Q62" i="5"/>
  <c r="P62" i="5"/>
  <c r="Q61" i="5"/>
  <c r="P61" i="5"/>
  <c r="Q60" i="5"/>
  <c r="P60" i="5"/>
  <c r="Q59" i="5"/>
  <c r="R59" i="5" s="1"/>
  <c r="P59" i="5"/>
  <c r="Q58" i="5"/>
  <c r="P58" i="5"/>
  <c r="Q57" i="5"/>
  <c r="P57" i="5"/>
  <c r="Q56" i="5"/>
  <c r="P56" i="5"/>
  <c r="Q55" i="5"/>
  <c r="R55" i="5" s="1"/>
  <c r="P55" i="5"/>
  <c r="Q54" i="5"/>
  <c r="P54" i="5"/>
  <c r="Q53" i="5"/>
  <c r="P53" i="5"/>
  <c r="Q52" i="5"/>
  <c r="P52" i="5"/>
  <c r="Q51" i="5"/>
  <c r="R51" i="5" s="1"/>
  <c r="P51" i="5"/>
  <c r="Q50" i="5"/>
  <c r="P50" i="5"/>
  <c r="Q49" i="5"/>
  <c r="P49" i="5"/>
  <c r="Q48" i="5"/>
  <c r="P48" i="5"/>
  <c r="Q47" i="5"/>
  <c r="R47" i="5" s="1"/>
  <c r="P47" i="5"/>
  <c r="Q46" i="5"/>
  <c r="P46" i="5"/>
  <c r="Q45" i="5"/>
  <c r="P45" i="5"/>
  <c r="Q44" i="5"/>
  <c r="P44" i="5"/>
  <c r="Q43" i="5"/>
  <c r="R43" i="5" s="1"/>
  <c r="P43" i="5"/>
  <c r="Q42" i="5"/>
  <c r="P42" i="5"/>
  <c r="Q41" i="5"/>
  <c r="P41" i="5"/>
  <c r="Q40" i="5"/>
  <c r="P40" i="5"/>
  <c r="Q39" i="5"/>
  <c r="R39" i="5" s="1"/>
  <c r="P39" i="5"/>
  <c r="Q38" i="5"/>
  <c r="P38" i="5"/>
  <c r="Q37" i="5"/>
  <c r="P37" i="5"/>
  <c r="Q36" i="5"/>
  <c r="P36" i="5"/>
  <c r="Q35" i="5"/>
  <c r="R35" i="5" s="1"/>
  <c r="P35" i="5"/>
  <c r="Q34" i="5"/>
  <c r="P34" i="5"/>
  <c r="Q33" i="5"/>
  <c r="P33" i="5"/>
  <c r="Q32" i="5"/>
  <c r="P32" i="5"/>
  <c r="Q31" i="5"/>
  <c r="R31" i="5" s="1"/>
  <c r="P31" i="5"/>
  <c r="Q30" i="5"/>
  <c r="P30" i="5"/>
  <c r="Q29" i="5"/>
  <c r="P29" i="5"/>
  <c r="Q28" i="5"/>
  <c r="P28" i="5"/>
  <c r="Q27" i="5"/>
  <c r="R27" i="5" s="1"/>
  <c r="P27" i="5"/>
  <c r="Q26" i="5"/>
  <c r="P26" i="5"/>
  <c r="Q25" i="5"/>
  <c r="P25" i="5"/>
  <c r="Q24" i="5"/>
  <c r="P24" i="5"/>
  <c r="Q23" i="5"/>
  <c r="R23" i="5" s="1"/>
  <c r="P23" i="5"/>
  <c r="Q22" i="5"/>
  <c r="P22" i="5"/>
  <c r="Q21" i="5"/>
  <c r="P21" i="5"/>
  <c r="Q20" i="5"/>
  <c r="P20" i="5"/>
  <c r="Q19" i="5"/>
  <c r="R19" i="5" s="1"/>
  <c r="P19" i="5"/>
  <c r="Q18" i="5"/>
  <c r="P18" i="5"/>
  <c r="Q17" i="5"/>
  <c r="P17" i="5"/>
  <c r="Q16" i="5"/>
  <c r="P16" i="5"/>
  <c r="Q15" i="5"/>
  <c r="R15" i="5" s="1"/>
  <c r="P15" i="5"/>
  <c r="Q14" i="5"/>
  <c r="P14" i="5"/>
  <c r="Q13" i="5"/>
  <c r="P13" i="5"/>
  <c r="Q12" i="5"/>
  <c r="P12" i="5"/>
  <c r="Q11" i="5"/>
  <c r="R11" i="5" s="1"/>
  <c r="P11" i="5"/>
  <c r="Q10" i="5"/>
  <c r="P10" i="5"/>
  <c r="Q9" i="5"/>
  <c r="P9" i="5"/>
  <c r="Q8" i="5"/>
  <c r="P8" i="5"/>
  <c r="Q7" i="5"/>
  <c r="R7" i="5" s="1"/>
  <c r="P7" i="5"/>
  <c r="Q6" i="5"/>
  <c r="P6" i="5"/>
  <c r="Q5" i="5"/>
  <c r="P5" i="5"/>
  <c r="Q4" i="5"/>
  <c r="P4" i="5"/>
  <c r="R5" i="5"/>
  <c r="R6" i="5"/>
  <c r="R8" i="5"/>
  <c r="R9" i="5"/>
  <c r="R10" i="5"/>
  <c r="R12" i="5"/>
  <c r="R13" i="5"/>
  <c r="R14" i="5"/>
  <c r="R16" i="5"/>
  <c r="R17" i="5"/>
  <c r="R18" i="5"/>
  <c r="R20" i="5"/>
  <c r="R21" i="5"/>
  <c r="R22" i="5"/>
  <c r="R24" i="5"/>
  <c r="R25" i="5"/>
  <c r="R26" i="5"/>
  <c r="R28" i="5"/>
  <c r="R29" i="5"/>
  <c r="R30" i="5"/>
  <c r="R32" i="5"/>
  <c r="R33" i="5"/>
  <c r="R34" i="5"/>
  <c r="R36" i="5"/>
  <c r="R37" i="5"/>
  <c r="R38" i="5"/>
  <c r="R40" i="5"/>
  <c r="R41" i="5"/>
  <c r="R42" i="5"/>
  <c r="R44" i="5"/>
  <c r="R45" i="5"/>
  <c r="R46" i="5"/>
  <c r="R48" i="5"/>
  <c r="R49" i="5"/>
  <c r="R50" i="5"/>
  <c r="R52" i="5"/>
  <c r="R53" i="5"/>
  <c r="R54" i="5"/>
  <c r="R56" i="5"/>
  <c r="R57" i="5"/>
  <c r="R58" i="5"/>
  <c r="R60" i="5"/>
  <c r="R61" i="5"/>
  <c r="R62" i="5"/>
  <c r="R64" i="5"/>
  <c r="R65" i="5"/>
  <c r="R66" i="5"/>
  <c r="R68" i="5"/>
  <c r="R69" i="5"/>
  <c r="R70" i="5"/>
  <c r="R72" i="5"/>
  <c r="R73" i="5"/>
  <c r="R74" i="5"/>
  <c r="R76" i="5"/>
  <c r="R77" i="5"/>
  <c r="R78" i="5"/>
  <c r="R80" i="5"/>
  <c r="R81" i="5"/>
  <c r="R82" i="5"/>
  <c r="R84" i="5"/>
  <c r="R85" i="5"/>
  <c r="R86" i="5"/>
  <c r="R88" i="5"/>
  <c r="R89" i="5"/>
  <c r="R90" i="5"/>
  <c r="R92" i="5"/>
  <c r="R93" i="5"/>
  <c r="R94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4" i="5"/>
  <c r="O507" i="5" a="1"/>
  <c r="O507" i="5" s="1"/>
  <c r="N507" i="5"/>
  <c r="N507" i="5" a="1"/>
  <c r="O506" i="5" a="1"/>
  <c r="O506" i="5" s="1"/>
  <c r="N506" i="5" a="1"/>
  <c r="N506" i="5" s="1"/>
  <c r="O505" i="5" a="1"/>
  <c r="O505" i="5" s="1"/>
  <c r="N505" i="5"/>
  <c r="N505" i="5" a="1"/>
  <c r="O504" i="5" a="1"/>
  <c r="O504" i="5" s="1"/>
  <c r="N504" i="5" a="1"/>
  <c r="N504" i="5" s="1"/>
  <c r="O503" i="5" a="1"/>
  <c r="O503" i="5" s="1"/>
  <c r="N503" i="5"/>
  <c r="N503" i="5" a="1"/>
  <c r="O502" i="5" a="1"/>
  <c r="O502" i="5" s="1"/>
  <c r="N502" i="5" a="1"/>
  <c r="N502" i="5" s="1"/>
  <c r="O501" i="5" a="1"/>
  <c r="O501" i="5" s="1"/>
  <c r="N501" i="5"/>
  <c r="N501" i="5" a="1"/>
  <c r="O500" i="5" a="1"/>
  <c r="O500" i="5" s="1"/>
  <c r="N500" i="5" a="1"/>
  <c r="N500" i="5" s="1"/>
  <c r="O499" i="5" a="1"/>
  <c r="O499" i="5" s="1"/>
  <c r="N499" i="5"/>
  <c r="N499" i="5" a="1"/>
  <c r="O498" i="5" a="1"/>
  <c r="O498" i="5" s="1"/>
  <c r="N498" i="5" a="1"/>
  <c r="N498" i="5" s="1"/>
  <c r="O497" i="5" a="1"/>
  <c r="O497" i="5" s="1"/>
  <c r="N497" i="5"/>
  <c r="N497" i="5" a="1"/>
  <c r="O496" i="5" a="1"/>
  <c r="O496" i="5" s="1"/>
  <c r="N496" i="5" a="1"/>
  <c r="N496" i="5" s="1"/>
  <c r="O495" i="5" a="1"/>
  <c r="O495" i="5" s="1"/>
  <c r="N495" i="5"/>
  <c r="N495" i="5" a="1"/>
  <c r="O494" i="5" a="1"/>
  <c r="O494" i="5" s="1"/>
  <c r="N494" i="5" a="1"/>
  <c r="N494" i="5" s="1"/>
  <c r="O493" i="5" a="1"/>
  <c r="O493" i="5" s="1"/>
  <c r="N493" i="5"/>
  <c r="N493" i="5" a="1"/>
  <c r="O492" i="5" a="1"/>
  <c r="O492" i="5" s="1"/>
  <c r="N492" i="5" a="1"/>
  <c r="N492" i="5" s="1"/>
  <c r="O491" i="5" a="1"/>
  <c r="O491" i="5" s="1"/>
  <c r="N491" i="5"/>
  <c r="N491" i="5" a="1"/>
  <c r="O490" i="5" a="1"/>
  <c r="O490" i="5" s="1"/>
  <c r="N490" i="5" a="1"/>
  <c r="N490" i="5" s="1"/>
  <c r="O489" i="5" a="1"/>
  <c r="O489" i="5" s="1"/>
  <c r="N489" i="5"/>
  <c r="N489" i="5" a="1"/>
  <c r="O488" i="5" a="1"/>
  <c r="O488" i="5" s="1"/>
  <c r="N488" i="5" a="1"/>
  <c r="N488" i="5" s="1"/>
  <c r="O487" i="5" a="1"/>
  <c r="O487" i="5" s="1"/>
  <c r="N487" i="5"/>
  <c r="N487" i="5" a="1"/>
  <c r="O486" i="5" a="1"/>
  <c r="O486" i="5" s="1"/>
  <c r="N486" i="5" a="1"/>
  <c r="N486" i="5" s="1"/>
  <c r="O485" i="5" a="1"/>
  <c r="O485" i="5" s="1"/>
  <c r="N485" i="5"/>
  <c r="N485" i="5" a="1"/>
  <c r="O484" i="5" a="1"/>
  <c r="O484" i="5" s="1"/>
  <c r="N484" i="5" a="1"/>
  <c r="N484" i="5" s="1"/>
  <c r="O483" i="5" a="1"/>
  <c r="O483" i="5" s="1"/>
  <c r="N483" i="5"/>
  <c r="N483" i="5" a="1"/>
  <c r="O482" i="5" a="1"/>
  <c r="O482" i="5" s="1"/>
  <c r="N482" i="5" a="1"/>
  <c r="N482" i="5" s="1"/>
  <c r="O481" i="5" a="1"/>
  <c r="O481" i="5" s="1"/>
  <c r="N481" i="5"/>
  <c r="N481" i="5" a="1"/>
  <c r="O480" i="5" a="1"/>
  <c r="O480" i="5" s="1"/>
  <c r="N480" i="5" a="1"/>
  <c r="N480" i="5" s="1"/>
  <c r="O479" i="5" a="1"/>
  <c r="O479" i="5" s="1"/>
  <c r="N479" i="5"/>
  <c r="N479" i="5" a="1"/>
  <c r="O478" i="5" a="1"/>
  <c r="O478" i="5" s="1"/>
  <c r="N478" i="5" a="1"/>
  <c r="N478" i="5" s="1"/>
  <c r="O477" i="5" a="1"/>
  <c r="O477" i="5" s="1"/>
  <c r="N477" i="5"/>
  <c r="N477" i="5" a="1"/>
  <c r="O476" i="5" a="1"/>
  <c r="O476" i="5" s="1"/>
  <c r="N476" i="5" a="1"/>
  <c r="N476" i="5" s="1"/>
  <c r="O475" i="5" a="1"/>
  <c r="O475" i="5" s="1"/>
  <c r="N475" i="5"/>
  <c r="N475" i="5" a="1"/>
  <c r="O474" i="5" a="1"/>
  <c r="O474" i="5" s="1"/>
  <c r="N474" i="5" a="1"/>
  <c r="N474" i="5" s="1"/>
  <c r="O473" i="5" a="1"/>
  <c r="O473" i="5" s="1"/>
  <c r="N473" i="5"/>
  <c r="N473" i="5" a="1"/>
  <c r="O472" i="5" a="1"/>
  <c r="O472" i="5" s="1"/>
  <c r="N472" i="5" a="1"/>
  <c r="N472" i="5" s="1"/>
  <c r="O471" i="5" a="1"/>
  <c r="O471" i="5" s="1"/>
  <c r="N471" i="5" a="1"/>
  <c r="N471" i="5" s="1"/>
  <c r="O470" i="5" a="1"/>
  <c r="O470" i="5" s="1"/>
  <c r="N470" i="5" a="1"/>
  <c r="N470" i="5" s="1"/>
  <c r="O469" i="5" a="1"/>
  <c r="O469" i="5" s="1"/>
  <c r="N469" i="5"/>
  <c r="N469" i="5" a="1"/>
  <c r="O468" i="5" a="1"/>
  <c r="O468" i="5" s="1"/>
  <c r="N468" i="5" a="1"/>
  <c r="N468" i="5" s="1"/>
  <c r="O467" i="5" a="1"/>
  <c r="O467" i="5" s="1"/>
  <c r="N467" i="5" a="1"/>
  <c r="N467" i="5" s="1"/>
  <c r="O466" i="5" a="1"/>
  <c r="O466" i="5" s="1"/>
  <c r="N466" i="5" a="1"/>
  <c r="N466" i="5" s="1"/>
  <c r="O465" i="5" a="1"/>
  <c r="O465" i="5" s="1"/>
  <c r="N465" i="5"/>
  <c r="N465" i="5" a="1"/>
  <c r="O464" i="5" a="1"/>
  <c r="O464" i="5" s="1"/>
  <c r="N464" i="5" a="1"/>
  <c r="N464" i="5" s="1"/>
  <c r="O463" i="5" a="1"/>
  <c r="O463" i="5" s="1"/>
  <c r="N463" i="5" a="1"/>
  <c r="N463" i="5" s="1"/>
  <c r="O462" i="5" a="1"/>
  <c r="O462" i="5" s="1"/>
  <c r="N462" i="5" a="1"/>
  <c r="N462" i="5" s="1"/>
  <c r="O461" i="5" a="1"/>
  <c r="O461" i="5" s="1"/>
  <c r="N461" i="5"/>
  <c r="N461" i="5" a="1"/>
  <c r="O460" i="5" a="1"/>
  <c r="O460" i="5" s="1"/>
  <c r="N460" i="5" a="1"/>
  <c r="N460" i="5" s="1"/>
  <c r="O459" i="5" a="1"/>
  <c r="O459" i="5" s="1"/>
  <c r="N459" i="5" a="1"/>
  <c r="N459" i="5" s="1"/>
  <c r="O458" i="5" a="1"/>
  <c r="O458" i="5" s="1"/>
  <c r="N458" i="5" a="1"/>
  <c r="N458" i="5" s="1"/>
  <c r="O457" i="5" a="1"/>
  <c r="O457" i="5" s="1"/>
  <c r="N457" i="5"/>
  <c r="N457" i="5" a="1"/>
  <c r="O456" i="5" a="1"/>
  <c r="O456" i="5" s="1"/>
  <c r="N456" i="5" a="1"/>
  <c r="N456" i="5" s="1"/>
  <c r="O455" i="5" a="1"/>
  <c r="O455" i="5" s="1"/>
  <c r="N455" i="5" a="1"/>
  <c r="N455" i="5" s="1"/>
  <c r="O454" i="5" a="1"/>
  <c r="O454" i="5" s="1"/>
  <c r="N454" i="5" a="1"/>
  <c r="N454" i="5" s="1"/>
  <c r="O453" i="5" a="1"/>
  <c r="O453" i="5" s="1"/>
  <c r="N453" i="5"/>
  <c r="N453" i="5" a="1"/>
  <c r="O452" i="5" a="1"/>
  <c r="O452" i="5" s="1"/>
  <c r="N452" i="5" a="1"/>
  <c r="N452" i="5" s="1"/>
  <c r="O451" i="5" a="1"/>
  <c r="O451" i="5" s="1"/>
  <c r="N451" i="5" a="1"/>
  <c r="N451" i="5" s="1"/>
  <c r="O450" i="5" a="1"/>
  <c r="O450" i="5" s="1"/>
  <c r="N450" i="5" a="1"/>
  <c r="N450" i="5" s="1"/>
  <c r="O449" i="5" a="1"/>
  <c r="O449" i="5" s="1"/>
  <c r="N449" i="5"/>
  <c r="N449" i="5" a="1"/>
  <c r="O448" i="5" a="1"/>
  <c r="O448" i="5" s="1"/>
  <c r="N448" i="5" a="1"/>
  <c r="N448" i="5" s="1"/>
  <c r="O447" i="5" a="1"/>
  <c r="O447" i="5" s="1"/>
  <c r="N447" i="5" a="1"/>
  <c r="N447" i="5" s="1"/>
  <c r="O446" i="5" a="1"/>
  <c r="O446" i="5" s="1"/>
  <c r="N446" i="5" a="1"/>
  <c r="N446" i="5" s="1"/>
  <c r="O445" i="5" a="1"/>
  <c r="O445" i="5" s="1"/>
  <c r="N445" i="5"/>
  <c r="N445" i="5" a="1"/>
  <c r="O444" i="5" a="1"/>
  <c r="O444" i="5" s="1"/>
  <c r="N444" i="5" a="1"/>
  <c r="N444" i="5" s="1"/>
  <c r="O443" i="5" a="1"/>
  <c r="O443" i="5" s="1"/>
  <c r="N443" i="5" a="1"/>
  <c r="N443" i="5" s="1"/>
  <c r="O442" i="5" a="1"/>
  <c r="O442" i="5" s="1"/>
  <c r="N442" i="5" a="1"/>
  <c r="N442" i="5" s="1"/>
  <c r="O441" i="5" a="1"/>
  <c r="O441" i="5" s="1"/>
  <c r="N441" i="5"/>
  <c r="N441" i="5" a="1"/>
  <c r="O440" i="5" a="1"/>
  <c r="O440" i="5" s="1"/>
  <c r="N440" i="5" a="1"/>
  <c r="N440" i="5" s="1"/>
  <c r="O439" i="5" a="1"/>
  <c r="O439" i="5" s="1"/>
  <c r="N439" i="5" a="1"/>
  <c r="N439" i="5" s="1"/>
  <c r="O438" i="5" a="1"/>
  <c r="O438" i="5" s="1"/>
  <c r="N438" i="5" a="1"/>
  <c r="N438" i="5" s="1"/>
  <c r="O437" i="5" a="1"/>
  <c r="O437" i="5" s="1"/>
  <c r="N437" i="5"/>
  <c r="N437" i="5" a="1"/>
  <c r="O436" i="5" a="1"/>
  <c r="O436" i="5" s="1"/>
  <c r="N436" i="5" a="1"/>
  <c r="N436" i="5" s="1"/>
  <c r="O435" i="5" a="1"/>
  <c r="O435" i="5" s="1"/>
  <c r="N435" i="5" a="1"/>
  <c r="N435" i="5" s="1"/>
  <c r="O434" i="5" a="1"/>
  <c r="O434" i="5" s="1"/>
  <c r="N434" i="5" a="1"/>
  <c r="N434" i="5" s="1"/>
  <c r="O433" i="5" a="1"/>
  <c r="O433" i="5" s="1"/>
  <c r="N433" i="5"/>
  <c r="N433" i="5" a="1"/>
  <c r="O432" i="5" a="1"/>
  <c r="O432" i="5" s="1"/>
  <c r="N432" i="5" a="1"/>
  <c r="N432" i="5" s="1"/>
  <c r="O431" i="5" a="1"/>
  <c r="O431" i="5" s="1"/>
  <c r="N431" i="5" a="1"/>
  <c r="N431" i="5" s="1"/>
  <c r="O430" i="5" a="1"/>
  <c r="O430" i="5" s="1"/>
  <c r="N430" i="5" a="1"/>
  <c r="N430" i="5" s="1"/>
  <c r="O429" i="5" a="1"/>
  <c r="O429" i="5" s="1"/>
  <c r="N429" i="5"/>
  <c r="N429" i="5" a="1"/>
  <c r="O428" i="5" a="1"/>
  <c r="O428" i="5" s="1"/>
  <c r="N428" i="5" a="1"/>
  <c r="N428" i="5" s="1"/>
  <c r="O427" i="5" a="1"/>
  <c r="O427" i="5" s="1"/>
  <c r="N427" i="5" a="1"/>
  <c r="N427" i="5" s="1"/>
  <c r="O426" i="5" a="1"/>
  <c r="O426" i="5" s="1"/>
  <c r="N426" i="5" a="1"/>
  <c r="N426" i="5" s="1"/>
  <c r="O425" i="5" a="1"/>
  <c r="O425" i="5" s="1"/>
  <c r="N425" i="5"/>
  <c r="N425" i="5" a="1"/>
  <c r="O424" i="5" a="1"/>
  <c r="O424" i="5" s="1"/>
  <c r="N424" i="5" a="1"/>
  <c r="N424" i="5" s="1"/>
  <c r="O423" i="5" a="1"/>
  <c r="O423" i="5" s="1"/>
  <c r="N423" i="5" a="1"/>
  <c r="N423" i="5" s="1"/>
  <c r="O422" i="5"/>
  <c r="O422" i="5" a="1"/>
  <c r="N422" i="5" a="1"/>
  <c r="N422" i="5" s="1"/>
  <c r="O421" i="5" a="1"/>
  <c r="O421" i="5" s="1"/>
  <c r="N421" i="5" a="1"/>
  <c r="N421" i="5" s="1"/>
  <c r="O420" i="5" a="1"/>
  <c r="O420" i="5" s="1"/>
  <c r="N420" i="5" a="1"/>
  <c r="N420" i="5" s="1"/>
  <c r="O419" i="5" a="1"/>
  <c r="O419" i="5" s="1"/>
  <c r="N419" i="5" a="1"/>
  <c r="N419" i="5" s="1"/>
  <c r="O418" i="5" a="1"/>
  <c r="O418" i="5" s="1"/>
  <c r="N418" i="5" a="1"/>
  <c r="N418" i="5" s="1"/>
  <c r="O417" i="5" a="1"/>
  <c r="O417" i="5" s="1"/>
  <c r="N417" i="5" a="1"/>
  <c r="N417" i="5" s="1"/>
  <c r="O416" i="5" a="1"/>
  <c r="O416" i="5" s="1"/>
  <c r="N416" i="5" a="1"/>
  <c r="N416" i="5" s="1"/>
  <c r="O415" i="5" a="1"/>
  <c r="O415" i="5" s="1"/>
  <c r="N415" i="5" a="1"/>
  <c r="N415" i="5" s="1"/>
  <c r="O414" i="5" a="1"/>
  <c r="O414" i="5" s="1"/>
  <c r="N414" i="5" a="1"/>
  <c r="N414" i="5" s="1"/>
  <c r="O413" i="5" a="1"/>
  <c r="O413" i="5" s="1"/>
  <c r="N413" i="5" a="1"/>
  <c r="N413" i="5" s="1"/>
  <c r="O412" i="5" a="1"/>
  <c r="O412" i="5" s="1"/>
  <c r="N412" i="5" a="1"/>
  <c r="N412" i="5" s="1"/>
  <c r="O411" i="5" a="1"/>
  <c r="O411" i="5" s="1"/>
  <c r="N411" i="5" a="1"/>
  <c r="N411" i="5" s="1"/>
  <c r="O410" i="5" a="1"/>
  <c r="O410" i="5" s="1"/>
  <c r="N410" i="5" a="1"/>
  <c r="N410" i="5" s="1"/>
  <c r="O409" i="5" a="1"/>
  <c r="O409" i="5" s="1"/>
  <c r="N409" i="5" a="1"/>
  <c r="N409" i="5" s="1"/>
  <c r="O408" i="5" a="1"/>
  <c r="O408" i="5" s="1"/>
  <c r="N408" i="5" a="1"/>
  <c r="N408" i="5" s="1"/>
  <c r="O407" i="5" a="1"/>
  <c r="O407" i="5" s="1"/>
  <c r="N407" i="5" a="1"/>
  <c r="N407" i="5" s="1"/>
  <c r="O406" i="5" a="1"/>
  <c r="O406" i="5" s="1"/>
  <c r="N406" i="5" a="1"/>
  <c r="N406" i="5" s="1"/>
  <c r="O405" i="5" a="1"/>
  <c r="O405" i="5" s="1"/>
  <c r="N405" i="5" a="1"/>
  <c r="N405" i="5" s="1"/>
  <c r="O404" i="5" a="1"/>
  <c r="O404" i="5" s="1"/>
  <c r="N404" i="5" a="1"/>
  <c r="N404" i="5" s="1"/>
  <c r="O403" i="5" a="1"/>
  <c r="O403" i="5" s="1"/>
  <c r="N403" i="5" a="1"/>
  <c r="N403" i="5" s="1"/>
  <c r="O402" i="5"/>
  <c r="O402" i="5" a="1"/>
  <c r="N402" i="5" a="1"/>
  <c r="N402" i="5" s="1"/>
  <c r="O401" i="5" a="1"/>
  <c r="O401" i="5" s="1"/>
  <c r="N401" i="5" a="1"/>
  <c r="N401" i="5" s="1"/>
  <c r="O400" i="5" a="1"/>
  <c r="O400" i="5" s="1"/>
  <c r="N400" i="5" a="1"/>
  <c r="N400" i="5" s="1"/>
  <c r="O399" i="5" a="1"/>
  <c r="O399" i="5" s="1"/>
  <c r="N399" i="5" a="1"/>
  <c r="N399" i="5" s="1"/>
  <c r="O398" i="5" a="1"/>
  <c r="O398" i="5" s="1"/>
  <c r="N398" i="5" a="1"/>
  <c r="N398" i="5" s="1"/>
  <c r="O397" i="5" a="1"/>
  <c r="O397" i="5" s="1"/>
  <c r="N397" i="5" a="1"/>
  <c r="N397" i="5" s="1"/>
  <c r="O396" i="5" a="1"/>
  <c r="O396" i="5" s="1"/>
  <c r="N396" i="5" a="1"/>
  <c r="N396" i="5" s="1"/>
  <c r="O395" i="5" a="1"/>
  <c r="O395" i="5" s="1"/>
  <c r="N395" i="5" a="1"/>
  <c r="N395" i="5" s="1"/>
  <c r="O394" i="5"/>
  <c r="O394" i="5" a="1"/>
  <c r="N394" i="5" a="1"/>
  <c r="N394" i="5" s="1"/>
  <c r="O393" i="5" a="1"/>
  <c r="O393" i="5" s="1"/>
  <c r="N393" i="5" a="1"/>
  <c r="N393" i="5" s="1"/>
  <c r="O392" i="5" a="1"/>
  <c r="O392" i="5" s="1"/>
  <c r="N392" i="5" a="1"/>
  <c r="N392" i="5" s="1"/>
  <c r="O391" i="5" a="1"/>
  <c r="O391" i="5" s="1"/>
  <c r="N391" i="5" a="1"/>
  <c r="N391" i="5" s="1"/>
  <c r="O390" i="5"/>
  <c r="O390" i="5" a="1"/>
  <c r="N390" i="5" a="1"/>
  <c r="N390" i="5" s="1"/>
  <c r="O389" i="5" a="1"/>
  <c r="O389" i="5" s="1"/>
  <c r="N389" i="5" a="1"/>
  <c r="N389" i="5" s="1"/>
  <c r="O388" i="5" a="1"/>
  <c r="O388" i="5" s="1"/>
  <c r="N388" i="5" a="1"/>
  <c r="N388" i="5" s="1"/>
  <c r="O387" i="5" a="1"/>
  <c r="O387" i="5" s="1"/>
  <c r="N387" i="5" a="1"/>
  <c r="N387" i="5" s="1"/>
  <c r="O386" i="5"/>
  <c r="O386" i="5" a="1"/>
  <c r="N386" i="5" a="1"/>
  <c r="N386" i="5" s="1"/>
  <c r="O385" i="5" a="1"/>
  <c r="O385" i="5" s="1"/>
  <c r="N385" i="5" a="1"/>
  <c r="N385" i="5" s="1"/>
  <c r="O384" i="5" a="1"/>
  <c r="O384" i="5" s="1"/>
  <c r="N384" i="5" a="1"/>
  <c r="N384" i="5" s="1"/>
  <c r="O383" i="5" a="1"/>
  <c r="O383" i="5" s="1"/>
  <c r="N383" i="5" a="1"/>
  <c r="N383" i="5" s="1"/>
  <c r="O382" i="5"/>
  <c r="O382" i="5" a="1"/>
  <c r="N382" i="5" a="1"/>
  <c r="N382" i="5" s="1"/>
  <c r="O381" i="5" a="1"/>
  <c r="O381" i="5" s="1"/>
  <c r="N381" i="5" a="1"/>
  <c r="N381" i="5" s="1"/>
  <c r="O380" i="5" a="1"/>
  <c r="O380" i="5" s="1"/>
  <c r="N380" i="5" a="1"/>
  <c r="N380" i="5" s="1"/>
  <c r="O379" i="5" a="1"/>
  <c r="O379" i="5" s="1"/>
  <c r="N379" i="5" a="1"/>
  <c r="N379" i="5" s="1"/>
  <c r="O378" i="5"/>
  <c r="O378" i="5" a="1"/>
  <c r="N378" i="5" a="1"/>
  <c r="N378" i="5" s="1"/>
  <c r="O377" i="5" a="1"/>
  <c r="O377" i="5" s="1"/>
  <c r="N377" i="5" a="1"/>
  <c r="N377" i="5" s="1"/>
  <c r="O376" i="5" a="1"/>
  <c r="O376" i="5" s="1"/>
  <c r="N376" i="5" a="1"/>
  <c r="N376" i="5" s="1"/>
  <c r="O375" i="5" a="1"/>
  <c r="O375" i="5" s="1"/>
  <c r="N375" i="5" a="1"/>
  <c r="N375" i="5" s="1"/>
  <c r="O374" i="5"/>
  <c r="O374" i="5" a="1"/>
  <c r="N374" i="5" a="1"/>
  <c r="N374" i="5" s="1"/>
  <c r="O373" i="5" a="1"/>
  <c r="O373" i="5" s="1"/>
  <c r="N373" i="5" a="1"/>
  <c r="N373" i="5" s="1"/>
  <c r="O372" i="5" a="1"/>
  <c r="O372" i="5" s="1"/>
  <c r="N372" i="5" a="1"/>
  <c r="N372" i="5" s="1"/>
  <c r="O371" i="5" a="1"/>
  <c r="O371" i="5" s="1"/>
  <c r="N371" i="5" a="1"/>
  <c r="N371" i="5" s="1"/>
  <c r="O370" i="5"/>
  <c r="O370" i="5" a="1"/>
  <c r="N370" i="5" a="1"/>
  <c r="N370" i="5" s="1"/>
  <c r="O369" i="5" a="1"/>
  <c r="O369" i="5" s="1"/>
  <c r="N369" i="5" a="1"/>
  <c r="N369" i="5" s="1"/>
  <c r="O368" i="5" a="1"/>
  <c r="O368" i="5" s="1"/>
  <c r="N368" i="5" a="1"/>
  <c r="N368" i="5" s="1"/>
  <c r="O367" i="5" a="1"/>
  <c r="O367" i="5" s="1"/>
  <c r="N367" i="5" a="1"/>
  <c r="N367" i="5" s="1"/>
  <c r="O366" i="5"/>
  <c r="O366" i="5" a="1"/>
  <c r="N366" i="5" a="1"/>
  <c r="N366" i="5" s="1"/>
  <c r="O365" i="5" a="1"/>
  <c r="O365" i="5" s="1"/>
  <c r="N365" i="5" a="1"/>
  <c r="N365" i="5" s="1"/>
  <c r="O364" i="5" a="1"/>
  <c r="O364" i="5" s="1"/>
  <c r="N364" i="5" a="1"/>
  <c r="N364" i="5" s="1"/>
  <c r="O363" i="5" a="1"/>
  <c r="O363" i="5" s="1"/>
  <c r="N363" i="5" a="1"/>
  <c r="N363" i="5" s="1"/>
  <c r="O362" i="5"/>
  <c r="O362" i="5" a="1"/>
  <c r="N362" i="5" a="1"/>
  <c r="N362" i="5" s="1"/>
  <c r="O361" i="5" a="1"/>
  <c r="O361" i="5" s="1"/>
  <c r="N361" i="5" a="1"/>
  <c r="N361" i="5" s="1"/>
  <c r="O360" i="5" a="1"/>
  <c r="O360" i="5" s="1"/>
  <c r="N360" i="5" a="1"/>
  <c r="N360" i="5" s="1"/>
  <c r="O359" i="5" a="1"/>
  <c r="O359" i="5" s="1"/>
  <c r="N359" i="5" a="1"/>
  <c r="N359" i="5" s="1"/>
  <c r="O358" i="5"/>
  <c r="O358" i="5" a="1"/>
  <c r="N358" i="5" a="1"/>
  <c r="N358" i="5" s="1"/>
  <c r="O357" i="5" a="1"/>
  <c r="O357" i="5" s="1"/>
  <c r="N357" i="5" a="1"/>
  <c r="N357" i="5" s="1"/>
  <c r="O356" i="5" a="1"/>
  <c r="O356" i="5" s="1"/>
  <c r="N356" i="5" a="1"/>
  <c r="N356" i="5" s="1"/>
  <c r="O355" i="5"/>
  <c r="O355" i="5" a="1"/>
  <c r="N355" i="5" a="1"/>
  <c r="N355" i="5" s="1"/>
  <c r="O354" i="5"/>
  <c r="O354" i="5" a="1"/>
  <c r="N354" i="5" a="1"/>
  <c r="N354" i="5" s="1"/>
  <c r="O353" i="5" a="1"/>
  <c r="O353" i="5" s="1"/>
  <c r="N353" i="5" a="1"/>
  <c r="N353" i="5" s="1"/>
  <c r="O352" i="5" a="1"/>
  <c r="O352" i="5" s="1"/>
  <c r="N352" i="5" a="1"/>
  <c r="N352" i="5" s="1"/>
  <c r="O351" i="5"/>
  <c r="O351" i="5" a="1"/>
  <c r="N351" i="5" a="1"/>
  <c r="N351" i="5" s="1"/>
  <c r="O350" i="5" a="1"/>
  <c r="O350" i="5" s="1"/>
  <c r="N350" i="5" a="1"/>
  <c r="N350" i="5" s="1"/>
  <c r="O349" i="5" a="1"/>
  <c r="O349" i="5" s="1"/>
  <c r="N349" i="5" a="1"/>
  <c r="N349" i="5" s="1"/>
  <c r="O348" i="5" a="1"/>
  <c r="O348" i="5" s="1"/>
  <c r="N348" i="5" a="1"/>
  <c r="N348" i="5" s="1"/>
  <c r="O347" i="5"/>
  <c r="O347" i="5" a="1"/>
  <c r="N347" i="5" a="1"/>
  <c r="N347" i="5" s="1"/>
  <c r="O346" i="5" a="1"/>
  <c r="O346" i="5" s="1"/>
  <c r="N346" i="5" a="1"/>
  <c r="N346" i="5" s="1"/>
  <c r="O345" i="5" a="1"/>
  <c r="O345" i="5" s="1"/>
  <c r="N345" i="5" a="1"/>
  <c r="N345" i="5" s="1"/>
  <c r="O344" i="5" a="1"/>
  <c r="O344" i="5" s="1"/>
  <c r="N344" i="5" a="1"/>
  <c r="N344" i="5" s="1"/>
  <c r="O343" i="5"/>
  <c r="O343" i="5" a="1"/>
  <c r="N343" i="5" a="1"/>
  <c r="N343" i="5" s="1"/>
  <c r="O342" i="5" a="1"/>
  <c r="O342" i="5" s="1"/>
  <c r="N342" i="5" a="1"/>
  <c r="N342" i="5" s="1"/>
  <c r="O341" i="5" a="1"/>
  <c r="O341" i="5" s="1"/>
  <c r="N341" i="5" a="1"/>
  <c r="N341" i="5" s="1"/>
  <c r="O340" i="5" a="1"/>
  <c r="O340" i="5" s="1"/>
  <c r="N340" i="5" a="1"/>
  <c r="N340" i="5" s="1"/>
  <c r="O339" i="5"/>
  <c r="O339" i="5" a="1"/>
  <c r="N339" i="5" a="1"/>
  <c r="N339" i="5" s="1"/>
  <c r="O338" i="5" a="1"/>
  <c r="O338" i="5" s="1"/>
  <c r="N338" i="5" a="1"/>
  <c r="N338" i="5" s="1"/>
  <c r="O337" i="5" a="1"/>
  <c r="O337" i="5" s="1"/>
  <c r="N337" i="5" a="1"/>
  <c r="N337" i="5" s="1"/>
  <c r="O336" i="5" a="1"/>
  <c r="O336" i="5" s="1"/>
  <c r="N336" i="5" a="1"/>
  <c r="N336" i="5" s="1"/>
  <c r="O335" i="5"/>
  <c r="O335" i="5" a="1"/>
  <c r="N335" i="5" a="1"/>
  <c r="N335" i="5" s="1"/>
  <c r="O334" i="5" a="1"/>
  <c r="O334" i="5" s="1"/>
  <c r="N334" i="5" a="1"/>
  <c r="N334" i="5" s="1"/>
  <c r="O333" i="5" a="1"/>
  <c r="O333" i="5" s="1"/>
  <c r="N333" i="5" a="1"/>
  <c r="N333" i="5" s="1"/>
  <c r="O332" i="5" a="1"/>
  <c r="O332" i="5" s="1"/>
  <c r="N332" i="5" a="1"/>
  <c r="N332" i="5" s="1"/>
  <c r="O331" i="5"/>
  <c r="O331" i="5" a="1"/>
  <c r="N331" i="5" a="1"/>
  <c r="N331" i="5" s="1"/>
  <c r="O330" i="5" a="1"/>
  <c r="O330" i="5" s="1"/>
  <c r="N330" i="5" a="1"/>
  <c r="N330" i="5" s="1"/>
  <c r="O329" i="5" a="1"/>
  <c r="O329" i="5" s="1"/>
  <c r="N329" i="5" a="1"/>
  <c r="N329" i="5" s="1"/>
  <c r="O328" i="5" a="1"/>
  <c r="O328" i="5" s="1"/>
  <c r="N328" i="5" a="1"/>
  <c r="N328" i="5" s="1"/>
  <c r="O327" i="5"/>
  <c r="O327" i="5" a="1"/>
  <c r="N327" i="5" a="1"/>
  <c r="N327" i="5" s="1"/>
  <c r="O326" i="5" a="1"/>
  <c r="O326" i="5" s="1"/>
  <c r="N326" i="5" a="1"/>
  <c r="N326" i="5" s="1"/>
  <c r="O325" i="5"/>
  <c r="O325" i="5" a="1"/>
  <c r="N325" i="5" a="1"/>
  <c r="N325" i="5" s="1"/>
  <c r="O324" i="5" a="1"/>
  <c r="O324" i="5" s="1"/>
  <c r="N324" i="5" a="1"/>
  <c r="N324" i="5" s="1"/>
  <c r="O323" i="5"/>
  <c r="O323" i="5" a="1"/>
  <c r="N323" i="5" a="1"/>
  <c r="N323" i="5" s="1"/>
  <c r="O322" i="5" a="1"/>
  <c r="O322" i="5" s="1"/>
  <c r="N322" i="5" a="1"/>
  <c r="N322" i="5" s="1"/>
  <c r="O321" i="5"/>
  <c r="O321" i="5" a="1"/>
  <c r="N321" i="5" a="1"/>
  <c r="N321" i="5" s="1"/>
  <c r="O320" i="5" a="1"/>
  <c r="O320" i="5" s="1"/>
  <c r="N320" i="5" a="1"/>
  <c r="N320" i="5" s="1"/>
  <c r="O319" i="5"/>
  <c r="O319" i="5" a="1"/>
  <c r="N319" i="5" a="1"/>
  <c r="N319" i="5" s="1"/>
  <c r="O318" i="5" a="1"/>
  <c r="O318" i="5" s="1"/>
  <c r="N318" i="5" a="1"/>
  <c r="N318" i="5" s="1"/>
  <c r="O317" i="5"/>
  <c r="O317" i="5" a="1"/>
  <c r="N317" i="5" a="1"/>
  <c r="N317" i="5" s="1"/>
  <c r="O316" i="5" a="1"/>
  <c r="O316" i="5" s="1"/>
  <c r="N316" i="5" a="1"/>
  <c r="N316" i="5" s="1"/>
  <c r="O315" i="5"/>
  <c r="O315" i="5" a="1"/>
  <c r="N315" i="5" a="1"/>
  <c r="N315" i="5" s="1"/>
  <c r="O314" i="5" a="1"/>
  <c r="O314" i="5" s="1"/>
  <c r="N314" i="5" a="1"/>
  <c r="N314" i="5" s="1"/>
  <c r="O313" i="5"/>
  <c r="O313" i="5" a="1"/>
  <c r="N313" i="5" a="1"/>
  <c r="N313" i="5" s="1"/>
  <c r="O312" i="5" a="1"/>
  <c r="O312" i="5" s="1"/>
  <c r="N312" i="5" a="1"/>
  <c r="N312" i="5" s="1"/>
  <c r="O311" i="5"/>
  <c r="O311" i="5" a="1"/>
  <c r="N311" i="5" a="1"/>
  <c r="N311" i="5" s="1"/>
  <c r="O310" i="5" a="1"/>
  <c r="O310" i="5" s="1"/>
  <c r="N310" i="5" a="1"/>
  <c r="N310" i="5" s="1"/>
  <c r="O309" i="5"/>
  <c r="O309" i="5" a="1"/>
  <c r="N309" i="5" a="1"/>
  <c r="N309" i="5" s="1"/>
  <c r="O308" i="5" a="1"/>
  <c r="O308" i="5" s="1"/>
  <c r="N308" i="5" a="1"/>
  <c r="N308" i="5" s="1"/>
  <c r="O307" i="5"/>
  <c r="O307" i="5" a="1"/>
  <c r="N307" i="5" a="1"/>
  <c r="N307" i="5" s="1"/>
  <c r="O306" i="5" a="1"/>
  <c r="O306" i="5" s="1"/>
  <c r="N306" i="5" a="1"/>
  <c r="N306" i="5" s="1"/>
  <c r="O305" i="5"/>
  <c r="O305" i="5" a="1"/>
  <c r="N305" i="5" a="1"/>
  <c r="N305" i="5" s="1"/>
  <c r="O304" i="5" a="1"/>
  <c r="O304" i="5" s="1"/>
  <c r="N304" i="5" a="1"/>
  <c r="N304" i="5" s="1"/>
  <c r="O303" i="5"/>
  <c r="O303" i="5" a="1"/>
  <c r="N303" i="5" a="1"/>
  <c r="N303" i="5" s="1"/>
  <c r="O302" i="5" a="1"/>
  <c r="O302" i="5" s="1"/>
  <c r="N302" i="5" a="1"/>
  <c r="N302" i="5" s="1"/>
  <c r="O301" i="5"/>
  <c r="O301" i="5" a="1"/>
  <c r="N301" i="5" a="1"/>
  <c r="N301" i="5" s="1"/>
  <c r="O300" i="5" a="1"/>
  <c r="O300" i="5" s="1"/>
  <c r="N300" i="5" a="1"/>
  <c r="N300" i="5" s="1"/>
  <c r="O299" i="5"/>
  <c r="O299" i="5" a="1"/>
  <c r="N299" i="5" a="1"/>
  <c r="N299" i="5" s="1"/>
  <c r="O298" i="5" a="1"/>
  <c r="O298" i="5" s="1"/>
  <c r="N298" i="5" a="1"/>
  <c r="N298" i="5" s="1"/>
  <c r="O297" i="5"/>
  <c r="O297" i="5" a="1"/>
  <c r="N297" i="5" a="1"/>
  <c r="N297" i="5" s="1"/>
  <c r="O296" i="5" a="1"/>
  <c r="O296" i="5" s="1"/>
  <c r="N296" i="5" a="1"/>
  <c r="N296" i="5" s="1"/>
  <c r="O295" i="5"/>
  <c r="O295" i="5" a="1"/>
  <c r="N295" i="5" a="1"/>
  <c r="N295" i="5" s="1"/>
  <c r="O294" i="5" a="1"/>
  <c r="O294" i="5" s="1"/>
  <c r="N294" i="5" a="1"/>
  <c r="N294" i="5" s="1"/>
  <c r="O293" i="5"/>
  <c r="O293" i="5" a="1"/>
  <c r="N293" i="5" a="1"/>
  <c r="N293" i="5" s="1"/>
  <c r="O292" i="5" a="1"/>
  <c r="O292" i="5" s="1"/>
  <c r="N292" i="5" a="1"/>
  <c r="N292" i="5" s="1"/>
  <c r="O291" i="5"/>
  <c r="O291" i="5" a="1"/>
  <c r="N291" i="5" a="1"/>
  <c r="N291" i="5" s="1"/>
  <c r="O290" i="5" a="1"/>
  <c r="O290" i="5" s="1"/>
  <c r="N290" i="5" a="1"/>
  <c r="N290" i="5" s="1"/>
  <c r="O289" i="5"/>
  <c r="O289" i="5" a="1"/>
  <c r="N289" i="5" a="1"/>
  <c r="N289" i="5" s="1"/>
  <c r="O288" i="5" a="1"/>
  <c r="O288" i="5" s="1"/>
  <c r="N288" i="5" a="1"/>
  <c r="N288" i="5" s="1"/>
  <c r="O287" i="5"/>
  <c r="O287" i="5" a="1"/>
  <c r="N287" i="5" a="1"/>
  <c r="N287" i="5" s="1"/>
  <c r="O286" i="5" a="1"/>
  <c r="O286" i="5" s="1"/>
  <c r="N286" i="5" a="1"/>
  <c r="N286" i="5" s="1"/>
  <c r="O285" i="5"/>
  <c r="O285" i="5" a="1"/>
  <c r="N285" i="5" a="1"/>
  <c r="N285" i="5" s="1"/>
  <c r="O284" i="5" a="1"/>
  <c r="O284" i="5" s="1"/>
  <c r="N284" i="5" a="1"/>
  <c r="N284" i="5" s="1"/>
  <c r="O283" i="5"/>
  <c r="O283" i="5" a="1"/>
  <c r="N283" i="5" a="1"/>
  <c r="N283" i="5" s="1"/>
  <c r="O282" i="5"/>
  <c r="O282" i="5" a="1"/>
  <c r="N282" i="5" a="1"/>
  <c r="N282" i="5" s="1"/>
  <c r="O281" i="5"/>
  <c r="O281" i="5" a="1"/>
  <c r="N281" i="5" a="1"/>
  <c r="N281" i="5" s="1"/>
  <c r="O280" i="5"/>
  <c r="O280" i="5" a="1"/>
  <c r="N280" i="5" a="1"/>
  <c r="N280" i="5" s="1"/>
  <c r="O279" i="5"/>
  <c r="O279" i="5" a="1"/>
  <c r="N279" i="5" a="1"/>
  <c r="N279" i="5" s="1"/>
  <c r="O278" i="5"/>
  <c r="O278" i="5" a="1"/>
  <c r="N278" i="5" a="1"/>
  <c r="N278" i="5" s="1"/>
  <c r="O277" i="5"/>
  <c r="O277" i="5" a="1"/>
  <c r="N277" i="5" a="1"/>
  <c r="N277" i="5" s="1"/>
  <c r="O276" i="5"/>
  <c r="O276" i="5" a="1"/>
  <c r="N276" i="5" a="1"/>
  <c r="N276" i="5" s="1"/>
  <c r="O275" i="5"/>
  <c r="O275" i="5" a="1"/>
  <c r="N275" i="5" a="1"/>
  <c r="N275" i="5" s="1"/>
  <c r="O274" i="5"/>
  <c r="O274" i="5" a="1"/>
  <c r="N274" i="5" a="1"/>
  <c r="N274" i="5" s="1"/>
  <c r="O273" i="5"/>
  <c r="O273" i="5" a="1"/>
  <c r="N273" i="5" a="1"/>
  <c r="N273" i="5" s="1"/>
  <c r="O272" i="5" a="1"/>
  <c r="O272" i="5" s="1"/>
  <c r="N272" i="5" a="1"/>
  <c r="N272" i="5" s="1"/>
  <c r="O271" i="5" a="1"/>
  <c r="O271" i="5" s="1"/>
  <c r="N271" i="5" a="1"/>
  <c r="N271" i="5" s="1"/>
  <c r="O270" i="5" a="1"/>
  <c r="O270" i="5" s="1"/>
  <c r="N270" i="5" a="1"/>
  <c r="N270" i="5" s="1"/>
  <c r="O269" i="5" a="1"/>
  <c r="O269" i="5" s="1"/>
  <c r="N269" i="5" a="1"/>
  <c r="N269" i="5" s="1"/>
  <c r="O268" i="5" a="1"/>
  <c r="O268" i="5" s="1"/>
  <c r="N268" i="5" a="1"/>
  <c r="N268" i="5" s="1"/>
  <c r="O267" i="5" a="1"/>
  <c r="O267" i="5" s="1"/>
  <c r="N267" i="5" a="1"/>
  <c r="N267" i="5" s="1"/>
  <c r="O266" i="5" a="1"/>
  <c r="O266" i="5" s="1"/>
  <c r="N266" i="5" a="1"/>
  <c r="N266" i="5" s="1"/>
  <c r="O265" i="5" a="1"/>
  <c r="O265" i="5" s="1"/>
  <c r="N265" i="5" a="1"/>
  <c r="N265" i="5" s="1"/>
  <c r="O264" i="5" a="1"/>
  <c r="O264" i="5" s="1"/>
  <c r="N264" i="5" a="1"/>
  <c r="N264" i="5" s="1"/>
  <c r="O263" i="5" a="1"/>
  <c r="O263" i="5" s="1"/>
  <c r="N263" i="5" a="1"/>
  <c r="N263" i="5" s="1"/>
  <c r="O262" i="5" a="1"/>
  <c r="O262" i="5" s="1"/>
  <c r="N262" i="5" a="1"/>
  <c r="N262" i="5" s="1"/>
  <c r="O261" i="5" a="1"/>
  <c r="O261" i="5" s="1"/>
  <c r="N261" i="5" a="1"/>
  <c r="N261" i="5" s="1"/>
  <c r="O260" i="5" a="1"/>
  <c r="O260" i="5" s="1"/>
  <c r="N260" i="5" a="1"/>
  <c r="N260" i="5" s="1"/>
  <c r="O259" i="5" a="1"/>
  <c r="O259" i="5" s="1"/>
  <c r="N259" i="5" a="1"/>
  <c r="N259" i="5" s="1"/>
  <c r="O258" i="5" a="1"/>
  <c r="O258" i="5" s="1"/>
  <c r="N258" i="5" a="1"/>
  <c r="N258" i="5" s="1"/>
  <c r="O257" i="5" a="1"/>
  <c r="O257" i="5" s="1"/>
  <c r="N257" i="5" a="1"/>
  <c r="N257" i="5" s="1"/>
  <c r="O256" i="5" a="1"/>
  <c r="O256" i="5" s="1"/>
  <c r="N256" i="5" a="1"/>
  <c r="N256" i="5" s="1"/>
  <c r="O255" i="5" a="1"/>
  <c r="O255" i="5" s="1"/>
  <c r="N255" i="5" a="1"/>
  <c r="N255" i="5" s="1"/>
  <c r="O254" i="5" a="1"/>
  <c r="O254" i="5" s="1"/>
  <c r="N254" i="5" a="1"/>
  <c r="N254" i="5" s="1"/>
  <c r="O253" i="5" a="1"/>
  <c r="O253" i="5" s="1"/>
  <c r="N253" i="5" a="1"/>
  <c r="N253" i="5" s="1"/>
  <c r="O252" i="5" a="1"/>
  <c r="O252" i="5" s="1"/>
  <c r="N252" i="5" a="1"/>
  <c r="N252" i="5" s="1"/>
  <c r="O251" i="5" a="1"/>
  <c r="O251" i="5" s="1"/>
  <c r="N251" i="5" a="1"/>
  <c r="N251" i="5" s="1"/>
  <c r="O250" i="5" a="1"/>
  <c r="O250" i="5" s="1"/>
  <c r="N250" i="5" a="1"/>
  <c r="N250" i="5" s="1"/>
  <c r="O249" i="5" a="1"/>
  <c r="O249" i="5" s="1"/>
  <c r="N249" i="5" a="1"/>
  <c r="N249" i="5" s="1"/>
  <c r="O248" i="5" a="1"/>
  <c r="O248" i="5" s="1"/>
  <c r="N248" i="5" a="1"/>
  <c r="N248" i="5" s="1"/>
  <c r="O247" i="5" a="1"/>
  <c r="O247" i="5" s="1"/>
  <c r="N247" i="5" a="1"/>
  <c r="N247" i="5" s="1"/>
  <c r="O246" i="5" a="1"/>
  <c r="O246" i="5" s="1"/>
  <c r="N246" i="5" a="1"/>
  <c r="N246" i="5" s="1"/>
  <c r="O245" i="5" a="1"/>
  <c r="O245" i="5" s="1"/>
  <c r="N245" i="5" a="1"/>
  <c r="N245" i="5" s="1"/>
  <c r="O244" i="5" a="1"/>
  <c r="O244" i="5" s="1"/>
  <c r="N244" i="5" a="1"/>
  <c r="N244" i="5" s="1"/>
  <c r="O243" i="5" a="1"/>
  <c r="O243" i="5" s="1"/>
  <c r="N243" i="5" a="1"/>
  <c r="N243" i="5" s="1"/>
  <c r="O242" i="5" a="1"/>
  <c r="O242" i="5" s="1"/>
  <c r="N242" i="5" a="1"/>
  <c r="N242" i="5" s="1"/>
  <c r="O241" i="5" a="1"/>
  <c r="O241" i="5" s="1"/>
  <c r="N241" i="5" a="1"/>
  <c r="N241" i="5" s="1"/>
  <c r="O240" i="5" a="1"/>
  <c r="O240" i="5" s="1"/>
  <c r="N240" i="5" a="1"/>
  <c r="N240" i="5" s="1"/>
  <c r="O239" i="5" a="1"/>
  <c r="O239" i="5" s="1"/>
  <c r="N239" i="5" a="1"/>
  <c r="N239" i="5" s="1"/>
  <c r="O238" i="5" a="1"/>
  <c r="O238" i="5" s="1"/>
  <c r="N238" i="5" a="1"/>
  <c r="N238" i="5" s="1"/>
  <c r="O237" i="5" a="1"/>
  <c r="O237" i="5" s="1"/>
  <c r="N237" i="5" a="1"/>
  <c r="N237" i="5" s="1"/>
  <c r="O236" i="5" a="1"/>
  <c r="O236" i="5" s="1"/>
  <c r="N236" i="5" a="1"/>
  <c r="N236" i="5" s="1"/>
  <c r="O235" i="5" a="1"/>
  <c r="O235" i="5" s="1"/>
  <c r="N235" i="5" a="1"/>
  <c r="N235" i="5" s="1"/>
  <c r="O234" i="5" a="1"/>
  <c r="O234" i="5" s="1"/>
  <c r="N234" i="5" a="1"/>
  <c r="N234" i="5" s="1"/>
  <c r="O233" i="5" a="1"/>
  <c r="O233" i="5" s="1"/>
  <c r="N233" i="5" a="1"/>
  <c r="N233" i="5" s="1"/>
  <c r="O232" i="5" a="1"/>
  <c r="O232" i="5" s="1"/>
  <c r="N232" i="5" a="1"/>
  <c r="N232" i="5" s="1"/>
  <c r="O231" i="5" a="1"/>
  <c r="O231" i="5" s="1"/>
  <c r="N231" i="5" a="1"/>
  <c r="N231" i="5" s="1"/>
  <c r="O230" i="5" a="1"/>
  <c r="O230" i="5" s="1"/>
  <c r="N230" i="5" a="1"/>
  <c r="N230" i="5" s="1"/>
  <c r="O229" i="5" a="1"/>
  <c r="O229" i="5" s="1"/>
  <c r="N229" i="5" a="1"/>
  <c r="N229" i="5" s="1"/>
  <c r="O228" i="5" a="1"/>
  <c r="O228" i="5" s="1"/>
  <c r="N228" i="5"/>
  <c r="N228" i="5" a="1"/>
  <c r="O227" i="5" a="1"/>
  <c r="O227" i="5" s="1"/>
  <c r="N227" i="5" a="1"/>
  <c r="N227" i="5" s="1"/>
  <c r="O226" i="5" a="1"/>
  <c r="O226" i="5" s="1"/>
  <c r="N226" i="5" a="1"/>
  <c r="N226" i="5" s="1"/>
  <c r="O225" i="5" a="1"/>
  <c r="O225" i="5" s="1"/>
  <c r="N225" i="5" a="1"/>
  <c r="N225" i="5" s="1"/>
  <c r="O224" i="5" a="1"/>
  <c r="O224" i="5" s="1"/>
  <c r="N224" i="5"/>
  <c r="N224" i="5" a="1"/>
  <c r="O223" i="5" a="1"/>
  <c r="O223" i="5" s="1"/>
  <c r="N223" i="5" a="1"/>
  <c r="N223" i="5" s="1"/>
  <c r="O222" i="5" a="1"/>
  <c r="O222" i="5" s="1"/>
  <c r="N222" i="5"/>
  <c r="N222" i="5" a="1"/>
  <c r="O221" i="5" a="1"/>
  <c r="O221" i="5" s="1"/>
  <c r="N221" i="5" a="1"/>
  <c r="N221" i="5" s="1"/>
  <c r="O220" i="5" a="1"/>
  <c r="O220" i="5" s="1"/>
  <c r="N220" i="5"/>
  <c r="N220" i="5" a="1"/>
  <c r="O219" i="5" a="1"/>
  <c r="O219" i="5" s="1"/>
  <c r="N219" i="5" a="1"/>
  <c r="N219" i="5" s="1"/>
  <c r="O218" i="5" a="1"/>
  <c r="O218" i="5" s="1"/>
  <c r="N218" i="5"/>
  <c r="N218" i="5" a="1"/>
  <c r="O217" i="5" a="1"/>
  <c r="O217" i="5" s="1"/>
  <c r="N217" i="5" a="1"/>
  <c r="N217" i="5" s="1"/>
  <c r="O216" i="5" a="1"/>
  <c r="O216" i="5" s="1"/>
  <c r="N216" i="5"/>
  <c r="N216" i="5" a="1"/>
  <c r="O215" i="5" a="1"/>
  <c r="O215" i="5" s="1"/>
  <c r="N215" i="5" a="1"/>
  <c r="N215" i="5" s="1"/>
  <c r="O214" i="5" a="1"/>
  <c r="O214" i="5" s="1"/>
  <c r="N214" i="5"/>
  <c r="N214" i="5" a="1"/>
  <c r="O213" i="5" a="1"/>
  <c r="O213" i="5" s="1"/>
  <c r="N213" i="5" a="1"/>
  <c r="N213" i="5" s="1"/>
  <c r="O212" i="5" a="1"/>
  <c r="O212" i="5" s="1"/>
  <c r="N212" i="5"/>
  <c r="N212" i="5" a="1"/>
  <c r="O211" i="5" a="1"/>
  <c r="O211" i="5" s="1"/>
  <c r="N211" i="5" a="1"/>
  <c r="N211" i="5" s="1"/>
  <c r="O210" i="5" a="1"/>
  <c r="O210" i="5" s="1"/>
  <c r="N210" i="5" a="1"/>
  <c r="N210" i="5" s="1"/>
  <c r="O209" i="5" a="1"/>
  <c r="O209" i="5" s="1"/>
  <c r="N209" i="5" a="1"/>
  <c r="N209" i="5" s="1"/>
  <c r="O208" i="5" a="1"/>
  <c r="O208" i="5" s="1"/>
  <c r="N208" i="5"/>
  <c r="N208" i="5" a="1"/>
  <c r="O207" i="5" a="1"/>
  <c r="O207" i="5" s="1"/>
  <c r="N207" i="5" a="1"/>
  <c r="N207" i="5" s="1"/>
  <c r="O206" i="5" a="1"/>
  <c r="O206" i="5" s="1"/>
  <c r="N206" i="5" a="1"/>
  <c r="N206" i="5" s="1"/>
  <c r="O205" i="5" a="1"/>
  <c r="O205" i="5" s="1"/>
  <c r="N205" i="5" a="1"/>
  <c r="N205" i="5" s="1"/>
  <c r="O204" i="5" a="1"/>
  <c r="O204" i="5" s="1"/>
  <c r="N204" i="5"/>
  <c r="N204" i="5" a="1"/>
  <c r="O203" i="5" a="1"/>
  <c r="O203" i="5" s="1"/>
  <c r="N203" i="5" a="1"/>
  <c r="N203" i="5" s="1"/>
  <c r="O202" i="5" a="1"/>
  <c r="O202" i="5" s="1"/>
  <c r="N202" i="5" a="1"/>
  <c r="N202" i="5" s="1"/>
  <c r="O201" i="5" a="1"/>
  <c r="O201" i="5" s="1"/>
  <c r="N201" i="5" a="1"/>
  <c r="N201" i="5" s="1"/>
  <c r="O200" i="5" a="1"/>
  <c r="O200" i="5" s="1"/>
  <c r="N200" i="5"/>
  <c r="N200" i="5" a="1"/>
  <c r="O199" i="5" a="1"/>
  <c r="O199" i="5" s="1"/>
  <c r="N199" i="5" a="1"/>
  <c r="N199" i="5" s="1"/>
  <c r="O198" i="5" a="1"/>
  <c r="O198" i="5" s="1"/>
  <c r="N198" i="5" a="1"/>
  <c r="N198" i="5" s="1"/>
  <c r="O197" i="5" a="1"/>
  <c r="O197" i="5" s="1"/>
  <c r="N197" i="5" a="1"/>
  <c r="N197" i="5" s="1"/>
  <c r="O196" i="5" a="1"/>
  <c r="O196" i="5" s="1"/>
  <c r="N196" i="5"/>
  <c r="N196" i="5" a="1"/>
  <c r="O195" i="5" a="1"/>
  <c r="O195" i="5" s="1"/>
  <c r="N195" i="5" a="1"/>
  <c r="N195" i="5" s="1"/>
  <c r="O194" i="5" a="1"/>
  <c r="O194" i="5" s="1"/>
  <c r="N194" i="5" a="1"/>
  <c r="N194" i="5" s="1"/>
  <c r="O193" i="5" a="1"/>
  <c r="O193" i="5" s="1"/>
  <c r="N193" i="5" a="1"/>
  <c r="N193" i="5" s="1"/>
  <c r="O192" i="5" a="1"/>
  <c r="O192" i="5" s="1"/>
  <c r="N192" i="5"/>
  <c r="N192" i="5" a="1"/>
  <c r="O191" i="5" a="1"/>
  <c r="O191" i="5" s="1"/>
  <c r="N191" i="5" a="1"/>
  <c r="N191" i="5" s="1"/>
  <c r="O190" i="5" a="1"/>
  <c r="O190" i="5" s="1"/>
  <c r="N190" i="5" a="1"/>
  <c r="N190" i="5" s="1"/>
  <c r="O189" i="5" a="1"/>
  <c r="O189" i="5" s="1"/>
  <c r="N189" i="5" a="1"/>
  <c r="N189" i="5" s="1"/>
  <c r="O188" i="5" a="1"/>
  <c r="O188" i="5" s="1"/>
  <c r="N188" i="5"/>
  <c r="N188" i="5" a="1"/>
  <c r="O187" i="5" a="1"/>
  <c r="O187" i="5" s="1"/>
  <c r="N187" i="5" a="1"/>
  <c r="N187" i="5" s="1"/>
  <c r="O186" i="5" a="1"/>
  <c r="O186" i="5" s="1"/>
  <c r="N186" i="5" a="1"/>
  <c r="N186" i="5" s="1"/>
  <c r="O185" i="5" a="1"/>
  <c r="O185" i="5" s="1"/>
  <c r="N185" i="5" a="1"/>
  <c r="N185" i="5" s="1"/>
  <c r="O184" i="5" a="1"/>
  <c r="O184" i="5" s="1"/>
  <c r="N184" i="5"/>
  <c r="N184" i="5" a="1"/>
  <c r="O183" i="5" a="1"/>
  <c r="O183" i="5" s="1"/>
  <c r="N183" i="5" a="1"/>
  <c r="N183" i="5" s="1"/>
  <c r="O182" i="5" a="1"/>
  <c r="O182" i="5" s="1"/>
  <c r="N182" i="5" a="1"/>
  <c r="N182" i="5" s="1"/>
  <c r="O181" i="5" a="1"/>
  <c r="O181" i="5" s="1"/>
  <c r="N181" i="5" a="1"/>
  <c r="N181" i="5" s="1"/>
  <c r="O180" i="5" a="1"/>
  <c r="O180" i="5" s="1"/>
  <c r="N180" i="5"/>
  <c r="N180" i="5" a="1"/>
  <c r="O179" i="5" a="1"/>
  <c r="O179" i="5" s="1"/>
  <c r="N179" i="5" a="1"/>
  <c r="N179" i="5" s="1"/>
  <c r="O178" i="5" a="1"/>
  <c r="O178" i="5" s="1"/>
  <c r="N178" i="5" a="1"/>
  <c r="N178" i="5" s="1"/>
  <c r="O177" i="5" a="1"/>
  <c r="O177" i="5" s="1"/>
  <c r="N177" i="5" a="1"/>
  <c r="N177" i="5" s="1"/>
  <c r="O176" i="5" a="1"/>
  <c r="O176" i="5" s="1"/>
  <c r="N176" i="5"/>
  <c r="N176" i="5" a="1"/>
  <c r="O175" i="5" a="1"/>
  <c r="O175" i="5" s="1"/>
  <c r="N175" i="5" a="1"/>
  <c r="N175" i="5" s="1"/>
  <c r="O174" i="5" a="1"/>
  <c r="O174" i="5" s="1"/>
  <c r="N174" i="5" a="1"/>
  <c r="N174" i="5" s="1"/>
  <c r="O173" i="5" a="1"/>
  <c r="O173" i="5" s="1"/>
  <c r="N173" i="5" a="1"/>
  <c r="N173" i="5" s="1"/>
  <c r="O172" i="5" a="1"/>
  <c r="O172" i="5" s="1"/>
  <c r="N172" i="5"/>
  <c r="N172" i="5" a="1"/>
  <c r="O171" i="5" a="1"/>
  <c r="O171" i="5" s="1"/>
  <c r="N171" i="5" a="1"/>
  <c r="N171" i="5" s="1"/>
  <c r="O170" i="5" a="1"/>
  <c r="O170" i="5" s="1"/>
  <c r="N170" i="5" a="1"/>
  <c r="N170" i="5" s="1"/>
  <c r="O169" i="5" a="1"/>
  <c r="O169" i="5" s="1"/>
  <c r="N169" i="5" a="1"/>
  <c r="N169" i="5" s="1"/>
  <c r="O168" i="5" a="1"/>
  <c r="O168" i="5" s="1"/>
  <c r="N168" i="5"/>
  <c r="N168" i="5" a="1"/>
  <c r="O167" i="5" a="1"/>
  <c r="O167" i="5" s="1"/>
  <c r="N167" i="5" a="1"/>
  <c r="N167" i="5" s="1"/>
  <c r="O166" i="5" a="1"/>
  <c r="O166" i="5" s="1"/>
  <c r="N166" i="5" a="1"/>
  <c r="N166" i="5" s="1"/>
  <c r="O165" i="5" a="1"/>
  <c r="O165" i="5" s="1"/>
  <c r="N165" i="5" a="1"/>
  <c r="N165" i="5" s="1"/>
  <c r="O164" i="5" a="1"/>
  <c r="O164" i="5" s="1"/>
  <c r="N164" i="5"/>
  <c r="N164" i="5" a="1"/>
  <c r="O163" i="5" a="1"/>
  <c r="O163" i="5" s="1"/>
  <c r="N163" i="5" a="1"/>
  <c r="N163" i="5" s="1"/>
  <c r="O162" i="5" a="1"/>
  <c r="O162" i="5" s="1"/>
  <c r="N162" i="5" a="1"/>
  <c r="N162" i="5" s="1"/>
  <c r="O161" i="5" a="1"/>
  <c r="O161" i="5" s="1"/>
  <c r="N161" i="5" a="1"/>
  <c r="N161" i="5" s="1"/>
  <c r="O160" i="5" a="1"/>
  <c r="O160" i="5" s="1"/>
  <c r="N160" i="5"/>
  <c r="N160" i="5" a="1"/>
  <c r="O159" i="5" a="1"/>
  <c r="O159" i="5" s="1"/>
  <c r="N159" i="5" a="1"/>
  <c r="N159" i="5" s="1"/>
  <c r="O158" i="5" a="1"/>
  <c r="O158" i="5" s="1"/>
  <c r="N158" i="5" a="1"/>
  <c r="N158" i="5" s="1"/>
  <c r="O157" i="5" a="1"/>
  <c r="O157" i="5" s="1"/>
  <c r="N157" i="5" a="1"/>
  <c r="N157" i="5" s="1"/>
  <c r="O156" i="5" a="1"/>
  <c r="O156" i="5" s="1"/>
  <c r="N156" i="5"/>
  <c r="N156" i="5" a="1"/>
  <c r="O155" i="5" a="1"/>
  <c r="O155" i="5" s="1"/>
  <c r="N155" i="5"/>
  <c r="N155" i="5" a="1"/>
  <c r="O154" i="5" a="1"/>
  <c r="O154" i="5" s="1"/>
  <c r="N154" i="5" a="1"/>
  <c r="N154" i="5" s="1"/>
  <c r="O153" i="5" a="1"/>
  <c r="O153" i="5" s="1"/>
  <c r="N153" i="5" a="1"/>
  <c r="N153" i="5" s="1"/>
  <c r="O152" i="5" a="1"/>
  <c r="O152" i="5" s="1"/>
  <c r="N152" i="5"/>
  <c r="N152" i="5" a="1"/>
  <c r="O151" i="5" a="1"/>
  <c r="O151" i="5" s="1"/>
  <c r="N151" i="5" a="1"/>
  <c r="N151" i="5" s="1"/>
  <c r="O150" i="5" a="1"/>
  <c r="O150" i="5" s="1"/>
  <c r="N150" i="5" a="1"/>
  <c r="N150" i="5" s="1"/>
  <c r="O149" i="5" a="1"/>
  <c r="O149" i="5" s="1"/>
  <c r="N149" i="5" a="1"/>
  <c r="N149" i="5" s="1"/>
  <c r="O148" i="5" a="1"/>
  <c r="O148" i="5" s="1"/>
  <c r="N148" i="5"/>
  <c r="N148" i="5" a="1"/>
  <c r="O147" i="5" a="1"/>
  <c r="O147" i="5" s="1"/>
  <c r="N147" i="5" a="1"/>
  <c r="N147" i="5" s="1"/>
  <c r="O146" i="5" a="1"/>
  <c r="O146" i="5" s="1"/>
  <c r="N146" i="5"/>
  <c r="N146" i="5" a="1"/>
  <c r="O145" i="5" a="1"/>
  <c r="O145" i="5" s="1"/>
  <c r="N145" i="5"/>
  <c r="N145" i="5" a="1"/>
  <c r="O144" i="5" a="1"/>
  <c r="O144" i="5" s="1"/>
  <c r="N144" i="5" a="1"/>
  <c r="N144" i="5" s="1"/>
  <c r="O143" i="5" a="1"/>
  <c r="O143" i="5" s="1"/>
  <c r="N143" i="5" a="1"/>
  <c r="N143" i="5" s="1"/>
  <c r="O142" i="5" a="1"/>
  <c r="O142" i="5" s="1"/>
  <c r="N142" i="5"/>
  <c r="N142" i="5" a="1"/>
  <c r="O141" i="5" a="1"/>
  <c r="O141" i="5" s="1"/>
  <c r="N141" i="5"/>
  <c r="N141" i="5" a="1"/>
  <c r="O140" i="5" a="1"/>
  <c r="O140" i="5" s="1"/>
  <c r="N140" i="5" a="1"/>
  <c r="N140" i="5" s="1"/>
  <c r="O139" i="5" a="1"/>
  <c r="O139" i="5" s="1"/>
  <c r="N139" i="5" a="1"/>
  <c r="N139" i="5" s="1"/>
  <c r="O138" i="5" a="1"/>
  <c r="O138" i="5" s="1"/>
  <c r="N138" i="5"/>
  <c r="N138" i="5" a="1"/>
  <c r="O137" i="5" a="1"/>
  <c r="O137" i="5" s="1"/>
  <c r="N137" i="5"/>
  <c r="N137" i="5" a="1"/>
  <c r="O136" i="5" a="1"/>
  <c r="O136" i="5" s="1"/>
  <c r="N136" i="5" a="1"/>
  <c r="N136" i="5" s="1"/>
  <c r="O135" i="5" a="1"/>
  <c r="O135" i="5" s="1"/>
  <c r="N135" i="5" a="1"/>
  <c r="N135" i="5" s="1"/>
  <c r="O134" i="5" a="1"/>
  <c r="O134" i="5" s="1"/>
  <c r="N134" i="5"/>
  <c r="N134" i="5" a="1"/>
  <c r="O133" i="5" a="1"/>
  <c r="O133" i="5" s="1"/>
  <c r="N133" i="5"/>
  <c r="N133" i="5" a="1"/>
  <c r="O132" i="5" a="1"/>
  <c r="O132" i="5" s="1"/>
  <c r="N132" i="5" a="1"/>
  <c r="N132" i="5" s="1"/>
  <c r="O131" i="5" a="1"/>
  <c r="O131" i="5" s="1"/>
  <c r="N131" i="5" a="1"/>
  <c r="N131" i="5" s="1"/>
  <c r="O130" i="5" a="1"/>
  <c r="O130" i="5" s="1"/>
  <c r="N130" i="5"/>
  <c r="N130" i="5" a="1"/>
  <c r="O129" i="5" a="1"/>
  <c r="O129" i="5" s="1"/>
  <c r="N129" i="5"/>
  <c r="N129" i="5" a="1"/>
  <c r="O128" i="5" a="1"/>
  <c r="O128" i="5" s="1"/>
  <c r="N128" i="5" a="1"/>
  <c r="N128" i="5" s="1"/>
  <c r="O127" i="5" a="1"/>
  <c r="O127" i="5" s="1"/>
  <c r="N127" i="5" a="1"/>
  <c r="N127" i="5" s="1"/>
  <c r="O126" i="5" a="1"/>
  <c r="O126" i="5" s="1"/>
  <c r="N126" i="5"/>
  <c r="N126" i="5" a="1"/>
  <c r="O125" i="5" a="1"/>
  <c r="O125" i="5" s="1"/>
  <c r="N125" i="5"/>
  <c r="N125" i="5" a="1"/>
  <c r="O124" i="5" a="1"/>
  <c r="O124" i="5" s="1"/>
  <c r="N124" i="5" a="1"/>
  <c r="N124" i="5" s="1"/>
  <c r="O123" i="5" a="1"/>
  <c r="O123" i="5" s="1"/>
  <c r="N123" i="5" a="1"/>
  <c r="N123" i="5" s="1"/>
  <c r="O122" i="5" a="1"/>
  <c r="O122" i="5" s="1"/>
  <c r="N122" i="5"/>
  <c r="N122" i="5" a="1"/>
  <c r="O121" i="5" a="1"/>
  <c r="O121" i="5" s="1"/>
  <c r="N121" i="5"/>
  <c r="N121" i="5" a="1"/>
  <c r="O120" i="5" a="1"/>
  <c r="O120" i="5" s="1"/>
  <c r="N120" i="5" a="1"/>
  <c r="N120" i="5" s="1"/>
  <c r="O119" i="5" a="1"/>
  <c r="O119" i="5" s="1"/>
  <c r="N119" i="5" a="1"/>
  <c r="N119" i="5" s="1"/>
  <c r="O118" i="5" a="1"/>
  <c r="O118" i="5" s="1"/>
  <c r="N118" i="5"/>
  <c r="N118" i="5" a="1"/>
  <c r="O117" i="5" a="1"/>
  <c r="O117" i="5" s="1"/>
  <c r="N117" i="5"/>
  <c r="N117" i="5" a="1"/>
  <c r="O116" i="5" a="1"/>
  <c r="O116" i="5" s="1"/>
  <c r="N116" i="5" a="1"/>
  <c r="N116" i="5" s="1"/>
  <c r="O115" i="5" a="1"/>
  <c r="O115" i="5" s="1"/>
  <c r="N115" i="5" a="1"/>
  <c r="N115" i="5" s="1"/>
  <c r="O114" i="5" a="1"/>
  <c r="O114" i="5" s="1"/>
  <c r="N114" i="5"/>
  <c r="N114" i="5" a="1"/>
  <c r="O113" i="5" a="1"/>
  <c r="O113" i="5" s="1"/>
  <c r="N113" i="5"/>
  <c r="N113" i="5" a="1"/>
  <c r="O112" i="5" a="1"/>
  <c r="O112" i="5" s="1"/>
  <c r="N112" i="5" a="1"/>
  <c r="N112" i="5" s="1"/>
  <c r="O111" i="5" a="1"/>
  <c r="O111" i="5" s="1"/>
  <c r="N111" i="5" a="1"/>
  <c r="N111" i="5" s="1"/>
  <c r="O110" i="5" a="1"/>
  <c r="O110" i="5" s="1"/>
  <c r="N110" i="5"/>
  <c r="N110" i="5" a="1"/>
  <c r="O109" i="5" a="1"/>
  <c r="O109" i="5" s="1"/>
  <c r="N109" i="5"/>
  <c r="N109" i="5" a="1"/>
  <c r="O108" i="5" a="1"/>
  <c r="O108" i="5" s="1"/>
  <c r="N108" i="5" a="1"/>
  <c r="N108" i="5" s="1"/>
  <c r="O107" i="5" a="1"/>
  <c r="O107" i="5" s="1"/>
  <c r="N107" i="5" a="1"/>
  <c r="N107" i="5" s="1"/>
  <c r="O106" i="5" a="1"/>
  <c r="O106" i="5" s="1"/>
  <c r="N106" i="5"/>
  <c r="N106" i="5" a="1"/>
  <c r="O105" i="5" a="1"/>
  <c r="O105" i="5" s="1"/>
  <c r="N105" i="5"/>
  <c r="N105" i="5" a="1"/>
  <c r="O104" i="5" a="1"/>
  <c r="O104" i="5" s="1"/>
  <c r="N104" i="5" a="1"/>
  <c r="N104" i="5" s="1"/>
  <c r="O103" i="5" a="1"/>
  <c r="O103" i="5" s="1"/>
  <c r="N103" i="5" a="1"/>
  <c r="N103" i="5" s="1"/>
  <c r="O102" i="5" a="1"/>
  <c r="O102" i="5" s="1"/>
  <c r="N102" i="5"/>
  <c r="N102" i="5" a="1"/>
  <c r="O101" i="5" a="1"/>
  <c r="O101" i="5" s="1"/>
  <c r="N101" i="5"/>
  <c r="N101" i="5" a="1"/>
  <c r="O100" i="5" a="1"/>
  <c r="O100" i="5" s="1"/>
  <c r="N100" i="5" a="1"/>
  <c r="N100" i="5" s="1"/>
  <c r="O99" i="5" a="1"/>
  <c r="O99" i="5" s="1"/>
  <c r="N99" i="5" a="1"/>
  <c r="N99" i="5" s="1"/>
  <c r="O98" i="5" a="1"/>
  <c r="O98" i="5" s="1"/>
  <c r="N98" i="5"/>
  <c r="N98" i="5" a="1"/>
  <c r="O97" i="5" a="1"/>
  <c r="O97" i="5" s="1"/>
  <c r="N97" i="5"/>
  <c r="N97" i="5" a="1"/>
  <c r="O96" i="5" a="1"/>
  <c r="O96" i="5" s="1"/>
  <c r="N96" i="5" a="1"/>
  <c r="N96" i="5" s="1"/>
  <c r="O95" i="5" a="1"/>
  <c r="O95" i="5" s="1"/>
  <c r="N95" i="5" a="1"/>
  <c r="N95" i="5" s="1"/>
  <c r="O94" i="5" a="1"/>
  <c r="O94" i="5" s="1"/>
  <c r="N94" i="5"/>
  <c r="N94" i="5" a="1"/>
  <c r="O93" i="5" a="1"/>
  <c r="O93" i="5" s="1"/>
  <c r="N93" i="5"/>
  <c r="N93" i="5" a="1"/>
  <c r="O92" i="5" a="1"/>
  <c r="O92" i="5" s="1"/>
  <c r="N92" i="5" a="1"/>
  <c r="N92" i="5" s="1"/>
  <c r="O91" i="5" a="1"/>
  <c r="O91" i="5" s="1"/>
  <c r="N91" i="5" a="1"/>
  <c r="N91" i="5" s="1"/>
  <c r="O90" i="5" a="1"/>
  <c r="O90" i="5" s="1"/>
  <c r="N90" i="5"/>
  <c r="N90" i="5" a="1"/>
  <c r="O89" i="5" a="1"/>
  <c r="O89" i="5" s="1"/>
  <c r="N89" i="5"/>
  <c r="N89" i="5" a="1"/>
  <c r="O88" i="5" a="1"/>
  <c r="O88" i="5" s="1"/>
  <c r="N88" i="5" a="1"/>
  <c r="N88" i="5" s="1"/>
  <c r="O87" i="5" a="1"/>
  <c r="O87" i="5" s="1"/>
  <c r="N87" i="5" a="1"/>
  <c r="N87" i="5" s="1"/>
  <c r="O86" i="5" a="1"/>
  <c r="O86" i="5" s="1"/>
  <c r="N86" i="5"/>
  <c r="N86" i="5" a="1"/>
  <c r="O85" i="5" a="1"/>
  <c r="O85" i="5" s="1"/>
  <c r="N85" i="5"/>
  <c r="N85" i="5" a="1"/>
  <c r="O84" i="5" a="1"/>
  <c r="O84" i="5" s="1"/>
  <c r="N84" i="5" a="1"/>
  <c r="N84" i="5" s="1"/>
  <c r="O83" i="5" a="1"/>
  <c r="O83" i="5" s="1"/>
  <c r="N83" i="5" a="1"/>
  <c r="N83" i="5" s="1"/>
  <c r="O82" i="5" a="1"/>
  <c r="O82" i="5" s="1"/>
  <c r="N82" i="5" a="1"/>
  <c r="N82" i="5" s="1"/>
  <c r="O81" i="5" a="1"/>
  <c r="O81" i="5" s="1"/>
  <c r="N81" i="5" a="1"/>
  <c r="N81" i="5" s="1"/>
  <c r="O80" i="5"/>
  <c r="O80" i="5" a="1"/>
  <c r="N80" i="5" a="1"/>
  <c r="N80" i="5" s="1"/>
  <c r="O79" i="5"/>
  <c r="O79" i="5" a="1"/>
  <c r="N79" i="5" a="1"/>
  <c r="N79" i="5" s="1"/>
  <c r="O78" i="5" a="1"/>
  <c r="O78" i="5" s="1"/>
  <c r="N78" i="5" a="1"/>
  <c r="N78" i="5" s="1"/>
  <c r="O77" i="5" a="1"/>
  <c r="O77" i="5" s="1"/>
  <c r="N77" i="5" a="1"/>
  <c r="N77" i="5" s="1"/>
  <c r="O76" i="5"/>
  <c r="O76" i="5" a="1"/>
  <c r="N76" i="5" a="1"/>
  <c r="N76" i="5" s="1"/>
  <c r="O75" i="5"/>
  <c r="O75" i="5" a="1"/>
  <c r="N75" i="5" a="1"/>
  <c r="N75" i="5" s="1"/>
  <c r="O74" i="5" a="1"/>
  <c r="O74" i="5" s="1"/>
  <c r="N74" i="5" a="1"/>
  <c r="N74" i="5" s="1"/>
  <c r="O73" i="5" a="1"/>
  <c r="O73" i="5" s="1"/>
  <c r="N73" i="5" a="1"/>
  <c r="N73" i="5" s="1"/>
  <c r="O72" i="5"/>
  <c r="O72" i="5" a="1"/>
  <c r="N72" i="5" a="1"/>
  <c r="N72" i="5" s="1"/>
  <c r="O71" i="5"/>
  <c r="O71" i="5" a="1"/>
  <c r="N71" i="5" a="1"/>
  <c r="N71" i="5" s="1"/>
  <c r="O70" i="5" a="1"/>
  <c r="O70" i="5" s="1"/>
  <c r="N70" i="5" a="1"/>
  <c r="N70" i="5" s="1"/>
  <c r="O69" i="5" a="1"/>
  <c r="O69" i="5" s="1"/>
  <c r="N69" i="5" a="1"/>
  <c r="N69" i="5" s="1"/>
  <c r="O68" i="5"/>
  <c r="O68" i="5" a="1"/>
  <c r="N68" i="5" a="1"/>
  <c r="N68" i="5" s="1"/>
  <c r="O67" i="5"/>
  <c r="O67" i="5" a="1"/>
  <c r="N67" i="5" a="1"/>
  <c r="N67" i="5" s="1"/>
  <c r="O66" i="5" a="1"/>
  <c r="O66" i="5" s="1"/>
  <c r="N66" i="5" a="1"/>
  <c r="N66" i="5" s="1"/>
  <c r="O65" i="5" a="1"/>
  <c r="O65" i="5" s="1"/>
  <c r="N65" i="5" a="1"/>
  <c r="N65" i="5" s="1"/>
  <c r="O64" i="5"/>
  <c r="O64" i="5" a="1"/>
  <c r="N64" i="5" a="1"/>
  <c r="N64" i="5" s="1"/>
  <c r="O63" i="5"/>
  <c r="O63" i="5" a="1"/>
  <c r="N63" i="5" a="1"/>
  <c r="N63" i="5" s="1"/>
  <c r="O62" i="5" a="1"/>
  <c r="O62" i="5" s="1"/>
  <c r="N62" i="5" a="1"/>
  <c r="N62" i="5" s="1"/>
  <c r="O61" i="5" a="1"/>
  <c r="O61" i="5" s="1"/>
  <c r="N61" i="5" a="1"/>
  <c r="N61" i="5" s="1"/>
  <c r="O60" i="5"/>
  <c r="O60" i="5" a="1"/>
  <c r="N60" i="5" a="1"/>
  <c r="N60" i="5" s="1"/>
  <c r="O59" i="5"/>
  <c r="O59" i="5" a="1"/>
  <c r="N59" i="5" a="1"/>
  <c r="N59" i="5" s="1"/>
  <c r="O58" i="5" a="1"/>
  <c r="O58" i="5" s="1"/>
  <c r="N58" i="5" a="1"/>
  <c r="N58" i="5" s="1"/>
  <c r="O57" i="5" a="1"/>
  <c r="O57" i="5" s="1"/>
  <c r="N57" i="5" a="1"/>
  <c r="N57" i="5" s="1"/>
  <c r="O56" i="5"/>
  <c r="O56" i="5" a="1"/>
  <c r="N56" i="5" a="1"/>
  <c r="N56" i="5" s="1"/>
  <c r="O55" i="5"/>
  <c r="O55" i="5" a="1"/>
  <c r="N55" i="5" a="1"/>
  <c r="N55" i="5" s="1"/>
  <c r="O54" i="5" a="1"/>
  <c r="O54" i="5" s="1"/>
  <c r="N54" i="5" a="1"/>
  <c r="N54" i="5" s="1"/>
  <c r="O53" i="5" a="1"/>
  <c r="O53" i="5" s="1"/>
  <c r="N53" i="5" a="1"/>
  <c r="N53" i="5" s="1"/>
  <c r="O52" i="5"/>
  <c r="O52" i="5" a="1"/>
  <c r="N52" i="5" a="1"/>
  <c r="N52" i="5" s="1"/>
  <c r="O51" i="5"/>
  <c r="O51" i="5" a="1"/>
  <c r="N51" i="5" a="1"/>
  <c r="N51" i="5" s="1"/>
  <c r="O50" i="5" a="1"/>
  <c r="O50" i="5" s="1"/>
  <c r="N50" i="5" a="1"/>
  <c r="N50" i="5" s="1"/>
  <c r="O49" i="5" a="1"/>
  <c r="O49" i="5" s="1"/>
  <c r="N49" i="5" a="1"/>
  <c r="N49" i="5" s="1"/>
  <c r="O48" i="5"/>
  <c r="O48" i="5" a="1"/>
  <c r="N48" i="5" a="1"/>
  <c r="N48" i="5" s="1"/>
  <c r="O47" i="5"/>
  <c r="O47" i="5" a="1"/>
  <c r="N47" i="5" a="1"/>
  <c r="N47" i="5" s="1"/>
  <c r="O46" i="5" a="1"/>
  <c r="O46" i="5" s="1"/>
  <c r="N46" i="5" a="1"/>
  <c r="N46" i="5" s="1"/>
  <c r="O45" i="5" a="1"/>
  <c r="O45" i="5" s="1"/>
  <c r="N45" i="5" a="1"/>
  <c r="N45" i="5" s="1"/>
  <c r="O44" i="5"/>
  <c r="O44" i="5" a="1"/>
  <c r="N44" i="5" a="1"/>
  <c r="N44" i="5" s="1"/>
  <c r="O43" i="5"/>
  <c r="O43" i="5" a="1"/>
  <c r="N43" i="5" a="1"/>
  <c r="N43" i="5" s="1"/>
  <c r="O42" i="5" a="1"/>
  <c r="O42" i="5" s="1"/>
  <c r="N42" i="5" a="1"/>
  <c r="N42" i="5" s="1"/>
  <c r="O41" i="5" a="1"/>
  <c r="O41" i="5" s="1"/>
  <c r="N41" i="5" a="1"/>
  <c r="N41" i="5" s="1"/>
  <c r="O40" i="5"/>
  <c r="O40" i="5" a="1"/>
  <c r="N40" i="5" a="1"/>
  <c r="N40" i="5" s="1"/>
  <c r="O39" i="5"/>
  <c r="O39" i="5" a="1"/>
  <c r="N39" i="5" a="1"/>
  <c r="N39" i="5" s="1"/>
  <c r="O38" i="5" a="1"/>
  <c r="O38" i="5" s="1"/>
  <c r="N38" i="5" a="1"/>
  <c r="N38" i="5" s="1"/>
  <c r="O37" i="5" a="1"/>
  <c r="O37" i="5" s="1"/>
  <c r="N37" i="5" a="1"/>
  <c r="N37" i="5" s="1"/>
  <c r="O36" i="5"/>
  <c r="O36" i="5" a="1"/>
  <c r="N36" i="5" a="1"/>
  <c r="N36" i="5" s="1"/>
  <c r="O35" i="5"/>
  <c r="O35" i="5" a="1"/>
  <c r="N35" i="5" a="1"/>
  <c r="N35" i="5" s="1"/>
  <c r="O34" i="5" a="1"/>
  <c r="O34" i="5" s="1"/>
  <c r="N34" i="5" a="1"/>
  <c r="N34" i="5" s="1"/>
  <c r="O33" i="5" a="1"/>
  <c r="O33" i="5" s="1"/>
  <c r="N33" i="5" a="1"/>
  <c r="N33" i="5" s="1"/>
  <c r="O32" i="5"/>
  <c r="O32" i="5" a="1"/>
  <c r="N32" i="5" a="1"/>
  <c r="N32" i="5" s="1"/>
  <c r="O31" i="5"/>
  <c r="O31" i="5" a="1"/>
  <c r="N31" i="5" a="1"/>
  <c r="N31" i="5" s="1"/>
  <c r="O30" i="5" a="1"/>
  <c r="O30" i="5" s="1"/>
  <c r="N30" i="5" a="1"/>
  <c r="N30" i="5" s="1"/>
  <c r="O29" i="5" a="1"/>
  <c r="O29" i="5" s="1"/>
  <c r="N29" i="5" a="1"/>
  <c r="N29" i="5" s="1"/>
  <c r="O28" i="5"/>
  <c r="O28" i="5" a="1"/>
  <c r="N28" i="5" a="1"/>
  <c r="N28" i="5" s="1"/>
  <c r="O27" i="5"/>
  <c r="O27" i="5" a="1"/>
  <c r="N27" i="5" a="1"/>
  <c r="N27" i="5" s="1"/>
  <c r="O26" i="5" a="1"/>
  <c r="O26" i="5" s="1"/>
  <c r="N26" i="5" a="1"/>
  <c r="N26" i="5" s="1"/>
  <c r="O25" i="5" a="1"/>
  <c r="O25" i="5" s="1"/>
  <c r="N25" i="5" a="1"/>
  <c r="N25" i="5" s="1"/>
  <c r="O24" i="5"/>
  <c r="O24" i="5" a="1"/>
  <c r="N24" i="5" a="1"/>
  <c r="N24" i="5" s="1"/>
  <c r="O23" i="5"/>
  <c r="O23" i="5" a="1"/>
  <c r="N23" i="5" a="1"/>
  <c r="N23" i="5" s="1"/>
  <c r="O22" i="5" a="1"/>
  <c r="O22" i="5" s="1"/>
  <c r="N22" i="5" a="1"/>
  <c r="N22" i="5" s="1"/>
  <c r="O21" i="5" a="1"/>
  <c r="O21" i="5" s="1"/>
  <c r="N21" i="5" a="1"/>
  <c r="N21" i="5" s="1"/>
  <c r="O20" i="5"/>
  <c r="O20" i="5" a="1"/>
  <c r="N20" i="5" a="1"/>
  <c r="N20" i="5" s="1"/>
  <c r="O19" i="5"/>
  <c r="O19" i="5" a="1"/>
  <c r="N19" i="5" a="1"/>
  <c r="N19" i="5" s="1"/>
  <c r="O18" i="5" a="1"/>
  <c r="O18" i="5" s="1"/>
  <c r="N18" i="5" a="1"/>
  <c r="N18" i="5" s="1"/>
  <c r="O17" i="5" a="1"/>
  <c r="O17" i="5" s="1"/>
  <c r="N17" i="5" a="1"/>
  <c r="N17" i="5" s="1"/>
  <c r="O16" i="5"/>
  <c r="O16" i="5" a="1"/>
  <c r="N16" i="5" a="1"/>
  <c r="N16" i="5" s="1"/>
  <c r="O15" i="5"/>
  <c r="O15" i="5" a="1"/>
  <c r="N15" i="5" a="1"/>
  <c r="N15" i="5" s="1"/>
  <c r="O14" i="5" a="1"/>
  <c r="O14" i="5" s="1"/>
  <c r="N14" i="5" a="1"/>
  <c r="N14" i="5" s="1"/>
  <c r="O13" i="5" a="1"/>
  <c r="O13" i="5" s="1"/>
  <c r="N13" i="5" a="1"/>
  <c r="N13" i="5" s="1"/>
  <c r="O12" i="5" a="1"/>
  <c r="O12" i="5" s="1"/>
  <c r="N12" i="5" a="1"/>
  <c r="N12" i="5" s="1"/>
  <c r="O11" i="5" a="1"/>
  <c r="O11" i="5" s="1"/>
  <c r="N11" i="5" a="1"/>
  <c r="N11" i="5" s="1"/>
  <c r="O10" i="5" a="1"/>
  <c r="O10" i="5" s="1"/>
  <c r="N10" i="5" a="1"/>
  <c r="N10" i="5" s="1"/>
  <c r="O9" i="5" a="1"/>
  <c r="O9" i="5" s="1"/>
  <c r="N9" i="5" a="1"/>
  <c r="N9" i="5" s="1"/>
  <c r="O8" i="5" a="1"/>
  <c r="O8" i="5" s="1"/>
  <c r="N8" i="5" a="1"/>
  <c r="N8" i="5" s="1"/>
  <c r="O7" i="5" a="1"/>
  <c r="O7" i="5" s="1"/>
  <c r="N7" i="5" a="1"/>
  <c r="N7" i="5" s="1"/>
  <c r="O6" i="5" a="1"/>
  <c r="O6" i="5" s="1"/>
  <c r="N6" i="5" a="1"/>
  <c r="N6" i="5" s="1"/>
  <c r="O5" i="5" a="1"/>
  <c r="O5" i="5" s="1"/>
  <c r="N5" i="5" a="1"/>
  <c r="N5" i="5" s="1"/>
  <c r="N4" i="5" a="1"/>
  <c r="N4" i="5" s="1"/>
  <c r="O4" i="5" a="1"/>
  <c r="O4" i="5" s="1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L232" i="5"/>
  <c r="M232" i="5" s="1"/>
  <c r="K232" i="5"/>
  <c r="L231" i="5"/>
  <c r="M231" i="5" s="1"/>
  <c r="K231" i="5"/>
  <c r="M230" i="5"/>
  <c r="L230" i="5"/>
  <c r="K230" i="5"/>
  <c r="L229" i="5"/>
  <c r="M229" i="5" s="1"/>
  <c r="K229" i="5"/>
  <c r="L228" i="5"/>
  <c r="M228" i="5" s="1"/>
  <c r="K228" i="5"/>
  <c r="L227" i="5"/>
  <c r="M227" i="5" s="1"/>
  <c r="K227" i="5"/>
  <c r="L226" i="5"/>
  <c r="K226" i="5"/>
  <c r="L225" i="5"/>
  <c r="M225" i="5" s="1"/>
  <c r="K225" i="5"/>
  <c r="L224" i="5"/>
  <c r="M224" i="5" s="1"/>
  <c r="K224" i="5"/>
  <c r="L223" i="5"/>
  <c r="M223" i="5" s="1"/>
  <c r="K223" i="5"/>
  <c r="M222" i="5"/>
  <c r="L222" i="5"/>
  <c r="K222" i="5"/>
  <c r="L221" i="5"/>
  <c r="M221" i="5" s="1"/>
  <c r="K221" i="5"/>
  <c r="L220" i="5"/>
  <c r="M220" i="5" s="1"/>
  <c r="K220" i="5"/>
  <c r="L219" i="5"/>
  <c r="M219" i="5" s="1"/>
  <c r="K219" i="5"/>
  <c r="L218" i="5"/>
  <c r="K218" i="5"/>
  <c r="L217" i="5"/>
  <c r="M217" i="5" s="1"/>
  <c r="K217" i="5"/>
  <c r="L216" i="5"/>
  <c r="M216" i="5" s="1"/>
  <c r="K216" i="5"/>
  <c r="L215" i="5"/>
  <c r="M215" i="5" s="1"/>
  <c r="K215" i="5"/>
  <c r="M214" i="5"/>
  <c r="L214" i="5"/>
  <c r="K214" i="5"/>
  <c r="L213" i="5"/>
  <c r="M213" i="5" s="1"/>
  <c r="K213" i="5"/>
  <c r="L212" i="5"/>
  <c r="M212" i="5" s="1"/>
  <c r="K212" i="5"/>
  <c r="L211" i="5"/>
  <c r="M211" i="5" s="1"/>
  <c r="K211" i="5"/>
  <c r="L210" i="5"/>
  <c r="K210" i="5"/>
  <c r="L209" i="5"/>
  <c r="M209" i="5" s="1"/>
  <c r="K209" i="5"/>
  <c r="L208" i="5"/>
  <c r="M208" i="5" s="1"/>
  <c r="K208" i="5"/>
  <c r="L207" i="5"/>
  <c r="M207" i="5" s="1"/>
  <c r="K207" i="5"/>
  <c r="M206" i="5"/>
  <c r="L206" i="5"/>
  <c r="K206" i="5"/>
  <c r="L205" i="5"/>
  <c r="M205" i="5" s="1"/>
  <c r="K205" i="5"/>
  <c r="L204" i="5"/>
  <c r="M204" i="5" s="1"/>
  <c r="K204" i="5"/>
  <c r="L203" i="5"/>
  <c r="M203" i="5" s="1"/>
  <c r="K203" i="5"/>
  <c r="L202" i="5"/>
  <c r="K202" i="5"/>
  <c r="L201" i="5"/>
  <c r="M201" i="5" s="1"/>
  <c r="K201" i="5"/>
  <c r="L200" i="5"/>
  <c r="M200" i="5" s="1"/>
  <c r="K200" i="5"/>
  <c r="L199" i="5"/>
  <c r="M199" i="5" s="1"/>
  <c r="K199" i="5"/>
  <c r="M198" i="5"/>
  <c r="L198" i="5"/>
  <c r="K198" i="5"/>
  <c r="L197" i="5"/>
  <c r="M197" i="5" s="1"/>
  <c r="K197" i="5"/>
  <c r="L196" i="5"/>
  <c r="M196" i="5" s="1"/>
  <c r="K196" i="5"/>
  <c r="L195" i="5"/>
  <c r="M195" i="5" s="1"/>
  <c r="K195" i="5"/>
  <c r="L194" i="5"/>
  <c r="K194" i="5"/>
  <c r="L193" i="5"/>
  <c r="M193" i="5" s="1"/>
  <c r="K193" i="5"/>
  <c r="L192" i="5"/>
  <c r="M192" i="5" s="1"/>
  <c r="K192" i="5"/>
  <c r="L191" i="5"/>
  <c r="M191" i="5" s="1"/>
  <c r="K191" i="5"/>
  <c r="M190" i="5"/>
  <c r="L190" i="5"/>
  <c r="K190" i="5"/>
  <c r="L189" i="5"/>
  <c r="M189" i="5" s="1"/>
  <c r="K189" i="5"/>
  <c r="L188" i="5"/>
  <c r="M188" i="5" s="1"/>
  <c r="K188" i="5"/>
  <c r="L187" i="5"/>
  <c r="M187" i="5" s="1"/>
  <c r="K187" i="5"/>
  <c r="L186" i="5"/>
  <c r="K186" i="5"/>
  <c r="L185" i="5"/>
  <c r="M185" i="5" s="1"/>
  <c r="K185" i="5"/>
  <c r="L184" i="5"/>
  <c r="M184" i="5" s="1"/>
  <c r="K184" i="5"/>
  <c r="L183" i="5"/>
  <c r="M183" i="5" s="1"/>
  <c r="K183" i="5"/>
  <c r="M182" i="5"/>
  <c r="L182" i="5"/>
  <c r="K182" i="5"/>
  <c r="L181" i="5"/>
  <c r="M181" i="5" s="1"/>
  <c r="K181" i="5"/>
  <c r="L180" i="5"/>
  <c r="M180" i="5" s="1"/>
  <c r="K180" i="5"/>
  <c r="L179" i="5"/>
  <c r="M179" i="5" s="1"/>
  <c r="K179" i="5"/>
  <c r="L178" i="5"/>
  <c r="K178" i="5"/>
  <c r="L177" i="5"/>
  <c r="M177" i="5" s="1"/>
  <c r="K177" i="5"/>
  <c r="L176" i="5"/>
  <c r="M176" i="5" s="1"/>
  <c r="K176" i="5"/>
  <c r="L175" i="5"/>
  <c r="M175" i="5" s="1"/>
  <c r="K175" i="5"/>
  <c r="M174" i="5"/>
  <c r="L174" i="5"/>
  <c r="K174" i="5"/>
  <c r="L173" i="5"/>
  <c r="M173" i="5" s="1"/>
  <c r="K173" i="5"/>
  <c r="L172" i="5"/>
  <c r="M172" i="5" s="1"/>
  <c r="K172" i="5"/>
  <c r="L171" i="5"/>
  <c r="M171" i="5" s="1"/>
  <c r="K171" i="5"/>
  <c r="L170" i="5"/>
  <c r="K170" i="5"/>
  <c r="L169" i="5"/>
  <c r="M169" i="5" s="1"/>
  <c r="K169" i="5"/>
  <c r="L168" i="5"/>
  <c r="M168" i="5" s="1"/>
  <c r="K168" i="5"/>
  <c r="L167" i="5"/>
  <c r="M167" i="5" s="1"/>
  <c r="K167" i="5"/>
  <c r="M166" i="5"/>
  <c r="L166" i="5"/>
  <c r="K166" i="5"/>
  <c r="L165" i="5"/>
  <c r="M165" i="5" s="1"/>
  <c r="K165" i="5"/>
  <c r="L164" i="5"/>
  <c r="M164" i="5" s="1"/>
  <c r="K164" i="5"/>
  <c r="L163" i="5"/>
  <c r="M163" i="5" s="1"/>
  <c r="K163" i="5"/>
  <c r="L162" i="5"/>
  <c r="K162" i="5"/>
  <c r="L161" i="5"/>
  <c r="M161" i="5" s="1"/>
  <c r="K161" i="5"/>
  <c r="L160" i="5"/>
  <c r="M160" i="5" s="1"/>
  <c r="K160" i="5"/>
  <c r="L159" i="5"/>
  <c r="M159" i="5" s="1"/>
  <c r="K159" i="5"/>
  <c r="M158" i="5"/>
  <c r="L158" i="5"/>
  <c r="K158" i="5"/>
  <c r="L157" i="5"/>
  <c r="M157" i="5" s="1"/>
  <c r="K157" i="5"/>
  <c r="L156" i="5"/>
  <c r="M156" i="5" s="1"/>
  <c r="K156" i="5"/>
  <c r="L155" i="5"/>
  <c r="M155" i="5" s="1"/>
  <c r="K155" i="5"/>
  <c r="L154" i="5"/>
  <c r="K154" i="5"/>
  <c r="L153" i="5"/>
  <c r="M153" i="5" s="1"/>
  <c r="K153" i="5"/>
  <c r="L152" i="5"/>
  <c r="M152" i="5" s="1"/>
  <c r="K152" i="5"/>
  <c r="L151" i="5"/>
  <c r="M151" i="5" s="1"/>
  <c r="K151" i="5"/>
  <c r="M150" i="5"/>
  <c r="L150" i="5"/>
  <c r="K150" i="5"/>
  <c r="L149" i="5"/>
  <c r="M149" i="5" s="1"/>
  <c r="K149" i="5"/>
  <c r="L148" i="5"/>
  <c r="M148" i="5" s="1"/>
  <c r="K148" i="5"/>
  <c r="L147" i="5"/>
  <c r="K147" i="5"/>
  <c r="L146" i="5"/>
  <c r="M147" i="5" s="1"/>
  <c r="K146" i="5"/>
  <c r="L145" i="5"/>
  <c r="M145" i="5" s="1"/>
  <c r="K145" i="5"/>
  <c r="L144" i="5"/>
  <c r="M144" i="5" s="1"/>
  <c r="K144" i="5"/>
  <c r="L143" i="5"/>
  <c r="K143" i="5"/>
  <c r="M142" i="5"/>
  <c r="L142" i="5"/>
  <c r="M143" i="5" s="1"/>
  <c r="K142" i="5"/>
  <c r="L141" i="5"/>
  <c r="M141" i="5" s="1"/>
  <c r="K141" i="5"/>
  <c r="L140" i="5"/>
  <c r="M140" i="5" s="1"/>
  <c r="K140" i="5"/>
  <c r="L139" i="5"/>
  <c r="K139" i="5"/>
  <c r="L138" i="5"/>
  <c r="M139" i="5" s="1"/>
  <c r="K138" i="5"/>
  <c r="L137" i="5"/>
  <c r="M137" i="5" s="1"/>
  <c r="K137" i="5"/>
  <c r="L136" i="5"/>
  <c r="M136" i="5" s="1"/>
  <c r="K136" i="5"/>
  <c r="L135" i="5"/>
  <c r="K135" i="5"/>
  <c r="M134" i="5"/>
  <c r="L134" i="5"/>
  <c r="M135" i="5" s="1"/>
  <c r="K134" i="5"/>
  <c r="L133" i="5"/>
  <c r="M133" i="5" s="1"/>
  <c r="K133" i="5"/>
  <c r="L132" i="5"/>
  <c r="M132" i="5" s="1"/>
  <c r="K132" i="5"/>
  <c r="L131" i="5"/>
  <c r="K131" i="5"/>
  <c r="L130" i="5"/>
  <c r="M131" i="5" s="1"/>
  <c r="K130" i="5"/>
  <c r="L129" i="5"/>
  <c r="M129" i="5" s="1"/>
  <c r="K129" i="5"/>
  <c r="L128" i="5"/>
  <c r="M128" i="5" s="1"/>
  <c r="K128" i="5"/>
  <c r="L127" i="5"/>
  <c r="M127" i="5" s="1"/>
  <c r="K127" i="5"/>
  <c r="M126" i="5"/>
  <c r="L126" i="5"/>
  <c r="K126" i="5"/>
  <c r="L125" i="5"/>
  <c r="M125" i="5" s="1"/>
  <c r="K125" i="5"/>
  <c r="L124" i="5"/>
  <c r="M124" i="5" s="1"/>
  <c r="K124" i="5"/>
  <c r="L123" i="5"/>
  <c r="M123" i="5" s="1"/>
  <c r="K123" i="5"/>
  <c r="L122" i="5"/>
  <c r="K122" i="5"/>
  <c r="L121" i="5"/>
  <c r="M121" i="5" s="1"/>
  <c r="K121" i="5"/>
  <c r="L120" i="5"/>
  <c r="M120" i="5" s="1"/>
  <c r="K120" i="5"/>
  <c r="L119" i="5"/>
  <c r="M119" i="5" s="1"/>
  <c r="K119" i="5"/>
  <c r="M118" i="5"/>
  <c r="L118" i="5"/>
  <c r="K118" i="5"/>
  <c r="L117" i="5"/>
  <c r="M117" i="5" s="1"/>
  <c r="K117" i="5"/>
  <c r="L116" i="5"/>
  <c r="M116" i="5" s="1"/>
  <c r="K116" i="5"/>
  <c r="L115" i="5"/>
  <c r="M115" i="5" s="1"/>
  <c r="K115" i="5"/>
  <c r="L114" i="5"/>
  <c r="K114" i="5"/>
  <c r="L113" i="5"/>
  <c r="M113" i="5" s="1"/>
  <c r="K113" i="5"/>
  <c r="L112" i="5"/>
  <c r="M112" i="5" s="1"/>
  <c r="K112" i="5"/>
  <c r="L111" i="5"/>
  <c r="M111" i="5" s="1"/>
  <c r="K111" i="5"/>
  <c r="M110" i="5"/>
  <c r="L110" i="5"/>
  <c r="K110" i="5"/>
  <c r="L109" i="5"/>
  <c r="M109" i="5" s="1"/>
  <c r="K109" i="5"/>
  <c r="L108" i="5"/>
  <c r="M108" i="5" s="1"/>
  <c r="K108" i="5"/>
  <c r="L107" i="5"/>
  <c r="M107" i="5" s="1"/>
  <c r="K107" i="5"/>
  <c r="L106" i="5"/>
  <c r="K106" i="5"/>
  <c r="L105" i="5"/>
  <c r="M105" i="5" s="1"/>
  <c r="K105" i="5"/>
  <c r="L104" i="5"/>
  <c r="M104" i="5" s="1"/>
  <c r="K104" i="5"/>
  <c r="L103" i="5"/>
  <c r="M103" i="5" s="1"/>
  <c r="K103" i="5"/>
  <c r="M102" i="5"/>
  <c r="L102" i="5"/>
  <c r="K102" i="5"/>
  <c r="L101" i="5"/>
  <c r="M101" i="5" s="1"/>
  <c r="K101" i="5"/>
  <c r="L100" i="5"/>
  <c r="M100" i="5" s="1"/>
  <c r="K100" i="5"/>
  <c r="L99" i="5"/>
  <c r="M99" i="5" s="1"/>
  <c r="K99" i="5"/>
  <c r="L98" i="5"/>
  <c r="K98" i="5"/>
  <c r="L97" i="5"/>
  <c r="K97" i="5"/>
  <c r="L96" i="5"/>
  <c r="M96" i="5" s="1"/>
  <c r="K96" i="5"/>
  <c r="L95" i="5"/>
  <c r="M95" i="5" s="1"/>
  <c r="K95" i="5"/>
  <c r="L94" i="5"/>
  <c r="K94" i="5"/>
  <c r="L93" i="5"/>
  <c r="M93" i="5" s="1"/>
  <c r="K93" i="5"/>
  <c r="L92" i="5"/>
  <c r="M92" i="5" s="1"/>
  <c r="K92" i="5"/>
  <c r="L91" i="5"/>
  <c r="M91" i="5" s="1"/>
  <c r="K91" i="5"/>
  <c r="L90" i="5"/>
  <c r="K90" i="5"/>
  <c r="L89" i="5"/>
  <c r="M89" i="5" s="1"/>
  <c r="K89" i="5"/>
  <c r="L88" i="5"/>
  <c r="M88" i="5" s="1"/>
  <c r="K88" i="5"/>
  <c r="L87" i="5"/>
  <c r="M87" i="5" s="1"/>
  <c r="K87" i="5"/>
  <c r="L86" i="5"/>
  <c r="K86" i="5"/>
  <c r="L85" i="5"/>
  <c r="M85" i="5" s="1"/>
  <c r="K85" i="5"/>
  <c r="L84" i="5"/>
  <c r="M84" i="5" s="1"/>
  <c r="K84" i="5"/>
  <c r="L83" i="5"/>
  <c r="M83" i="5" s="1"/>
  <c r="K83" i="5"/>
  <c r="L82" i="5"/>
  <c r="K82" i="5"/>
  <c r="L81" i="5"/>
  <c r="M81" i="5" s="1"/>
  <c r="K81" i="5"/>
  <c r="L80" i="5"/>
  <c r="M80" i="5" s="1"/>
  <c r="K80" i="5"/>
  <c r="L79" i="5"/>
  <c r="M79" i="5" s="1"/>
  <c r="K79" i="5"/>
  <c r="L78" i="5"/>
  <c r="K78" i="5"/>
  <c r="L77" i="5"/>
  <c r="M77" i="5" s="1"/>
  <c r="K77" i="5"/>
  <c r="L76" i="5"/>
  <c r="M76" i="5" s="1"/>
  <c r="K76" i="5"/>
  <c r="L75" i="5"/>
  <c r="M75" i="5" s="1"/>
  <c r="K75" i="5"/>
  <c r="L74" i="5"/>
  <c r="K74" i="5"/>
  <c r="L73" i="5"/>
  <c r="M73" i="5" s="1"/>
  <c r="K73" i="5"/>
  <c r="L72" i="5"/>
  <c r="M72" i="5" s="1"/>
  <c r="K72" i="5"/>
  <c r="L71" i="5"/>
  <c r="M71" i="5" s="1"/>
  <c r="K71" i="5"/>
  <c r="L70" i="5"/>
  <c r="K70" i="5"/>
  <c r="L69" i="5"/>
  <c r="M69" i="5" s="1"/>
  <c r="K69" i="5"/>
  <c r="L68" i="5"/>
  <c r="M68" i="5" s="1"/>
  <c r="K68" i="5"/>
  <c r="L67" i="5"/>
  <c r="M67" i="5" s="1"/>
  <c r="K67" i="5"/>
  <c r="L66" i="5"/>
  <c r="K66" i="5"/>
  <c r="L65" i="5"/>
  <c r="M65" i="5" s="1"/>
  <c r="K65" i="5"/>
  <c r="L64" i="5"/>
  <c r="M64" i="5" s="1"/>
  <c r="K64" i="5"/>
  <c r="L63" i="5"/>
  <c r="M63" i="5" s="1"/>
  <c r="K63" i="5"/>
  <c r="L62" i="5"/>
  <c r="K62" i="5"/>
  <c r="L61" i="5"/>
  <c r="M61" i="5" s="1"/>
  <c r="K61" i="5"/>
  <c r="L60" i="5"/>
  <c r="M60" i="5" s="1"/>
  <c r="K60" i="5"/>
  <c r="L59" i="5"/>
  <c r="M59" i="5" s="1"/>
  <c r="K59" i="5"/>
  <c r="L58" i="5"/>
  <c r="K58" i="5"/>
  <c r="L57" i="5"/>
  <c r="M57" i="5" s="1"/>
  <c r="K57" i="5"/>
  <c r="L56" i="5"/>
  <c r="M56" i="5" s="1"/>
  <c r="K56" i="5"/>
  <c r="L55" i="5"/>
  <c r="K55" i="5"/>
  <c r="L54" i="5"/>
  <c r="M55" i="5" s="1"/>
  <c r="K54" i="5"/>
  <c r="L53" i="5"/>
  <c r="M53" i="5" s="1"/>
  <c r="K53" i="5"/>
  <c r="L52" i="5"/>
  <c r="M52" i="5" s="1"/>
  <c r="K52" i="5"/>
  <c r="L51" i="5"/>
  <c r="K51" i="5"/>
  <c r="L50" i="5"/>
  <c r="M51" i="5" s="1"/>
  <c r="K50" i="5"/>
  <c r="L49" i="5"/>
  <c r="M49" i="5" s="1"/>
  <c r="K49" i="5"/>
  <c r="L48" i="5"/>
  <c r="M48" i="5" s="1"/>
  <c r="K48" i="5"/>
  <c r="L47" i="5"/>
  <c r="M47" i="5" s="1"/>
  <c r="K47" i="5"/>
  <c r="L46" i="5"/>
  <c r="K46" i="5"/>
  <c r="L45" i="5"/>
  <c r="M45" i="5" s="1"/>
  <c r="K45" i="5"/>
  <c r="L44" i="5"/>
  <c r="M44" i="5" s="1"/>
  <c r="K44" i="5"/>
  <c r="L43" i="5"/>
  <c r="M43" i="5" s="1"/>
  <c r="K43" i="5"/>
  <c r="L42" i="5"/>
  <c r="K42" i="5"/>
  <c r="L41" i="5"/>
  <c r="M41" i="5" s="1"/>
  <c r="K41" i="5"/>
  <c r="L40" i="5"/>
  <c r="M40" i="5" s="1"/>
  <c r="K40" i="5"/>
  <c r="L39" i="5"/>
  <c r="K39" i="5"/>
  <c r="L38" i="5"/>
  <c r="M39" i="5" s="1"/>
  <c r="K38" i="5"/>
  <c r="L37" i="5"/>
  <c r="M37" i="5" s="1"/>
  <c r="K37" i="5"/>
  <c r="L36" i="5"/>
  <c r="M36" i="5" s="1"/>
  <c r="K36" i="5"/>
  <c r="L35" i="5"/>
  <c r="K35" i="5"/>
  <c r="L34" i="5"/>
  <c r="M35" i="5" s="1"/>
  <c r="K34" i="5"/>
  <c r="L33" i="5"/>
  <c r="M33" i="5" s="1"/>
  <c r="K33" i="5"/>
  <c r="L32" i="5"/>
  <c r="M32" i="5" s="1"/>
  <c r="K32" i="5"/>
  <c r="L31" i="5"/>
  <c r="M31" i="5" s="1"/>
  <c r="K31" i="5"/>
  <c r="L30" i="5"/>
  <c r="K30" i="5"/>
  <c r="L29" i="5"/>
  <c r="M29" i="5" s="1"/>
  <c r="K29" i="5"/>
  <c r="L28" i="5"/>
  <c r="M28" i="5" s="1"/>
  <c r="K28" i="5"/>
  <c r="L27" i="5"/>
  <c r="M27" i="5" s="1"/>
  <c r="K27" i="5"/>
  <c r="L26" i="5"/>
  <c r="K26" i="5"/>
  <c r="L25" i="5"/>
  <c r="M25" i="5" s="1"/>
  <c r="K25" i="5"/>
  <c r="L24" i="5"/>
  <c r="M24" i="5" s="1"/>
  <c r="K24" i="5"/>
  <c r="L23" i="5"/>
  <c r="M23" i="5" s="1"/>
  <c r="K23" i="5"/>
  <c r="L22" i="5"/>
  <c r="K22" i="5"/>
  <c r="L21" i="5"/>
  <c r="M21" i="5" s="1"/>
  <c r="K21" i="5"/>
  <c r="L20" i="5"/>
  <c r="M20" i="5" s="1"/>
  <c r="K20" i="5"/>
  <c r="L19" i="5"/>
  <c r="M19" i="5" s="1"/>
  <c r="K19" i="5"/>
  <c r="L18" i="5"/>
  <c r="K18" i="5"/>
  <c r="L17" i="5"/>
  <c r="M17" i="5" s="1"/>
  <c r="K17" i="5"/>
  <c r="L16" i="5"/>
  <c r="M16" i="5" s="1"/>
  <c r="K16" i="5"/>
  <c r="L15" i="5"/>
  <c r="M15" i="5" s="1"/>
  <c r="K15" i="5"/>
  <c r="L14" i="5"/>
  <c r="K14" i="5"/>
  <c r="L13" i="5"/>
  <c r="M13" i="5" s="1"/>
  <c r="K13" i="5"/>
  <c r="L12" i="5"/>
  <c r="M12" i="5" s="1"/>
  <c r="K12" i="5"/>
  <c r="L11" i="5"/>
  <c r="M11" i="5" s="1"/>
  <c r="K11" i="5"/>
  <c r="L10" i="5"/>
  <c r="K10" i="5"/>
  <c r="L9" i="5"/>
  <c r="M9" i="5" s="1"/>
  <c r="K9" i="5"/>
  <c r="L8" i="5"/>
  <c r="M8" i="5" s="1"/>
  <c r="K8" i="5"/>
  <c r="L7" i="5"/>
  <c r="M7" i="5" s="1"/>
  <c r="K7" i="5"/>
  <c r="L6" i="5"/>
  <c r="K6" i="5"/>
  <c r="L5" i="5"/>
  <c r="M5" i="5" s="1"/>
  <c r="K5" i="5"/>
  <c r="L4" i="5"/>
  <c r="M4" i="5" s="1"/>
  <c r="K4" i="5"/>
  <c r="A231" i="5"/>
  <c r="A230" i="5" s="1"/>
  <c r="A229" i="5" s="1"/>
  <c r="A228" i="5" s="1"/>
  <c r="A227" i="5" s="1"/>
  <c r="A226" i="5" s="1"/>
  <c r="A225" i="5" s="1"/>
  <c r="A224" i="5" s="1"/>
  <c r="A223" i="5" s="1"/>
  <c r="A222" i="5" s="1"/>
  <c r="A221" i="5" s="1"/>
  <c r="A220" i="5" s="1"/>
  <c r="A219" i="5" s="1"/>
  <c r="A218" i="5" s="1"/>
  <c r="A217" i="5" s="1"/>
  <c r="A216" i="5" s="1"/>
  <c r="A215" i="5" s="1"/>
  <c r="A214" i="5" s="1"/>
  <c r="A213" i="5" s="1"/>
  <c r="A212" i="5" s="1"/>
  <c r="A211" i="5" s="1"/>
  <c r="A210" i="5" s="1"/>
  <c r="A209" i="5" s="1"/>
  <c r="A208" i="5" s="1"/>
  <c r="A207" i="5" s="1"/>
  <c r="A206" i="5" s="1"/>
  <c r="A205" i="5" s="1"/>
  <c r="A204" i="5" s="1"/>
  <c r="A203" i="5" s="1"/>
  <c r="A202" i="5" s="1"/>
  <c r="A201" i="5" s="1"/>
  <c r="A200" i="5" s="1"/>
  <c r="A199" i="5" s="1"/>
  <c r="A198" i="5" s="1"/>
  <c r="A197" i="5" s="1"/>
  <c r="A196" i="5" s="1"/>
  <c r="A195" i="5" s="1"/>
  <c r="A194" i="5" s="1"/>
  <c r="A193" i="5" s="1"/>
  <c r="A192" i="5" s="1"/>
  <c r="A191" i="5" s="1"/>
  <c r="A190" i="5" s="1"/>
  <c r="A189" i="5" s="1"/>
  <c r="A188" i="5" s="1"/>
  <c r="A187" i="5" s="1"/>
  <c r="A186" i="5" s="1"/>
  <c r="A185" i="5" s="1"/>
  <c r="A184" i="5" s="1"/>
  <c r="A183" i="5" s="1"/>
  <c r="A182" i="5" s="1"/>
  <c r="A181" i="5" s="1"/>
  <c r="A180" i="5" s="1"/>
  <c r="A179" i="5" s="1"/>
  <c r="A178" i="5" s="1"/>
  <c r="A177" i="5" s="1"/>
  <c r="A176" i="5" s="1"/>
  <c r="A175" i="5" s="1"/>
  <c r="A174" i="5" s="1"/>
  <c r="A173" i="5" s="1"/>
  <c r="A172" i="5" s="1"/>
  <c r="A171" i="5" s="1"/>
  <c r="A170" i="5" s="1"/>
  <c r="A169" i="5" s="1"/>
  <c r="A168" i="5" s="1"/>
  <c r="A167" i="5" s="1"/>
  <c r="A166" i="5" s="1"/>
  <c r="A165" i="5" s="1"/>
  <c r="A164" i="5" s="1"/>
  <c r="A163" i="5" s="1"/>
  <c r="A162" i="5" s="1"/>
  <c r="A161" i="5" s="1"/>
  <c r="A160" i="5" s="1"/>
  <c r="A159" i="5" s="1"/>
  <c r="A158" i="5" s="1"/>
  <c r="A157" i="5" s="1"/>
  <c r="A156" i="5" s="1"/>
  <c r="A155" i="5" s="1"/>
  <c r="A154" i="5" s="1"/>
  <c r="A153" i="5" s="1"/>
  <c r="A152" i="5" s="1"/>
  <c r="A151" i="5" s="1"/>
  <c r="A150" i="5" s="1"/>
  <c r="A149" i="5" s="1"/>
  <c r="A148" i="5" s="1"/>
  <c r="A147" i="5" s="1"/>
  <c r="A146" i="5" s="1"/>
  <c r="A145" i="5" s="1"/>
  <c r="A144" i="5" s="1"/>
  <c r="A143" i="5" s="1"/>
  <c r="A142" i="5" s="1"/>
  <c r="A141" i="5" s="1"/>
  <c r="A140" i="5" s="1"/>
  <c r="A139" i="5" s="1"/>
  <c r="A138" i="5" s="1"/>
  <c r="A137" i="5" s="1"/>
  <c r="A136" i="5" s="1"/>
  <c r="A135" i="5" s="1"/>
  <c r="A134" i="5" s="1"/>
  <c r="A133" i="5" s="1"/>
  <c r="A132" i="5" s="1"/>
  <c r="A131" i="5" s="1"/>
  <c r="A130" i="5" s="1"/>
  <c r="A129" i="5" s="1"/>
  <c r="A128" i="5" s="1"/>
  <c r="A127" i="5" s="1"/>
  <c r="A126" i="5" s="1"/>
  <c r="A125" i="5" s="1"/>
  <c r="A124" i="5" s="1"/>
  <c r="A123" i="5" s="1"/>
  <c r="A122" i="5" s="1"/>
  <c r="A121" i="5" s="1"/>
  <c r="A120" i="5" s="1"/>
  <c r="A119" i="5" s="1"/>
  <c r="A118" i="5" s="1"/>
  <c r="A117" i="5" s="1"/>
  <c r="A116" i="5" s="1"/>
  <c r="A115" i="5" s="1"/>
  <c r="A114" i="5" s="1"/>
  <c r="A113" i="5" s="1"/>
  <c r="A112" i="5" s="1"/>
  <c r="A111" i="5" s="1"/>
  <c r="A110" i="5" s="1"/>
  <c r="A109" i="5" s="1"/>
  <c r="A108" i="5" s="1"/>
  <c r="A107" i="5" s="1"/>
  <c r="A106" i="5" s="1"/>
  <c r="A105" i="5" s="1"/>
  <c r="A104" i="5" s="1"/>
  <c r="A103" i="5" s="1"/>
  <c r="A102" i="5" s="1"/>
  <c r="A101" i="5" s="1"/>
  <c r="A100" i="5" s="1"/>
  <c r="A99" i="5" s="1"/>
  <c r="A98" i="5" s="1"/>
  <c r="A97" i="5" s="1"/>
  <c r="A96" i="5" s="1"/>
  <c r="A95" i="5" s="1"/>
  <c r="A94" i="5" s="1"/>
  <c r="A93" i="5" s="1"/>
  <c r="A92" i="5" s="1"/>
  <c r="A91" i="5" s="1"/>
  <c r="A90" i="5" s="1"/>
  <c r="A89" i="5" s="1"/>
  <c r="A88" i="5" s="1"/>
  <c r="A87" i="5" s="1"/>
  <c r="A86" i="5" s="1"/>
  <c r="A85" i="5" s="1"/>
  <c r="A84" i="5" s="1"/>
  <c r="A83" i="5" s="1"/>
  <c r="A82" i="5" s="1"/>
  <c r="A81" i="5" s="1"/>
  <c r="A80" i="5" s="1"/>
  <c r="A79" i="5" s="1"/>
  <c r="A78" i="5" s="1"/>
  <c r="A77" i="5" s="1"/>
  <c r="A76" i="5" s="1"/>
  <c r="A75" i="5" s="1"/>
  <c r="A74" i="5" s="1"/>
  <c r="A73" i="5" s="1"/>
  <c r="A72" i="5" s="1"/>
  <c r="A71" i="5" s="1"/>
  <c r="A70" i="5" s="1"/>
  <c r="A69" i="5" s="1"/>
  <c r="A68" i="5" s="1"/>
  <c r="A67" i="5" s="1"/>
  <c r="A66" i="5" s="1"/>
  <c r="A65" i="5" s="1"/>
  <c r="A64" i="5" s="1"/>
  <c r="A63" i="5" s="1"/>
  <c r="A62" i="5" s="1"/>
  <c r="A61" i="5" s="1"/>
  <c r="A60" i="5" s="1"/>
  <c r="A59" i="5" s="1"/>
  <c r="A58" i="5" s="1"/>
  <c r="A57" i="5" s="1"/>
  <c r="A56" i="5" s="1"/>
  <c r="A55" i="5" s="1"/>
  <c r="A54" i="5" s="1"/>
  <c r="A53" i="5" s="1"/>
  <c r="A52" i="5" s="1"/>
  <c r="A51" i="5" s="1"/>
  <c r="A50" i="5" s="1"/>
  <c r="A49" i="5" s="1"/>
  <c r="A48" i="5" s="1"/>
  <c r="A47" i="5" s="1"/>
  <c r="A46" i="5" s="1"/>
  <c r="A45" i="5" s="1"/>
  <c r="A44" i="5" s="1"/>
  <c r="A43" i="5" s="1"/>
  <c r="A42" i="5" s="1"/>
  <c r="A41" i="5" s="1"/>
  <c r="A40" i="5" s="1"/>
  <c r="A39" i="5" s="1"/>
  <c r="A38" i="5" s="1"/>
  <c r="A37" i="5" s="1"/>
  <c r="A36" i="5" s="1"/>
  <c r="A35" i="5" s="1"/>
  <c r="A34" i="5" s="1"/>
  <c r="A33" i="5" s="1"/>
  <c r="A32" i="5" s="1"/>
  <c r="A31" i="5" s="1"/>
  <c r="A30" i="5" s="1"/>
  <c r="A29" i="5" s="1"/>
  <c r="A28" i="5" s="1"/>
  <c r="A27" i="5" s="1"/>
  <c r="A26" i="5" s="1"/>
  <c r="A25" i="5" s="1"/>
  <c r="A24" i="5" s="1"/>
  <c r="A23" i="5" s="1"/>
  <c r="A22" i="5" s="1"/>
  <c r="A21" i="5" s="1"/>
  <c r="A20" i="5" s="1"/>
  <c r="A19" i="5" s="1"/>
  <c r="A18" i="5" s="1"/>
  <c r="A17" i="5" s="1"/>
  <c r="A16" i="5" s="1"/>
  <c r="A15" i="5" s="1"/>
  <c r="A14" i="5" s="1"/>
  <c r="A13" i="5" s="1"/>
  <c r="A12" i="5" s="1"/>
  <c r="A11" i="5" s="1"/>
  <c r="A10" i="5" s="1"/>
  <c r="A9" i="5" s="1"/>
  <c r="A8" i="5" s="1"/>
  <c r="A7" i="5" s="1"/>
  <c r="A6" i="5" s="1"/>
  <c r="A5" i="5" s="1"/>
  <c r="A4" i="5" s="1"/>
  <c r="M10" i="5" l="1"/>
  <c r="M18" i="5"/>
  <c r="M26" i="5"/>
  <c r="M34" i="5"/>
  <c r="M42" i="5"/>
  <c r="M50" i="5"/>
  <c r="M58" i="5"/>
  <c r="M66" i="5"/>
  <c r="M74" i="5"/>
  <c r="M82" i="5"/>
  <c r="M90" i="5"/>
  <c r="M97" i="5"/>
  <c r="M106" i="5"/>
  <c r="M122" i="5"/>
  <c r="M138" i="5"/>
  <c r="M154" i="5"/>
  <c r="M170" i="5"/>
  <c r="M186" i="5"/>
  <c r="M202" i="5"/>
  <c r="M218" i="5"/>
  <c r="M6" i="5"/>
  <c r="M14" i="5"/>
  <c r="M22" i="5"/>
  <c r="M30" i="5"/>
  <c r="M38" i="5"/>
  <c r="M46" i="5"/>
  <c r="M54" i="5"/>
  <c r="M62" i="5"/>
  <c r="M70" i="5"/>
  <c r="M78" i="5"/>
  <c r="M86" i="5"/>
  <c r="M94" i="5"/>
  <c r="M98" i="5"/>
  <c r="M114" i="5"/>
  <c r="M130" i="5"/>
  <c r="M146" i="5"/>
  <c r="M162" i="5"/>
  <c r="M178" i="5"/>
  <c r="M194" i="5"/>
  <c r="M210" i="5"/>
  <c r="M226" i="5"/>
  <c r="D4" i="9" l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3" i="9"/>
  <c r="K233" i="5" l="1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M240" i="5"/>
  <c r="L295" i="5"/>
  <c r="L294" i="5"/>
  <c r="M295" i="5" s="1"/>
  <c r="L293" i="5"/>
  <c r="L292" i="5"/>
  <c r="M292" i="5" s="1"/>
  <c r="L291" i="5"/>
  <c r="L290" i="5"/>
  <c r="M290" i="5" s="1"/>
  <c r="L289" i="5"/>
  <c r="L288" i="5"/>
  <c r="M288" i="5" s="1"/>
  <c r="L287" i="5"/>
  <c r="L286" i="5"/>
  <c r="M286" i="5" s="1"/>
  <c r="L285" i="5"/>
  <c r="L284" i="5"/>
  <c r="M284" i="5" s="1"/>
  <c r="L283" i="5"/>
  <c r="M283" i="5" s="1"/>
  <c r="L282" i="5"/>
  <c r="L281" i="5"/>
  <c r="L280" i="5"/>
  <c r="M280" i="5" s="1"/>
  <c r="L279" i="5"/>
  <c r="L278" i="5"/>
  <c r="L277" i="5"/>
  <c r="L276" i="5"/>
  <c r="M276" i="5" s="1"/>
  <c r="L275" i="5"/>
  <c r="L274" i="5"/>
  <c r="M274" i="5" s="1"/>
  <c r="L273" i="5"/>
  <c r="L272" i="5"/>
  <c r="M272" i="5" s="1"/>
  <c r="L271" i="5"/>
  <c r="M271" i="5" s="1"/>
  <c r="L270" i="5"/>
  <c r="M270" i="5" s="1"/>
  <c r="L269" i="5"/>
  <c r="L268" i="5"/>
  <c r="M268" i="5" s="1"/>
  <c r="L267" i="5"/>
  <c r="L266" i="5"/>
  <c r="M267" i="5" s="1"/>
  <c r="L265" i="5"/>
  <c r="L264" i="5"/>
  <c r="M264" i="5" s="1"/>
  <c r="L263" i="5"/>
  <c r="L262" i="5"/>
  <c r="L261" i="5"/>
  <c r="L260" i="5"/>
  <c r="M260" i="5" s="1"/>
  <c r="L259" i="5"/>
  <c r="L258" i="5"/>
  <c r="M258" i="5" s="1"/>
  <c r="L257" i="5"/>
  <c r="L256" i="5"/>
  <c r="M256" i="5" s="1"/>
  <c r="L255" i="5"/>
  <c r="M255" i="5" s="1"/>
  <c r="L254" i="5"/>
  <c r="M254" i="5" s="1"/>
  <c r="L253" i="5"/>
  <c r="L252" i="5"/>
  <c r="M252" i="5" s="1"/>
  <c r="L251" i="5"/>
  <c r="M251" i="5" s="1"/>
  <c r="L250" i="5"/>
  <c r="L249" i="5"/>
  <c r="L248" i="5"/>
  <c r="M248" i="5" s="1"/>
  <c r="L247" i="5"/>
  <c r="L246" i="5"/>
  <c r="L245" i="5"/>
  <c r="L244" i="5"/>
  <c r="M244" i="5" s="1"/>
  <c r="L243" i="5"/>
  <c r="L242" i="5"/>
  <c r="M242" i="5" s="1"/>
  <c r="L241" i="5"/>
  <c r="L240" i="5"/>
  <c r="L239" i="5"/>
  <c r="M239" i="5" s="1"/>
  <c r="L238" i="5"/>
  <c r="M238" i="5" s="1"/>
  <c r="L237" i="5"/>
  <c r="L236" i="5"/>
  <c r="M236" i="5" s="1"/>
  <c r="L235" i="5"/>
  <c r="M235" i="5" s="1"/>
  <c r="L234" i="5"/>
  <c r="L233" i="5"/>
  <c r="M287" i="5" l="1"/>
  <c r="M234" i="5"/>
  <c r="M237" i="5"/>
  <c r="M241" i="5"/>
  <c r="M245" i="5"/>
  <c r="M249" i="5"/>
  <c r="M253" i="5"/>
  <c r="M257" i="5"/>
  <c r="M261" i="5"/>
  <c r="M265" i="5"/>
  <c r="M269" i="5"/>
  <c r="M273" i="5"/>
  <c r="M277" i="5"/>
  <c r="M281" i="5"/>
  <c r="M285" i="5"/>
  <c r="M289" i="5"/>
  <c r="M293" i="5"/>
  <c r="M243" i="5"/>
  <c r="M247" i="5"/>
  <c r="M259" i="5"/>
  <c r="M263" i="5"/>
  <c r="M275" i="5"/>
  <c r="M279" i="5"/>
  <c r="M291" i="5"/>
  <c r="M262" i="5"/>
  <c r="M294" i="5"/>
  <c r="M246" i="5"/>
  <c r="M278" i="5"/>
  <c r="M250" i="5"/>
  <c r="M266" i="5"/>
  <c r="M282" i="5"/>
  <c r="M233" i="5"/>
  <c r="Q296" i="5"/>
  <c r="A295" i="5"/>
  <c r="B295" i="5" s="1"/>
  <c r="C296" i="5"/>
  <c r="B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296" i="5"/>
  <c r="M296" i="5" s="1"/>
  <c r="E505" i="6"/>
  <c r="D505" i="6"/>
  <c r="F505" i="6" s="1"/>
  <c r="E504" i="6"/>
  <c r="G504" i="6" s="1"/>
  <c r="D504" i="6"/>
  <c r="E503" i="6"/>
  <c r="D503" i="6"/>
  <c r="F503" i="6" s="1"/>
  <c r="E502" i="6"/>
  <c r="G502" i="6" s="1"/>
  <c r="D502" i="6"/>
  <c r="E501" i="6"/>
  <c r="D501" i="6"/>
  <c r="F501" i="6" s="1"/>
  <c r="E500" i="6"/>
  <c r="G500" i="6" s="1"/>
  <c r="D500" i="6"/>
  <c r="E499" i="6"/>
  <c r="D499" i="6"/>
  <c r="F499" i="6" s="1"/>
  <c r="E498" i="6"/>
  <c r="G498" i="6" s="1"/>
  <c r="D498" i="6"/>
  <c r="E497" i="6"/>
  <c r="D497" i="6"/>
  <c r="F497" i="6" s="1"/>
  <c r="E496" i="6"/>
  <c r="G496" i="6" s="1"/>
  <c r="D496" i="6"/>
  <c r="E495" i="6"/>
  <c r="D495" i="6"/>
  <c r="F495" i="6" s="1"/>
  <c r="E494" i="6"/>
  <c r="G494" i="6" s="1"/>
  <c r="D494" i="6"/>
  <c r="E493" i="6"/>
  <c r="D493" i="6"/>
  <c r="F493" i="6" s="1"/>
  <c r="E492" i="6"/>
  <c r="G492" i="6" s="1"/>
  <c r="D492" i="6"/>
  <c r="E491" i="6"/>
  <c r="D491" i="6"/>
  <c r="F491" i="6" s="1"/>
  <c r="E490" i="6"/>
  <c r="G490" i="6" s="1"/>
  <c r="D490" i="6"/>
  <c r="E489" i="6"/>
  <c r="D489" i="6"/>
  <c r="F489" i="6" s="1"/>
  <c r="E488" i="6"/>
  <c r="G488" i="6" s="1"/>
  <c r="D488" i="6"/>
  <c r="E487" i="6"/>
  <c r="D487" i="6"/>
  <c r="F487" i="6" s="1"/>
  <c r="E486" i="6"/>
  <c r="G486" i="6" s="1"/>
  <c r="D486" i="6"/>
  <c r="E485" i="6"/>
  <c r="D485" i="6"/>
  <c r="F485" i="6" s="1"/>
  <c r="E484" i="6"/>
  <c r="G484" i="6" s="1"/>
  <c r="D484" i="6"/>
  <c r="E483" i="6"/>
  <c r="D483" i="6"/>
  <c r="F483" i="6" s="1"/>
  <c r="E482" i="6"/>
  <c r="G482" i="6" s="1"/>
  <c r="D482" i="6"/>
  <c r="E481" i="6"/>
  <c r="D481" i="6"/>
  <c r="F481" i="6" s="1"/>
  <c r="E480" i="6"/>
  <c r="G480" i="6" s="1"/>
  <c r="D480" i="6"/>
  <c r="E479" i="6"/>
  <c r="D479" i="6"/>
  <c r="F479" i="6" s="1"/>
  <c r="E478" i="6"/>
  <c r="G478" i="6" s="1"/>
  <c r="D478" i="6"/>
  <c r="E477" i="6"/>
  <c r="D477" i="6"/>
  <c r="F477" i="6" s="1"/>
  <c r="E476" i="6"/>
  <c r="G476" i="6" s="1"/>
  <c r="D476" i="6"/>
  <c r="E475" i="6"/>
  <c r="D475" i="6"/>
  <c r="F475" i="6" s="1"/>
  <c r="E474" i="6"/>
  <c r="G474" i="6" s="1"/>
  <c r="D474" i="6"/>
  <c r="E473" i="6"/>
  <c r="D473" i="6"/>
  <c r="F473" i="6" s="1"/>
  <c r="E472" i="6"/>
  <c r="G472" i="6" s="1"/>
  <c r="D472" i="6"/>
  <c r="A472" i="6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E471" i="6"/>
  <c r="G471" i="6" s="1"/>
  <c r="D471" i="6"/>
  <c r="F471" i="6" s="1"/>
  <c r="E470" i="6"/>
  <c r="D470" i="6"/>
  <c r="E469" i="6"/>
  <c r="G469" i="6" s="1"/>
  <c r="D469" i="6"/>
  <c r="E468" i="6"/>
  <c r="D468" i="6"/>
  <c r="F468" i="6" s="1"/>
  <c r="E467" i="6"/>
  <c r="G467" i="6" s="1"/>
  <c r="D467" i="6"/>
  <c r="E466" i="6"/>
  <c r="D466" i="6"/>
  <c r="F466" i="6" s="1"/>
  <c r="E465" i="6"/>
  <c r="G465" i="6" s="1"/>
  <c r="D465" i="6"/>
  <c r="E464" i="6"/>
  <c r="D464" i="6"/>
  <c r="F464" i="6" s="1"/>
  <c r="E463" i="6"/>
  <c r="G463" i="6" s="1"/>
  <c r="D463" i="6"/>
  <c r="E462" i="6"/>
  <c r="D462" i="6"/>
  <c r="F462" i="6" s="1"/>
  <c r="E461" i="6"/>
  <c r="G461" i="6" s="1"/>
  <c r="D461" i="6"/>
  <c r="E460" i="6"/>
  <c r="D460" i="6"/>
  <c r="F460" i="6" s="1"/>
  <c r="E459" i="6"/>
  <c r="G459" i="6" s="1"/>
  <c r="D459" i="6"/>
  <c r="E458" i="6"/>
  <c r="D458" i="6"/>
  <c r="F458" i="6" s="1"/>
  <c r="E457" i="6"/>
  <c r="G457" i="6" s="1"/>
  <c r="D457" i="6"/>
  <c r="E456" i="6"/>
  <c r="D456" i="6"/>
  <c r="F456" i="6" s="1"/>
  <c r="E455" i="6"/>
  <c r="G455" i="6" s="1"/>
  <c r="D455" i="6"/>
  <c r="E454" i="6"/>
  <c r="D454" i="6"/>
  <c r="F454" i="6" s="1"/>
  <c r="E453" i="6"/>
  <c r="G453" i="6" s="1"/>
  <c r="D453" i="6"/>
  <c r="E452" i="6"/>
  <c r="D452" i="6"/>
  <c r="F452" i="6" s="1"/>
  <c r="E451" i="6"/>
  <c r="G451" i="6" s="1"/>
  <c r="D451" i="6"/>
  <c r="E450" i="6"/>
  <c r="D450" i="6"/>
  <c r="F450" i="6" s="1"/>
  <c r="E449" i="6"/>
  <c r="G449" i="6" s="1"/>
  <c r="D449" i="6"/>
  <c r="E448" i="6"/>
  <c r="D448" i="6"/>
  <c r="F448" i="6" s="1"/>
  <c r="E447" i="6"/>
  <c r="G447" i="6" s="1"/>
  <c r="D447" i="6"/>
  <c r="E446" i="6"/>
  <c r="D446" i="6"/>
  <c r="F446" i="6" s="1"/>
  <c r="E445" i="6"/>
  <c r="G445" i="6" s="1"/>
  <c r="D445" i="6"/>
  <c r="E444" i="6"/>
  <c r="D444" i="6"/>
  <c r="F444" i="6" s="1"/>
  <c r="E443" i="6"/>
  <c r="G443" i="6" s="1"/>
  <c r="D443" i="6"/>
  <c r="E442" i="6"/>
  <c r="D442" i="6"/>
  <c r="F442" i="6" s="1"/>
  <c r="E441" i="6"/>
  <c r="G441" i="6" s="1"/>
  <c r="D441" i="6"/>
  <c r="E440" i="6"/>
  <c r="D440" i="6"/>
  <c r="F440" i="6" s="1"/>
  <c r="E439" i="6"/>
  <c r="D439" i="6"/>
  <c r="E438" i="6"/>
  <c r="D438" i="6"/>
  <c r="F438" i="6" s="1"/>
  <c r="E437" i="6"/>
  <c r="G437" i="6" s="1"/>
  <c r="D437" i="6"/>
  <c r="E436" i="6"/>
  <c r="D436" i="6"/>
  <c r="F436" i="6" s="1"/>
  <c r="E435" i="6"/>
  <c r="G435" i="6" s="1"/>
  <c r="D435" i="6"/>
  <c r="E434" i="6"/>
  <c r="D434" i="6"/>
  <c r="F434" i="6" s="1"/>
  <c r="E433" i="6"/>
  <c r="G433" i="6" s="1"/>
  <c r="D433" i="6"/>
  <c r="E432" i="6"/>
  <c r="D432" i="6"/>
  <c r="F432" i="6" s="1"/>
  <c r="E431" i="6"/>
  <c r="G431" i="6" s="1"/>
  <c r="D431" i="6"/>
  <c r="E430" i="6"/>
  <c r="D430" i="6"/>
  <c r="F430" i="6" s="1"/>
  <c r="E429" i="6"/>
  <c r="G429" i="6" s="1"/>
  <c r="D429" i="6"/>
  <c r="E428" i="6"/>
  <c r="D428" i="6"/>
  <c r="F428" i="6" s="1"/>
  <c r="E427" i="6"/>
  <c r="G427" i="6" s="1"/>
  <c r="D427" i="6"/>
  <c r="E426" i="6"/>
  <c r="D426" i="6"/>
  <c r="F426" i="6" s="1"/>
  <c r="E425" i="6"/>
  <c r="G425" i="6" s="1"/>
  <c r="D425" i="6"/>
  <c r="E424" i="6"/>
  <c r="D424" i="6"/>
  <c r="F424" i="6" s="1"/>
  <c r="E423" i="6"/>
  <c r="G423" i="6" s="1"/>
  <c r="D423" i="6"/>
  <c r="E422" i="6"/>
  <c r="D422" i="6"/>
  <c r="F422" i="6" s="1"/>
  <c r="E421" i="6"/>
  <c r="G421" i="6" s="1"/>
  <c r="D421" i="6"/>
  <c r="E420" i="6"/>
  <c r="D420" i="6"/>
  <c r="F420" i="6" s="1"/>
  <c r="E419" i="6"/>
  <c r="D419" i="6"/>
  <c r="E418" i="6"/>
  <c r="D418" i="6"/>
  <c r="F418" i="6" s="1"/>
  <c r="E417" i="6"/>
  <c r="D417" i="6"/>
  <c r="E416" i="6"/>
  <c r="D416" i="6"/>
  <c r="F416" i="6" s="1"/>
  <c r="E415" i="6"/>
  <c r="D415" i="6"/>
  <c r="E414" i="6"/>
  <c r="D414" i="6"/>
  <c r="F414" i="6" s="1"/>
  <c r="E413" i="6"/>
  <c r="D413" i="6"/>
  <c r="E412" i="6"/>
  <c r="D412" i="6"/>
  <c r="F412" i="6" s="1"/>
  <c r="E411" i="6"/>
  <c r="D411" i="6"/>
  <c r="E410" i="6"/>
  <c r="D410" i="6"/>
  <c r="F410" i="6" s="1"/>
  <c r="E409" i="6"/>
  <c r="D409" i="6"/>
  <c r="E408" i="6"/>
  <c r="D408" i="6"/>
  <c r="F408" i="6" s="1"/>
  <c r="E407" i="6"/>
  <c r="D407" i="6"/>
  <c r="E406" i="6"/>
  <c r="D406" i="6"/>
  <c r="F406" i="6" s="1"/>
  <c r="E405" i="6"/>
  <c r="D405" i="6"/>
  <c r="E404" i="6"/>
  <c r="D404" i="6"/>
  <c r="F404" i="6" s="1"/>
  <c r="E403" i="6"/>
  <c r="D403" i="6"/>
  <c r="E402" i="6"/>
  <c r="D402" i="6"/>
  <c r="F402" i="6" s="1"/>
  <c r="E401" i="6"/>
  <c r="D401" i="6"/>
  <c r="E400" i="6"/>
  <c r="D400" i="6"/>
  <c r="F400" i="6" s="1"/>
  <c r="E399" i="6"/>
  <c r="D399" i="6"/>
  <c r="E398" i="6"/>
  <c r="D398" i="6"/>
  <c r="F398" i="6" s="1"/>
  <c r="E397" i="6"/>
  <c r="D397" i="6"/>
  <c r="E396" i="6"/>
  <c r="D396" i="6"/>
  <c r="F396" i="6" s="1"/>
  <c r="E395" i="6"/>
  <c r="D395" i="6"/>
  <c r="E394" i="6"/>
  <c r="D394" i="6"/>
  <c r="F394" i="6" s="1"/>
  <c r="E393" i="6"/>
  <c r="D393" i="6"/>
  <c r="E392" i="6"/>
  <c r="D392" i="6"/>
  <c r="F392" i="6" s="1"/>
  <c r="E391" i="6"/>
  <c r="D391" i="6"/>
  <c r="E390" i="6"/>
  <c r="D390" i="6"/>
  <c r="F390" i="6" s="1"/>
  <c r="E389" i="6"/>
  <c r="D389" i="6"/>
  <c r="E388" i="6"/>
  <c r="D388" i="6"/>
  <c r="F388" i="6" s="1"/>
  <c r="E387" i="6"/>
  <c r="D387" i="6"/>
  <c r="E386" i="6"/>
  <c r="D386" i="6"/>
  <c r="F386" i="6" s="1"/>
  <c r="E385" i="6"/>
  <c r="D385" i="6"/>
  <c r="E384" i="6"/>
  <c r="D384" i="6"/>
  <c r="F384" i="6" s="1"/>
  <c r="E383" i="6"/>
  <c r="D383" i="6"/>
  <c r="E382" i="6"/>
  <c r="D382" i="6"/>
  <c r="F382" i="6" s="1"/>
  <c r="E381" i="6"/>
  <c r="D381" i="6"/>
  <c r="E380" i="6"/>
  <c r="D380" i="6"/>
  <c r="F380" i="6" s="1"/>
  <c r="E379" i="6"/>
  <c r="D379" i="6"/>
  <c r="E378" i="6"/>
  <c r="D378" i="6"/>
  <c r="F378" i="6" s="1"/>
  <c r="E377" i="6"/>
  <c r="D377" i="6"/>
  <c r="E376" i="6"/>
  <c r="D376" i="6"/>
  <c r="F376" i="6" s="1"/>
  <c r="E375" i="6"/>
  <c r="D375" i="6"/>
  <c r="E374" i="6"/>
  <c r="D374" i="6"/>
  <c r="F374" i="6" s="1"/>
  <c r="E373" i="6"/>
  <c r="D373" i="6"/>
  <c r="E372" i="6"/>
  <c r="G373" i="6" s="1"/>
  <c r="D372" i="6"/>
  <c r="F372" i="6" s="1"/>
  <c r="E371" i="6"/>
  <c r="D371" i="6"/>
  <c r="E370" i="6"/>
  <c r="G371" i="6" s="1"/>
  <c r="D370" i="6"/>
  <c r="F370" i="6" s="1"/>
  <c r="E369" i="6"/>
  <c r="D369" i="6"/>
  <c r="E368" i="6"/>
  <c r="G369" i="6" s="1"/>
  <c r="D368" i="6"/>
  <c r="F368" i="6" s="1"/>
  <c r="E367" i="6"/>
  <c r="D367" i="6"/>
  <c r="E366" i="6"/>
  <c r="G367" i="6" s="1"/>
  <c r="D366" i="6"/>
  <c r="F366" i="6" s="1"/>
  <c r="E365" i="6"/>
  <c r="D365" i="6"/>
  <c r="E364" i="6"/>
  <c r="G365" i="6" s="1"/>
  <c r="D364" i="6"/>
  <c r="F364" i="6" s="1"/>
  <c r="E363" i="6"/>
  <c r="D363" i="6"/>
  <c r="E362" i="6"/>
  <c r="G363" i="6" s="1"/>
  <c r="D362" i="6"/>
  <c r="F362" i="6" s="1"/>
  <c r="E361" i="6"/>
  <c r="D361" i="6"/>
  <c r="E360" i="6"/>
  <c r="G361" i="6" s="1"/>
  <c r="D360" i="6"/>
  <c r="F360" i="6" s="1"/>
  <c r="E359" i="6"/>
  <c r="D359" i="6"/>
  <c r="E358" i="6"/>
  <c r="G359" i="6" s="1"/>
  <c r="D358" i="6"/>
  <c r="E357" i="6"/>
  <c r="D357" i="6"/>
  <c r="E356" i="6"/>
  <c r="G356" i="6" s="1"/>
  <c r="D356" i="6"/>
  <c r="F356" i="6" s="1"/>
  <c r="E355" i="6"/>
  <c r="D355" i="6"/>
  <c r="E354" i="6"/>
  <c r="G354" i="6" s="1"/>
  <c r="D354" i="6"/>
  <c r="F354" i="6" s="1"/>
  <c r="E353" i="6"/>
  <c r="D353" i="6"/>
  <c r="E352" i="6"/>
  <c r="G352" i="6" s="1"/>
  <c r="D352" i="6"/>
  <c r="F352" i="6" s="1"/>
  <c r="E351" i="6"/>
  <c r="D351" i="6"/>
  <c r="E350" i="6"/>
  <c r="G350" i="6" s="1"/>
  <c r="D350" i="6"/>
  <c r="F350" i="6" s="1"/>
  <c r="E349" i="6"/>
  <c r="D349" i="6"/>
  <c r="E348" i="6"/>
  <c r="G348" i="6" s="1"/>
  <c r="D348" i="6"/>
  <c r="F348" i="6" s="1"/>
  <c r="E347" i="6"/>
  <c r="D347" i="6"/>
  <c r="E346" i="6"/>
  <c r="G346" i="6" s="1"/>
  <c r="D346" i="6"/>
  <c r="F346" i="6" s="1"/>
  <c r="E345" i="6"/>
  <c r="D345" i="6"/>
  <c r="E344" i="6"/>
  <c r="G344" i="6" s="1"/>
  <c r="D344" i="6"/>
  <c r="F344" i="6" s="1"/>
  <c r="E343" i="6"/>
  <c r="D343" i="6"/>
  <c r="E342" i="6"/>
  <c r="D342" i="6"/>
  <c r="F342" i="6" s="1"/>
  <c r="E341" i="6"/>
  <c r="D341" i="6"/>
  <c r="E340" i="6"/>
  <c r="D340" i="6"/>
  <c r="F340" i="6" s="1"/>
  <c r="E339" i="6"/>
  <c r="D339" i="6"/>
  <c r="E338" i="6"/>
  <c r="D338" i="6"/>
  <c r="F338" i="6" s="1"/>
  <c r="E337" i="6"/>
  <c r="D337" i="6"/>
  <c r="E336" i="6"/>
  <c r="D336" i="6"/>
  <c r="F336" i="6" s="1"/>
  <c r="E335" i="6"/>
  <c r="D335" i="6"/>
  <c r="E334" i="6"/>
  <c r="D334" i="6"/>
  <c r="F334" i="6" s="1"/>
  <c r="E333" i="6"/>
  <c r="D333" i="6"/>
  <c r="E332" i="6"/>
  <c r="D332" i="6"/>
  <c r="F332" i="6" s="1"/>
  <c r="E331" i="6"/>
  <c r="D331" i="6"/>
  <c r="E330" i="6"/>
  <c r="D330" i="6"/>
  <c r="F330" i="6" s="1"/>
  <c r="E329" i="6"/>
  <c r="D329" i="6"/>
  <c r="E328" i="6"/>
  <c r="D328" i="6"/>
  <c r="F328" i="6" s="1"/>
  <c r="E327" i="6"/>
  <c r="D327" i="6"/>
  <c r="E326" i="6"/>
  <c r="D326" i="6"/>
  <c r="F326" i="6" s="1"/>
  <c r="E325" i="6"/>
  <c r="D325" i="6"/>
  <c r="E324" i="6"/>
  <c r="D324" i="6"/>
  <c r="F324" i="6" s="1"/>
  <c r="E323" i="6"/>
  <c r="D323" i="6"/>
  <c r="E322" i="6"/>
  <c r="D322" i="6"/>
  <c r="F322" i="6" s="1"/>
  <c r="E321" i="6"/>
  <c r="D321" i="6"/>
  <c r="E320" i="6"/>
  <c r="D320" i="6"/>
  <c r="F320" i="6" s="1"/>
  <c r="E319" i="6"/>
  <c r="D319" i="6"/>
  <c r="E318" i="6"/>
  <c r="D318" i="6"/>
  <c r="F318" i="6" s="1"/>
  <c r="E317" i="6"/>
  <c r="D317" i="6"/>
  <c r="E316" i="6"/>
  <c r="D316" i="6"/>
  <c r="F316" i="6" s="1"/>
  <c r="E315" i="6"/>
  <c r="D315" i="6"/>
  <c r="E314" i="6"/>
  <c r="D314" i="6"/>
  <c r="F314" i="6" s="1"/>
  <c r="E313" i="6"/>
  <c r="D313" i="6"/>
  <c r="E312" i="6"/>
  <c r="D312" i="6"/>
  <c r="F312" i="6" s="1"/>
  <c r="E311" i="6"/>
  <c r="D311" i="6"/>
  <c r="E310" i="6"/>
  <c r="D310" i="6"/>
  <c r="F310" i="6" s="1"/>
  <c r="E309" i="6"/>
  <c r="G309" i="6" s="1"/>
  <c r="D309" i="6"/>
  <c r="E308" i="6"/>
  <c r="D308" i="6"/>
  <c r="F308" i="6" s="1"/>
  <c r="E307" i="6"/>
  <c r="G307" i="6" s="1"/>
  <c r="D307" i="6"/>
  <c r="E306" i="6"/>
  <c r="D306" i="6"/>
  <c r="F306" i="6" s="1"/>
  <c r="E305" i="6"/>
  <c r="G305" i="6" s="1"/>
  <c r="D305" i="6"/>
  <c r="E304" i="6"/>
  <c r="D304" i="6"/>
  <c r="F304" i="6" s="1"/>
  <c r="E303" i="6"/>
  <c r="G303" i="6" s="1"/>
  <c r="D303" i="6"/>
  <c r="E302" i="6"/>
  <c r="D302" i="6"/>
  <c r="F302" i="6" s="1"/>
  <c r="E301" i="6"/>
  <c r="G301" i="6" s="1"/>
  <c r="D301" i="6"/>
  <c r="E300" i="6"/>
  <c r="D300" i="6"/>
  <c r="F300" i="6" s="1"/>
  <c r="E299" i="6"/>
  <c r="G299" i="6" s="1"/>
  <c r="D299" i="6"/>
  <c r="E298" i="6"/>
  <c r="D298" i="6"/>
  <c r="F298" i="6" s="1"/>
  <c r="E297" i="6"/>
  <c r="G297" i="6" s="1"/>
  <c r="D297" i="6"/>
  <c r="E296" i="6"/>
  <c r="D296" i="6"/>
  <c r="F296" i="6" s="1"/>
  <c r="E295" i="6"/>
  <c r="G295" i="6" s="1"/>
  <c r="D295" i="6"/>
  <c r="E294" i="6"/>
  <c r="D294" i="6"/>
  <c r="F294" i="6" s="1"/>
  <c r="E293" i="6"/>
  <c r="G293" i="6" s="1"/>
  <c r="D293" i="6"/>
  <c r="E292" i="6"/>
  <c r="D292" i="6"/>
  <c r="F292" i="6" s="1"/>
  <c r="E291" i="6"/>
  <c r="G291" i="6" s="1"/>
  <c r="D291" i="6"/>
  <c r="E290" i="6"/>
  <c r="D290" i="6"/>
  <c r="F290" i="6" s="1"/>
  <c r="E289" i="6"/>
  <c r="G289" i="6" s="1"/>
  <c r="D289" i="6"/>
  <c r="E288" i="6"/>
  <c r="D288" i="6"/>
  <c r="F288" i="6" s="1"/>
  <c r="E287" i="6"/>
  <c r="G287" i="6" s="1"/>
  <c r="D287" i="6"/>
  <c r="E286" i="6"/>
  <c r="D286" i="6"/>
  <c r="F286" i="6" s="1"/>
  <c r="E285" i="6"/>
  <c r="G285" i="6" s="1"/>
  <c r="D285" i="6"/>
  <c r="E284" i="6"/>
  <c r="D284" i="6"/>
  <c r="F284" i="6" s="1"/>
  <c r="E283" i="6"/>
  <c r="G283" i="6" s="1"/>
  <c r="D283" i="6"/>
  <c r="E282" i="6"/>
  <c r="D282" i="6"/>
  <c r="F282" i="6" s="1"/>
  <c r="E281" i="6"/>
  <c r="G281" i="6" s="1"/>
  <c r="D281" i="6"/>
  <c r="E280" i="6"/>
  <c r="D280" i="6"/>
  <c r="F280" i="6" s="1"/>
  <c r="E279" i="6"/>
  <c r="G279" i="6" s="1"/>
  <c r="D279" i="6"/>
  <c r="E278" i="6"/>
  <c r="D278" i="6"/>
  <c r="F278" i="6" s="1"/>
  <c r="E277" i="6"/>
  <c r="G277" i="6" s="1"/>
  <c r="D277" i="6"/>
  <c r="E276" i="6"/>
  <c r="D276" i="6"/>
  <c r="F276" i="6" s="1"/>
  <c r="E275" i="6"/>
  <c r="G275" i="6" s="1"/>
  <c r="D275" i="6"/>
  <c r="E274" i="6"/>
  <c r="D274" i="6"/>
  <c r="F274" i="6" s="1"/>
  <c r="E273" i="6"/>
  <c r="G273" i="6" s="1"/>
  <c r="D273" i="6"/>
  <c r="E272" i="6"/>
  <c r="D272" i="6"/>
  <c r="F272" i="6" s="1"/>
  <c r="E271" i="6"/>
  <c r="G271" i="6" s="1"/>
  <c r="D271" i="6"/>
  <c r="E270" i="6"/>
  <c r="D270" i="6"/>
  <c r="F270" i="6" s="1"/>
  <c r="E269" i="6"/>
  <c r="G269" i="6" s="1"/>
  <c r="D269" i="6"/>
  <c r="E268" i="6"/>
  <c r="D268" i="6"/>
  <c r="F268" i="6" s="1"/>
  <c r="E267" i="6"/>
  <c r="G267" i="6" s="1"/>
  <c r="D267" i="6"/>
  <c r="E266" i="6"/>
  <c r="D266" i="6"/>
  <c r="F266" i="6" s="1"/>
  <c r="E265" i="6"/>
  <c r="G265" i="6" s="1"/>
  <c r="D265" i="6"/>
  <c r="E264" i="6"/>
  <c r="D264" i="6"/>
  <c r="F264" i="6" s="1"/>
  <c r="E263" i="6"/>
  <c r="G263" i="6" s="1"/>
  <c r="D263" i="6"/>
  <c r="E262" i="6"/>
  <c r="D262" i="6"/>
  <c r="F262" i="6" s="1"/>
  <c r="E261" i="6"/>
  <c r="G261" i="6" s="1"/>
  <c r="D261" i="6"/>
  <c r="E260" i="6"/>
  <c r="D260" i="6"/>
  <c r="F260" i="6" s="1"/>
  <c r="E259" i="6"/>
  <c r="G259" i="6" s="1"/>
  <c r="D259" i="6"/>
  <c r="E258" i="6"/>
  <c r="D258" i="6"/>
  <c r="F258" i="6" s="1"/>
  <c r="E257" i="6"/>
  <c r="G257" i="6" s="1"/>
  <c r="D257" i="6"/>
  <c r="E256" i="6"/>
  <c r="D256" i="6"/>
  <c r="F256" i="6" s="1"/>
  <c r="E255" i="6"/>
  <c r="G255" i="6" s="1"/>
  <c r="D255" i="6"/>
  <c r="E254" i="6"/>
  <c r="D254" i="6"/>
  <c r="F254" i="6" s="1"/>
  <c r="E253" i="6"/>
  <c r="G253" i="6" s="1"/>
  <c r="D253" i="6"/>
  <c r="E252" i="6"/>
  <c r="D252" i="6"/>
  <c r="F252" i="6" s="1"/>
  <c r="E251" i="6"/>
  <c r="G251" i="6" s="1"/>
  <c r="D251" i="6"/>
  <c r="E250" i="6"/>
  <c r="D250" i="6"/>
  <c r="F250" i="6" s="1"/>
  <c r="E249" i="6"/>
  <c r="G249" i="6" s="1"/>
  <c r="D249" i="6"/>
  <c r="E248" i="6"/>
  <c r="D248" i="6"/>
  <c r="F248" i="6" s="1"/>
  <c r="E247" i="6"/>
  <c r="G247" i="6" s="1"/>
  <c r="D247" i="6"/>
  <c r="E246" i="6"/>
  <c r="D246" i="6"/>
  <c r="F246" i="6" s="1"/>
  <c r="E245" i="6"/>
  <c r="G245" i="6" s="1"/>
  <c r="D245" i="6"/>
  <c r="E244" i="6"/>
  <c r="D244" i="6"/>
  <c r="F244" i="6" s="1"/>
  <c r="E243" i="6"/>
  <c r="G243" i="6" s="1"/>
  <c r="D243" i="6"/>
  <c r="E242" i="6"/>
  <c r="D242" i="6"/>
  <c r="F242" i="6" s="1"/>
  <c r="E241" i="6"/>
  <c r="G241" i="6" s="1"/>
  <c r="D241" i="6"/>
  <c r="E240" i="6"/>
  <c r="D240" i="6"/>
  <c r="F240" i="6" s="1"/>
  <c r="E239" i="6"/>
  <c r="G239" i="6" s="1"/>
  <c r="D239" i="6"/>
  <c r="E238" i="6"/>
  <c r="D238" i="6"/>
  <c r="F238" i="6" s="1"/>
  <c r="E237" i="6"/>
  <c r="G237" i="6" s="1"/>
  <c r="D237" i="6"/>
  <c r="E236" i="6"/>
  <c r="D236" i="6"/>
  <c r="F236" i="6" s="1"/>
  <c r="E235" i="6"/>
  <c r="G235" i="6" s="1"/>
  <c r="D235" i="6"/>
  <c r="E234" i="6"/>
  <c r="D234" i="6"/>
  <c r="F234" i="6" s="1"/>
  <c r="E233" i="6"/>
  <c r="G233" i="6" s="1"/>
  <c r="D233" i="6"/>
  <c r="E232" i="6"/>
  <c r="D232" i="6"/>
  <c r="F232" i="6" s="1"/>
  <c r="E231" i="6"/>
  <c r="G231" i="6" s="1"/>
  <c r="D231" i="6"/>
  <c r="E230" i="6"/>
  <c r="D230" i="6"/>
  <c r="F230" i="6" s="1"/>
  <c r="E229" i="6"/>
  <c r="G229" i="6" s="1"/>
  <c r="D229" i="6"/>
  <c r="E228" i="6"/>
  <c r="D228" i="6"/>
  <c r="F228" i="6" s="1"/>
  <c r="E227" i="6"/>
  <c r="G227" i="6" s="1"/>
  <c r="D227" i="6"/>
  <c r="E226" i="6"/>
  <c r="D226" i="6"/>
  <c r="F226" i="6" s="1"/>
  <c r="E225" i="6"/>
  <c r="G225" i="6" s="1"/>
  <c r="D225" i="6"/>
  <c r="E224" i="6"/>
  <c r="D224" i="6"/>
  <c r="F224" i="6" s="1"/>
  <c r="E223" i="6"/>
  <c r="D223" i="6"/>
  <c r="E222" i="6"/>
  <c r="D222" i="6"/>
  <c r="E221" i="6"/>
  <c r="G221" i="6" s="1"/>
  <c r="D221" i="6"/>
  <c r="E220" i="6"/>
  <c r="D220" i="6"/>
  <c r="F220" i="6" s="1"/>
  <c r="E219" i="6"/>
  <c r="G219" i="6" s="1"/>
  <c r="D219" i="6"/>
  <c r="E218" i="6"/>
  <c r="D218" i="6"/>
  <c r="F218" i="6" s="1"/>
  <c r="E217" i="6"/>
  <c r="G217" i="6" s="1"/>
  <c r="D217" i="6"/>
  <c r="E216" i="6"/>
  <c r="D216" i="6"/>
  <c r="F216" i="6" s="1"/>
  <c r="E215" i="6"/>
  <c r="G215" i="6" s="1"/>
  <c r="D215" i="6"/>
  <c r="E214" i="6"/>
  <c r="D214" i="6"/>
  <c r="F214" i="6" s="1"/>
  <c r="E213" i="6"/>
  <c r="G213" i="6" s="1"/>
  <c r="D213" i="6"/>
  <c r="E212" i="6"/>
  <c r="D212" i="6"/>
  <c r="F212" i="6" s="1"/>
  <c r="E211" i="6"/>
  <c r="G211" i="6" s="1"/>
  <c r="D211" i="6"/>
  <c r="E210" i="6"/>
  <c r="D210" i="6"/>
  <c r="F210" i="6" s="1"/>
  <c r="E209" i="6"/>
  <c r="G209" i="6" s="1"/>
  <c r="D209" i="6"/>
  <c r="E208" i="6"/>
  <c r="D208" i="6"/>
  <c r="F208" i="6" s="1"/>
  <c r="E207" i="6"/>
  <c r="G207" i="6" s="1"/>
  <c r="D207" i="6"/>
  <c r="E206" i="6"/>
  <c r="D206" i="6"/>
  <c r="F206" i="6" s="1"/>
  <c r="E205" i="6"/>
  <c r="G205" i="6" s="1"/>
  <c r="D205" i="6"/>
  <c r="E204" i="6"/>
  <c r="D204" i="6"/>
  <c r="F204" i="6" s="1"/>
  <c r="E203" i="6"/>
  <c r="G203" i="6" s="1"/>
  <c r="D203" i="6"/>
  <c r="E202" i="6"/>
  <c r="D202" i="6"/>
  <c r="F202" i="6" s="1"/>
  <c r="E201" i="6"/>
  <c r="G201" i="6" s="1"/>
  <c r="D201" i="6"/>
  <c r="E200" i="6"/>
  <c r="D200" i="6"/>
  <c r="F200" i="6" s="1"/>
  <c r="E199" i="6"/>
  <c r="G199" i="6" s="1"/>
  <c r="D199" i="6"/>
  <c r="E198" i="6"/>
  <c r="D198" i="6"/>
  <c r="F198" i="6" s="1"/>
  <c r="E197" i="6"/>
  <c r="G197" i="6" s="1"/>
  <c r="D197" i="6"/>
  <c r="E196" i="6"/>
  <c r="D196" i="6"/>
  <c r="F196" i="6" s="1"/>
  <c r="E195" i="6"/>
  <c r="G195" i="6" s="1"/>
  <c r="D195" i="6"/>
  <c r="E194" i="6"/>
  <c r="D194" i="6"/>
  <c r="F194" i="6" s="1"/>
  <c r="E193" i="6"/>
  <c r="G193" i="6" s="1"/>
  <c r="D193" i="6"/>
  <c r="E192" i="6"/>
  <c r="D192" i="6"/>
  <c r="F192" i="6" s="1"/>
  <c r="E191" i="6"/>
  <c r="G191" i="6" s="1"/>
  <c r="D191" i="6"/>
  <c r="E190" i="6"/>
  <c r="D190" i="6"/>
  <c r="F190" i="6" s="1"/>
  <c r="E189" i="6"/>
  <c r="G189" i="6" s="1"/>
  <c r="D189" i="6"/>
  <c r="E188" i="6"/>
  <c r="D188" i="6"/>
  <c r="F188" i="6" s="1"/>
  <c r="E187" i="6"/>
  <c r="G187" i="6" s="1"/>
  <c r="D187" i="6"/>
  <c r="E186" i="6"/>
  <c r="D186" i="6"/>
  <c r="F186" i="6" s="1"/>
  <c r="E185" i="6"/>
  <c r="G185" i="6" s="1"/>
  <c r="D185" i="6"/>
  <c r="E184" i="6"/>
  <c r="D184" i="6"/>
  <c r="F184" i="6" s="1"/>
  <c r="E183" i="6"/>
  <c r="G183" i="6" s="1"/>
  <c r="D183" i="6"/>
  <c r="E182" i="6"/>
  <c r="D182" i="6"/>
  <c r="F182" i="6" s="1"/>
  <c r="E181" i="6"/>
  <c r="G181" i="6" s="1"/>
  <c r="D181" i="6"/>
  <c r="E180" i="6"/>
  <c r="D180" i="6"/>
  <c r="F180" i="6" s="1"/>
  <c r="E179" i="6"/>
  <c r="G179" i="6" s="1"/>
  <c r="D179" i="6"/>
  <c r="E178" i="6"/>
  <c r="D178" i="6"/>
  <c r="F178" i="6" s="1"/>
  <c r="E177" i="6"/>
  <c r="G177" i="6" s="1"/>
  <c r="D177" i="6"/>
  <c r="E176" i="6"/>
  <c r="D176" i="6"/>
  <c r="F176" i="6" s="1"/>
  <c r="E175" i="6"/>
  <c r="G175" i="6" s="1"/>
  <c r="D175" i="6"/>
  <c r="E174" i="6"/>
  <c r="D174" i="6"/>
  <c r="F174" i="6" s="1"/>
  <c r="E173" i="6"/>
  <c r="G173" i="6" s="1"/>
  <c r="D173" i="6"/>
  <c r="E172" i="6"/>
  <c r="D172" i="6"/>
  <c r="F172" i="6" s="1"/>
  <c r="E171" i="6"/>
  <c r="G171" i="6" s="1"/>
  <c r="D171" i="6"/>
  <c r="E170" i="6"/>
  <c r="D170" i="6"/>
  <c r="F170" i="6" s="1"/>
  <c r="E169" i="6"/>
  <c r="G169" i="6" s="1"/>
  <c r="D169" i="6"/>
  <c r="E168" i="6"/>
  <c r="D168" i="6"/>
  <c r="F168" i="6" s="1"/>
  <c r="E167" i="6"/>
  <c r="G167" i="6" s="1"/>
  <c r="D167" i="6"/>
  <c r="E166" i="6"/>
  <c r="D166" i="6"/>
  <c r="F166" i="6" s="1"/>
  <c r="E165" i="6"/>
  <c r="G165" i="6" s="1"/>
  <c r="D165" i="6"/>
  <c r="E164" i="6"/>
  <c r="D164" i="6"/>
  <c r="F164" i="6" s="1"/>
  <c r="E163" i="6"/>
  <c r="G163" i="6" s="1"/>
  <c r="D163" i="6"/>
  <c r="E162" i="6"/>
  <c r="D162" i="6"/>
  <c r="F162" i="6" s="1"/>
  <c r="E161" i="6"/>
  <c r="G161" i="6" s="1"/>
  <c r="D161" i="6"/>
  <c r="E160" i="6"/>
  <c r="D160" i="6"/>
  <c r="F160" i="6" s="1"/>
  <c r="E159" i="6"/>
  <c r="G159" i="6" s="1"/>
  <c r="D159" i="6"/>
  <c r="E158" i="6"/>
  <c r="D158" i="6"/>
  <c r="F158" i="6" s="1"/>
  <c r="E157" i="6"/>
  <c r="G157" i="6" s="1"/>
  <c r="D157" i="6"/>
  <c r="E156" i="6"/>
  <c r="D156" i="6"/>
  <c r="F156" i="6" s="1"/>
  <c r="E155" i="6"/>
  <c r="G155" i="6" s="1"/>
  <c r="D155" i="6"/>
  <c r="E154" i="6"/>
  <c r="D154" i="6"/>
  <c r="F154" i="6" s="1"/>
  <c r="E153" i="6"/>
  <c r="G153" i="6" s="1"/>
  <c r="D153" i="6"/>
  <c r="E152" i="6"/>
  <c r="D152" i="6"/>
  <c r="F152" i="6" s="1"/>
  <c r="E151" i="6"/>
  <c r="G151" i="6" s="1"/>
  <c r="D151" i="6"/>
  <c r="E150" i="6"/>
  <c r="D150" i="6"/>
  <c r="F150" i="6" s="1"/>
  <c r="E149" i="6"/>
  <c r="G149" i="6" s="1"/>
  <c r="D149" i="6"/>
  <c r="E148" i="6"/>
  <c r="D148" i="6"/>
  <c r="F148" i="6" s="1"/>
  <c r="E147" i="6"/>
  <c r="G147" i="6" s="1"/>
  <c r="D147" i="6"/>
  <c r="E146" i="6"/>
  <c r="D146" i="6"/>
  <c r="F146" i="6" s="1"/>
  <c r="E145" i="6"/>
  <c r="G145" i="6" s="1"/>
  <c r="D145" i="6"/>
  <c r="E144" i="6"/>
  <c r="D144" i="6"/>
  <c r="F144" i="6" s="1"/>
  <c r="E143" i="6"/>
  <c r="G143" i="6" s="1"/>
  <c r="D143" i="6"/>
  <c r="E142" i="6"/>
  <c r="D142" i="6"/>
  <c r="F142" i="6" s="1"/>
  <c r="E141" i="6"/>
  <c r="G141" i="6" s="1"/>
  <c r="D141" i="6"/>
  <c r="E140" i="6"/>
  <c r="D140" i="6"/>
  <c r="F140" i="6" s="1"/>
  <c r="E139" i="6"/>
  <c r="G139" i="6" s="1"/>
  <c r="D139" i="6"/>
  <c r="E138" i="6"/>
  <c r="D138" i="6"/>
  <c r="F138" i="6" s="1"/>
  <c r="E137" i="6"/>
  <c r="G137" i="6" s="1"/>
  <c r="D137" i="6"/>
  <c r="E136" i="6"/>
  <c r="D136" i="6"/>
  <c r="F136" i="6" s="1"/>
  <c r="E135" i="6"/>
  <c r="G135" i="6" s="1"/>
  <c r="D135" i="6"/>
  <c r="E134" i="6"/>
  <c r="D134" i="6"/>
  <c r="F134" i="6" s="1"/>
  <c r="E133" i="6"/>
  <c r="G133" i="6" s="1"/>
  <c r="D133" i="6"/>
  <c r="E132" i="6"/>
  <c r="D132" i="6"/>
  <c r="F132" i="6" s="1"/>
  <c r="E131" i="6"/>
  <c r="G131" i="6" s="1"/>
  <c r="D131" i="6"/>
  <c r="E130" i="6"/>
  <c r="D130" i="6"/>
  <c r="F130" i="6" s="1"/>
  <c r="E129" i="6"/>
  <c r="G129" i="6" s="1"/>
  <c r="D129" i="6"/>
  <c r="E128" i="6"/>
  <c r="D128" i="6"/>
  <c r="F128" i="6" s="1"/>
  <c r="E127" i="6"/>
  <c r="G127" i="6" s="1"/>
  <c r="D127" i="6"/>
  <c r="E126" i="6"/>
  <c r="D126" i="6"/>
  <c r="F126" i="6" s="1"/>
  <c r="E125" i="6"/>
  <c r="G125" i="6" s="1"/>
  <c r="D125" i="6"/>
  <c r="E124" i="6"/>
  <c r="D124" i="6"/>
  <c r="F124" i="6" s="1"/>
  <c r="E123" i="6"/>
  <c r="G123" i="6" s="1"/>
  <c r="D123" i="6"/>
  <c r="E122" i="6"/>
  <c r="D122" i="6"/>
  <c r="F122" i="6" s="1"/>
  <c r="E121" i="6"/>
  <c r="G121" i="6" s="1"/>
  <c r="D121" i="6"/>
  <c r="E120" i="6"/>
  <c r="D120" i="6"/>
  <c r="F120" i="6" s="1"/>
  <c r="E119" i="6"/>
  <c r="G119" i="6" s="1"/>
  <c r="D119" i="6"/>
  <c r="E118" i="6"/>
  <c r="D118" i="6"/>
  <c r="F118" i="6" s="1"/>
  <c r="E117" i="6"/>
  <c r="G117" i="6" s="1"/>
  <c r="D117" i="6"/>
  <c r="E116" i="6"/>
  <c r="D116" i="6"/>
  <c r="F116" i="6" s="1"/>
  <c r="E115" i="6"/>
  <c r="G115" i="6" s="1"/>
  <c r="D115" i="6"/>
  <c r="E114" i="6"/>
  <c r="D114" i="6"/>
  <c r="F114" i="6" s="1"/>
  <c r="E113" i="6"/>
  <c r="G113" i="6" s="1"/>
  <c r="D113" i="6"/>
  <c r="E112" i="6"/>
  <c r="D112" i="6"/>
  <c r="F112" i="6" s="1"/>
  <c r="E111" i="6"/>
  <c r="G111" i="6" s="1"/>
  <c r="D111" i="6"/>
  <c r="E110" i="6"/>
  <c r="D110" i="6"/>
  <c r="F110" i="6" s="1"/>
  <c r="E109" i="6"/>
  <c r="G109" i="6" s="1"/>
  <c r="D109" i="6"/>
  <c r="E108" i="6"/>
  <c r="D108" i="6"/>
  <c r="F108" i="6" s="1"/>
  <c r="E107" i="6"/>
  <c r="G107" i="6" s="1"/>
  <c r="D107" i="6"/>
  <c r="E106" i="6"/>
  <c r="D106" i="6"/>
  <c r="F106" i="6" s="1"/>
  <c r="E105" i="6"/>
  <c r="G105" i="6" s="1"/>
  <c r="D105" i="6"/>
  <c r="E104" i="6"/>
  <c r="D104" i="6"/>
  <c r="F104" i="6" s="1"/>
  <c r="E103" i="6"/>
  <c r="G103" i="6" s="1"/>
  <c r="D103" i="6"/>
  <c r="E102" i="6"/>
  <c r="D102" i="6"/>
  <c r="F102" i="6" s="1"/>
  <c r="E101" i="6"/>
  <c r="G101" i="6" s="1"/>
  <c r="D101" i="6"/>
  <c r="E100" i="6"/>
  <c r="D100" i="6"/>
  <c r="F100" i="6" s="1"/>
  <c r="E99" i="6"/>
  <c r="G99" i="6" s="1"/>
  <c r="D99" i="6"/>
  <c r="E98" i="6"/>
  <c r="D98" i="6"/>
  <c r="F98" i="6" s="1"/>
  <c r="E97" i="6"/>
  <c r="G97" i="6" s="1"/>
  <c r="D97" i="6"/>
  <c r="E96" i="6"/>
  <c r="D96" i="6"/>
  <c r="F96" i="6" s="1"/>
  <c r="E95" i="6"/>
  <c r="G95" i="6" s="1"/>
  <c r="D95" i="6"/>
  <c r="E94" i="6"/>
  <c r="D94" i="6"/>
  <c r="F94" i="6" s="1"/>
  <c r="E93" i="6"/>
  <c r="G93" i="6" s="1"/>
  <c r="D93" i="6"/>
  <c r="E92" i="6"/>
  <c r="D92" i="6"/>
  <c r="F92" i="6" s="1"/>
  <c r="E91" i="6"/>
  <c r="G91" i="6" s="1"/>
  <c r="D91" i="6"/>
  <c r="E90" i="6"/>
  <c r="D90" i="6"/>
  <c r="F90" i="6" s="1"/>
  <c r="E89" i="6"/>
  <c r="G89" i="6" s="1"/>
  <c r="D89" i="6"/>
  <c r="E88" i="6"/>
  <c r="D88" i="6"/>
  <c r="F88" i="6" s="1"/>
  <c r="E87" i="6"/>
  <c r="G87" i="6" s="1"/>
  <c r="D87" i="6"/>
  <c r="E86" i="6"/>
  <c r="D86" i="6"/>
  <c r="F86" i="6" s="1"/>
  <c r="E85" i="6"/>
  <c r="G85" i="6" s="1"/>
  <c r="D85" i="6"/>
  <c r="E84" i="6"/>
  <c r="D84" i="6"/>
  <c r="F84" i="6" s="1"/>
  <c r="E83" i="6"/>
  <c r="G83" i="6" s="1"/>
  <c r="D83" i="6"/>
  <c r="E82" i="6"/>
  <c r="D82" i="6"/>
  <c r="F82" i="6" s="1"/>
  <c r="E81" i="6"/>
  <c r="G81" i="6" s="1"/>
  <c r="D81" i="6"/>
  <c r="E80" i="6"/>
  <c r="D80" i="6"/>
  <c r="F80" i="6" s="1"/>
  <c r="E79" i="6"/>
  <c r="G79" i="6" s="1"/>
  <c r="D79" i="6"/>
  <c r="E78" i="6"/>
  <c r="D78" i="6"/>
  <c r="F78" i="6" s="1"/>
  <c r="E77" i="6"/>
  <c r="G77" i="6" s="1"/>
  <c r="D77" i="6"/>
  <c r="E76" i="6"/>
  <c r="D76" i="6"/>
  <c r="F76" i="6" s="1"/>
  <c r="E75" i="6"/>
  <c r="G75" i="6" s="1"/>
  <c r="D75" i="6"/>
  <c r="E74" i="6"/>
  <c r="D74" i="6"/>
  <c r="F74" i="6" s="1"/>
  <c r="E73" i="6"/>
  <c r="G73" i="6" s="1"/>
  <c r="D73" i="6"/>
  <c r="E72" i="6"/>
  <c r="D72" i="6"/>
  <c r="F72" i="6" s="1"/>
  <c r="E71" i="6"/>
  <c r="G71" i="6" s="1"/>
  <c r="D71" i="6"/>
  <c r="E70" i="6"/>
  <c r="D70" i="6"/>
  <c r="F70" i="6" s="1"/>
  <c r="E69" i="6"/>
  <c r="G69" i="6" s="1"/>
  <c r="D69" i="6"/>
  <c r="E68" i="6"/>
  <c r="D68" i="6"/>
  <c r="F68" i="6" s="1"/>
  <c r="E67" i="6"/>
  <c r="G67" i="6" s="1"/>
  <c r="D67" i="6"/>
  <c r="E66" i="6"/>
  <c r="D66" i="6"/>
  <c r="F66" i="6" s="1"/>
  <c r="E65" i="6"/>
  <c r="G65" i="6" s="1"/>
  <c r="D65" i="6"/>
  <c r="E64" i="6"/>
  <c r="D64" i="6"/>
  <c r="F64" i="6" s="1"/>
  <c r="E63" i="6"/>
  <c r="G63" i="6" s="1"/>
  <c r="D63" i="6"/>
  <c r="E62" i="6"/>
  <c r="D62" i="6"/>
  <c r="F62" i="6" s="1"/>
  <c r="E61" i="6"/>
  <c r="G61" i="6" s="1"/>
  <c r="D61" i="6"/>
  <c r="E60" i="6"/>
  <c r="D60" i="6"/>
  <c r="F60" i="6" s="1"/>
  <c r="E59" i="6"/>
  <c r="G59" i="6" s="1"/>
  <c r="D59" i="6"/>
  <c r="E58" i="6"/>
  <c r="D58" i="6"/>
  <c r="F58" i="6" s="1"/>
  <c r="E57" i="6"/>
  <c r="G57" i="6" s="1"/>
  <c r="D57" i="6"/>
  <c r="E56" i="6"/>
  <c r="D56" i="6"/>
  <c r="F56" i="6" s="1"/>
  <c r="E55" i="6"/>
  <c r="D55" i="6"/>
  <c r="E54" i="6"/>
  <c r="D54" i="6"/>
  <c r="E53" i="6"/>
  <c r="G53" i="6" s="1"/>
  <c r="D53" i="6"/>
  <c r="E52" i="6"/>
  <c r="D52" i="6"/>
  <c r="F52" i="6" s="1"/>
  <c r="E51" i="6"/>
  <c r="G51" i="6" s="1"/>
  <c r="D51" i="6"/>
  <c r="E50" i="6"/>
  <c r="D50" i="6"/>
  <c r="F50" i="6" s="1"/>
  <c r="E49" i="6"/>
  <c r="G49" i="6" s="1"/>
  <c r="D49" i="6"/>
  <c r="E48" i="6"/>
  <c r="D48" i="6"/>
  <c r="F48" i="6" s="1"/>
  <c r="E47" i="6"/>
  <c r="G47" i="6" s="1"/>
  <c r="D47" i="6"/>
  <c r="E46" i="6"/>
  <c r="D46" i="6"/>
  <c r="F46" i="6" s="1"/>
  <c r="E45" i="6"/>
  <c r="G45" i="6" s="1"/>
  <c r="D45" i="6"/>
  <c r="E44" i="6"/>
  <c r="D44" i="6"/>
  <c r="F44" i="6" s="1"/>
  <c r="E43" i="6"/>
  <c r="G43" i="6" s="1"/>
  <c r="D43" i="6"/>
  <c r="E42" i="6"/>
  <c r="D42" i="6"/>
  <c r="F42" i="6" s="1"/>
  <c r="E41" i="6"/>
  <c r="G41" i="6" s="1"/>
  <c r="D41" i="6"/>
  <c r="E40" i="6"/>
  <c r="D40" i="6"/>
  <c r="F40" i="6" s="1"/>
  <c r="E39" i="6"/>
  <c r="G39" i="6" s="1"/>
  <c r="D39" i="6"/>
  <c r="E38" i="6"/>
  <c r="D38" i="6"/>
  <c r="F38" i="6" s="1"/>
  <c r="E37" i="6"/>
  <c r="G37" i="6" s="1"/>
  <c r="D37" i="6"/>
  <c r="E36" i="6"/>
  <c r="D36" i="6"/>
  <c r="F36" i="6" s="1"/>
  <c r="E35" i="6"/>
  <c r="G35" i="6" s="1"/>
  <c r="D35" i="6"/>
  <c r="E34" i="6"/>
  <c r="D34" i="6"/>
  <c r="F34" i="6" s="1"/>
  <c r="E33" i="6"/>
  <c r="G33" i="6" s="1"/>
  <c r="D33" i="6"/>
  <c r="E32" i="6"/>
  <c r="D32" i="6"/>
  <c r="F32" i="6" s="1"/>
  <c r="E31" i="6"/>
  <c r="G31" i="6" s="1"/>
  <c r="D31" i="6"/>
  <c r="E30" i="6"/>
  <c r="D30" i="6"/>
  <c r="F30" i="6" s="1"/>
  <c r="E29" i="6"/>
  <c r="G29" i="6" s="1"/>
  <c r="D29" i="6"/>
  <c r="E28" i="6"/>
  <c r="D28" i="6"/>
  <c r="F28" i="6" s="1"/>
  <c r="E27" i="6"/>
  <c r="G27" i="6" s="1"/>
  <c r="D27" i="6"/>
  <c r="E26" i="6"/>
  <c r="D26" i="6"/>
  <c r="F26" i="6" s="1"/>
  <c r="E25" i="6"/>
  <c r="G25" i="6" s="1"/>
  <c r="D25" i="6"/>
  <c r="E24" i="6"/>
  <c r="D24" i="6"/>
  <c r="F24" i="6" s="1"/>
  <c r="E23" i="6"/>
  <c r="G23" i="6" s="1"/>
  <c r="D23" i="6"/>
  <c r="E22" i="6"/>
  <c r="D22" i="6"/>
  <c r="F22" i="6" s="1"/>
  <c r="E21" i="6"/>
  <c r="G21" i="6" s="1"/>
  <c r="D21" i="6"/>
  <c r="E20" i="6"/>
  <c r="D20" i="6"/>
  <c r="F20" i="6" s="1"/>
  <c r="E19" i="6"/>
  <c r="G19" i="6" s="1"/>
  <c r="D19" i="6"/>
  <c r="E18" i="6"/>
  <c r="D18" i="6"/>
  <c r="F18" i="6" s="1"/>
  <c r="E17" i="6"/>
  <c r="G17" i="6" s="1"/>
  <c r="D17" i="6"/>
  <c r="E16" i="6"/>
  <c r="D16" i="6"/>
  <c r="F16" i="6" s="1"/>
  <c r="E15" i="6"/>
  <c r="G15" i="6" s="1"/>
  <c r="D15" i="6"/>
  <c r="E14" i="6"/>
  <c r="D14" i="6"/>
  <c r="F14" i="6" s="1"/>
  <c r="E13" i="6"/>
  <c r="G13" i="6" s="1"/>
  <c r="D13" i="6"/>
  <c r="E12" i="6"/>
  <c r="D12" i="6"/>
  <c r="F12" i="6" s="1"/>
  <c r="E11" i="6"/>
  <c r="G11" i="6" s="1"/>
  <c r="D11" i="6"/>
  <c r="E10" i="6"/>
  <c r="D10" i="6"/>
  <c r="F10" i="6" s="1"/>
  <c r="E9" i="6"/>
  <c r="G9" i="6" s="1"/>
  <c r="D9" i="6"/>
  <c r="E8" i="6"/>
  <c r="D8" i="6"/>
  <c r="F8" i="6" s="1"/>
  <c r="E7" i="6"/>
  <c r="G7" i="6" s="1"/>
  <c r="D7" i="6"/>
  <c r="E6" i="6"/>
  <c r="D6" i="6"/>
  <c r="F6" i="6" s="1"/>
  <c r="E5" i="6"/>
  <c r="G5" i="6" s="1"/>
  <c r="D5" i="6"/>
  <c r="E4" i="6"/>
  <c r="D4" i="6"/>
  <c r="F4" i="6" s="1"/>
  <c r="E3" i="6"/>
  <c r="G3" i="6" s="1"/>
  <c r="D3" i="6"/>
  <c r="E2" i="6"/>
  <c r="G2" i="6" s="1"/>
  <c r="D2" i="6"/>
  <c r="F2" i="6" s="1"/>
  <c r="M297" i="5" l="1"/>
  <c r="P296" i="5"/>
  <c r="F3" i="6"/>
  <c r="F5" i="6"/>
  <c r="F7" i="6"/>
  <c r="F9" i="6"/>
  <c r="F11" i="6"/>
  <c r="F13" i="6"/>
  <c r="F15" i="6"/>
  <c r="F17" i="6"/>
  <c r="F19" i="6"/>
  <c r="F21" i="6"/>
  <c r="F23" i="6"/>
  <c r="F25" i="6"/>
  <c r="F27" i="6"/>
  <c r="F29" i="6"/>
  <c r="F31" i="6"/>
  <c r="F33" i="6"/>
  <c r="F35" i="6"/>
  <c r="F37" i="6"/>
  <c r="F39" i="6"/>
  <c r="G4" i="6"/>
  <c r="G6" i="6"/>
  <c r="G8" i="6"/>
  <c r="G10" i="6"/>
  <c r="G12" i="6"/>
  <c r="G14" i="6"/>
  <c r="G16" i="6"/>
  <c r="G18" i="6"/>
  <c r="G20" i="6"/>
  <c r="G22" i="6"/>
  <c r="G24" i="6"/>
  <c r="G26" i="6"/>
  <c r="G28" i="6"/>
  <c r="G30" i="6"/>
  <c r="G32" i="6"/>
  <c r="G34" i="6"/>
  <c r="G36" i="6"/>
  <c r="G38" i="6"/>
  <c r="G40" i="6"/>
  <c r="G42" i="6"/>
  <c r="G44" i="6"/>
  <c r="G46" i="6"/>
  <c r="G48" i="6"/>
  <c r="G50" i="6"/>
  <c r="G52" i="6"/>
  <c r="G56" i="6"/>
  <c r="G58" i="6"/>
  <c r="G60" i="6"/>
  <c r="G62" i="6"/>
  <c r="G64" i="6"/>
  <c r="G66" i="6"/>
  <c r="G68" i="6"/>
  <c r="G70" i="6"/>
  <c r="G72" i="6"/>
  <c r="G74" i="6"/>
  <c r="G76" i="6"/>
  <c r="G78" i="6"/>
  <c r="G80" i="6"/>
  <c r="G82" i="6"/>
  <c r="G84" i="6"/>
  <c r="G86" i="6"/>
  <c r="G88" i="6"/>
  <c r="G90" i="6"/>
  <c r="G92" i="6"/>
  <c r="G94" i="6"/>
  <c r="G96" i="6"/>
  <c r="G98" i="6"/>
  <c r="G100" i="6"/>
  <c r="G102" i="6"/>
  <c r="G104" i="6"/>
  <c r="G106" i="6"/>
  <c r="G108" i="6"/>
  <c r="G110" i="6"/>
  <c r="G112" i="6"/>
  <c r="G114" i="6"/>
  <c r="G116" i="6"/>
  <c r="G118" i="6"/>
  <c r="G120" i="6"/>
  <c r="G122" i="6"/>
  <c r="G124" i="6"/>
  <c r="G126" i="6"/>
  <c r="G128" i="6"/>
  <c r="G130" i="6"/>
  <c r="F41" i="6"/>
  <c r="F43" i="6"/>
  <c r="F45" i="6"/>
  <c r="F47" i="6"/>
  <c r="F49" i="6"/>
  <c r="F51" i="6"/>
  <c r="F53" i="6"/>
  <c r="F57" i="6"/>
  <c r="F59" i="6"/>
  <c r="F61" i="6"/>
  <c r="F63" i="6"/>
  <c r="F65" i="6"/>
  <c r="F67" i="6"/>
  <c r="F69" i="6"/>
  <c r="F71" i="6"/>
  <c r="F73" i="6"/>
  <c r="F75" i="6"/>
  <c r="F77" i="6"/>
  <c r="F79" i="6"/>
  <c r="F81" i="6"/>
  <c r="F83" i="6"/>
  <c r="F85" i="6"/>
  <c r="F87" i="6"/>
  <c r="F89" i="6"/>
  <c r="F91" i="6"/>
  <c r="F93" i="6"/>
  <c r="F95" i="6"/>
  <c r="F97" i="6"/>
  <c r="F99" i="6"/>
  <c r="F101" i="6"/>
  <c r="F103" i="6"/>
  <c r="F105" i="6"/>
  <c r="F107" i="6"/>
  <c r="F109" i="6"/>
  <c r="F111" i="6"/>
  <c r="F113" i="6"/>
  <c r="F115" i="6"/>
  <c r="F117" i="6"/>
  <c r="F119" i="6"/>
  <c r="F121" i="6"/>
  <c r="F123" i="6"/>
  <c r="F125" i="6"/>
  <c r="F127" i="6"/>
  <c r="F129" i="6"/>
  <c r="F131" i="6"/>
  <c r="F133" i="6"/>
  <c r="F135" i="6"/>
  <c r="F137" i="6"/>
  <c r="F139" i="6"/>
  <c r="F141" i="6"/>
  <c r="F143" i="6"/>
  <c r="F145" i="6"/>
  <c r="F147" i="6"/>
  <c r="F149" i="6"/>
  <c r="F151" i="6"/>
  <c r="F153" i="6"/>
  <c r="F155" i="6"/>
  <c r="F157" i="6"/>
  <c r="F159" i="6"/>
  <c r="F161" i="6"/>
  <c r="F163" i="6"/>
  <c r="F165" i="6"/>
  <c r="F167" i="6"/>
  <c r="F169" i="6"/>
  <c r="F171" i="6"/>
  <c r="F173" i="6"/>
  <c r="F175" i="6"/>
  <c r="F177" i="6"/>
  <c r="F179" i="6"/>
  <c r="F181" i="6"/>
  <c r="F183" i="6"/>
  <c r="F185" i="6"/>
  <c r="F187" i="6"/>
  <c r="F189" i="6"/>
  <c r="F191" i="6"/>
  <c r="F193" i="6"/>
  <c r="F195" i="6"/>
  <c r="F197" i="6"/>
  <c r="F199" i="6"/>
  <c r="F201" i="6"/>
  <c r="F203" i="6"/>
  <c r="F205" i="6"/>
  <c r="F207" i="6"/>
  <c r="F209" i="6"/>
  <c r="F211" i="6"/>
  <c r="F213" i="6"/>
  <c r="F215" i="6"/>
  <c r="F217" i="6"/>
  <c r="F219" i="6"/>
  <c r="F221" i="6"/>
  <c r="F225" i="6"/>
  <c r="F227" i="6"/>
  <c r="F229" i="6"/>
  <c r="F231" i="6"/>
  <c r="F233" i="6"/>
  <c r="F235" i="6"/>
  <c r="F237" i="6"/>
  <c r="F239" i="6"/>
  <c r="F241" i="6"/>
  <c r="F243" i="6"/>
  <c r="F245" i="6"/>
  <c r="F247" i="6"/>
  <c r="F249" i="6"/>
  <c r="F251" i="6"/>
  <c r="F253" i="6"/>
  <c r="F255" i="6"/>
  <c r="F257" i="6"/>
  <c r="F259" i="6"/>
  <c r="F261" i="6"/>
  <c r="F263" i="6"/>
  <c r="F265" i="6"/>
  <c r="F267" i="6"/>
  <c r="F269" i="6"/>
  <c r="F271" i="6"/>
  <c r="F273" i="6"/>
  <c r="F275" i="6"/>
  <c r="F277" i="6"/>
  <c r="F279" i="6"/>
  <c r="F281" i="6"/>
  <c r="F283" i="6"/>
  <c r="F285" i="6"/>
  <c r="F287" i="6"/>
  <c r="F289" i="6"/>
  <c r="F291" i="6"/>
  <c r="F293" i="6"/>
  <c r="F295" i="6"/>
  <c r="F297" i="6"/>
  <c r="F299" i="6"/>
  <c r="F301" i="6"/>
  <c r="F303" i="6"/>
  <c r="F305" i="6"/>
  <c r="F307" i="6"/>
  <c r="F309" i="6"/>
  <c r="F311" i="6"/>
  <c r="F313" i="6"/>
  <c r="F315" i="6"/>
  <c r="F317" i="6"/>
  <c r="F319" i="6"/>
  <c r="F321" i="6"/>
  <c r="F323" i="6"/>
  <c r="F325" i="6"/>
  <c r="F327" i="6"/>
  <c r="F329" i="6"/>
  <c r="F331" i="6"/>
  <c r="F333" i="6"/>
  <c r="F335" i="6"/>
  <c r="F337" i="6"/>
  <c r="F339" i="6"/>
  <c r="F341" i="6"/>
  <c r="F343" i="6"/>
  <c r="F345" i="6"/>
  <c r="F347" i="6"/>
  <c r="F349" i="6"/>
  <c r="F351" i="6"/>
  <c r="F353" i="6"/>
  <c r="F355" i="6"/>
  <c r="F357" i="6"/>
  <c r="F359" i="6"/>
  <c r="F361" i="6"/>
  <c r="F363" i="6"/>
  <c r="F365" i="6"/>
  <c r="F367" i="6"/>
  <c r="F369" i="6"/>
  <c r="F371" i="6"/>
  <c r="F373" i="6"/>
  <c r="F375" i="6"/>
  <c r="F377" i="6"/>
  <c r="F379" i="6"/>
  <c r="F381" i="6"/>
  <c r="F383" i="6"/>
  <c r="G132" i="6"/>
  <c r="G134" i="6"/>
  <c r="G136" i="6"/>
  <c r="G138" i="6"/>
  <c r="G140" i="6"/>
  <c r="G142" i="6"/>
  <c r="G144" i="6"/>
  <c r="G146" i="6"/>
  <c r="G148" i="6"/>
  <c r="G150" i="6"/>
  <c r="G152" i="6"/>
  <c r="G154" i="6"/>
  <c r="G156" i="6"/>
  <c r="G158" i="6"/>
  <c r="G160" i="6"/>
  <c r="G162" i="6"/>
  <c r="G164" i="6"/>
  <c r="G166" i="6"/>
  <c r="G168" i="6"/>
  <c r="G170" i="6"/>
  <c r="G172" i="6"/>
  <c r="G174" i="6"/>
  <c r="G176" i="6"/>
  <c r="G178" i="6"/>
  <c r="G180" i="6"/>
  <c r="G182" i="6"/>
  <c r="G184" i="6"/>
  <c r="G186" i="6"/>
  <c r="G188" i="6"/>
  <c r="G190" i="6"/>
  <c r="G192" i="6"/>
  <c r="G194" i="6"/>
  <c r="G196" i="6"/>
  <c r="G198" i="6"/>
  <c r="G200" i="6"/>
  <c r="G202" i="6"/>
  <c r="G204" i="6"/>
  <c r="G206" i="6"/>
  <c r="G208" i="6"/>
  <c r="G210" i="6"/>
  <c r="G212" i="6"/>
  <c r="G214" i="6"/>
  <c r="G216" i="6"/>
  <c r="G218" i="6"/>
  <c r="G220" i="6"/>
  <c r="G224" i="6"/>
  <c r="G226" i="6"/>
  <c r="G228" i="6"/>
  <c r="G230" i="6"/>
  <c r="G232" i="6"/>
  <c r="G234" i="6"/>
  <c r="G236" i="6"/>
  <c r="G238" i="6"/>
  <c r="G240" i="6"/>
  <c r="G242" i="6"/>
  <c r="G244" i="6"/>
  <c r="G246" i="6"/>
  <c r="G248" i="6"/>
  <c r="G250" i="6"/>
  <c r="G252" i="6"/>
  <c r="G254" i="6"/>
  <c r="G256" i="6"/>
  <c r="G258" i="6"/>
  <c r="G260" i="6"/>
  <c r="G262" i="6"/>
  <c r="G264" i="6"/>
  <c r="G266" i="6"/>
  <c r="G268" i="6"/>
  <c r="G270" i="6"/>
  <c r="G272" i="6"/>
  <c r="G274" i="6"/>
  <c r="G276" i="6"/>
  <c r="G278" i="6"/>
  <c r="G280" i="6"/>
  <c r="G282" i="6"/>
  <c r="G284" i="6"/>
  <c r="G286" i="6"/>
  <c r="G288" i="6"/>
  <c r="G290" i="6"/>
  <c r="G292" i="6"/>
  <c r="G294" i="6"/>
  <c r="G296" i="6"/>
  <c r="G298" i="6"/>
  <c r="G300" i="6"/>
  <c r="G302" i="6"/>
  <c r="F385" i="6"/>
  <c r="F387" i="6"/>
  <c r="F389" i="6"/>
  <c r="F391" i="6"/>
  <c r="F393" i="6"/>
  <c r="F395" i="6"/>
  <c r="F397" i="6"/>
  <c r="F399" i="6"/>
  <c r="F401" i="6"/>
  <c r="F403" i="6"/>
  <c r="F405" i="6"/>
  <c r="F407" i="6"/>
  <c r="F409" i="6"/>
  <c r="F411" i="6"/>
  <c r="F413" i="6"/>
  <c r="F415" i="6"/>
  <c r="F417" i="6"/>
  <c r="F419" i="6"/>
  <c r="F421" i="6"/>
  <c r="F423" i="6"/>
  <c r="F425" i="6"/>
  <c r="F427" i="6"/>
  <c r="F429" i="6"/>
  <c r="F431" i="6"/>
  <c r="F433" i="6"/>
  <c r="F435" i="6"/>
  <c r="F437" i="6"/>
  <c r="F439" i="6"/>
  <c r="F441" i="6"/>
  <c r="F443" i="6"/>
  <c r="F445" i="6"/>
  <c r="F447" i="6"/>
  <c r="F449" i="6"/>
  <c r="F451" i="6"/>
  <c r="F453" i="6"/>
  <c r="F455" i="6"/>
  <c r="F457" i="6"/>
  <c r="F459" i="6"/>
  <c r="F461" i="6"/>
  <c r="F463" i="6"/>
  <c r="F465" i="6"/>
  <c r="F467" i="6"/>
  <c r="F469" i="6"/>
  <c r="F470" i="6"/>
  <c r="G473" i="6"/>
  <c r="G475" i="6"/>
  <c r="G477" i="6"/>
  <c r="G479" i="6"/>
  <c r="G481" i="6"/>
  <c r="G483" i="6"/>
  <c r="G485" i="6"/>
  <c r="G487" i="6"/>
  <c r="G489" i="6"/>
  <c r="G491" i="6"/>
  <c r="G493" i="6"/>
  <c r="G495" i="6"/>
  <c r="G497" i="6"/>
  <c r="G499" i="6"/>
  <c r="G501" i="6"/>
  <c r="G503" i="6"/>
  <c r="G505" i="6"/>
  <c r="A294" i="5"/>
  <c r="B294" i="5" s="1"/>
  <c r="G304" i="6"/>
  <c r="G306" i="6"/>
  <c r="G308" i="6"/>
  <c r="G310" i="6"/>
  <c r="G312" i="6"/>
  <c r="G314" i="6"/>
  <c r="G316" i="6"/>
  <c r="G318" i="6"/>
  <c r="G320" i="6"/>
  <c r="G322" i="6"/>
  <c r="G324" i="6"/>
  <c r="G326" i="6"/>
  <c r="G328" i="6"/>
  <c r="G330" i="6"/>
  <c r="G332" i="6"/>
  <c r="G334" i="6"/>
  <c r="G336" i="6"/>
  <c r="G338" i="6"/>
  <c r="G340" i="6"/>
  <c r="G342" i="6"/>
  <c r="G375" i="6"/>
  <c r="G377" i="6"/>
  <c r="G379" i="6"/>
  <c r="G381" i="6"/>
  <c r="G383" i="6"/>
  <c r="G385" i="6"/>
  <c r="G387" i="6"/>
  <c r="G389" i="6"/>
  <c r="G391" i="6"/>
  <c r="G393" i="6"/>
  <c r="G395" i="6"/>
  <c r="G397" i="6"/>
  <c r="G399" i="6"/>
  <c r="G401" i="6"/>
  <c r="G403" i="6"/>
  <c r="G405" i="6"/>
  <c r="G407" i="6"/>
  <c r="G409" i="6"/>
  <c r="G411" i="6"/>
  <c r="G413" i="6"/>
  <c r="G415" i="6"/>
  <c r="G417" i="6"/>
  <c r="G418" i="6"/>
  <c r="G422" i="6"/>
  <c r="G424" i="6"/>
  <c r="G426" i="6"/>
  <c r="G428" i="6"/>
  <c r="G430" i="6"/>
  <c r="G432" i="6"/>
  <c r="G434" i="6"/>
  <c r="G436" i="6"/>
  <c r="G440" i="6"/>
  <c r="G442" i="6"/>
  <c r="G444" i="6"/>
  <c r="G446" i="6"/>
  <c r="G448" i="6"/>
  <c r="G450" i="6"/>
  <c r="G452" i="6"/>
  <c r="G454" i="6"/>
  <c r="G456" i="6"/>
  <c r="G458" i="6"/>
  <c r="G460" i="6"/>
  <c r="G462" i="6"/>
  <c r="G464" i="6"/>
  <c r="G466" i="6"/>
  <c r="G468" i="6"/>
  <c r="G470" i="6"/>
  <c r="F472" i="6"/>
  <c r="F474" i="6"/>
  <c r="F476" i="6"/>
  <c r="F478" i="6"/>
  <c r="F480" i="6"/>
  <c r="F482" i="6"/>
  <c r="F484" i="6"/>
  <c r="F486" i="6"/>
  <c r="F488" i="6"/>
  <c r="F490" i="6"/>
  <c r="F492" i="6"/>
  <c r="F494" i="6"/>
  <c r="F496" i="6"/>
  <c r="F498" i="6"/>
  <c r="F500" i="6"/>
  <c r="F502" i="6"/>
  <c r="F504" i="6"/>
  <c r="C295" i="5"/>
  <c r="G311" i="6"/>
  <c r="G313" i="6"/>
  <c r="G315" i="6"/>
  <c r="G317" i="6"/>
  <c r="G319" i="6"/>
  <c r="G321" i="6"/>
  <c r="G323" i="6"/>
  <c r="G325" i="6"/>
  <c r="G327" i="6"/>
  <c r="G329" i="6"/>
  <c r="G331" i="6"/>
  <c r="G333" i="6"/>
  <c r="G335" i="6"/>
  <c r="G337" i="6"/>
  <c r="G339" i="6"/>
  <c r="G341" i="6"/>
  <c r="G343" i="6"/>
  <c r="G345" i="6"/>
  <c r="G347" i="6"/>
  <c r="G349" i="6"/>
  <c r="G351" i="6"/>
  <c r="G353" i="6"/>
  <c r="G355" i="6"/>
  <c r="G357" i="6"/>
  <c r="Q295" i="5"/>
  <c r="M506" i="5"/>
  <c r="M504" i="5"/>
  <c r="M502" i="5"/>
  <c r="M500" i="5"/>
  <c r="M498" i="5"/>
  <c r="M496" i="5"/>
  <c r="M494" i="5"/>
  <c r="M492" i="5"/>
  <c r="M490" i="5"/>
  <c r="M488" i="5"/>
  <c r="M486" i="5"/>
  <c r="M484" i="5"/>
  <c r="M482" i="5"/>
  <c r="M480" i="5"/>
  <c r="M478" i="5"/>
  <c r="M476" i="5"/>
  <c r="M474" i="5"/>
  <c r="M472" i="5"/>
  <c r="M470" i="5"/>
  <c r="M468" i="5"/>
  <c r="M466" i="5"/>
  <c r="M462" i="5"/>
  <c r="M460" i="5"/>
  <c r="M458" i="5"/>
  <c r="M454" i="5"/>
  <c r="M452" i="5"/>
  <c r="M450" i="5"/>
  <c r="M446" i="5"/>
  <c r="M444" i="5"/>
  <c r="M442" i="5"/>
  <c r="M438" i="5"/>
  <c r="M436" i="5"/>
  <c r="M434" i="5"/>
  <c r="M430" i="5"/>
  <c r="M428" i="5"/>
  <c r="M426" i="5"/>
  <c r="M422" i="5"/>
  <c r="M420" i="5"/>
  <c r="M418" i="5"/>
  <c r="M414" i="5"/>
  <c r="M412" i="5"/>
  <c r="M410" i="5"/>
  <c r="M406" i="5"/>
  <c r="M404" i="5"/>
  <c r="M402" i="5"/>
  <c r="M398" i="5"/>
  <c r="M396" i="5"/>
  <c r="M394" i="5"/>
  <c r="M390" i="5"/>
  <c r="M388" i="5"/>
  <c r="M386" i="5"/>
  <c r="M382" i="5"/>
  <c r="M380" i="5"/>
  <c r="M378" i="5"/>
  <c r="M374" i="5"/>
  <c r="M372" i="5"/>
  <c r="M370" i="5"/>
  <c r="M366" i="5"/>
  <c r="M364" i="5"/>
  <c r="M362" i="5"/>
  <c r="M358" i="5"/>
  <c r="M356" i="5"/>
  <c r="M354" i="5"/>
  <c r="M350" i="5"/>
  <c r="M348" i="5"/>
  <c r="M346" i="5"/>
  <c r="M342" i="5"/>
  <c r="M340" i="5"/>
  <c r="M338" i="5"/>
  <c r="M334" i="5"/>
  <c r="M332" i="5"/>
  <c r="M330" i="5"/>
  <c r="M326" i="5"/>
  <c r="M324" i="5"/>
  <c r="M322" i="5"/>
  <c r="M318" i="5"/>
  <c r="M316" i="5"/>
  <c r="M314" i="5"/>
  <c r="M310" i="5"/>
  <c r="M308" i="5"/>
  <c r="M306" i="5"/>
  <c r="M302" i="5"/>
  <c r="M300" i="5"/>
  <c r="M298" i="5"/>
  <c r="M464" i="5"/>
  <c r="M465" i="5"/>
  <c r="M456" i="5"/>
  <c r="M457" i="5"/>
  <c r="M448" i="5"/>
  <c r="M449" i="5"/>
  <c r="M440" i="5"/>
  <c r="M441" i="5"/>
  <c r="M432" i="5"/>
  <c r="M433" i="5"/>
  <c r="M424" i="5"/>
  <c r="M425" i="5"/>
  <c r="M416" i="5"/>
  <c r="M417" i="5"/>
  <c r="M408" i="5"/>
  <c r="M409" i="5"/>
  <c r="M400" i="5"/>
  <c r="M401" i="5"/>
  <c r="M392" i="5"/>
  <c r="M393" i="5"/>
  <c r="M384" i="5"/>
  <c r="M385" i="5"/>
  <c r="M376" i="5"/>
  <c r="M377" i="5"/>
  <c r="M368" i="5"/>
  <c r="M369" i="5"/>
  <c r="M360" i="5"/>
  <c r="M361" i="5"/>
  <c r="M352" i="5"/>
  <c r="M353" i="5"/>
  <c r="M344" i="5"/>
  <c r="M345" i="5"/>
  <c r="M336" i="5"/>
  <c r="M337" i="5"/>
  <c r="M328" i="5"/>
  <c r="M329" i="5"/>
  <c r="M320" i="5"/>
  <c r="M321" i="5"/>
  <c r="M312" i="5"/>
  <c r="M313" i="5"/>
  <c r="M304" i="5"/>
  <c r="M305" i="5"/>
  <c r="M461" i="5"/>
  <c r="M453" i="5"/>
  <c r="M445" i="5"/>
  <c r="M437" i="5"/>
  <c r="M429" i="5"/>
  <c r="M421" i="5"/>
  <c r="M413" i="5"/>
  <c r="M405" i="5"/>
  <c r="M397" i="5"/>
  <c r="M389" i="5"/>
  <c r="M381" i="5"/>
  <c r="M373" i="5"/>
  <c r="M365" i="5"/>
  <c r="M357" i="5"/>
  <c r="M349" i="5"/>
  <c r="M341" i="5"/>
  <c r="M333" i="5"/>
  <c r="M325" i="5"/>
  <c r="M317" i="5"/>
  <c r="M309" i="5"/>
  <c r="M301" i="5"/>
  <c r="M507" i="5"/>
  <c r="M505" i="5"/>
  <c r="M503" i="5"/>
  <c r="M501" i="5"/>
  <c r="M499" i="5"/>
  <c r="M497" i="5"/>
  <c r="M495" i="5"/>
  <c r="M493" i="5"/>
  <c r="M491" i="5"/>
  <c r="M489" i="5"/>
  <c r="M487" i="5"/>
  <c r="M485" i="5"/>
  <c r="M483" i="5"/>
  <c r="M481" i="5"/>
  <c r="M479" i="5"/>
  <c r="M477" i="5"/>
  <c r="M475" i="5"/>
  <c r="M473" i="5"/>
  <c r="M471" i="5"/>
  <c r="M469" i="5"/>
  <c r="M467" i="5"/>
  <c r="M463" i="5"/>
  <c r="M459" i="5"/>
  <c r="M455" i="5"/>
  <c r="M451" i="5"/>
  <c r="M447" i="5"/>
  <c r="M443" i="5"/>
  <c r="M439" i="5"/>
  <c r="M435" i="5"/>
  <c r="M431" i="5"/>
  <c r="M427" i="5"/>
  <c r="M423" i="5"/>
  <c r="M419" i="5"/>
  <c r="M415" i="5"/>
  <c r="M411" i="5"/>
  <c r="M407" i="5"/>
  <c r="M403" i="5"/>
  <c r="M399" i="5"/>
  <c r="M395" i="5"/>
  <c r="M391" i="5"/>
  <c r="M387" i="5"/>
  <c r="M383" i="5"/>
  <c r="M379" i="5"/>
  <c r="M375" i="5"/>
  <c r="M371" i="5"/>
  <c r="M367" i="5"/>
  <c r="M363" i="5"/>
  <c r="M359" i="5"/>
  <c r="M355" i="5"/>
  <c r="M351" i="5"/>
  <c r="M347" i="5"/>
  <c r="M343" i="5"/>
  <c r="M339" i="5"/>
  <c r="M335" i="5"/>
  <c r="M331" i="5"/>
  <c r="M327" i="5"/>
  <c r="M323" i="5"/>
  <c r="M319" i="5"/>
  <c r="M315" i="5"/>
  <c r="M311" i="5"/>
  <c r="M307" i="5"/>
  <c r="M303" i="5"/>
  <c r="M299" i="5"/>
  <c r="G54" i="6"/>
  <c r="G55" i="6"/>
  <c r="F54" i="6"/>
  <c r="F55" i="6"/>
  <c r="G222" i="6"/>
  <c r="G223" i="6"/>
  <c r="F222" i="6"/>
  <c r="F223" i="6"/>
  <c r="F358" i="6"/>
  <c r="G358" i="6"/>
  <c r="G360" i="6"/>
  <c r="G362" i="6"/>
  <c r="G364" i="6"/>
  <c r="G366" i="6"/>
  <c r="G368" i="6"/>
  <c r="G370" i="6"/>
  <c r="G372" i="6"/>
  <c r="G374" i="6"/>
  <c r="G376" i="6"/>
  <c r="G378" i="6"/>
  <c r="G380" i="6"/>
  <c r="G382" i="6"/>
  <c r="G384" i="6"/>
  <c r="G386" i="6"/>
  <c r="G388" i="6"/>
  <c r="G390" i="6"/>
  <c r="G392" i="6"/>
  <c r="G394" i="6"/>
  <c r="G396" i="6"/>
  <c r="G398" i="6"/>
  <c r="G400" i="6"/>
  <c r="G402" i="6"/>
  <c r="G404" i="6"/>
  <c r="G406" i="6"/>
  <c r="G408" i="6"/>
  <c r="G410" i="6"/>
  <c r="G412" i="6"/>
  <c r="G414" i="6"/>
  <c r="G416" i="6"/>
  <c r="G419" i="6"/>
  <c r="G420" i="6"/>
  <c r="G439" i="6"/>
  <c r="G438" i="6"/>
  <c r="P295" i="5" l="1"/>
  <c r="Q294" i="5"/>
  <c r="A293" i="5"/>
  <c r="C294" i="5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2" i="1"/>
  <c r="EJ3" i="2"/>
  <c r="EJ4" i="2"/>
  <c r="EJ5" i="2"/>
  <c r="EJ6" i="2"/>
  <c r="EJ7" i="2"/>
  <c r="EJ8" i="2"/>
  <c r="EJ9" i="2"/>
  <c r="EJ10" i="2"/>
  <c r="EJ11" i="2"/>
  <c r="EJ12" i="2"/>
  <c r="EJ13" i="2"/>
  <c r="EJ14" i="2"/>
  <c r="EJ15" i="2"/>
  <c r="EJ16" i="2"/>
  <c r="EJ17" i="2"/>
  <c r="EJ18" i="2"/>
  <c r="EJ19" i="2"/>
  <c r="EJ20" i="2"/>
  <c r="EJ21" i="2"/>
  <c r="EJ22" i="2"/>
  <c r="EJ23" i="2"/>
  <c r="EJ24" i="2"/>
  <c r="EJ25" i="2"/>
  <c r="EJ26" i="2"/>
  <c r="EJ27" i="2"/>
  <c r="EJ28" i="2"/>
  <c r="EJ29" i="2"/>
  <c r="EJ30" i="2"/>
  <c r="EJ31" i="2"/>
  <c r="EJ32" i="2"/>
  <c r="EJ33" i="2"/>
  <c r="EJ34" i="2"/>
  <c r="EJ35" i="2"/>
  <c r="EJ36" i="2"/>
  <c r="EJ37" i="2"/>
  <c r="EJ38" i="2"/>
  <c r="EJ39" i="2"/>
  <c r="EJ40" i="2"/>
  <c r="EJ41" i="2"/>
  <c r="EJ42" i="2"/>
  <c r="EJ43" i="2"/>
  <c r="EJ44" i="2"/>
  <c r="EJ45" i="2"/>
  <c r="EJ46" i="2"/>
  <c r="EJ47" i="2"/>
  <c r="EJ48" i="2"/>
  <c r="EJ49" i="2"/>
  <c r="EJ50" i="2"/>
  <c r="EJ51" i="2"/>
  <c r="EJ52" i="2"/>
  <c r="EJ53" i="2"/>
  <c r="EJ54" i="2"/>
  <c r="EJ55" i="2"/>
  <c r="EJ56" i="2"/>
  <c r="EJ57" i="2"/>
  <c r="EJ58" i="2"/>
  <c r="EJ59" i="2"/>
  <c r="EJ60" i="2"/>
  <c r="EJ61" i="2"/>
  <c r="EJ62" i="2"/>
  <c r="EJ63" i="2"/>
  <c r="EJ64" i="2"/>
  <c r="EJ65" i="2"/>
  <c r="EJ66" i="2"/>
  <c r="EJ67" i="2"/>
  <c r="EJ68" i="2"/>
  <c r="EJ69" i="2"/>
  <c r="EJ70" i="2"/>
  <c r="EJ71" i="2"/>
  <c r="EJ72" i="2"/>
  <c r="EJ73" i="2"/>
  <c r="EJ74" i="2"/>
  <c r="EJ75" i="2"/>
  <c r="EJ76" i="2"/>
  <c r="EJ77" i="2"/>
  <c r="EJ78" i="2"/>
  <c r="EJ79" i="2"/>
  <c r="EJ80" i="2"/>
  <c r="EJ81" i="2"/>
  <c r="EJ82" i="2"/>
  <c r="EJ83" i="2"/>
  <c r="EJ84" i="2"/>
  <c r="EJ85" i="2"/>
  <c r="EJ86" i="2"/>
  <c r="EJ87" i="2"/>
  <c r="EJ88" i="2"/>
  <c r="EJ89" i="2"/>
  <c r="EJ90" i="2"/>
  <c r="EJ91" i="2"/>
  <c r="EJ92" i="2"/>
  <c r="EJ93" i="2"/>
  <c r="EJ94" i="2"/>
  <c r="EJ95" i="2"/>
  <c r="EJ96" i="2"/>
  <c r="EJ97" i="2"/>
  <c r="EJ98" i="2"/>
  <c r="EJ99" i="2"/>
  <c r="EJ100" i="2"/>
  <c r="EJ101" i="2"/>
  <c r="EJ102" i="2"/>
  <c r="EJ103" i="2"/>
  <c r="EJ104" i="2"/>
  <c r="EJ105" i="2"/>
  <c r="EJ106" i="2"/>
  <c r="EJ107" i="2"/>
  <c r="EJ108" i="2"/>
  <c r="EJ109" i="2"/>
  <c r="EJ110" i="2"/>
  <c r="EJ111" i="2"/>
  <c r="EJ112" i="2"/>
  <c r="EJ113" i="2"/>
  <c r="EJ114" i="2"/>
  <c r="EJ115" i="2"/>
  <c r="EJ116" i="2"/>
  <c r="EJ117" i="2"/>
  <c r="EJ118" i="2"/>
  <c r="EJ119" i="2"/>
  <c r="EJ120" i="2"/>
  <c r="EJ121" i="2"/>
  <c r="EJ122" i="2"/>
  <c r="EJ123" i="2"/>
  <c r="EJ124" i="2"/>
  <c r="EJ125" i="2"/>
  <c r="EJ126" i="2"/>
  <c r="EJ127" i="2"/>
  <c r="EJ128" i="2"/>
  <c r="EJ129" i="2"/>
  <c r="EJ130" i="2"/>
  <c r="EJ131" i="2"/>
  <c r="EJ132" i="2"/>
  <c r="EJ133" i="2"/>
  <c r="EJ134" i="2"/>
  <c r="EJ135" i="2"/>
  <c r="EJ136" i="2"/>
  <c r="EJ137" i="2"/>
  <c r="EJ138" i="2"/>
  <c r="EJ139" i="2"/>
  <c r="EJ140" i="2"/>
  <c r="EJ141" i="2"/>
  <c r="EJ142" i="2"/>
  <c r="EJ143" i="2"/>
  <c r="EJ144" i="2"/>
  <c r="EJ145" i="2"/>
  <c r="EJ146" i="2"/>
  <c r="EJ147" i="2"/>
  <c r="EJ148" i="2"/>
  <c r="EJ149" i="2"/>
  <c r="EJ150" i="2"/>
  <c r="EJ151" i="2"/>
  <c r="EJ152" i="2"/>
  <c r="EJ153" i="2"/>
  <c r="EJ154" i="2"/>
  <c r="EJ155" i="2"/>
  <c r="EJ156" i="2"/>
  <c r="EJ157" i="2"/>
  <c r="EJ2" i="2"/>
  <c r="P294" i="5" l="1"/>
  <c r="C293" i="5"/>
  <c r="B293" i="5"/>
  <c r="Q293" i="5"/>
  <c r="A292" i="5"/>
  <c r="A297" i="5"/>
  <c r="P293" i="5" l="1"/>
  <c r="Q292" i="5"/>
  <c r="A291" i="5"/>
  <c r="C292" i="5"/>
  <c r="B292" i="5"/>
  <c r="B297" i="5"/>
  <c r="Q297" i="5"/>
  <c r="C297" i="5"/>
  <c r="P292" i="5"/>
  <c r="A298" i="5"/>
  <c r="A290" i="5" l="1"/>
  <c r="C290" i="5" s="1"/>
  <c r="C291" i="5"/>
  <c r="B291" i="5"/>
  <c r="Q291" i="5"/>
  <c r="Q298" i="5"/>
  <c r="B298" i="5"/>
  <c r="C298" i="5"/>
  <c r="P297" i="5"/>
  <c r="A299" i="5"/>
  <c r="P291" i="5" l="1"/>
  <c r="B290" i="5"/>
  <c r="Q290" i="5"/>
  <c r="P290" i="5" s="1"/>
  <c r="A289" i="5"/>
  <c r="A288" i="5" s="1"/>
  <c r="Q299" i="5"/>
  <c r="B299" i="5"/>
  <c r="C299" i="5"/>
  <c r="P298" i="5"/>
  <c r="A300" i="5"/>
  <c r="C289" i="5" l="1"/>
  <c r="B289" i="5"/>
  <c r="Q289" i="5"/>
  <c r="A287" i="5"/>
  <c r="Q288" i="5"/>
  <c r="B288" i="5"/>
  <c r="C288" i="5"/>
  <c r="P299" i="5"/>
  <c r="Q300" i="5"/>
  <c r="B300" i="5"/>
  <c r="C300" i="5"/>
  <c r="P289" i="5"/>
  <c r="A301" i="5"/>
  <c r="B301" i="5" l="1"/>
  <c r="Q301" i="5"/>
  <c r="C301" i="5"/>
  <c r="A286" i="5"/>
  <c r="B287" i="5"/>
  <c r="Q287" i="5"/>
  <c r="C287" i="5"/>
  <c r="P300" i="5"/>
  <c r="P288" i="5"/>
  <c r="A302" i="5"/>
  <c r="P287" i="5" l="1"/>
  <c r="A285" i="5"/>
  <c r="Q286" i="5"/>
  <c r="B286" i="5"/>
  <c r="C286" i="5"/>
  <c r="Q302" i="5"/>
  <c r="B302" i="5"/>
  <c r="C302" i="5"/>
  <c r="P301" i="5"/>
  <c r="A303" i="5"/>
  <c r="Q303" i="5" l="1"/>
  <c r="B303" i="5"/>
  <c r="C303" i="5"/>
  <c r="P302" i="5"/>
  <c r="A284" i="5"/>
  <c r="Q285" i="5"/>
  <c r="B285" i="5"/>
  <c r="C285" i="5"/>
  <c r="P286" i="5"/>
  <c r="A304" i="5"/>
  <c r="P285" i="5" l="1"/>
  <c r="Q304" i="5"/>
  <c r="B304" i="5"/>
  <c r="C304" i="5"/>
  <c r="A283" i="5"/>
  <c r="Q284" i="5"/>
  <c r="B284" i="5"/>
  <c r="C284" i="5"/>
  <c r="P303" i="5"/>
  <c r="A305" i="5"/>
  <c r="B305" i="5" l="1"/>
  <c r="Q305" i="5"/>
  <c r="C305" i="5"/>
  <c r="P284" i="5"/>
  <c r="P304" i="5"/>
  <c r="A282" i="5"/>
  <c r="B283" i="5"/>
  <c r="Q283" i="5"/>
  <c r="C283" i="5"/>
  <c r="A306" i="5"/>
  <c r="Q306" i="5" l="1"/>
  <c r="B306" i="5"/>
  <c r="C306" i="5"/>
  <c r="P283" i="5"/>
  <c r="A281" i="5"/>
  <c r="Q282" i="5"/>
  <c r="B282" i="5"/>
  <c r="C282" i="5"/>
  <c r="P305" i="5"/>
  <c r="A307" i="5"/>
  <c r="P282" i="5" l="1"/>
  <c r="Q307" i="5"/>
  <c r="B307" i="5"/>
  <c r="C307" i="5"/>
  <c r="A280" i="5"/>
  <c r="Q281" i="5"/>
  <c r="B281" i="5"/>
  <c r="C281" i="5"/>
  <c r="P306" i="5"/>
  <c r="A308" i="5"/>
  <c r="A279" i="5" l="1"/>
  <c r="Q280" i="5"/>
  <c r="B280" i="5"/>
  <c r="C280" i="5"/>
  <c r="Q308" i="5"/>
  <c r="B308" i="5"/>
  <c r="C308" i="5"/>
  <c r="P281" i="5"/>
  <c r="P307" i="5"/>
  <c r="A309" i="5"/>
  <c r="B279" i="5" l="1"/>
  <c r="C279" i="5"/>
  <c r="Q279" i="5"/>
  <c r="A278" i="5"/>
  <c r="P280" i="5"/>
  <c r="B309" i="5"/>
  <c r="Q309" i="5"/>
  <c r="C309" i="5"/>
  <c r="P308" i="5"/>
  <c r="A310" i="5"/>
  <c r="P279" i="5" l="1"/>
  <c r="Q278" i="5"/>
  <c r="C278" i="5"/>
  <c r="B278" i="5"/>
  <c r="A277" i="5"/>
  <c r="Q310" i="5"/>
  <c r="B310" i="5"/>
  <c r="C310" i="5"/>
  <c r="P309" i="5"/>
  <c r="A311" i="5"/>
  <c r="P278" i="5" l="1"/>
  <c r="Q277" i="5"/>
  <c r="C277" i="5"/>
  <c r="B277" i="5"/>
  <c r="A276" i="5"/>
  <c r="Q311" i="5"/>
  <c r="B311" i="5"/>
  <c r="C311" i="5"/>
  <c r="P310" i="5"/>
  <c r="A312" i="5"/>
  <c r="P277" i="5" l="1"/>
  <c r="Q276" i="5"/>
  <c r="C276" i="5"/>
  <c r="B276" i="5"/>
  <c r="A275" i="5"/>
  <c r="Q312" i="5"/>
  <c r="B312" i="5"/>
  <c r="C312" i="5"/>
  <c r="P311" i="5"/>
  <c r="A313" i="5"/>
  <c r="P276" i="5" l="1"/>
  <c r="Q275" i="5"/>
  <c r="C275" i="5"/>
  <c r="B275" i="5"/>
  <c r="A274" i="5"/>
  <c r="B313" i="5"/>
  <c r="Q313" i="5"/>
  <c r="C313" i="5"/>
  <c r="P312" i="5"/>
  <c r="A314" i="5"/>
  <c r="P275" i="5" l="1"/>
  <c r="Q274" i="5"/>
  <c r="C274" i="5"/>
  <c r="B274" i="5"/>
  <c r="A273" i="5"/>
  <c r="P313" i="5"/>
  <c r="Q314" i="5"/>
  <c r="B314" i="5"/>
  <c r="C314" i="5"/>
  <c r="A315" i="5"/>
  <c r="P274" i="5" l="1"/>
  <c r="Q273" i="5"/>
  <c r="C273" i="5"/>
  <c r="B273" i="5"/>
  <c r="A272" i="5"/>
  <c r="Q315" i="5"/>
  <c r="B315" i="5"/>
  <c r="C315" i="5"/>
  <c r="P314" i="5"/>
  <c r="A316" i="5"/>
  <c r="Q272" i="5" l="1"/>
  <c r="C272" i="5"/>
  <c r="B272" i="5"/>
  <c r="P273" i="5"/>
  <c r="A271" i="5"/>
  <c r="Q316" i="5"/>
  <c r="B316" i="5"/>
  <c r="C316" i="5"/>
  <c r="P315" i="5"/>
  <c r="A317" i="5"/>
  <c r="B271" i="5" l="1"/>
  <c r="C271" i="5"/>
  <c r="Q271" i="5"/>
  <c r="P272" i="5"/>
  <c r="A270" i="5"/>
  <c r="P316" i="5"/>
  <c r="B317" i="5"/>
  <c r="Q317" i="5"/>
  <c r="C317" i="5"/>
  <c r="A318" i="5"/>
  <c r="P271" i="5" l="1"/>
  <c r="Q270" i="5"/>
  <c r="C270" i="5"/>
  <c r="B270" i="5"/>
  <c r="A269" i="5"/>
  <c r="P317" i="5"/>
  <c r="Q318" i="5"/>
  <c r="B318" i="5"/>
  <c r="C318" i="5"/>
  <c r="A319" i="5"/>
  <c r="P270" i="5" l="1"/>
  <c r="Q269" i="5"/>
  <c r="C269" i="5"/>
  <c r="B269" i="5"/>
  <c r="A268" i="5"/>
  <c r="Q319" i="5"/>
  <c r="B319" i="5"/>
  <c r="C319" i="5"/>
  <c r="P318" i="5"/>
  <c r="A320" i="5"/>
  <c r="P269" i="5" l="1"/>
  <c r="Q268" i="5"/>
  <c r="C268" i="5"/>
  <c r="B268" i="5"/>
  <c r="A267" i="5"/>
  <c r="Q320" i="5"/>
  <c r="B320" i="5"/>
  <c r="C320" i="5"/>
  <c r="P319" i="5"/>
  <c r="A321" i="5"/>
  <c r="P268" i="5" l="1"/>
  <c r="Q267" i="5"/>
  <c r="C267" i="5"/>
  <c r="B267" i="5"/>
  <c r="A266" i="5"/>
  <c r="B321" i="5"/>
  <c r="Q321" i="5"/>
  <c r="C321" i="5"/>
  <c r="P320" i="5"/>
  <c r="A322" i="5"/>
  <c r="P267" i="5" l="1"/>
  <c r="Q266" i="5"/>
  <c r="C266" i="5"/>
  <c r="B266" i="5"/>
  <c r="A265" i="5"/>
  <c r="P321" i="5"/>
  <c r="Q322" i="5"/>
  <c r="B322" i="5"/>
  <c r="C322" i="5"/>
  <c r="A323" i="5"/>
  <c r="P266" i="5" l="1"/>
  <c r="Q265" i="5"/>
  <c r="C265" i="5"/>
  <c r="B265" i="5"/>
  <c r="A264" i="5"/>
  <c r="P322" i="5"/>
  <c r="Q323" i="5"/>
  <c r="B323" i="5"/>
  <c r="C323" i="5"/>
  <c r="A324" i="5"/>
  <c r="Q264" i="5" l="1"/>
  <c r="C264" i="5"/>
  <c r="B264" i="5"/>
  <c r="P265" i="5"/>
  <c r="A263" i="5"/>
  <c r="Q324" i="5"/>
  <c r="B324" i="5"/>
  <c r="C324" i="5"/>
  <c r="P323" i="5"/>
  <c r="A325" i="5"/>
  <c r="P264" i="5" l="1"/>
  <c r="B263" i="5"/>
  <c r="Q263" i="5"/>
  <c r="C263" i="5"/>
  <c r="A262" i="5"/>
  <c r="P324" i="5"/>
  <c r="B325" i="5"/>
  <c r="Q325" i="5"/>
  <c r="C325" i="5"/>
  <c r="A326" i="5"/>
  <c r="P263" i="5" l="1"/>
  <c r="Q262" i="5"/>
  <c r="C262" i="5"/>
  <c r="B262" i="5"/>
  <c r="A261" i="5"/>
  <c r="Q326" i="5"/>
  <c r="B326" i="5"/>
  <c r="C326" i="5"/>
  <c r="P325" i="5"/>
  <c r="A327" i="5"/>
  <c r="Q261" i="5" l="1"/>
  <c r="C261" i="5"/>
  <c r="B261" i="5"/>
  <c r="P262" i="5"/>
  <c r="A260" i="5"/>
  <c r="P326" i="5"/>
  <c r="Q327" i="5"/>
  <c r="B327" i="5"/>
  <c r="C327" i="5"/>
  <c r="A328" i="5"/>
  <c r="Q260" i="5" l="1"/>
  <c r="C260" i="5"/>
  <c r="B260" i="5"/>
  <c r="P261" i="5"/>
  <c r="A259" i="5"/>
  <c r="Q328" i="5"/>
  <c r="B328" i="5"/>
  <c r="C328" i="5"/>
  <c r="P327" i="5"/>
  <c r="A329" i="5"/>
  <c r="P260" i="5" l="1"/>
  <c r="Q259" i="5"/>
  <c r="C259" i="5"/>
  <c r="B259" i="5"/>
  <c r="A258" i="5"/>
  <c r="B329" i="5"/>
  <c r="Q329" i="5"/>
  <c r="C329" i="5"/>
  <c r="P328" i="5"/>
  <c r="A330" i="5"/>
  <c r="Q258" i="5" l="1"/>
  <c r="C258" i="5"/>
  <c r="B258" i="5"/>
  <c r="P259" i="5"/>
  <c r="A257" i="5"/>
  <c r="Q330" i="5"/>
  <c r="B330" i="5"/>
  <c r="C330" i="5"/>
  <c r="P329" i="5"/>
  <c r="A331" i="5"/>
  <c r="P258" i="5" l="1"/>
  <c r="Q257" i="5"/>
  <c r="C257" i="5"/>
  <c r="B257" i="5"/>
  <c r="A256" i="5"/>
  <c r="Q331" i="5"/>
  <c r="B331" i="5"/>
  <c r="C331" i="5"/>
  <c r="P330" i="5"/>
  <c r="A332" i="5"/>
  <c r="P257" i="5" l="1"/>
  <c r="Q256" i="5"/>
  <c r="C256" i="5"/>
  <c r="B256" i="5"/>
  <c r="A255" i="5"/>
  <c r="B332" i="5"/>
  <c r="Q332" i="5"/>
  <c r="C332" i="5"/>
  <c r="P331" i="5"/>
  <c r="A333" i="5"/>
  <c r="P256" i="5" l="1"/>
  <c r="B255" i="5"/>
  <c r="Q255" i="5"/>
  <c r="C255" i="5"/>
  <c r="A254" i="5"/>
  <c r="P332" i="5"/>
  <c r="Q333" i="5"/>
  <c r="B333" i="5"/>
  <c r="C333" i="5"/>
  <c r="A334" i="5"/>
  <c r="P255" i="5" l="1"/>
  <c r="Q254" i="5"/>
  <c r="C254" i="5"/>
  <c r="B254" i="5"/>
  <c r="A253" i="5"/>
  <c r="B334" i="5"/>
  <c r="Q334" i="5"/>
  <c r="C334" i="5"/>
  <c r="P333" i="5"/>
  <c r="A335" i="5"/>
  <c r="P254" i="5" l="1"/>
  <c r="Q253" i="5"/>
  <c r="C253" i="5"/>
  <c r="B253" i="5"/>
  <c r="A252" i="5"/>
  <c r="Q335" i="5"/>
  <c r="B335" i="5"/>
  <c r="C335" i="5"/>
  <c r="P334" i="5"/>
  <c r="A336" i="5"/>
  <c r="Q252" i="5" l="1"/>
  <c r="C252" i="5"/>
  <c r="B252" i="5"/>
  <c r="P253" i="5"/>
  <c r="A251" i="5"/>
  <c r="B336" i="5"/>
  <c r="Q336" i="5"/>
  <c r="C336" i="5"/>
  <c r="P335" i="5"/>
  <c r="A337" i="5"/>
  <c r="P252" i="5" l="1"/>
  <c r="Q251" i="5"/>
  <c r="C251" i="5"/>
  <c r="B251" i="5"/>
  <c r="A250" i="5"/>
  <c r="Q337" i="5"/>
  <c r="B337" i="5"/>
  <c r="C337" i="5"/>
  <c r="P336" i="5"/>
  <c r="A338" i="5"/>
  <c r="P251" i="5" l="1"/>
  <c r="Q250" i="5"/>
  <c r="C250" i="5"/>
  <c r="B250" i="5"/>
  <c r="A249" i="5"/>
  <c r="B338" i="5"/>
  <c r="Q338" i="5"/>
  <c r="C338" i="5"/>
  <c r="P337" i="5"/>
  <c r="A339" i="5"/>
  <c r="P250" i="5" l="1"/>
  <c r="Q249" i="5"/>
  <c r="C249" i="5"/>
  <c r="B249" i="5"/>
  <c r="A248" i="5"/>
  <c r="Q339" i="5"/>
  <c r="B339" i="5"/>
  <c r="C339" i="5"/>
  <c r="P338" i="5"/>
  <c r="A340" i="5"/>
  <c r="P249" i="5" l="1"/>
  <c r="Q248" i="5"/>
  <c r="C248" i="5"/>
  <c r="B248" i="5"/>
  <c r="A247" i="5"/>
  <c r="B340" i="5"/>
  <c r="Q340" i="5"/>
  <c r="C340" i="5"/>
  <c r="P339" i="5"/>
  <c r="A341" i="5"/>
  <c r="P248" i="5" l="1"/>
  <c r="B247" i="5"/>
  <c r="Q247" i="5"/>
  <c r="C247" i="5"/>
  <c r="A246" i="5"/>
  <c r="Q341" i="5"/>
  <c r="B341" i="5"/>
  <c r="C341" i="5"/>
  <c r="P340" i="5"/>
  <c r="A342" i="5"/>
  <c r="Q246" i="5" l="1"/>
  <c r="C246" i="5"/>
  <c r="B246" i="5"/>
  <c r="P247" i="5"/>
  <c r="A245" i="5"/>
  <c r="B342" i="5"/>
  <c r="Q342" i="5"/>
  <c r="C342" i="5"/>
  <c r="P341" i="5"/>
  <c r="A343" i="5"/>
  <c r="B245" i="5" l="1"/>
  <c r="C245" i="5"/>
  <c r="Q245" i="5"/>
  <c r="P246" i="5"/>
  <c r="A244" i="5"/>
  <c r="Q343" i="5"/>
  <c r="B343" i="5"/>
  <c r="C343" i="5"/>
  <c r="P342" i="5"/>
  <c r="A344" i="5"/>
  <c r="Q244" i="5" l="1"/>
  <c r="C244" i="5"/>
  <c r="B244" i="5"/>
  <c r="P245" i="5"/>
  <c r="A243" i="5"/>
  <c r="B344" i="5"/>
  <c r="Q344" i="5"/>
  <c r="C344" i="5"/>
  <c r="P343" i="5"/>
  <c r="A345" i="5"/>
  <c r="B243" i="5" l="1"/>
  <c r="Q243" i="5"/>
  <c r="C243" i="5"/>
  <c r="P244" i="5"/>
  <c r="A242" i="5"/>
  <c r="Q345" i="5"/>
  <c r="B345" i="5"/>
  <c r="C345" i="5"/>
  <c r="P344" i="5"/>
  <c r="A346" i="5"/>
  <c r="B242" i="5" l="1"/>
  <c r="C242" i="5"/>
  <c r="Q242" i="5"/>
  <c r="P243" i="5"/>
  <c r="A241" i="5"/>
  <c r="B346" i="5"/>
  <c r="Q346" i="5"/>
  <c r="C346" i="5"/>
  <c r="P345" i="5"/>
  <c r="A347" i="5"/>
  <c r="P242" i="5" l="1"/>
  <c r="Q241" i="5"/>
  <c r="C241" i="5"/>
  <c r="B241" i="5"/>
  <c r="A240" i="5"/>
  <c r="Q347" i="5"/>
  <c r="B347" i="5"/>
  <c r="C347" i="5"/>
  <c r="P346" i="5"/>
  <c r="A348" i="5"/>
  <c r="B240" i="5" l="1"/>
  <c r="Q240" i="5"/>
  <c r="C240" i="5"/>
  <c r="P241" i="5"/>
  <c r="A239" i="5"/>
  <c r="B348" i="5"/>
  <c r="Q348" i="5"/>
  <c r="C348" i="5"/>
  <c r="P347" i="5"/>
  <c r="A349" i="5"/>
  <c r="Q239" i="5" l="1"/>
  <c r="C239" i="5"/>
  <c r="B239" i="5"/>
  <c r="P240" i="5"/>
  <c r="A238" i="5"/>
  <c r="Q349" i="5"/>
  <c r="B349" i="5"/>
  <c r="C349" i="5"/>
  <c r="P348" i="5"/>
  <c r="A350" i="5"/>
  <c r="B238" i="5" l="1"/>
  <c r="Q238" i="5"/>
  <c r="C238" i="5"/>
  <c r="P239" i="5"/>
  <c r="A237" i="5"/>
  <c r="B350" i="5"/>
  <c r="Q350" i="5"/>
  <c r="C350" i="5"/>
  <c r="P349" i="5"/>
  <c r="A351" i="5"/>
  <c r="P238" i="5" l="1"/>
  <c r="C237" i="5"/>
  <c r="B237" i="5"/>
  <c r="Q237" i="5"/>
  <c r="A236" i="5"/>
  <c r="P350" i="5"/>
  <c r="Q351" i="5"/>
  <c r="B351" i="5"/>
  <c r="C351" i="5"/>
  <c r="A352" i="5"/>
  <c r="P237" i="5" l="1"/>
  <c r="Q236" i="5"/>
  <c r="B236" i="5"/>
  <c r="C236" i="5"/>
  <c r="A235" i="5"/>
  <c r="B352" i="5"/>
  <c r="Q352" i="5"/>
  <c r="C352" i="5"/>
  <c r="P351" i="5"/>
  <c r="A353" i="5"/>
  <c r="P236" i="5" l="1"/>
  <c r="C235" i="5"/>
  <c r="Q235" i="5"/>
  <c r="B235" i="5"/>
  <c r="A234" i="5"/>
  <c r="Q353" i="5"/>
  <c r="B353" i="5"/>
  <c r="C353" i="5"/>
  <c r="P352" i="5"/>
  <c r="A354" i="5"/>
  <c r="B234" i="5" l="1"/>
  <c r="C234" i="5"/>
  <c r="Q234" i="5"/>
  <c r="P235" i="5"/>
  <c r="A233" i="5"/>
  <c r="B354" i="5"/>
  <c r="Q354" i="5"/>
  <c r="C354" i="5"/>
  <c r="P353" i="5"/>
  <c r="A355" i="5"/>
  <c r="P234" i="5" l="1"/>
  <c r="Q233" i="5"/>
  <c r="C233" i="5"/>
  <c r="B233" i="5"/>
  <c r="A232" i="5"/>
  <c r="Q355" i="5"/>
  <c r="B355" i="5"/>
  <c r="C355" i="5"/>
  <c r="P354" i="5"/>
  <c r="A356" i="5"/>
  <c r="R296" i="5" l="1"/>
  <c r="R295" i="5"/>
  <c r="R294" i="5"/>
  <c r="R293" i="5"/>
  <c r="R297" i="5"/>
  <c r="T297" i="5" s="1"/>
  <c r="R292" i="5"/>
  <c r="R291" i="5"/>
  <c r="R298" i="5"/>
  <c r="R290" i="5"/>
  <c r="R299" i="5"/>
  <c r="R300" i="5"/>
  <c r="R289" i="5"/>
  <c r="R288" i="5"/>
  <c r="T299" i="5"/>
  <c r="R287" i="5"/>
  <c r="R301" i="5"/>
  <c r="R286" i="5"/>
  <c r="R302" i="5"/>
  <c r="R285" i="5"/>
  <c r="R303" i="5"/>
  <c r="R284" i="5"/>
  <c r="R304" i="5"/>
  <c r="R283" i="5"/>
  <c r="R305" i="5"/>
  <c r="R282" i="5"/>
  <c r="R306" i="5"/>
  <c r="T306" i="5" s="1"/>
  <c r="R307" i="5"/>
  <c r="R281" i="5"/>
  <c r="R280" i="5"/>
  <c r="R308" i="5"/>
  <c r="R309" i="5"/>
  <c r="R279" i="5"/>
  <c r="R278" i="5"/>
  <c r="R310" i="5"/>
  <c r="R311" i="5"/>
  <c r="R277" i="5"/>
  <c r="R312" i="5"/>
  <c r="R276" i="5"/>
  <c r="R313" i="5"/>
  <c r="R275" i="5"/>
  <c r="R314" i="5"/>
  <c r="T313" i="5"/>
  <c r="R274" i="5"/>
  <c r="R315" i="5"/>
  <c r="R273" i="5"/>
  <c r="R316" i="5"/>
  <c r="R272" i="5"/>
  <c r="R317" i="5"/>
  <c r="R271" i="5"/>
  <c r="R318" i="5"/>
  <c r="T317" i="5"/>
  <c r="R270" i="5"/>
  <c r="R319" i="5"/>
  <c r="R269" i="5"/>
  <c r="R268" i="5"/>
  <c r="R320" i="5"/>
  <c r="R321" i="5"/>
  <c r="R267" i="5"/>
  <c r="T267" i="5" s="1"/>
  <c r="R322" i="5"/>
  <c r="R266" i="5"/>
  <c r="T321" i="5"/>
  <c r="R323" i="5"/>
  <c r="R265" i="5"/>
  <c r="R324" i="5"/>
  <c r="R264" i="5"/>
  <c r="R263" i="5"/>
  <c r="R325" i="5"/>
  <c r="R326" i="5"/>
  <c r="R262" i="5"/>
  <c r="R261" i="5"/>
  <c r="R327" i="5"/>
  <c r="R328" i="5"/>
  <c r="R260" i="5"/>
  <c r="R329" i="5"/>
  <c r="R259" i="5"/>
  <c r="R330" i="5"/>
  <c r="R258" i="5"/>
  <c r="R331" i="5"/>
  <c r="R257" i="5"/>
  <c r="R256" i="5"/>
  <c r="R332" i="5"/>
  <c r="R333" i="5"/>
  <c r="R255" i="5"/>
  <c r="R254" i="5"/>
  <c r="R334" i="5"/>
  <c r="R335" i="5"/>
  <c r="R253" i="5"/>
  <c r="R252" i="5"/>
  <c r="R336" i="5"/>
  <c r="R337" i="5"/>
  <c r="R251" i="5"/>
  <c r="R338" i="5"/>
  <c r="R250" i="5"/>
  <c r="R339" i="5"/>
  <c r="R249" i="5"/>
  <c r="R340" i="5"/>
  <c r="R248" i="5"/>
  <c r="R247" i="5"/>
  <c r="T247" i="5" s="1"/>
  <c r="R341" i="5"/>
  <c r="R342" i="5"/>
  <c r="R246" i="5"/>
  <c r="R245" i="5"/>
  <c r="T342" i="5"/>
  <c r="R343" i="5"/>
  <c r="R344" i="5"/>
  <c r="R244" i="5"/>
  <c r="T244" i="5" s="1"/>
  <c r="R243" i="5"/>
  <c r="T344" i="5"/>
  <c r="R345" i="5"/>
  <c r="R242" i="5"/>
  <c r="R346" i="5"/>
  <c r="R347" i="5"/>
  <c r="T347" i="5" s="1"/>
  <c r="R241" i="5"/>
  <c r="R240" i="5"/>
  <c r="R348" i="5"/>
  <c r="R349" i="5"/>
  <c r="R239" i="5"/>
  <c r="R350" i="5"/>
  <c r="T349" i="5"/>
  <c r="R238" i="5"/>
  <c r="R351" i="5"/>
  <c r="R237" i="5"/>
  <c r="R352" i="5"/>
  <c r="R236" i="5"/>
  <c r="R353" i="5"/>
  <c r="R235" i="5"/>
  <c r="R355" i="5"/>
  <c r="R233" i="5"/>
  <c r="R354" i="5"/>
  <c r="T354" i="5" s="1"/>
  <c r="R234" i="5"/>
  <c r="T292" i="5"/>
  <c r="T293" i="5"/>
  <c r="T300" i="5"/>
  <c r="T316" i="5"/>
  <c r="T314" i="5"/>
  <c r="T318" i="5"/>
  <c r="T322" i="5"/>
  <c r="T330" i="5"/>
  <c r="T350" i="5"/>
  <c r="T337" i="5"/>
  <c r="B232" i="5"/>
  <c r="T307" i="5"/>
  <c r="T323" i="5"/>
  <c r="T309" i="5"/>
  <c r="T333" i="5"/>
  <c r="Q232" i="5"/>
  <c r="T311" i="5"/>
  <c r="C232" i="5"/>
  <c r="T335" i="5"/>
  <c r="P233" i="5"/>
  <c r="B356" i="5"/>
  <c r="Q356" i="5"/>
  <c r="R356" i="5" s="1"/>
  <c r="C356" i="5"/>
  <c r="P355" i="5"/>
  <c r="A357" i="5"/>
  <c r="T327" i="5" l="1"/>
  <c r="T353" i="5"/>
  <c r="T343" i="5"/>
  <c r="T305" i="5"/>
  <c r="T328" i="5"/>
  <c r="T312" i="5"/>
  <c r="T334" i="5"/>
  <c r="T336" i="5"/>
  <c r="T325" i="5"/>
  <c r="T315" i="5"/>
  <c r="T301" i="5"/>
  <c r="T346" i="5"/>
  <c r="T320" i="5"/>
  <c r="T310" i="5"/>
  <c r="T289" i="5"/>
  <c r="T345" i="5"/>
  <c r="T341" i="5"/>
  <c r="T266" i="5"/>
  <c r="T302" i="5"/>
  <c r="T275" i="5"/>
  <c r="T277" i="5"/>
  <c r="T339" i="5"/>
  <c r="T338" i="5"/>
  <c r="T331" i="5"/>
  <c r="T329" i="5"/>
  <c r="T326" i="5"/>
  <c r="T324" i="5"/>
  <c r="T278" i="5"/>
  <c r="T304" i="5"/>
  <c r="T303" i="5"/>
  <c r="T298" i="5"/>
  <c r="T294" i="5"/>
  <c r="T296" i="5"/>
  <c r="T352" i="5"/>
  <c r="T348" i="5"/>
  <c r="T340" i="5"/>
  <c r="T332" i="5"/>
  <c r="T265" i="5"/>
  <c r="T279" i="5"/>
  <c r="T308" i="5"/>
  <c r="T351" i="5"/>
  <c r="T246" i="5"/>
  <c r="T248" i="5"/>
  <c r="T249" i="5"/>
  <c r="T250" i="5"/>
  <c r="T251" i="5"/>
  <c r="T253" i="5"/>
  <c r="T255" i="5"/>
  <c r="T257" i="5"/>
  <c r="T258" i="5"/>
  <c r="T260" i="5"/>
  <c r="T264" i="5"/>
  <c r="T269" i="5"/>
  <c r="T270" i="5"/>
  <c r="T271" i="5"/>
  <c r="T273" i="5"/>
  <c r="T274" i="5"/>
  <c r="T276" i="5"/>
  <c r="T281" i="5"/>
  <c r="T290" i="5"/>
  <c r="T291" i="5"/>
  <c r="T252" i="5"/>
  <c r="T263" i="5"/>
  <c r="T272" i="5"/>
  <c r="T282" i="5"/>
  <c r="T288" i="5"/>
  <c r="T254" i="5"/>
  <c r="T256" i="5"/>
  <c r="T259" i="5"/>
  <c r="T261" i="5"/>
  <c r="T262" i="5"/>
  <c r="T285" i="5"/>
  <c r="T287" i="5"/>
  <c r="T245" i="5"/>
  <c r="T268" i="5"/>
  <c r="T280" i="5"/>
  <c r="T283" i="5"/>
  <c r="T284" i="5"/>
  <c r="T286" i="5"/>
  <c r="T319" i="5"/>
  <c r="T295" i="5"/>
  <c r="P232" i="5"/>
  <c r="Q357" i="5"/>
  <c r="R357" i="5" s="1"/>
  <c r="B357" i="5"/>
  <c r="C357" i="5"/>
  <c r="T355" i="5"/>
  <c r="P356" i="5"/>
  <c r="A358" i="5"/>
  <c r="T356" i="5" l="1"/>
  <c r="B358" i="5"/>
  <c r="Q358" i="5"/>
  <c r="R358" i="5" s="1"/>
  <c r="C358" i="5"/>
  <c r="P357" i="5"/>
  <c r="A359" i="5"/>
  <c r="T357" i="5" l="1"/>
  <c r="Q359" i="5"/>
  <c r="R359" i="5" s="1"/>
  <c r="B359" i="5"/>
  <c r="C359" i="5"/>
  <c r="P358" i="5"/>
  <c r="A360" i="5"/>
  <c r="B360" i="5" l="1"/>
  <c r="Q360" i="5"/>
  <c r="R360" i="5" s="1"/>
  <c r="C360" i="5"/>
  <c r="T358" i="5"/>
  <c r="P359" i="5"/>
  <c r="A361" i="5"/>
  <c r="P360" i="5" l="1"/>
  <c r="Q361" i="5"/>
  <c r="R361" i="5" s="1"/>
  <c r="B361" i="5"/>
  <c r="C361" i="5"/>
  <c r="T359" i="5"/>
  <c r="A362" i="5"/>
  <c r="T360" i="5" l="1"/>
  <c r="B362" i="5"/>
  <c r="Q362" i="5"/>
  <c r="R362" i="5" s="1"/>
  <c r="C362" i="5"/>
  <c r="P361" i="5"/>
  <c r="A363" i="5"/>
  <c r="T361" i="5" l="1"/>
  <c r="P362" i="5"/>
  <c r="Q363" i="5"/>
  <c r="R363" i="5" s="1"/>
  <c r="B363" i="5"/>
  <c r="C363" i="5"/>
  <c r="A364" i="5"/>
  <c r="T362" i="5" l="1"/>
  <c r="B364" i="5"/>
  <c r="Q364" i="5"/>
  <c r="R364" i="5" s="1"/>
  <c r="C364" i="5"/>
  <c r="P363" i="5"/>
  <c r="A365" i="5"/>
  <c r="T363" i="5" l="1"/>
  <c r="Q365" i="5"/>
  <c r="R365" i="5" s="1"/>
  <c r="B365" i="5"/>
  <c r="C365" i="5"/>
  <c r="P364" i="5"/>
  <c r="A366" i="5"/>
  <c r="T364" i="5" l="1"/>
  <c r="P365" i="5"/>
  <c r="B366" i="5"/>
  <c r="Q366" i="5"/>
  <c r="R366" i="5" s="1"/>
  <c r="C366" i="5"/>
  <c r="A367" i="5"/>
  <c r="T365" i="5" l="1"/>
  <c r="Q367" i="5"/>
  <c r="R367" i="5" s="1"/>
  <c r="B367" i="5"/>
  <c r="C367" i="5"/>
  <c r="P366" i="5"/>
  <c r="A368" i="5"/>
  <c r="B368" i="5" l="1"/>
  <c r="Q368" i="5"/>
  <c r="R368" i="5" s="1"/>
  <c r="C368" i="5"/>
  <c r="T366" i="5"/>
  <c r="P367" i="5"/>
  <c r="A369" i="5"/>
  <c r="T367" i="5" l="1"/>
  <c r="Q369" i="5"/>
  <c r="R369" i="5" s="1"/>
  <c r="B369" i="5"/>
  <c r="C369" i="5"/>
  <c r="P368" i="5"/>
  <c r="A370" i="5"/>
  <c r="T368" i="5" l="1"/>
  <c r="P369" i="5"/>
  <c r="B370" i="5"/>
  <c r="Q370" i="5"/>
  <c r="R370" i="5" s="1"/>
  <c r="C370" i="5"/>
  <c r="A371" i="5"/>
  <c r="P370" i="5" l="1"/>
  <c r="Q371" i="5"/>
  <c r="R371" i="5" s="1"/>
  <c r="B371" i="5"/>
  <c r="C371" i="5"/>
  <c r="T369" i="5"/>
  <c r="A372" i="5"/>
  <c r="T370" i="5" l="1"/>
  <c r="B372" i="5"/>
  <c r="Q372" i="5"/>
  <c r="R372" i="5" s="1"/>
  <c r="C372" i="5"/>
  <c r="P371" i="5"/>
  <c r="A373" i="5"/>
  <c r="T371" i="5" l="1"/>
  <c r="Q373" i="5"/>
  <c r="R373" i="5" s="1"/>
  <c r="B373" i="5"/>
  <c r="C373" i="5"/>
  <c r="P372" i="5"/>
  <c r="A374" i="5"/>
  <c r="T372" i="5" l="1"/>
  <c r="B374" i="5"/>
  <c r="Q374" i="5"/>
  <c r="R374" i="5" s="1"/>
  <c r="C374" i="5"/>
  <c r="P373" i="5"/>
  <c r="A375" i="5"/>
  <c r="T373" i="5" l="1"/>
  <c r="Q375" i="5"/>
  <c r="R375" i="5" s="1"/>
  <c r="B375" i="5"/>
  <c r="C375" i="5"/>
  <c r="P374" i="5"/>
  <c r="A376" i="5"/>
  <c r="T374" i="5" l="1"/>
  <c r="B376" i="5"/>
  <c r="Q376" i="5"/>
  <c r="R376" i="5" s="1"/>
  <c r="C376" i="5"/>
  <c r="P375" i="5"/>
  <c r="A377" i="5"/>
  <c r="T375" i="5" l="1"/>
  <c r="Q377" i="5"/>
  <c r="R377" i="5" s="1"/>
  <c r="B377" i="5"/>
  <c r="C377" i="5"/>
  <c r="P376" i="5"/>
  <c r="A378" i="5"/>
  <c r="T376" i="5" l="1"/>
  <c r="B378" i="5"/>
  <c r="Q378" i="5"/>
  <c r="R378" i="5" s="1"/>
  <c r="C378" i="5"/>
  <c r="P377" i="5"/>
  <c r="A379" i="5"/>
  <c r="T377" i="5" l="1"/>
  <c r="Q379" i="5"/>
  <c r="R379" i="5" s="1"/>
  <c r="B379" i="5"/>
  <c r="C379" i="5"/>
  <c r="P378" i="5"/>
  <c r="A380" i="5"/>
  <c r="T378" i="5" l="1"/>
  <c r="P379" i="5"/>
  <c r="B380" i="5"/>
  <c r="Q380" i="5"/>
  <c r="R380" i="5" s="1"/>
  <c r="C380" i="5"/>
  <c r="A381" i="5"/>
  <c r="Q381" i="5" l="1"/>
  <c r="R381" i="5" s="1"/>
  <c r="B381" i="5"/>
  <c r="C381" i="5"/>
  <c r="P380" i="5"/>
  <c r="T379" i="5"/>
  <c r="A382" i="5"/>
  <c r="B382" i="5" l="1"/>
  <c r="Q382" i="5"/>
  <c r="R382" i="5" s="1"/>
  <c r="C382" i="5"/>
  <c r="T380" i="5"/>
  <c r="P381" i="5"/>
  <c r="A383" i="5"/>
  <c r="T381" i="5" l="1"/>
  <c r="Q383" i="5"/>
  <c r="R383" i="5" s="1"/>
  <c r="B383" i="5"/>
  <c r="C383" i="5"/>
  <c r="P382" i="5"/>
  <c r="A384" i="5"/>
  <c r="T382" i="5" l="1"/>
  <c r="B384" i="5"/>
  <c r="Q384" i="5"/>
  <c r="R384" i="5" s="1"/>
  <c r="C384" i="5"/>
  <c r="P383" i="5"/>
  <c r="A385" i="5"/>
  <c r="T383" i="5" l="1"/>
  <c r="P384" i="5"/>
  <c r="Q385" i="5"/>
  <c r="R385" i="5" s="1"/>
  <c r="B385" i="5"/>
  <c r="C385" i="5"/>
  <c r="A386" i="5"/>
  <c r="T384" i="5" l="1"/>
  <c r="B386" i="5"/>
  <c r="Q386" i="5"/>
  <c r="R386" i="5" s="1"/>
  <c r="C386" i="5"/>
  <c r="P385" i="5"/>
  <c r="A387" i="5"/>
  <c r="T385" i="5" l="1"/>
  <c r="Q387" i="5"/>
  <c r="R387" i="5" s="1"/>
  <c r="B387" i="5"/>
  <c r="C387" i="5"/>
  <c r="P386" i="5"/>
  <c r="A388" i="5"/>
  <c r="T386" i="5" l="1"/>
  <c r="B388" i="5"/>
  <c r="Q388" i="5"/>
  <c r="R388" i="5" s="1"/>
  <c r="C388" i="5"/>
  <c r="P387" i="5"/>
  <c r="A389" i="5"/>
  <c r="T387" i="5" l="1"/>
  <c r="P388" i="5"/>
  <c r="Q389" i="5"/>
  <c r="R389" i="5" s="1"/>
  <c r="B389" i="5"/>
  <c r="C389" i="5"/>
  <c r="A390" i="5"/>
  <c r="P389" i="5" l="1"/>
  <c r="T388" i="5"/>
  <c r="B390" i="5"/>
  <c r="Q390" i="5"/>
  <c r="R390" i="5" s="1"/>
  <c r="C390" i="5"/>
  <c r="A391" i="5"/>
  <c r="Q391" i="5" l="1"/>
  <c r="R391" i="5" s="1"/>
  <c r="B391" i="5"/>
  <c r="C391" i="5"/>
  <c r="P390" i="5"/>
  <c r="T389" i="5"/>
  <c r="A392" i="5"/>
  <c r="B392" i="5" l="1"/>
  <c r="Q392" i="5"/>
  <c r="R392" i="5" s="1"/>
  <c r="C392" i="5"/>
  <c r="T390" i="5"/>
  <c r="P391" i="5"/>
  <c r="A393" i="5"/>
  <c r="Q393" i="5" l="1"/>
  <c r="R393" i="5" s="1"/>
  <c r="B393" i="5"/>
  <c r="C393" i="5"/>
  <c r="T391" i="5"/>
  <c r="P392" i="5"/>
  <c r="A394" i="5"/>
  <c r="B394" i="5" l="1"/>
  <c r="Q394" i="5"/>
  <c r="R394" i="5" s="1"/>
  <c r="C394" i="5"/>
  <c r="P393" i="5"/>
  <c r="T392" i="5"/>
  <c r="A395" i="5"/>
  <c r="T393" i="5" l="1"/>
  <c r="P394" i="5"/>
  <c r="Q395" i="5"/>
  <c r="R395" i="5" s="1"/>
  <c r="B395" i="5"/>
  <c r="C395" i="5"/>
  <c r="A396" i="5"/>
  <c r="T394" i="5" l="1"/>
  <c r="B396" i="5"/>
  <c r="Q396" i="5"/>
  <c r="R396" i="5" s="1"/>
  <c r="C396" i="5"/>
  <c r="P395" i="5"/>
  <c r="A397" i="5"/>
  <c r="T395" i="5" l="1"/>
  <c r="P396" i="5"/>
  <c r="Q397" i="5"/>
  <c r="R397" i="5" s="1"/>
  <c r="B397" i="5"/>
  <c r="C397" i="5"/>
  <c r="A398" i="5"/>
  <c r="T396" i="5" l="1"/>
  <c r="B398" i="5"/>
  <c r="Q398" i="5"/>
  <c r="R398" i="5" s="1"/>
  <c r="C398" i="5"/>
  <c r="P397" i="5"/>
  <c r="A399" i="5"/>
  <c r="T397" i="5" l="1"/>
  <c r="P398" i="5"/>
  <c r="Q399" i="5"/>
  <c r="R399" i="5" s="1"/>
  <c r="B399" i="5"/>
  <c r="C399" i="5"/>
  <c r="A400" i="5"/>
  <c r="T398" i="5" l="1"/>
  <c r="B400" i="5"/>
  <c r="Q400" i="5"/>
  <c r="R400" i="5" s="1"/>
  <c r="C400" i="5"/>
  <c r="P399" i="5"/>
  <c r="A401" i="5"/>
  <c r="Q401" i="5" l="1"/>
  <c r="R401" i="5" s="1"/>
  <c r="B401" i="5"/>
  <c r="C401" i="5"/>
  <c r="T399" i="5"/>
  <c r="P400" i="5"/>
  <c r="A402" i="5"/>
  <c r="T400" i="5" l="1"/>
  <c r="B402" i="5"/>
  <c r="Q402" i="5"/>
  <c r="R402" i="5" s="1"/>
  <c r="C402" i="5"/>
  <c r="P401" i="5"/>
  <c r="A403" i="5"/>
  <c r="Q403" i="5" l="1"/>
  <c r="R403" i="5" s="1"/>
  <c r="B403" i="5"/>
  <c r="C403" i="5"/>
  <c r="P402" i="5"/>
  <c r="T401" i="5"/>
  <c r="A404" i="5"/>
  <c r="T402" i="5" l="1"/>
  <c r="B404" i="5"/>
  <c r="Q404" i="5"/>
  <c r="R404" i="5" s="1"/>
  <c r="C404" i="5"/>
  <c r="P403" i="5"/>
  <c r="A405" i="5"/>
  <c r="T403" i="5" l="1"/>
  <c r="Q405" i="5"/>
  <c r="R405" i="5" s="1"/>
  <c r="B405" i="5"/>
  <c r="C405" i="5"/>
  <c r="P404" i="5"/>
  <c r="A406" i="5"/>
  <c r="T404" i="5" l="1"/>
  <c r="B406" i="5"/>
  <c r="Q406" i="5"/>
  <c r="R406" i="5" s="1"/>
  <c r="C406" i="5"/>
  <c r="P405" i="5"/>
  <c r="A407" i="5"/>
  <c r="T405" i="5" l="1"/>
  <c r="Q407" i="5"/>
  <c r="R407" i="5" s="1"/>
  <c r="B407" i="5"/>
  <c r="C407" i="5"/>
  <c r="P406" i="5"/>
  <c r="A408" i="5"/>
  <c r="T406" i="5" l="1"/>
  <c r="B408" i="5"/>
  <c r="Q408" i="5"/>
  <c r="R408" i="5" s="1"/>
  <c r="C408" i="5"/>
  <c r="P407" i="5"/>
  <c r="A409" i="5"/>
  <c r="P408" i="5" l="1"/>
  <c r="Q409" i="5"/>
  <c r="R409" i="5" s="1"/>
  <c r="B409" i="5"/>
  <c r="C409" i="5"/>
  <c r="T407" i="5"/>
  <c r="A410" i="5"/>
  <c r="T408" i="5" l="1"/>
  <c r="B410" i="5"/>
  <c r="Q410" i="5"/>
  <c r="R410" i="5" s="1"/>
  <c r="C410" i="5"/>
  <c r="P409" i="5"/>
  <c r="A411" i="5"/>
  <c r="T409" i="5" l="1"/>
  <c r="Q411" i="5"/>
  <c r="R411" i="5" s="1"/>
  <c r="B411" i="5"/>
  <c r="C411" i="5"/>
  <c r="P410" i="5"/>
  <c r="A412" i="5"/>
  <c r="B412" i="5" l="1"/>
  <c r="Q412" i="5"/>
  <c r="R412" i="5" s="1"/>
  <c r="C412" i="5"/>
  <c r="T410" i="5"/>
  <c r="P411" i="5"/>
  <c r="A413" i="5"/>
  <c r="P412" i="5" l="1"/>
  <c r="Q413" i="5"/>
  <c r="R413" i="5" s="1"/>
  <c r="B413" i="5"/>
  <c r="C413" i="5"/>
  <c r="T411" i="5"/>
  <c r="A414" i="5"/>
  <c r="P413" i="5" l="1"/>
  <c r="B414" i="5"/>
  <c r="Q414" i="5"/>
  <c r="R414" i="5" s="1"/>
  <c r="C414" i="5"/>
  <c r="T412" i="5"/>
  <c r="A415" i="5"/>
  <c r="T413" i="5" l="1"/>
  <c r="Q415" i="5"/>
  <c r="R415" i="5" s="1"/>
  <c r="B415" i="5"/>
  <c r="C415" i="5"/>
  <c r="P414" i="5"/>
  <c r="A416" i="5"/>
  <c r="T414" i="5" l="1"/>
  <c r="B416" i="5"/>
  <c r="Q416" i="5"/>
  <c r="R416" i="5" s="1"/>
  <c r="C416" i="5"/>
  <c r="P415" i="5"/>
  <c r="A417" i="5"/>
  <c r="T415" i="5" l="1"/>
  <c r="Q417" i="5"/>
  <c r="R417" i="5" s="1"/>
  <c r="B417" i="5"/>
  <c r="C417" i="5"/>
  <c r="P416" i="5"/>
  <c r="A418" i="5"/>
  <c r="T416" i="5" l="1"/>
  <c r="P417" i="5"/>
  <c r="B418" i="5"/>
  <c r="Q418" i="5"/>
  <c r="R418" i="5" s="1"/>
  <c r="C418" i="5"/>
  <c r="A419" i="5"/>
  <c r="Q419" i="5" l="1"/>
  <c r="R419" i="5" s="1"/>
  <c r="B419" i="5"/>
  <c r="C419" i="5"/>
  <c r="T417" i="5"/>
  <c r="P418" i="5"/>
  <c r="A420" i="5"/>
  <c r="T418" i="5" l="1"/>
  <c r="B420" i="5"/>
  <c r="Q420" i="5"/>
  <c r="R420" i="5" s="1"/>
  <c r="C420" i="5"/>
  <c r="P419" i="5"/>
  <c r="A421" i="5"/>
  <c r="Q421" i="5" l="1"/>
  <c r="R421" i="5" s="1"/>
  <c r="B421" i="5"/>
  <c r="C421" i="5"/>
  <c r="P420" i="5"/>
  <c r="T419" i="5"/>
  <c r="A422" i="5"/>
  <c r="T420" i="5" l="1"/>
  <c r="B422" i="5"/>
  <c r="Q422" i="5"/>
  <c r="R422" i="5" s="1"/>
  <c r="C422" i="5"/>
  <c r="P421" i="5"/>
  <c r="A423" i="5"/>
  <c r="T421" i="5" l="1"/>
  <c r="P422" i="5"/>
  <c r="Q423" i="5"/>
  <c r="R423" i="5" s="1"/>
  <c r="B423" i="5"/>
  <c r="C423" i="5"/>
  <c r="A424" i="5"/>
  <c r="B424" i="5" l="1"/>
  <c r="Q424" i="5"/>
  <c r="R424" i="5" s="1"/>
  <c r="C424" i="5"/>
  <c r="P423" i="5"/>
  <c r="T422" i="5"/>
  <c r="A425" i="5"/>
  <c r="T423" i="5" l="1"/>
  <c r="P424" i="5"/>
  <c r="Q425" i="5"/>
  <c r="R425" i="5" s="1"/>
  <c r="B425" i="5"/>
  <c r="C425" i="5"/>
  <c r="A426" i="5"/>
  <c r="T424" i="5" l="1"/>
  <c r="B426" i="5"/>
  <c r="Q426" i="5"/>
  <c r="R426" i="5" s="1"/>
  <c r="C426" i="5"/>
  <c r="P425" i="5"/>
  <c r="A427" i="5"/>
  <c r="T425" i="5" l="1"/>
  <c r="P426" i="5"/>
  <c r="Q427" i="5"/>
  <c r="R427" i="5" s="1"/>
  <c r="B427" i="5"/>
  <c r="C427" i="5"/>
  <c r="A428" i="5"/>
  <c r="T426" i="5" l="1"/>
  <c r="P427" i="5"/>
  <c r="B428" i="5"/>
  <c r="Q428" i="5"/>
  <c r="R428" i="5" s="1"/>
  <c r="C428" i="5"/>
  <c r="A429" i="5"/>
  <c r="T427" i="5" l="1"/>
  <c r="Q429" i="5"/>
  <c r="R429" i="5" s="1"/>
  <c r="B429" i="5"/>
  <c r="C429" i="5"/>
  <c r="P428" i="5"/>
  <c r="A430" i="5"/>
  <c r="T428" i="5" l="1"/>
  <c r="B430" i="5"/>
  <c r="Q430" i="5"/>
  <c r="R430" i="5" s="1"/>
  <c r="C430" i="5"/>
  <c r="P429" i="5"/>
  <c r="A431" i="5"/>
  <c r="Q431" i="5" l="1"/>
  <c r="R431" i="5" s="1"/>
  <c r="B431" i="5"/>
  <c r="C431" i="5"/>
  <c r="P430" i="5"/>
  <c r="T429" i="5"/>
  <c r="A432" i="5"/>
  <c r="B432" i="5" l="1"/>
  <c r="Q432" i="5"/>
  <c r="R432" i="5" s="1"/>
  <c r="C432" i="5"/>
  <c r="T430" i="5"/>
  <c r="P431" i="5"/>
  <c r="A433" i="5"/>
  <c r="T431" i="5" l="1"/>
  <c r="P432" i="5"/>
  <c r="Q433" i="5"/>
  <c r="R433" i="5" s="1"/>
  <c r="B433" i="5"/>
  <c r="C433" i="5"/>
  <c r="A434" i="5"/>
  <c r="P433" i="5" l="1"/>
  <c r="B434" i="5"/>
  <c r="Q434" i="5"/>
  <c r="R434" i="5" s="1"/>
  <c r="C434" i="5"/>
  <c r="T432" i="5"/>
  <c r="A435" i="5"/>
  <c r="P434" i="5" l="1"/>
  <c r="T433" i="5"/>
  <c r="Q435" i="5"/>
  <c r="R435" i="5" s="1"/>
  <c r="B435" i="5"/>
  <c r="C435" i="5"/>
  <c r="A436" i="5"/>
  <c r="T434" i="5" l="1"/>
  <c r="B436" i="5"/>
  <c r="Q436" i="5"/>
  <c r="R436" i="5" s="1"/>
  <c r="C436" i="5"/>
  <c r="P435" i="5"/>
  <c r="A437" i="5"/>
  <c r="T435" i="5" l="1"/>
  <c r="Q437" i="5"/>
  <c r="R437" i="5" s="1"/>
  <c r="B437" i="5"/>
  <c r="C437" i="5"/>
  <c r="P436" i="5"/>
  <c r="A438" i="5"/>
  <c r="B438" i="5" l="1"/>
  <c r="Q438" i="5"/>
  <c r="R438" i="5" s="1"/>
  <c r="C438" i="5"/>
  <c r="T436" i="5"/>
  <c r="P437" i="5"/>
  <c r="A439" i="5"/>
  <c r="T437" i="5" l="1"/>
  <c r="Q439" i="5"/>
  <c r="R439" i="5" s="1"/>
  <c r="B439" i="5"/>
  <c r="C439" i="5"/>
  <c r="P438" i="5"/>
  <c r="A440" i="5"/>
  <c r="B440" i="5" l="1"/>
  <c r="Q440" i="5"/>
  <c r="R440" i="5" s="1"/>
  <c r="C440" i="5"/>
  <c r="T438" i="5"/>
  <c r="P439" i="5"/>
  <c r="A441" i="5"/>
  <c r="Q441" i="5" l="1"/>
  <c r="R441" i="5" s="1"/>
  <c r="B441" i="5"/>
  <c r="C441" i="5"/>
  <c r="T439" i="5"/>
  <c r="P440" i="5"/>
  <c r="A442" i="5"/>
  <c r="B442" i="5" l="1"/>
  <c r="Q442" i="5"/>
  <c r="R442" i="5" s="1"/>
  <c r="C442" i="5"/>
  <c r="T440" i="5"/>
  <c r="P441" i="5"/>
  <c r="A443" i="5"/>
  <c r="T441" i="5" l="1"/>
  <c r="Q443" i="5"/>
  <c r="R443" i="5" s="1"/>
  <c r="B443" i="5"/>
  <c r="C443" i="5"/>
  <c r="P442" i="5"/>
  <c r="A444" i="5"/>
  <c r="T442" i="5" l="1"/>
  <c r="P443" i="5"/>
  <c r="B444" i="5"/>
  <c r="Q444" i="5"/>
  <c r="R444" i="5" s="1"/>
  <c r="C444" i="5"/>
  <c r="A445" i="5"/>
  <c r="Q445" i="5" l="1"/>
  <c r="R445" i="5" s="1"/>
  <c r="B445" i="5"/>
  <c r="C445" i="5"/>
  <c r="P444" i="5"/>
  <c r="T443" i="5"/>
  <c r="A446" i="5"/>
  <c r="T444" i="5" l="1"/>
  <c r="B446" i="5"/>
  <c r="Q446" i="5"/>
  <c r="R446" i="5" s="1"/>
  <c r="C446" i="5"/>
  <c r="P445" i="5"/>
  <c r="A447" i="5"/>
  <c r="Q447" i="5" l="1"/>
  <c r="R447" i="5" s="1"/>
  <c r="B447" i="5"/>
  <c r="C447" i="5"/>
  <c r="T445" i="5"/>
  <c r="P446" i="5"/>
  <c r="A448" i="5"/>
  <c r="B448" i="5" l="1"/>
  <c r="Q448" i="5"/>
  <c r="R448" i="5" s="1"/>
  <c r="C448" i="5"/>
  <c r="T446" i="5"/>
  <c r="P447" i="5"/>
  <c r="A449" i="5"/>
  <c r="P448" i="5" l="1"/>
  <c r="Q449" i="5"/>
  <c r="R449" i="5" s="1"/>
  <c r="B449" i="5"/>
  <c r="C449" i="5"/>
  <c r="T447" i="5"/>
  <c r="A450" i="5"/>
  <c r="B450" i="5" l="1"/>
  <c r="Q450" i="5"/>
  <c r="R450" i="5" s="1"/>
  <c r="C450" i="5"/>
  <c r="T448" i="5"/>
  <c r="P449" i="5"/>
  <c r="A451" i="5"/>
  <c r="Q451" i="5" l="1"/>
  <c r="R451" i="5" s="1"/>
  <c r="B451" i="5"/>
  <c r="C451" i="5"/>
  <c r="T449" i="5"/>
  <c r="P450" i="5"/>
  <c r="A452" i="5"/>
  <c r="T450" i="5" l="1"/>
  <c r="B452" i="5"/>
  <c r="Q452" i="5"/>
  <c r="R452" i="5" s="1"/>
  <c r="C452" i="5"/>
  <c r="P451" i="5"/>
  <c r="A453" i="5"/>
  <c r="P452" i="5" l="1"/>
  <c r="Q453" i="5"/>
  <c r="R453" i="5" s="1"/>
  <c r="B453" i="5"/>
  <c r="C453" i="5"/>
  <c r="T451" i="5"/>
  <c r="A454" i="5"/>
  <c r="T452" i="5" l="1"/>
  <c r="P453" i="5"/>
  <c r="B454" i="5"/>
  <c r="Q454" i="5"/>
  <c r="R454" i="5" s="1"/>
  <c r="C454" i="5"/>
  <c r="A455" i="5"/>
  <c r="P454" i="5" l="1"/>
  <c r="Q455" i="5"/>
  <c r="R455" i="5" s="1"/>
  <c r="B455" i="5"/>
  <c r="C455" i="5"/>
  <c r="T453" i="5"/>
  <c r="A456" i="5"/>
  <c r="P455" i="5" l="1"/>
  <c r="B456" i="5"/>
  <c r="Q456" i="5"/>
  <c r="R456" i="5" s="1"/>
  <c r="C456" i="5"/>
  <c r="T454" i="5"/>
  <c r="A457" i="5"/>
  <c r="T455" i="5" l="1"/>
  <c r="Q457" i="5"/>
  <c r="R457" i="5" s="1"/>
  <c r="B457" i="5"/>
  <c r="C457" i="5"/>
  <c r="P456" i="5"/>
  <c r="A458" i="5"/>
  <c r="B458" i="5" l="1"/>
  <c r="Q458" i="5"/>
  <c r="R458" i="5" s="1"/>
  <c r="C458" i="5"/>
  <c r="T456" i="5"/>
  <c r="P457" i="5"/>
  <c r="A459" i="5"/>
  <c r="T457" i="5" l="1"/>
  <c r="P458" i="5"/>
  <c r="Q459" i="5"/>
  <c r="R459" i="5" s="1"/>
  <c r="B459" i="5"/>
  <c r="C459" i="5"/>
  <c r="A460" i="5"/>
  <c r="T458" i="5" l="1"/>
  <c r="P459" i="5"/>
  <c r="B460" i="5"/>
  <c r="Q460" i="5"/>
  <c r="R460" i="5" s="1"/>
  <c r="C460" i="5"/>
  <c r="A461" i="5"/>
  <c r="Q461" i="5" l="1"/>
  <c r="R461" i="5" s="1"/>
  <c r="B461" i="5"/>
  <c r="C461" i="5"/>
  <c r="T459" i="5"/>
  <c r="P460" i="5"/>
  <c r="A462" i="5"/>
  <c r="B462" i="5" l="1"/>
  <c r="Q462" i="5"/>
  <c r="R462" i="5" s="1"/>
  <c r="C462" i="5"/>
  <c r="T460" i="5"/>
  <c r="P461" i="5"/>
  <c r="A463" i="5"/>
  <c r="Q463" i="5" l="1"/>
  <c r="R463" i="5" s="1"/>
  <c r="B463" i="5"/>
  <c r="C463" i="5"/>
  <c r="P462" i="5"/>
  <c r="T461" i="5"/>
  <c r="A464" i="5"/>
  <c r="T462" i="5" l="1"/>
  <c r="B464" i="5"/>
  <c r="Q464" i="5"/>
  <c r="R464" i="5" s="1"/>
  <c r="C464" i="5"/>
  <c r="P463" i="5"/>
  <c r="A465" i="5"/>
  <c r="Q465" i="5" l="1"/>
  <c r="R465" i="5" s="1"/>
  <c r="B465" i="5"/>
  <c r="C465" i="5"/>
  <c r="P464" i="5"/>
  <c r="T463" i="5"/>
  <c r="A466" i="5"/>
  <c r="B466" i="5" l="1"/>
  <c r="Q466" i="5"/>
  <c r="R466" i="5" s="1"/>
  <c r="C466" i="5"/>
  <c r="T464" i="5"/>
  <c r="P465" i="5"/>
  <c r="A467" i="5"/>
  <c r="T465" i="5" l="1"/>
  <c r="P466" i="5"/>
  <c r="Q467" i="5"/>
  <c r="R467" i="5" s="1"/>
  <c r="B467" i="5"/>
  <c r="C467" i="5"/>
  <c r="A468" i="5"/>
  <c r="T466" i="5" l="1"/>
  <c r="B468" i="5"/>
  <c r="Q468" i="5"/>
  <c r="R468" i="5" s="1"/>
  <c r="C468" i="5"/>
  <c r="P467" i="5"/>
  <c r="A469" i="5"/>
  <c r="P468" i="5" l="1"/>
  <c r="Q469" i="5"/>
  <c r="R469" i="5" s="1"/>
  <c r="B469" i="5"/>
  <c r="C469" i="5"/>
  <c r="T467" i="5"/>
  <c r="A470" i="5"/>
  <c r="T468" i="5" l="1"/>
  <c r="B470" i="5"/>
  <c r="Q470" i="5"/>
  <c r="R470" i="5" s="1"/>
  <c r="C470" i="5"/>
  <c r="P469" i="5"/>
  <c r="A471" i="5"/>
  <c r="T469" i="5" l="1"/>
  <c r="P470" i="5"/>
  <c r="Q471" i="5"/>
  <c r="R471" i="5" s="1"/>
  <c r="B471" i="5"/>
  <c r="C471" i="5"/>
  <c r="A472" i="5"/>
  <c r="B472" i="5" l="1"/>
  <c r="Q472" i="5"/>
  <c r="R472" i="5" s="1"/>
  <c r="C472" i="5"/>
  <c r="T470" i="5"/>
  <c r="P471" i="5"/>
  <c r="A473" i="5"/>
  <c r="T471" i="5" l="1"/>
  <c r="P472" i="5"/>
  <c r="Q473" i="5"/>
  <c r="R473" i="5" s="1"/>
  <c r="B473" i="5"/>
  <c r="C473" i="5"/>
  <c r="A474" i="5"/>
  <c r="B474" i="5" l="1"/>
  <c r="Q474" i="5"/>
  <c r="R474" i="5" s="1"/>
  <c r="C474" i="5"/>
  <c r="T472" i="5"/>
  <c r="P473" i="5"/>
  <c r="A475" i="5"/>
  <c r="Q475" i="5" l="1"/>
  <c r="R475" i="5" s="1"/>
  <c r="B475" i="5"/>
  <c r="C475" i="5"/>
  <c r="T473" i="5"/>
  <c r="P474" i="5"/>
  <c r="A476" i="5"/>
  <c r="B476" i="5" l="1"/>
  <c r="Q476" i="5"/>
  <c r="R476" i="5" s="1"/>
  <c r="C476" i="5"/>
  <c r="T474" i="5"/>
  <c r="P475" i="5"/>
  <c r="A477" i="5"/>
  <c r="T475" i="5" l="1"/>
  <c r="P476" i="5"/>
  <c r="Q477" i="5"/>
  <c r="R477" i="5" s="1"/>
  <c r="B477" i="5"/>
  <c r="C477" i="5"/>
  <c r="A478" i="5"/>
  <c r="T476" i="5" l="1"/>
  <c r="B478" i="5"/>
  <c r="Q478" i="5"/>
  <c r="R478" i="5" s="1"/>
  <c r="C478" i="5"/>
  <c r="P477" i="5"/>
  <c r="A479" i="5"/>
  <c r="T477" i="5" l="1"/>
  <c r="Q479" i="5"/>
  <c r="R479" i="5" s="1"/>
  <c r="B479" i="5"/>
  <c r="C479" i="5"/>
  <c r="P478" i="5"/>
  <c r="A480" i="5"/>
  <c r="B480" i="5" l="1"/>
  <c r="Q480" i="5"/>
  <c r="R480" i="5" s="1"/>
  <c r="C480" i="5"/>
  <c r="T478" i="5"/>
  <c r="P479" i="5"/>
  <c r="A481" i="5"/>
  <c r="T479" i="5" l="1"/>
  <c r="Q481" i="5"/>
  <c r="R481" i="5" s="1"/>
  <c r="B481" i="5"/>
  <c r="C481" i="5"/>
  <c r="P480" i="5"/>
  <c r="A482" i="5"/>
  <c r="T480" i="5" l="1"/>
  <c r="B482" i="5"/>
  <c r="Q482" i="5"/>
  <c r="R482" i="5" s="1"/>
  <c r="C482" i="5"/>
  <c r="P481" i="5"/>
  <c r="A483" i="5"/>
  <c r="T481" i="5" l="1"/>
  <c r="Q483" i="5"/>
  <c r="R483" i="5" s="1"/>
  <c r="B483" i="5"/>
  <c r="C483" i="5"/>
  <c r="P482" i="5"/>
  <c r="A484" i="5"/>
  <c r="T482" i="5" l="1"/>
  <c r="B484" i="5"/>
  <c r="Q484" i="5"/>
  <c r="R484" i="5" s="1"/>
  <c r="C484" i="5"/>
  <c r="P483" i="5"/>
  <c r="A485" i="5"/>
  <c r="T483" i="5" l="1"/>
  <c r="Q485" i="5"/>
  <c r="R485" i="5" s="1"/>
  <c r="B485" i="5"/>
  <c r="C485" i="5"/>
  <c r="P484" i="5"/>
  <c r="A486" i="5"/>
  <c r="T484" i="5" l="1"/>
  <c r="B486" i="5"/>
  <c r="Q486" i="5"/>
  <c r="R486" i="5" s="1"/>
  <c r="C486" i="5"/>
  <c r="P485" i="5"/>
  <c r="A487" i="5"/>
  <c r="T485" i="5" l="1"/>
  <c r="Q487" i="5"/>
  <c r="R487" i="5" s="1"/>
  <c r="B487" i="5"/>
  <c r="C487" i="5"/>
  <c r="P486" i="5"/>
  <c r="A488" i="5"/>
  <c r="T486" i="5" l="1"/>
  <c r="Q488" i="5"/>
  <c r="R488" i="5" s="1"/>
  <c r="B488" i="5"/>
  <c r="C488" i="5"/>
  <c r="P487" i="5"/>
  <c r="A489" i="5"/>
  <c r="T487" i="5" l="1"/>
  <c r="Q489" i="5"/>
  <c r="R489" i="5" s="1"/>
  <c r="B489" i="5"/>
  <c r="C489" i="5"/>
  <c r="P488" i="5"/>
  <c r="A490" i="5"/>
  <c r="T488" i="5" l="1"/>
  <c r="Q490" i="5"/>
  <c r="R490" i="5" s="1"/>
  <c r="B490" i="5"/>
  <c r="C490" i="5"/>
  <c r="P489" i="5"/>
  <c r="A491" i="5"/>
  <c r="T489" i="5" l="1"/>
  <c r="Q491" i="5"/>
  <c r="R491" i="5" s="1"/>
  <c r="B491" i="5"/>
  <c r="C491" i="5"/>
  <c r="P490" i="5"/>
  <c r="A492" i="5"/>
  <c r="T490" i="5" l="1"/>
  <c r="Q492" i="5"/>
  <c r="R492" i="5" s="1"/>
  <c r="B492" i="5"/>
  <c r="C492" i="5"/>
  <c r="P491" i="5"/>
  <c r="A493" i="5"/>
  <c r="T491" i="5" l="1"/>
  <c r="Q493" i="5"/>
  <c r="R493" i="5" s="1"/>
  <c r="B493" i="5"/>
  <c r="C493" i="5"/>
  <c r="P492" i="5"/>
  <c r="A494" i="5"/>
  <c r="T492" i="5" l="1"/>
  <c r="Q494" i="5"/>
  <c r="R494" i="5" s="1"/>
  <c r="B494" i="5"/>
  <c r="C494" i="5"/>
  <c r="P493" i="5"/>
  <c r="A495" i="5"/>
  <c r="T493" i="5" l="1"/>
  <c r="Q495" i="5"/>
  <c r="R495" i="5" s="1"/>
  <c r="B495" i="5"/>
  <c r="C495" i="5"/>
  <c r="P494" i="5"/>
  <c r="A496" i="5"/>
  <c r="T494" i="5" l="1"/>
  <c r="Q496" i="5"/>
  <c r="R496" i="5" s="1"/>
  <c r="B496" i="5"/>
  <c r="C496" i="5"/>
  <c r="P495" i="5"/>
  <c r="A497" i="5"/>
  <c r="T495" i="5" l="1"/>
  <c r="Q497" i="5"/>
  <c r="R497" i="5" s="1"/>
  <c r="B497" i="5"/>
  <c r="C497" i="5"/>
  <c r="P496" i="5"/>
  <c r="A498" i="5"/>
  <c r="T496" i="5" l="1"/>
  <c r="Q498" i="5"/>
  <c r="R498" i="5" s="1"/>
  <c r="B498" i="5"/>
  <c r="C498" i="5"/>
  <c r="P497" i="5"/>
  <c r="A499" i="5"/>
  <c r="T497" i="5" l="1"/>
  <c r="Q499" i="5"/>
  <c r="R499" i="5" s="1"/>
  <c r="B499" i="5"/>
  <c r="C499" i="5"/>
  <c r="P498" i="5"/>
  <c r="A500" i="5"/>
  <c r="T498" i="5" l="1"/>
  <c r="Q500" i="5"/>
  <c r="R500" i="5" s="1"/>
  <c r="B500" i="5"/>
  <c r="C500" i="5"/>
  <c r="P499" i="5"/>
  <c r="A501" i="5"/>
  <c r="T499" i="5" l="1"/>
  <c r="Q501" i="5"/>
  <c r="R501" i="5" s="1"/>
  <c r="B501" i="5"/>
  <c r="C501" i="5"/>
  <c r="P500" i="5"/>
  <c r="A502" i="5"/>
  <c r="T500" i="5" l="1"/>
  <c r="Q502" i="5"/>
  <c r="R502" i="5" s="1"/>
  <c r="B502" i="5"/>
  <c r="C502" i="5"/>
  <c r="P501" i="5"/>
  <c r="A503" i="5"/>
  <c r="T501" i="5" l="1"/>
  <c r="Q503" i="5"/>
  <c r="R503" i="5" s="1"/>
  <c r="B503" i="5"/>
  <c r="C503" i="5"/>
  <c r="P502" i="5"/>
  <c r="A504" i="5"/>
  <c r="T502" i="5" l="1"/>
  <c r="Q504" i="5"/>
  <c r="R504" i="5" s="1"/>
  <c r="B504" i="5"/>
  <c r="C504" i="5"/>
  <c r="P503" i="5"/>
  <c r="A505" i="5"/>
  <c r="T503" i="5" l="1"/>
  <c r="Q505" i="5"/>
  <c r="R505" i="5" s="1"/>
  <c r="B505" i="5"/>
  <c r="C505" i="5"/>
  <c r="P504" i="5"/>
  <c r="A506" i="5"/>
  <c r="T504" i="5" l="1"/>
  <c r="Q506" i="5"/>
  <c r="R506" i="5" s="1"/>
  <c r="B506" i="5"/>
  <c r="C506" i="5"/>
  <c r="P505" i="5"/>
  <c r="A507" i="5"/>
  <c r="T505" i="5" l="1"/>
  <c r="Q507" i="5"/>
  <c r="R507" i="5" s="1"/>
  <c r="B507" i="5"/>
  <c r="C507" i="5"/>
  <c r="P506" i="5"/>
  <c r="V336" i="5" l="1"/>
  <c r="V334" i="5"/>
  <c r="V332" i="5"/>
  <c r="V328" i="5"/>
  <c r="V331" i="5"/>
  <c r="V338" i="5"/>
  <c r="V335" i="5"/>
  <c r="V333" i="5"/>
  <c r="V330" i="5"/>
  <c r="V337" i="5"/>
  <c r="V339" i="5"/>
  <c r="V329" i="5"/>
  <c r="V505" i="5"/>
  <c r="V503" i="5"/>
  <c r="V506" i="5"/>
  <c r="T241" i="5"/>
  <c r="T237" i="5"/>
  <c r="T235" i="5"/>
  <c r="T239" i="5"/>
  <c r="T238" i="5"/>
  <c r="T242" i="5"/>
  <c r="T236" i="5"/>
  <c r="T243" i="5"/>
  <c r="T233" i="5"/>
  <c r="T240" i="5"/>
  <c r="T234" i="5"/>
  <c r="V507" i="5"/>
  <c r="V296" i="5"/>
  <c r="V311" i="5"/>
  <c r="V305" i="5"/>
  <c r="V313" i="5"/>
  <c r="V344" i="5"/>
  <c r="V345" i="5"/>
  <c r="V322" i="5"/>
  <c r="V266" i="5"/>
  <c r="V343" i="5"/>
  <c r="V281" i="5"/>
  <c r="V308" i="5"/>
  <c r="V282" i="5"/>
  <c r="V256" i="5"/>
  <c r="V239" i="5"/>
  <c r="V304" i="5"/>
  <c r="V354" i="5"/>
  <c r="V246" i="5"/>
  <c r="V312" i="5"/>
  <c r="V276" i="5"/>
  <c r="V306" i="5"/>
  <c r="V342" i="5"/>
  <c r="V319" i="5"/>
  <c r="V320" i="5"/>
  <c r="V315" i="5"/>
  <c r="V274" i="5"/>
  <c r="V352" i="5"/>
  <c r="V251" i="5"/>
  <c r="V235" i="5"/>
  <c r="V286" i="5"/>
  <c r="V259" i="5"/>
  <c r="V277" i="5"/>
  <c r="V310" i="5"/>
  <c r="V353" i="5"/>
  <c r="V341" i="5"/>
  <c r="V255" i="5"/>
  <c r="V318" i="5"/>
  <c r="V237" i="5"/>
  <c r="V258" i="5"/>
  <c r="V257" i="5"/>
  <c r="V284" i="5"/>
  <c r="V326" i="5"/>
  <c r="V348" i="5"/>
  <c r="V283" i="5"/>
  <c r="V264" i="5"/>
  <c r="V324" i="5"/>
  <c r="V299" i="5"/>
  <c r="V289" i="5"/>
  <c r="V245" i="5"/>
  <c r="V249" i="5"/>
  <c r="V314" i="5"/>
  <c r="V275" i="5"/>
  <c r="V351" i="5"/>
  <c r="V242" i="5"/>
  <c r="V271" i="5"/>
  <c r="V262" i="5"/>
  <c r="V302" i="5"/>
  <c r="V287" i="5"/>
  <c r="V317" i="5"/>
  <c r="V293" i="5"/>
  <c r="V290" i="5"/>
  <c r="V250" i="5"/>
  <c r="V236" i="5"/>
  <c r="V303" i="5"/>
  <c r="V234" i="5"/>
  <c r="V238" i="5"/>
  <c r="V294" i="5"/>
  <c r="V272" i="5"/>
  <c r="V309" i="5"/>
  <c r="V307" i="5"/>
  <c r="V253" i="5"/>
  <c r="V278" i="5"/>
  <c r="V347" i="5"/>
  <c r="V325" i="5"/>
  <c r="V265" i="5"/>
  <c r="V300" i="5"/>
  <c r="V248" i="5"/>
  <c r="V280" i="5"/>
  <c r="V244" i="5"/>
  <c r="V297" i="5"/>
  <c r="V323" i="5"/>
  <c r="V349" i="5"/>
  <c r="V327" i="5"/>
  <c r="V263" i="5"/>
  <c r="V321" i="5"/>
  <c r="V267" i="5"/>
  <c r="V270" i="5"/>
  <c r="V292" i="5"/>
  <c r="V288" i="5"/>
  <c r="V268" i="5"/>
  <c r="V340" i="5"/>
  <c r="V301" i="5"/>
  <c r="V291" i="5"/>
  <c r="V350" i="5"/>
  <c r="V261" i="5"/>
  <c r="V243" i="5"/>
  <c r="V247" i="5"/>
  <c r="V316" i="5"/>
  <c r="V269" i="5"/>
  <c r="V233" i="5"/>
  <c r="V254" i="5"/>
  <c r="V346" i="5"/>
  <c r="V252" i="5"/>
  <c r="V273" i="5"/>
  <c r="V295" i="5"/>
  <c r="V298" i="5"/>
  <c r="V285" i="5"/>
  <c r="V240" i="5"/>
  <c r="V355" i="5"/>
  <c r="V241" i="5"/>
  <c r="V279" i="5"/>
  <c r="V260" i="5"/>
  <c r="V232" i="5"/>
  <c r="V357" i="5"/>
  <c r="V356" i="5"/>
  <c r="V358" i="5"/>
  <c r="V359" i="5"/>
  <c r="V360" i="5"/>
  <c r="V362" i="5"/>
  <c r="V361" i="5"/>
  <c r="V363" i="5"/>
  <c r="V364" i="5"/>
  <c r="V365" i="5"/>
  <c r="V366" i="5"/>
  <c r="V367" i="5"/>
  <c r="V369" i="5"/>
  <c r="V368" i="5"/>
  <c r="V370" i="5"/>
  <c r="V371" i="5"/>
  <c r="V372" i="5"/>
  <c r="V373" i="5"/>
  <c r="V374" i="5"/>
  <c r="V375" i="5"/>
  <c r="V376" i="5"/>
  <c r="V377" i="5"/>
  <c r="V378" i="5"/>
  <c r="V379" i="5"/>
  <c r="V381" i="5"/>
  <c r="V380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400" i="5"/>
  <c r="V399" i="5"/>
  <c r="V398" i="5"/>
  <c r="V401" i="5"/>
  <c r="V402" i="5"/>
  <c r="V403" i="5"/>
  <c r="V404" i="5"/>
  <c r="V405" i="5"/>
  <c r="V407" i="5"/>
  <c r="V406" i="5"/>
  <c r="V408" i="5"/>
  <c r="V409" i="5"/>
  <c r="V410" i="5"/>
  <c r="V411" i="5"/>
  <c r="V412" i="5"/>
  <c r="V413" i="5"/>
  <c r="V414" i="5"/>
  <c r="V415" i="5"/>
  <c r="V418" i="5"/>
  <c r="V416" i="5"/>
  <c r="V417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5" i="5"/>
  <c r="V434" i="5"/>
  <c r="V436" i="5"/>
  <c r="V437" i="5"/>
  <c r="V438" i="5"/>
  <c r="V441" i="5"/>
  <c r="V439" i="5"/>
  <c r="V440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5" i="5"/>
  <c r="V463" i="5"/>
  <c r="V464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4" i="5"/>
  <c r="T506" i="5"/>
  <c r="P507" i="5"/>
  <c r="T507" i="5" l="1"/>
</calcChain>
</file>

<file path=xl/sharedStrings.xml><?xml version="1.0" encoding="utf-8"?>
<sst xmlns="http://schemas.openxmlformats.org/spreadsheetml/2006/main" count="896" uniqueCount="442">
  <si>
    <t>date</t>
  </si>
  <si>
    <t>Ro1101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</si>
  <si>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</si>
  <si>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</si>
  <si>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</si>
  <si>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</si>
  <si>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</si>
  <si>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</si>
  <si>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</si>
  <si>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</si>
  <si>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</si>
  <si>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</si>
  <si>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</si>
  <si>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</si>
  <si>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</si>
  <si>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</si>
  <si>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</si>
  <si>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</si>
  <si>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</si>
  <si>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</si>
  <si>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</si>
  <si>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</si>
  <si>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</si>
  <si>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</si>
  <si>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</si>
  <si>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</si>
  <si>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</si>
  <si>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</si>
  <si>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</si>
  <si>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</si>
  <si>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</si>
  <si>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</si>
  <si>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</si>
  <si>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</si>
  <si>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</si>
  <si>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</si>
  <si>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</si>
  <si>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</si>
  <si>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</si>
  <si>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</si>
  <si>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</si>
  <si>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</si>
  <si>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</si>
  <si>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</si>
  <si>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</si>
  <si>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</si>
  <si>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</si>
  <si>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</si>
  <si>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</si>
  <si>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</si>
  <si>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</si>
  <si>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</si>
  <si>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</si>
  <si>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</si>
  <si>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</si>
  <si>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</si>
  <si>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</si>
  <si>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</si>
  <si>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</si>
  <si>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</si>
  <si>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</si>
  <si>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</si>
  <si>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</si>
  <si>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</si>
  <si>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</si>
  <si>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</si>
  <si>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</si>
  <si>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</si>
  <si>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</si>
  <si>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</si>
  <si>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</si>
  <si>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</si>
  <si>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</si>
  <si>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</si>
  <si>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</si>
  <si>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</si>
  <si>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</si>
  <si>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</si>
  <si>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</si>
  <si>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</si>
  <si>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</si>
  <si>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</si>
  <si>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</si>
  <si>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</si>
  <si>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</si>
  <si>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</si>
  <si>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</si>
  <si>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</si>
  <si>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</si>
  <si>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</si>
  <si>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</si>
  <si>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</si>
  <si>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</si>
  <si>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</si>
  <si>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</si>
  <si>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</si>
  <si>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</si>
  <si>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</si>
  <si>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</si>
  <si>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</si>
  <si>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</si>
  <si>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</si>
  <si>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</si>
  <si>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</si>
  <si>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</si>
  <si>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</si>
  <si>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</si>
  <si>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</si>
  <si>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</si>
  <si>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</si>
  <si>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</si>
  <si>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</si>
  <si>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</si>
  <si>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</si>
  <si>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</si>
  <si>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</si>
  <si>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</si>
  <si>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</si>
  <si>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</si>
  <si>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</si>
  <si>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</si>
  <si>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</si>
  <si>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</si>
  <si>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</si>
  <si>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</si>
  <si>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</si>
  <si>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</si>
  <si>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</si>
  <si>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</si>
  <si>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</si>
  <si>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</si>
  <si>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</si>
  <si>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</si>
  <si>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</si>
  <si>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</si>
  <si>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</si>
  <si>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</si>
  <si>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</si>
  <si>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</si>
  <si>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</si>
  <si>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</si>
  <si>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</si>
  <si>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</si>
  <si>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</si>
  <si>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</si>
  <si>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</si>
  <si>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</si>
  <si>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</si>
  <si>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</si>
  <si>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</si>
  <si>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</si>
  <si>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</si>
  <si>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</si>
  <si>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</si>
  <si>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</si>
  <si>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</si>
  <si>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</si>
  <si>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</si>
  <si>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</si>
  <si>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</si>
  <si>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</si>
  <si>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</si>
  <si>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</si>
  <si>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</si>
  <si>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</si>
  <si>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</si>
  <si>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</si>
  <si>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</si>
  <si>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</si>
  <si>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</si>
  <si>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</si>
  <si>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</si>
  <si>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</si>
  <si>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</si>
  <si>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</si>
  <si>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</si>
  <si>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</si>
  <si>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</si>
  <si>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</si>
  <si>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</si>
  <si>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</si>
  <si>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</si>
  <si>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</si>
  <si>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</si>
  <si>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</si>
  <si>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</si>
  <si>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</si>
  <si>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</si>
  <si>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</si>
  <si>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</si>
  <si>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</si>
  <si>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</si>
  <si>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</si>
  <si>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</si>
  <si>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</si>
  <si>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</si>
  <si>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</si>
  <si>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</si>
  <si>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</si>
  <si>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</si>
  <si>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</si>
  <si>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</si>
  <si>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</si>
  <si>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</si>
  <si>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</si>
  <si>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</si>
  <si>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</si>
  <si>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</si>
  <si>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</si>
  <si>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</si>
  <si>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</si>
  <si>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</si>
  <si>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</si>
  <si>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</si>
  <si>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</si>
  <si>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</si>
  <si>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</si>
  <si>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</si>
  <si>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</si>
  <si>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</si>
  <si>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</si>
  <si>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</si>
  <si>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</si>
  <si>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</si>
  <si>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</si>
  <si>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</si>
  <si>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</si>
  <si>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</si>
  <si>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</si>
  <si>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</si>
  <si>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</si>
  <si>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</si>
  <si>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</si>
  <si>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</si>
  <si>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</si>
  <si>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</si>
  <si>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</si>
  <si>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</si>
  <si>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</si>
  <si>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</si>
  <si>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</si>
  <si>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</si>
  <si>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</si>
  <si>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</si>
  <si>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</si>
  <si>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</si>
  <si>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</si>
  <si>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</si>
  <si>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</si>
  <si>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</si>
  <si>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</si>
  <si>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</si>
  <si>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</si>
  <si>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</si>
  <si>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</si>
  <si>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</si>
  <si>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</si>
  <si>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</si>
  <si>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</si>
  <si>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</si>
  <si>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</si>
  <si>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</si>
  <si>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</si>
  <si>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</si>
  <si>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</si>
  <si>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</si>
  <si>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</si>
  <si>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</si>
  <si>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</si>
  <si>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</si>
  <si>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</si>
  <si>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</si>
  <si>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</si>
  <si>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</si>
  <si>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</si>
  <si>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</si>
  <si>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</si>
  <si>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</si>
  <si>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</si>
  <si>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</si>
  <si>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</si>
  <si>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</si>
  <si>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</si>
  <si>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</si>
  <si>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</si>
  <si>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</si>
  <si>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</si>
  <si>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</si>
  <si>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</si>
  <si>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</si>
  <si>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</si>
  <si>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</si>
  <si>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</si>
  <si>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</si>
  <si>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Sigla</t>
  </si>
  <si>
    <t>Codigo</t>
  </si>
  <si>
    <t>Brasil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</si>
  <si>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</si>
  <si>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</si>
  <si>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</si>
  <si>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</si>
  <si>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</si>
  <si>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</si>
  <si>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</si>
  <si>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</si>
  <si>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</si>
  <si>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</si>
  <si>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</si>
  <si>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</si>
  <si>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</si>
  <si>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</si>
  <si>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</si>
  <si>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</si>
  <si>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</si>
  <si>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</si>
  <si>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</si>
  <si>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</si>
  <si>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</si>
  <si>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</si>
  <si>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</si>
  <si>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</si>
  <si>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</si>
  <si>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</si>
  <si>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</si>
  <si>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</si>
  <si>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</si>
  <si>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</si>
  <si>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</si>
  <si>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</si>
  <si>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</si>
  <si>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</si>
  <si>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</si>
  <si>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</si>
  <si>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</si>
  <si>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</si>
  <si>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</si>
  <si>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</si>
  <si>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</si>
  <si>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</si>
  <si>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</si>
  <si>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</si>
  <si>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</si>
  <si>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</si>
  <si>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</si>
  <si>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</si>
  <si>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</si>
  <si>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</si>
  <si>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</si>
  <si>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</si>
  <si>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</si>
  <si>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</si>
  <si>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</si>
  <si>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</si>
  <si>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</si>
  <si>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</si>
  <si>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</si>
  <si>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</si>
  <si>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</si>
  <si>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</si>
  <si>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</si>
  <si>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</si>
  <si>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</si>
  <si>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</si>
  <si>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</si>
  <si>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</si>
  <si>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</si>
  <si>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</si>
  <si>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</si>
  <si>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</si>
  <si>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</si>
  <si>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</si>
  <si>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</si>
  <si>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</si>
  <si>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</si>
  <si>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</si>
  <si>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</si>
  <si>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</si>
  <si>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</si>
  <si>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</si>
  <si>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</si>
  <si>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</si>
  <si>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</si>
  <si>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</si>
  <si>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</si>
  <si>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</si>
  <si>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</si>
  <si>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</si>
  <si>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</si>
  <si>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</si>
  <si>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</si>
  <si>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</si>
  <si>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</si>
  <si>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</si>
  <si>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</si>
  <si>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</si>
  <si>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</si>
  <si>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</si>
  <si>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BR</t>
  </si>
  <si>
    <t>0</t>
  </si>
  <si>
    <t>CAGED</t>
  </si>
  <si>
    <t>IPEA</t>
  </si>
  <si>
    <t>Data</t>
  </si>
  <si>
    <t>Adm</t>
  </si>
  <si>
    <t>Des</t>
  </si>
  <si>
    <t>Nan</t>
  </si>
  <si>
    <t>DataPIM_BR</t>
  </si>
  <si>
    <t>DataPIM_US</t>
  </si>
  <si>
    <t>&lt;&lt;&lt;&lt;</t>
  </si>
  <si>
    <t>INICIO</t>
  </si>
  <si>
    <t>PIM</t>
  </si>
  <si>
    <t>Emp Liquido</t>
  </si>
  <si>
    <t>LN(PIM)</t>
  </si>
  <si>
    <t>DLN</t>
  </si>
  <si>
    <t>Ano</t>
  </si>
  <si>
    <t>Mês</t>
  </si>
  <si>
    <t>Data Fim</t>
  </si>
  <si>
    <t>Data Inicio</t>
  </si>
  <si>
    <t>PIM Final</t>
  </si>
  <si>
    <t>Pim Inicial</t>
  </si>
  <si>
    <t>Var Pim</t>
  </si>
  <si>
    <t>Soma Emp Liq No Ano</t>
  </si>
  <si>
    <t>Data Fim 2</t>
  </si>
  <si>
    <t>Data Inicio 2</t>
  </si>
  <si>
    <t>Média Var Pim Ano</t>
  </si>
  <si>
    <t>LCA</t>
  </si>
  <si>
    <t>OLS</t>
  </si>
  <si>
    <t>2004 to 2016</t>
  </si>
  <si>
    <t>1995 to 2003</t>
  </si>
  <si>
    <t>OLS Restrict (GVAR)</t>
  </si>
  <si>
    <t>Soma PIM Ano</t>
  </si>
  <si>
    <t>1995 to 2016</t>
  </si>
  <si>
    <t>bo</t>
  </si>
  <si>
    <t>b1</t>
  </si>
  <si>
    <t>R-squared:</t>
  </si>
  <si>
    <t>GVAR</t>
  </si>
  <si>
    <t>1995-2003</t>
  </si>
  <si>
    <t>2004-2016</t>
  </si>
  <si>
    <t>1995-2016</t>
  </si>
  <si>
    <t>b0</t>
  </si>
  <si>
    <t>Steady State</t>
  </si>
  <si>
    <t>Adjusted R-Squared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</si>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</sst>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yyyy/mm"/>
    <numFmt numFmtId="165" formatCode="0.0%"/>
    <numFmt numFmtId="167" formatCode="0.0"/>
    <numFmt numFmtId="171" formatCode="0.000"/>
    <numFmt numFmtId="173" formatCode="_(* #,##0_);_(* \(#,##0\);_(* &quot;-&quot;??_);_(@_)"/>
    <numFmt numFmtId="174" formatCode="0.000%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1"/>
    <xf numFmtId="0" fontId="3" fillId="0" borderId="0" xfId="1" applyFill="1"/>
    <xf numFmtId="0" fontId="0" fillId="0" borderId="0" xfId="0" applyFill="1"/>
    <xf numFmtId="0" fontId="2" fillId="0" borderId="0" xfId="2"/>
    <xf numFmtId="0" fontId="5" fillId="0" borderId="0" xfId="4"/>
    <xf numFmtId="3" fontId="5" fillId="0" borderId="0" xfId="4" applyNumberFormat="1" applyFont="1" applyFill="1" applyBorder="1" applyAlignment="1" applyProtection="1"/>
    <xf numFmtId="3" fontId="0" fillId="0" borderId="0" xfId="0" applyNumberFormat="1"/>
    <xf numFmtId="14" fontId="0" fillId="0" borderId="0" xfId="0" applyNumberFormat="1"/>
    <xf numFmtId="0" fontId="1" fillId="0" borderId="0" xfId="1" applyFont="1"/>
    <xf numFmtId="0" fontId="5" fillId="0" borderId="0" xfId="4" applyFont="1"/>
    <xf numFmtId="164" fontId="5" fillId="0" borderId="0" xfId="4" applyNumberFormat="1"/>
    <xf numFmtId="164" fontId="5" fillId="2" borderId="0" xfId="4" applyNumberFormat="1" applyFill="1"/>
    <xf numFmtId="0" fontId="5" fillId="2" borderId="0" xfId="4" applyFill="1"/>
    <xf numFmtId="0" fontId="5" fillId="2" borderId="0" xfId="4" applyFont="1" applyFill="1"/>
    <xf numFmtId="4" fontId="5" fillId="0" borderId="0" xfId="4" applyNumberFormat="1" applyFont="1" applyFill="1" applyBorder="1" applyAlignment="1" applyProtection="1"/>
    <xf numFmtId="4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3" applyNumberFormat="1" applyFont="1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11" fontId="0" fillId="0" borderId="0" xfId="0" applyNumberFormat="1"/>
    <xf numFmtId="9" fontId="0" fillId="0" borderId="0" xfId="3" applyFont="1"/>
    <xf numFmtId="10" fontId="0" fillId="0" borderId="0" xfId="3" applyNumberFormat="1" applyFont="1"/>
    <xf numFmtId="0" fontId="0" fillId="0" borderId="0" xfId="0" applyNumberFormat="1"/>
    <xf numFmtId="171" fontId="0" fillId="0" borderId="0" xfId="0" applyNumberFormat="1"/>
    <xf numFmtId="173" fontId="0" fillId="0" borderId="0" xfId="5" applyNumberFormat="1" applyFont="1"/>
    <xf numFmtId="173" fontId="0" fillId="0" borderId="0" xfId="5" applyNumberFormat="1" applyFont="1" applyAlignment="1">
      <alignment wrapText="1"/>
    </xf>
    <xf numFmtId="174" fontId="0" fillId="0" borderId="0" xfId="3" applyNumberFormat="1" applyFont="1"/>
  </cellXfs>
  <cellStyles count="6">
    <cellStyle name="Normal" xfId="0" builtinId="0"/>
    <cellStyle name="Normal 2" xfId="4"/>
    <cellStyle name="Normal 2 2" xfId="1"/>
    <cellStyle name="Normal 2 2 2" xfId="2"/>
    <cellStyle name="Porcentagem" xfId="3" builtinId="5"/>
    <cellStyle name="Vírgula" xfId="5" builtinId="3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6058180227471572E-2"/>
                  <c:y val="-0.152321741032370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Planilha2!$C$1:$C$22</c:f>
              <c:numCache>
                <c:formatCode>0</c:formatCode>
                <c:ptCount val="22"/>
                <c:pt idx="0">
                  <c:v>836.2738512396694</c:v>
                </c:pt>
                <c:pt idx="1">
                  <c:v>850.74587327823679</c:v>
                </c:pt>
                <c:pt idx="2">
                  <c:v>883.82250137741062</c:v>
                </c:pt>
                <c:pt idx="3">
                  <c:v>865.91197796143263</c:v>
                </c:pt>
                <c:pt idx="4">
                  <c:v>860.25560330578514</c:v>
                </c:pt>
                <c:pt idx="5">
                  <c:v>917.37780716253451</c:v>
                </c:pt>
                <c:pt idx="6">
                  <c:v>931.84982920110178</c:v>
                </c:pt>
                <c:pt idx="7">
                  <c:v>953.7</c:v>
                </c:pt>
                <c:pt idx="8">
                  <c:v>956.80000000000007</c:v>
                </c:pt>
                <c:pt idx="9">
                  <c:v>1036.6000000000001</c:v>
                </c:pt>
                <c:pt idx="10">
                  <c:v>1065.7</c:v>
                </c:pt>
                <c:pt idx="11">
                  <c:v>1094.5</c:v>
                </c:pt>
                <c:pt idx="12">
                  <c:v>1159.2999999999997</c:v>
                </c:pt>
                <c:pt idx="13">
                  <c:v>1194.9999999999998</c:v>
                </c:pt>
                <c:pt idx="14">
                  <c:v>1109.9000000000001</c:v>
                </c:pt>
                <c:pt idx="15">
                  <c:v>1223.3</c:v>
                </c:pt>
                <c:pt idx="16">
                  <c:v>1228.3</c:v>
                </c:pt>
                <c:pt idx="17">
                  <c:v>1200</c:v>
                </c:pt>
                <c:pt idx="18">
                  <c:v>1224.8999999999999</c:v>
                </c:pt>
                <c:pt idx="19">
                  <c:v>1187.8999999999999</c:v>
                </c:pt>
                <c:pt idx="20">
                  <c:v>1089.9000000000001</c:v>
                </c:pt>
                <c:pt idx="21">
                  <c:v>1018.4000000000001</c:v>
                </c:pt>
              </c:numCache>
            </c:numRef>
          </c:xVal>
          <c:yVal>
            <c:numRef>
              <c:f>Planilha2!$B$1:$B$22</c:f>
              <c:numCache>
                <c:formatCode>0.0</c:formatCode>
                <c:ptCount val="22"/>
                <c:pt idx="0">
                  <c:v>-200246</c:v>
                </c:pt>
                <c:pt idx="1">
                  <c:v>-271226</c:v>
                </c:pt>
                <c:pt idx="2">
                  <c:v>-35735</c:v>
                </c:pt>
                <c:pt idx="3">
                  <c:v>-581745</c:v>
                </c:pt>
                <c:pt idx="4">
                  <c:v>-222346</c:v>
                </c:pt>
                <c:pt idx="5">
                  <c:v>675194</c:v>
                </c:pt>
                <c:pt idx="6">
                  <c:v>586511</c:v>
                </c:pt>
                <c:pt idx="7">
                  <c:v>468672</c:v>
                </c:pt>
                <c:pt idx="8">
                  <c:v>710054</c:v>
                </c:pt>
                <c:pt idx="9">
                  <c:v>1523276</c:v>
                </c:pt>
                <c:pt idx="10">
                  <c:v>1253999</c:v>
                </c:pt>
                <c:pt idx="11">
                  <c:v>1228686</c:v>
                </c:pt>
                <c:pt idx="12">
                  <c:v>1617392</c:v>
                </c:pt>
                <c:pt idx="13">
                  <c:v>1452205</c:v>
                </c:pt>
                <c:pt idx="14">
                  <c:v>995111</c:v>
                </c:pt>
                <c:pt idx="15">
                  <c:v>2136938</c:v>
                </c:pt>
                <c:pt idx="16">
                  <c:v>1566043</c:v>
                </c:pt>
                <c:pt idx="17">
                  <c:v>868241</c:v>
                </c:pt>
                <c:pt idx="18">
                  <c:v>730687</c:v>
                </c:pt>
                <c:pt idx="19">
                  <c:v>152714</c:v>
                </c:pt>
                <c:pt idx="20">
                  <c:v>-1625551</c:v>
                </c:pt>
                <c:pt idx="21">
                  <c:v>-1371363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CA2-4E76-84C5-5E686D46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590000"/>
        <c:axId val="615589016"/>
      </c:scatterChart>
      <c:valAx>
        <c:axId val="615590000"/>
        <c:scaling>
          <c:orientation val="minMax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89016"/>
        <c:crosses val="autoZero"/>
        <c:crossBetween val="midCat"/>
      </c:valAx>
      <c:valAx>
        <c:axId val="61558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000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Plan7!$C$27</c:f>
              <c:strCache>
                <c:ptCount val="1"/>
                <c:pt idx="0">
                  <c:v>2004 to 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Plan7!$B$12:$B$24</c:f>
              <c:numCache>
                <c:formatCode>0.000%</c:formatCode>
                <c:ptCount val="13"/>
                <c:pt idx="0">
                  <c:v>8.3321797679050999E-2</c:v>
                </c:pt>
                <c:pt idx="1">
                  <c:v>2.8984298879304603E-2</c:v>
                </c:pt>
                <c:pt idx="2">
                  <c:v>2.716571957535931E-2</c:v>
                </c:pt>
                <c:pt idx="3">
                  <c:v>5.8508019955925805E-2</c:v>
                </c:pt>
                <c:pt idx="4">
                  <c:v>3.2413365368966669E-2</c:v>
                </c:pt>
                <c:pt idx="5">
                  <c:v>-6.7422877740722684E-2</c:v>
                </c:pt>
                <c:pt idx="6">
                  <c:v>0.10648093218221565</c:v>
                </c:pt>
                <c:pt idx="7">
                  <c:v>5.0171857457099829E-3</c:v>
                </c:pt>
                <c:pt idx="8">
                  <c:v>-2.4010658287624626E-2</c:v>
                </c:pt>
                <c:pt idx="9">
                  <c:v>2.1236431978697717E-2</c:v>
                </c:pt>
                <c:pt idx="10">
                  <c:v>-2.8932096633948589E-2</c:v>
                </c:pt>
                <c:pt idx="11">
                  <c:v>-8.2019250466017754E-2</c:v>
                </c:pt>
                <c:pt idx="12">
                  <c:v>-6.4971812128265971E-2</c:v>
                </c:pt>
              </c:numCache>
            </c:numRef>
          </c:xVal>
          <c:yVal>
            <c:numRef>
              <c:f>Plan7!$C$12:$C$24</c:f>
              <c:numCache>
                <c:formatCode>General</c:formatCode>
                <c:ptCount val="13"/>
                <c:pt idx="0">
                  <c:v>1523276</c:v>
                </c:pt>
                <c:pt idx="1">
                  <c:v>1253999</c:v>
                </c:pt>
                <c:pt idx="2">
                  <c:v>1228686</c:v>
                </c:pt>
                <c:pt idx="3">
                  <c:v>1617392</c:v>
                </c:pt>
                <c:pt idx="4">
                  <c:v>1452205</c:v>
                </c:pt>
                <c:pt idx="5">
                  <c:v>995111</c:v>
                </c:pt>
                <c:pt idx="6">
                  <c:v>2136938</c:v>
                </c:pt>
                <c:pt idx="7">
                  <c:v>1566043</c:v>
                </c:pt>
                <c:pt idx="8">
                  <c:v>868241</c:v>
                </c:pt>
                <c:pt idx="9">
                  <c:v>730687</c:v>
                </c:pt>
                <c:pt idx="10">
                  <c:v>152714</c:v>
                </c:pt>
                <c:pt idx="11">
                  <c:v>-1625551</c:v>
                </c:pt>
                <c:pt idx="12">
                  <c:v>-1371363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C-4061-B7D7-737841658EF9}"/>
            </c:ext>
          </c:extLst>
        </c:ser>
        <c:ser>
          <c:idx val="1"/>
          <c:order val="1"/>
          <c:tx>
            <c:strRef>
              <c:f>Plan7!$B$27</c:f>
              <c:strCache>
                <c:ptCount val="1"/>
                <c:pt idx="0">
                  <c:v>1995 to 2003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Plan7!$B$3:$B$11</c:f>
              <c:numCache>
                <c:formatCode>0.000%</c:formatCode>
                <c:ptCount val="9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</c:numCache>
            </c:numRef>
          </c:xVal>
          <c:yVal>
            <c:numRef>
              <c:f>Plan7!$C$3:$C$11</c:f>
              <c:numCache>
                <c:formatCode>General</c:formatCode>
                <c:ptCount val="9"/>
                <c:pt idx="0">
                  <c:v>-200246</c:v>
                </c:pt>
                <c:pt idx="1">
                  <c:v>-271226</c:v>
                </c:pt>
                <c:pt idx="2">
                  <c:v>-35735</c:v>
                </c:pt>
                <c:pt idx="3">
                  <c:v>-581745</c:v>
                </c:pt>
                <c:pt idx="4">
                  <c:v>-222346</c:v>
                </c:pt>
                <c:pt idx="5">
                  <c:v>675194</c:v>
                </c:pt>
                <c:pt idx="6">
                  <c:v>586511</c:v>
                </c:pt>
                <c:pt idx="7">
                  <c:v>468672</c:v>
                </c:pt>
                <c:pt idx="8">
                  <c:v>710054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4C-4061-B7D7-737841658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30480"/>
        <c:axId val="648331040"/>
      </c:scatterChart>
      <c:scatterChart>
        <c:scatterStyle val="smoothMarker"/>
        <c:varyColors val="0"/>
        <c:ser>
          <c:idx val="2"/>
          <c:order val="2"/>
          <c:tx>
            <c:strRef>
              <c:f>Plan7!$D$2</c:f>
              <c:strCache>
                <c:ptCount val="1"/>
                <c:pt idx="0">
                  <c:v>OLS</c:v>
                </c:pt>
              </c:strCache>
            </c:strRef>
          </c:tx>
          <c:spPr>
            <a:ln w="12700" cap="rnd" cmpd="sng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Plan7!$B$3:$B$24</c:f>
              <c:numCache>
                <c:formatCode>0.000%</c:formatCode>
                <c:ptCount val="22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  <c:pt idx="9">
                  <c:v>8.3321797679050999E-2</c:v>
                </c:pt>
                <c:pt idx="10">
                  <c:v>2.8984298879304603E-2</c:v>
                </c:pt>
                <c:pt idx="11">
                  <c:v>2.716571957535931E-2</c:v>
                </c:pt>
                <c:pt idx="12">
                  <c:v>5.8508019955925805E-2</c:v>
                </c:pt>
                <c:pt idx="13">
                  <c:v>3.2413365368966669E-2</c:v>
                </c:pt>
                <c:pt idx="14">
                  <c:v>-6.7422877740722684E-2</c:v>
                </c:pt>
                <c:pt idx="15">
                  <c:v>0.10648093218221565</c:v>
                </c:pt>
                <c:pt idx="16">
                  <c:v>5.0171857457099829E-3</c:v>
                </c:pt>
                <c:pt idx="17">
                  <c:v>-2.4010658287624626E-2</c:v>
                </c:pt>
                <c:pt idx="18">
                  <c:v>2.1236431978697717E-2</c:v>
                </c:pt>
                <c:pt idx="19">
                  <c:v>-2.8932096633948589E-2</c:v>
                </c:pt>
                <c:pt idx="20">
                  <c:v>-8.2019250466017754E-2</c:v>
                </c:pt>
                <c:pt idx="21">
                  <c:v>-6.4971812128265971E-2</c:v>
                </c:pt>
              </c:numCache>
            </c:numRef>
          </c:xVal>
          <c:yVal>
            <c:numRef>
              <c:f>Plan7!$D$3:$D$24</c:f>
              <c:numCache>
                <c:formatCode>#,##0</c:formatCode>
                <c:ptCount val="22"/>
                <c:pt idx="0">
                  <c:v>719745.09228993184</c:v>
                </c:pt>
                <c:pt idx="1">
                  <c:v>611688.45067609719</c:v>
                </c:pt>
                <c:pt idx="2">
                  <c:v>909590.14510621643</c:v>
                </c:pt>
                <c:pt idx="3">
                  <c:v>93193.502721004246</c:v>
                </c:pt>
                <c:pt idx="4">
                  <c:v>278011.01245952386</c:v>
                </c:pt>
                <c:pt idx="5">
                  <c:v>1295857.9830615679</c:v>
                </c:pt>
                <c:pt idx="6">
                  <c:v>612037.65896858124</c:v>
                </c:pt>
                <c:pt idx="7">
                  <c:v>690364.07920582523</c:v>
                </c:pt>
                <c:pt idx="8">
                  <c:v>415696.78074242047</c:v>
                </c:pt>
                <c:pt idx="9">
                  <c:v>1514902.3954318594</c:v>
                </c:pt>
                <c:pt idx="10">
                  <c:v>763057.50085418113</c:v>
                </c:pt>
                <c:pt idx="11">
                  <c:v>737894.59134863201</c:v>
                </c:pt>
                <c:pt idx="12">
                  <c:v>1171564.6911133071</c:v>
                </c:pt>
                <c:pt idx="13">
                  <c:v>810504.0375989282</c:v>
                </c:pt>
                <c:pt idx="14">
                  <c:v>-570887.65936644922</c:v>
                </c:pt>
                <c:pt idx="15">
                  <c:v>1835345.5042177821</c:v>
                </c:pt>
                <c:pt idx="16">
                  <c:v>431434.73489531007</c:v>
                </c:pt>
                <c:pt idx="17">
                  <c:v>29788.784692655492</c:v>
                </c:pt>
                <c:pt idx="18">
                  <c:v>655853.55695244495</c:v>
                </c:pt>
                <c:pt idx="19">
                  <c:v>-38307.067644952505</c:v>
                </c:pt>
                <c:pt idx="20">
                  <c:v>-772851.46990748926</c:v>
                </c:pt>
                <c:pt idx="21">
                  <c:v>-536973.30541740276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4C-4061-B7D7-737841658EF9}"/>
            </c:ext>
          </c:extLst>
        </c:ser>
        <c:ser>
          <c:idx val="3"/>
          <c:order val="3"/>
          <c:tx>
            <c:strRef>
              <c:f>Plan7!$E$2</c:f>
              <c:strCache>
                <c:ptCount val="1"/>
                <c:pt idx="0">
                  <c:v>OLS Restrict (GVAR)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Plan7!$B$3:$B$24</c:f>
              <c:numCache>
                <c:formatCode>0.000%</c:formatCode>
                <c:ptCount val="22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  <c:pt idx="9">
                  <c:v>8.3321797679050999E-2</c:v>
                </c:pt>
                <c:pt idx="10">
                  <c:v>2.8984298879304603E-2</c:v>
                </c:pt>
                <c:pt idx="11">
                  <c:v>2.716571957535931E-2</c:v>
                </c:pt>
                <c:pt idx="12">
                  <c:v>5.8508019955925805E-2</c:v>
                </c:pt>
                <c:pt idx="13">
                  <c:v>3.2413365368966669E-2</c:v>
                </c:pt>
                <c:pt idx="14">
                  <c:v>-6.7422877740722684E-2</c:v>
                </c:pt>
                <c:pt idx="15">
                  <c:v>0.10648093218221565</c:v>
                </c:pt>
                <c:pt idx="16">
                  <c:v>5.0171857457099829E-3</c:v>
                </c:pt>
                <c:pt idx="17">
                  <c:v>-2.4010658287624626E-2</c:v>
                </c:pt>
                <c:pt idx="18">
                  <c:v>2.1236431978697717E-2</c:v>
                </c:pt>
                <c:pt idx="19">
                  <c:v>-2.8932096633948589E-2</c:v>
                </c:pt>
                <c:pt idx="20">
                  <c:v>-8.2019250466017754E-2</c:v>
                </c:pt>
                <c:pt idx="21">
                  <c:v>-6.4971812128265971E-2</c:v>
                </c:pt>
              </c:numCache>
            </c:numRef>
          </c:xVal>
          <c:yVal>
            <c:numRef>
              <c:f>Plan7!$E$3:$E$24</c:f>
              <c:numCache>
                <c:formatCode>0</c:formatCode>
                <c:ptCount val="22"/>
                <c:pt idx="0">
                  <c:v>1359767.7367190379</c:v>
                </c:pt>
                <c:pt idx="1">
                  <c:v>1158645.887410732</c:v>
                </c:pt>
                <c:pt idx="2">
                  <c:v>1713119.3450440154</c:v>
                </c:pt>
                <c:pt idx="3">
                  <c:v>193590.32736090984</c:v>
                </c:pt>
                <c:pt idx="4">
                  <c:v>537584.35482666688</c:v>
                </c:pt>
                <c:pt idx="5">
                  <c:v>2432065.4527301434</c:v>
                </c:pt>
                <c:pt idx="6">
                  <c:v>1159295.8559506498</c:v>
                </c:pt>
                <c:pt idx="7">
                  <c:v>1305081.9386248789</c:v>
                </c:pt>
                <c:pt idx="8">
                  <c:v>793853.80691137479</c:v>
                </c:pt>
                <c:pt idx="9">
                  <c:v>2839764.7541206446</c:v>
                </c:pt>
                <c:pt idx="10">
                  <c:v>1440383.5283847619</c:v>
                </c:pt>
                <c:pt idx="11">
                  <c:v>1393548.7312066345</c:v>
                </c:pt>
                <c:pt idx="12">
                  <c:v>2200722.9238498937</c:v>
                </c:pt>
                <c:pt idx="13">
                  <c:v>1528694.0206493698</c:v>
                </c:pt>
                <c:pt idx="14">
                  <c:v>-1042439.4938059312</c:v>
                </c:pt>
                <c:pt idx="15">
                  <c:v>3436193.7165110144</c:v>
                </c:pt>
                <c:pt idx="16">
                  <c:v>823146.28163838165</c:v>
                </c:pt>
                <c:pt idx="17">
                  <c:v>75577.459717793041</c:v>
                </c:pt>
                <c:pt idx="18">
                  <c:v>1240848.7739388996</c:v>
                </c:pt>
                <c:pt idx="19">
                  <c:v>-51166.843527437421</c:v>
                </c:pt>
                <c:pt idx="20">
                  <c:v>-1418347.2997742943</c:v>
                </c:pt>
                <c:pt idx="21">
                  <c:v>-979315.95523895626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4C-4061-B7D7-737841658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30480"/>
        <c:axId val="648331040"/>
      </c:scatterChart>
      <c:valAx>
        <c:axId val="648330480"/>
        <c:scaling>
          <c:orientation val="minMax"/>
          <c:max val="0.11000000000000001"/>
          <c:min val="-9.000000000000002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31040"/>
        <c:crosses val="autoZero"/>
        <c:crossBetween val="midCat"/>
        <c:majorUnit val="2.0000000000000004E-2"/>
      </c:valAx>
      <c:valAx>
        <c:axId val="6483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30480"/>
        <c:crossesAt val="0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Plan7!$C$27</c:f>
              <c:strCache>
                <c:ptCount val="1"/>
                <c:pt idx="0">
                  <c:v>2004 to 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Plan7!$B$12:$B$24</c:f>
              <c:numCache>
                <c:formatCode>0.000%</c:formatCode>
                <c:ptCount val="13"/>
                <c:pt idx="0">
                  <c:v>8.3321797679050999E-2</c:v>
                </c:pt>
                <c:pt idx="1">
                  <c:v>2.8984298879304603E-2</c:v>
                </c:pt>
                <c:pt idx="2">
                  <c:v>2.716571957535931E-2</c:v>
                </c:pt>
                <c:pt idx="3">
                  <c:v>5.8508019955925805E-2</c:v>
                </c:pt>
                <c:pt idx="4">
                  <c:v>3.2413365368966669E-2</c:v>
                </c:pt>
                <c:pt idx="5">
                  <c:v>-6.7422877740722684E-2</c:v>
                </c:pt>
                <c:pt idx="6">
                  <c:v>0.10648093218221565</c:v>
                </c:pt>
                <c:pt idx="7">
                  <c:v>5.0171857457099829E-3</c:v>
                </c:pt>
                <c:pt idx="8">
                  <c:v>-2.4010658287624626E-2</c:v>
                </c:pt>
                <c:pt idx="9">
                  <c:v>2.1236431978697717E-2</c:v>
                </c:pt>
                <c:pt idx="10">
                  <c:v>-2.8932096633948589E-2</c:v>
                </c:pt>
                <c:pt idx="11">
                  <c:v>-8.2019250466017754E-2</c:v>
                </c:pt>
                <c:pt idx="12">
                  <c:v>-6.4971812128265971E-2</c:v>
                </c:pt>
              </c:numCache>
            </c:numRef>
          </c:xVal>
          <c:yVal>
            <c:numRef>
              <c:f>Plan7!$C$12:$C$24</c:f>
              <c:numCache>
                <c:formatCode>General</c:formatCode>
                <c:ptCount val="13"/>
                <c:pt idx="0">
                  <c:v>1523276</c:v>
                </c:pt>
                <c:pt idx="1">
                  <c:v>1253999</c:v>
                </c:pt>
                <c:pt idx="2">
                  <c:v>1228686</c:v>
                </c:pt>
                <c:pt idx="3">
                  <c:v>1617392</c:v>
                </c:pt>
                <c:pt idx="4">
                  <c:v>1452205</c:v>
                </c:pt>
                <c:pt idx="5">
                  <c:v>995111</c:v>
                </c:pt>
                <c:pt idx="6">
                  <c:v>2136938</c:v>
                </c:pt>
                <c:pt idx="7">
                  <c:v>1566043</c:v>
                </c:pt>
                <c:pt idx="8">
                  <c:v>868241</c:v>
                </c:pt>
                <c:pt idx="9">
                  <c:v>730687</c:v>
                </c:pt>
                <c:pt idx="10">
                  <c:v>152714</c:v>
                </c:pt>
                <c:pt idx="11">
                  <c:v>-1625551</c:v>
                </c:pt>
                <c:pt idx="12">
                  <c:v>-1371363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C-4061-B7D7-737841658EF9}"/>
            </c:ext>
          </c:extLst>
        </c:ser>
        <c:ser>
          <c:idx val="1"/>
          <c:order val="1"/>
          <c:tx>
            <c:strRef>
              <c:f>Plan7!$B$27</c:f>
              <c:strCache>
                <c:ptCount val="1"/>
                <c:pt idx="0">
                  <c:v>1995 to 2003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Plan7!$B$3:$B$11</c:f>
              <c:numCache>
                <c:formatCode>0.000%</c:formatCode>
                <c:ptCount val="9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</c:numCache>
            </c:numRef>
          </c:xVal>
          <c:yVal>
            <c:numRef>
              <c:f>Plan7!$C$3:$C$11</c:f>
              <c:numCache>
                <c:formatCode>General</c:formatCode>
                <c:ptCount val="9"/>
                <c:pt idx="0">
                  <c:v>-200246</c:v>
                </c:pt>
                <c:pt idx="1">
                  <c:v>-271226</c:v>
                </c:pt>
                <c:pt idx="2">
                  <c:v>-35735</c:v>
                </c:pt>
                <c:pt idx="3">
                  <c:v>-581745</c:v>
                </c:pt>
                <c:pt idx="4">
                  <c:v>-222346</c:v>
                </c:pt>
                <c:pt idx="5">
                  <c:v>675194</c:v>
                </c:pt>
                <c:pt idx="6">
                  <c:v>586511</c:v>
                </c:pt>
                <c:pt idx="7">
                  <c:v>468672</c:v>
                </c:pt>
                <c:pt idx="8">
                  <c:v>710054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4C-4061-B7D7-737841658EF9}"/>
            </c:ext>
          </c:extLst>
        </c:ser>
        <c:ser>
          <c:idx val="2"/>
          <c:order val="2"/>
          <c:tx>
            <c:strRef>
              <c:f>Plan7!$D$2</c:f>
              <c:strCache>
                <c:ptCount val="1"/>
                <c:pt idx="0">
                  <c:v>OLS</c:v>
                </c:pt>
              </c:strCache>
            </c:strRef>
          </c:tx>
          <c:spPr>
            <a:ln w="12700" cap="rnd" cmpd="sng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Plan7!$B$3:$B$24</c:f>
              <c:numCache>
                <c:formatCode>0.000%</c:formatCode>
                <c:ptCount val="22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  <c:pt idx="9">
                  <c:v>8.3321797679050999E-2</c:v>
                </c:pt>
                <c:pt idx="10">
                  <c:v>2.8984298879304603E-2</c:v>
                </c:pt>
                <c:pt idx="11">
                  <c:v>2.716571957535931E-2</c:v>
                </c:pt>
                <c:pt idx="12">
                  <c:v>5.8508019955925805E-2</c:v>
                </c:pt>
                <c:pt idx="13">
                  <c:v>3.2413365368966669E-2</c:v>
                </c:pt>
                <c:pt idx="14">
                  <c:v>-6.7422877740722684E-2</c:v>
                </c:pt>
                <c:pt idx="15">
                  <c:v>0.10648093218221565</c:v>
                </c:pt>
                <c:pt idx="16">
                  <c:v>5.0171857457099829E-3</c:v>
                </c:pt>
                <c:pt idx="17">
                  <c:v>-2.4010658287624626E-2</c:v>
                </c:pt>
                <c:pt idx="18">
                  <c:v>2.1236431978697717E-2</c:v>
                </c:pt>
                <c:pt idx="19">
                  <c:v>-2.8932096633948589E-2</c:v>
                </c:pt>
                <c:pt idx="20">
                  <c:v>-8.2019250466017754E-2</c:v>
                </c:pt>
                <c:pt idx="21">
                  <c:v>-6.4971812128265971E-2</c:v>
                </c:pt>
              </c:numCache>
            </c:numRef>
          </c:xVal>
          <c:yVal>
            <c:numRef>
              <c:f>Plan7!$D$3:$D$24</c:f>
              <c:numCache>
                <c:formatCode>#,##0</c:formatCode>
                <c:ptCount val="22"/>
                <c:pt idx="0">
                  <c:v>719745.09228993184</c:v>
                </c:pt>
                <c:pt idx="1">
                  <c:v>611688.45067609719</c:v>
                </c:pt>
                <c:pt idx="2">
                  <c:v>909590.14510621643</c:v>
                </c:pt>
                <c:pt idx="3">
                  <c:v>93193.502721004246</c:v>
                </c:pt>
                <c:pt idx="4">
                  <c:v>278011.01245952386</c:v>
                </c:pt>
                <c:pt idx="5">
                  <c:v>1295857.9830615679</c:v>
                </c:pt>
                <c:pt idx="6">
                  <c:v>612037.65896858124</c:v>
                </c:pt>
                <c:pt idx="7">
                  <c:v>690364.07920582523</c:v>
                </c:pt>
                <c:pt idx="8">
                  <c:v>415696.78074242047</c:v>
                </c:pt>
                <c:pt idx="9">
                  <c:v>1514902.3954318594</c:v>
                </c:pt>
                <c:pt idx="10">
                  <c:v>763057.50085418113</c:v>
                </c:pt>
                <c:pt idx="11">
                  <c:v>737894.59134863201</c:v>
                </c:pt>
                <c:pt idx="12">
                  <c:v>1171564.6911133071</c:v>
                </c:pt>
                <c:pt idx="13">
                  <c:v>810504.0375989282</c:v>
                </c:pt>
                <c:pt idx="14">
                  <c:v>-570887.65936644922</c:v>
                </c:pt>
                <c:pt idx="15">
                  <c:v>1835345.5042177821</c:v>
                </c:pt>
                <c:pt idx="16">
                  <c:v>431434.73489531007</c:v>
                </c:pt>
                <c:pt idx="17">
                  <c:v>29788.784692655492</c:v>
                </c:pt>
                <c:pt idx="18">
                  <c:v>655853.55695244495</c:v>
                </c:pt>
                <c:pt idx="19">
                  <c:v>-38307.067644952505</c:v>
                </c:pt>
                <c:pt idx="20">
                  <c:v>-772851.46990748926</c:v>
                </c:pt>
                <c:pt idx="21">
                  <c:v>-536973.30541740276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B-40F4-BF4A-04D4331C72EF}"/>
            </c:ext>
          </c:extLst>
        </c:ser>
        <c:ser>
          <c:idx val="3"/>
          <c:order val="3"/>
          <c:tx>
            <c:strRef>
              <c:f>Plan7!$E$2</c:f>
              <c:strCache>
                <c:ptCount val="1"/>
                <c:pt idx="0">
                  <c:v>OLS Restrict (GVAR)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Plan7!$B$3:$B$24</c:f>
              <c:numCache>
                <c:formatCode>0.000%</c:formatCode>
                <c:ptCount val="22"/>
                <c:pt idx="0">
                  <c:v>2.5854015006464042E-2</c:v>
                </c:pt>
                <c:pt idx="1">
                  <c:v>1.8044521750152864E-2</c:v>
                </c:pt>
                <c:pt idx="2">
                  <c:v>3.9574538220679828E-2</c:v>
                </c:pt>
                <c:pt idx="3">
                  <c:v>-1.9428258626988631E-2</c:v>
                </c:pt>
                <c:pt idx="4">
                  <c:v>-6.0710871066181242E-3</c:v>
                </c:pt>
                <c:pt idx="5">
                  <c:v>6.7490971959408966E-2</c:v>
                </c:pt>
                <c:pt idx="6">
                  <c:v>1.8069759808308956E-2</c:v>
                </c:pt>
                <c:pt idx="7">
                  <c:v>2.3730583997346465E-2</c:v>
                </c:pt>
                <c:pt idx="8">
                  <c:v>3.8797688781345798E-3</c:v>
                </c:pt>
                <c:pt idx="9">
                  <c:v>8.3321797679050999E-2</c:v>
                </c:pt>
                <c:pt idx="10">
                  <c:v>2.8984298879304603E-2</c:v>
                </c:pt>
                <c:pt idx="11">
                  <c:v>2.716571957535931E-2</c:v>
                </c:pt>
                <c:pt idx="12">
                  <c:v>5.8508019955925805E-2</c:v>
                </c:pt>
                <c:pt idx="13">
                  <c:v>3.2413365368966669E-2</c:v>
                </c:pt>
                <c:pt idx="14">
                  <c:v>-6.7422877740722684E-2</c:v>
                </c:pt>
                <c:pt idx="15">
                  <c:v>0.10648093218221565</c:v>
                </c:pt>
                <c:pt idx="16">
                  <c:v>5.0171857457099829E-3</c:v>
                </c:pt>
                <c:pt idx="17">
                  <c:v>-2.4010658287624626E-2</c:v>
                </c:pt>
                <c:pt idx="18">
                  <c:v>2.1236431978697717E-2</c:v>
                </c:pt>
                <c:pt idx="19">
                  <c:v>-2.8932096633948589E-2</c:v>
                </c:pt>
                <c:pt idx="20">
                  <c:v>-8.2019250466017754E-2</c:v>
                </c:pt>
                <c:pt idx="21">
                  <c:v>-6.4971812128265971E-2</c:v>
                </c:pt>
              </c:numCache>
            </c:numRef>
          </c:xVal>
          <c:yVal>
            <c:numRef>
              <c:f>Plan7!$E$3:$E$24</c:f>
              <c:numCache>
                <c:formatCode>0</c:formatCode>
                <c:ptCount val="22"/>
                <c:pt idx="0">
                  <c:v>1359767.7367190379</c:v>
                </c:pt>
                <c:pt idx="1">
                  <c:v>1158645.887410732</c:v>
                </c:pt>
                <c:pt idx="2">
                  <c:v>1713119.3450440154</c:v>
                </c:pt>
                <c:pt idx="3">
                  <c:v>193590.32736090984</c:v>
                </c:pt>
                <c:pt idx="4">
                  <c:v>537584.35482666688</c:v>
                </c:pt>
                <c:pt idx="5">
                  <c:v>2432065.4527301434</c:v>
                </c:pt>
                <c:pt idx="6">
                  <c:v>1159295.8559506498</c:v>
                </c:pt>
                <c:pt idx="7">
                  <c:v>1305081.9386248789</c:v>
                </c:pt>
                <c:pt idx="8">
                  <c:v>793853.80691137479</c:v>
                </c:pt>
                <c:pt idx="9">
                  <c:v>2839764.7541206446</c:v>
                </c:pt>
                <c:pt idx="10">
                  <c:v>1440383.5283847619</c:v>
                </c:pt>
                <c:pt idx="11">
                  <c:v>1393548.7312066345</c:v>
                </c:pt>
                <c:pt idx="12">
                  <c:v>2200722.9238498937</c:v>
                </c:pt>
                <c:pt idx="13">
                  <c:v>1528694.0206493698</c:v>
                </c:pt>
                <c:pt idx="14">
                  <c:v>-1042439.4938059312</c:v>
                </c:pt>
                <c:pt idx="15">
                  <c:v>3436193.7165110144</c:v>
                </c:pt>
                <c:pt idx="16">
                  <c:v>823146.28163838165</c:v>
                </c:pt>
                <c:pt idx="17">
                  <c:v>75577.459717793041</c:v>
                </c:pt>
                <c:pt idx="18">
                  <c:v>1240848.7739388996</c:v>
                </c:pt>
                <c:pt idx="19">
                  <c:v>-51166.843527437421</c:v>
                </c:pt>
                <c:pt idx="20">
                  <c:v>-1418347.2997742943</c:v>
                </c:pt>
                <c:pt idx="21">
                  <c:v>-979315.95523895626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B-40F4-BF4A-04D4331C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30480"/>
        <c:axId val="648331040"/>
      </c:scatterChart>
      <c:valAx>
        <c:axId val="648330480"/>
        <c:scaling>
          <c:orientation val="minMax"/>
          <c:max val="0.12000000000000001"/>
          <c:min val="-9.000000000000002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annual Industrial production growth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31040"/>
        <c:crosses val="autoZero"/>
        <c:crossBetween val="midCat"/>
        <c:majorUnit val="3.0000000000000006E-2"/>
      </c:valAx>
      <c:valAx>
        <c:axId val="6483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employment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30480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3</xdr:row>
      <xdr:rowOff>147637</xdr:rowOff>
    </xdr:from>
    <xdr:to>
      <xdr:col>12</xdr:col>
      <xdr:colOff>285750</xdr:colOff>
      <xdr:row>20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7154D8-FB72-4F71-A7AA-1A55F444D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161924</xdr:rowOff>
    </xdr:from>
    <xdr:to>
      <xdr:col>15</xdr:col>
      <xdr:colOff>0</xdr:colOff>
      <xdr:row>17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</xdr:row>
      <xdr:rowOff>0</xdr:rowOff>
    </xdr:from>
    <xdr:to>
      <xdr:col>14</xdr:col>
      <xdr:colOff>600075</xdr:colOff>
      <xdr:row>21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60828E-FB00-4E5D-AAD7-366706933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8"/>
  <sheetViews>
    <sheetView topLeftCell="F465" workbookViewId="0">
      <selection activeCell="AA244" sqref="AA244:AC507"/>
    </sheetView>
  </sheetViews>
  <sheetFormatPr defaultRowHeight="12.75" x14ac:dyDescent="0.2"/>
  <cols>
    <col min="1" max="1" width="10.140625" bestFit="1" customWidth="1"/>
    <col min="2" max="3" width="10.140625" customWidth="1"/>
    <col min="4" max="4" width="9.140625" bestFit="1" customWidth="1"/>
    <col min="5" max="5" width="13.28515625" bestFit="1" customWidth="1"/>
    <col min="6" max="6" width="10.140625" bestFit="1" customWidth="1"/>
    <col min="8" max="8" width="13.28515625" bestFit="1" customWidth="1"/>
    <col min="11" max="11" width="13.28515625" bestFit="1" customWidth="1"/>
    <col min="14" max="17" width="11.28515625" customWidth="1"/>
    <col min="21" max="21" width="17.42578125" bestFit="1" customWidth="1"/>
    <col min="22" max="22" width="20.28515625" bestFit="1" customWidth="1"/>
    <col min="27" max="27" width="10.140625" bestFit="1" customWidth="1"/>
  </cols>
  <sheetData>
    <row r="1" spans="1:23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23" x14ac:dyDescent="0.2">
      <c r="D2" t="s">
        <v>399</v>
      </c>
      <c r="E2" t="s">
        <v>399</v>
      </c>
      <c r="F2" t="s">
        <v>400</v>
      </c>
      <c r="G2" t="s">
        <v>400</v>
      </c>
      <c r="H2" t="s">
        <v>424</v>
      </c>
      <c r="I2" t="s">
        <v>424</v>
      </c>
    </row>
    <row r="3" spans="1:23" x14ac:dyDescent="0.2">
      <c r="A3" t="s">
        <v>401</v>
      </c>
      <c r="B3" t="s">
        <v>413</v>
      </c>
      <c r="C3" t="s">
        <v>414</v>
      </c>
      <c r="D3" t="s">
        <v>402</v>
      </c>
      <c r="E3" t="s">
        <v>403</v>
      </c>
      <c r="F3" t="s">
        <v>402</v>
      </c>
      <c r="G3" t="s">
        <v>403</v>
      </c>
      <c r="H3" t="s">
        <v>402</v>
      </c>
      <c r="I3" t="s">
        <v>403</v>
      </c>
      <c r="J3" t="s">
        <v>409</v>
      </c>
      <c r="K3" t="s">
        <v>410</v>
      </c>
      <c r="L3" t="s">
        <v>411</v>
      </c>
      <c r="M3" t="s">
        <v>412</v>
      </c>
      <c r="N3" t="s">
        <v>415</v>
      </c>
      <c r="O3" t="s">
        <v>416</v>
      </c>
      <c r="P3" t="s">
        <v>422</v>
      </c>
      <c r="Q3" t="s">
        <v>421</v>
      </c>
      <c r="R3" t="s">
        <v>417</v>
      </c>
      <c r="S3" t="s">
        <v>418</v>
      </c>
      <c r="T3" t="s">
        <v>419</v>
      </c>
      <c r="U3" t="s">
        <v>423</v>
      </c>
      <c r="V3" t="s">
        <v>420</v>
      </c>
      <c r="W3" t="s">
        <v>429</v>
      </c>
    </row>
    <row r="4" spans="1:23" x14ac:dyDescent="0.2">
      <c r="A4" s="8">
        <f t="shared" ref="A4:A67" si="0">EOMONTH(A5,-1)</f>
        <v>27425</v>
      </c>
      <c r="B4" s="17">
        <f t="shared" ref="B4:B67" si="1">YEAR(A4)</f>
        <v>1975</v>
      </c>
      <c r="C4" s="17">
        <f t="shared" ref="C4:C67" si="2">MONTH(A4)</f>
        <v>1</v>
      </c>
      <c r="J4">
        <v>40.694753593154104</v>
      </c>
      <c r="K4" s="6">
        <f t="shared" ref="K4:K67" si="3">IF(AND(ISNUMBER(D4),ISNUMBER(E4)),D4-E4,IF(AND(ISNUMBER(F4),ISNUMBER(G4)),F4-G4,H4-I4))</f>
        <v>0</v>
      </c>
      <c r="L4" s="15">
        <f t="shared" ref="L4:L67" si="4">LN(J4)</f>
        <v>3.7060991797945624</v>
      </c>
      <c r="M4" s="16" t="e">
        <f t="shared" ref="M4:M67" si="5">L4-L3</f>
        <v>#VALUE!</v>
      </c>
      <c r="N4" s="8">
        <f t="array" ref="N4">MAX(IF($B$4:$B$507=B4,$A$4:$A$507))</f>
        <v>27759</v>
      </c>
      <c r="O4" s="8">
        <f t="array" ref="O4">MIN(IF($B$4:$B$507=B4,$A$4:$A$507))</f>
        <v>27425</v>
      </c>
      <c r="P4" s="8">
        <f t="shared" ref="P4:P67" si="6">EOMONTH(Q4,-12)</f>
        <v>27060</v>
      </c>
      <c r="Q4" s="8">
        <f t="shared" ref="Q4:Q67" si="7">A4</f>
        <v>27425</v>
      </c>
      <c r="R4">
        <f>VLOOKUP(Q4,$A$4:$L$507,$J$1,FALSE)</f>
        <v>40.694753593154104</v>
      </c>
      <c r="S4" t="e">
        <f>VLOOKUP(P4,$A$4:$L$507,$J$1,FALSE)</f>
        <v>#N/A</v>
      </c>
      <c r="T4" s="20" t="e">
        <f t="shared" ref="T4:T67" si="8">R4/S4-1</f>
        <v>#N/A</v>
      </c>
      <c r="U4" s="20" t="e">
        <f>AVERAGEIF($B$4:$B$507,B4,$T$4:$T$507)</f>
        <v>#N/A</v>
      </c>
    </row>
    <row r="5" spans="1:23" x14ac:dyDescent="0.2">
      <c r="A5" s="8">
        <f t="shared" si="0"/>
        <v>27453</v>
      </c>
      <c r="B5" s="17">
        <f t="shared" si="1"/>
        <v>1975</v>
      </c>
      <c r="C5" s="17">
        <f t="shared" si="2"/>
        <v>2</v>
      </c>
      <c r="J5">
        <v>38.181290255854236</v>
      </c>
      <c r="K5" s="6">
        <f t="shared" si="3"/>
        <v>0</v>
      </c>
      <c r="L5" s="15">
        <f t="shared" si="4"/>
        <v>3.6423456117510655</v>
      </c>
      <c r="M5" s="16">
        <f t="shared" si="5"/>
        <v>-6.3753568043496855E-2</v>
      </c>
      <c r="N5" s="8">
        <f t="array" ref="N5">MAX(IF($B$4:$B$507=B5,$A$4:$A$507))</f>
        <v>27759</v>
      </c>
      <c r="O5" s="8">
        <f t="array" ref="O5">MIN(IF($B$4:$B$507=B5,$A$4:$A$507))</f>
        <v>27425</v>
      </c>
      <c r="P5" s="8">
        <f t="shared" si="6"/>
        <v>27088</v>
      </c>
      <c r="Q5" s="8">
        <f t="shared" si="7"/>
        <v>27453</v>
      </c>
      <c r="R5">
        <f t="shared" ref="R5:R68" si="9">VLOOKUP(Q5,$A$4:$L$507,$J$1,FALSE)</f>
        <v>38.181290255854236</v>
      </c>
      <c r="S5" t="e">
        <f t="shared" ref="S5:S68" si="10">VLOOKUP(P5,$A$4:$L$507,$J$1,FALSE)</f>
        <v>#N/A</v>
      </c>
      <c r="T5" s="20" t="e">
        <f t="shared" si="8"/>
        <v>#N/A</v>
      </c>
      <c r="U5" s="20" t="e">
        <f t="shared" ref="U5:U68" si="11">AVERAGEIF($B$4:$B$507,B5,$T$4:$T$507)</f>
        <v>#N/A</v>
      </c>
    </row>
    <row r="6" spans="1:23" x14ac:dyDescent="0.2">
      <c r="A6" s="8">
        <f t="shared" si="0"/>
        <v>27484</v>
      </c>
      <c r="B6" s="17">
        <f t="shared" si="1"/>
        <v>1975</v>
      </c>
      <c r="C6" s="17">
        <f t="shared" si="2"/>
        <v>3</v>
      </c>
      <c r="J6">
        <v>41.352310016359716</v>
      </c>
      <c r="K6" s="6">
        <f t="shared" si="3"/>
        <v>0</v>
      </c>
      <c r="L6" s="15">
        <f t="shared" si="4"/>
        <v>3.7221282848756889</v>
      </c>
      <c r="M6" s="16">
        <f t="shared" si="5"/>
        <v>7.9782673124623393E-2</v>
      </c>
      <c r="N6" s="8">
        <f t="array" ref="N6">MAX(IF($B$4:$B$507=B6,$A$4:$A$507))</f>
        <v>27759</v>
      </c>
      <c r="O6" s="8">
        <f t="array" ref="O6">MIN(IF($B$4:$B$507=B6,$A$4:$A$507))</f>
        <v>27425</v>
      </c>
      <c r="P6" s="8">
        <f t="shared" si="6"/>
        <v>27119</v>
      </c>
      <c r="Q6" s="8">
        <f t="shared" si="7"/>
        <v>27484</v>
      </c>
      <c r="R6">
        <f t="shared" si="9"/>
        <v>41.352310016359716</v>
      </c>
      <c r="S6" t="e">
        <f t="shared" si="10"/>
        <v>#N/A</v>
      </c>
      <c r="T6" s="20" t="e">
        <f t="shared" si="8"/>
        <v>#N/A</v>
      </c>
      <c r="U6" s="20" t="e">
        <f t="shared" si="11"/>
        <v>#N/A</v>
      </c>
    </row>
    <row r="7" spans="1:23" x14ac:dyDescent="0.2">
      <c r="A7" s="8">
        <f t="shared" si="0"/>
        <v>27514</v>
      </c>
      <c r="B7" s="17">
        <f t="shared" si="1"/>
        <v>1975</v>
      </c>
      <c r="C7" s="17">
        <f t="shared" si="2"/>
        <v>4</v>
      </c>
      <c r="J7">
        <v>43.570794771287062</v>
      </c>
      <c r="K7" s="6">
        <f t="shared" si="3"/>
        <v>0</v>
      </c>
      <c r="L7" s="15">
        <f t="shared" si="4"/>
        <v>3.7743870812135447</v>
      </c>
      <c r="M7" s="16">
        <f t="shared" si="5"/>
        <v>5.2258796337855795E-2</v>
      </c>
      <c r="N7" s="8">
        <f t="array" ref="N7">MAX(IF($B$4:$B$507=B7,$A$4:$A$507))</f>
        <v>27759</v>
      </c>
      <c r="O7" s="8">
        <f t="array" ref="O7">MIN(IF($B$4:$B$507=B7,$A$4:$A$507))</f>
        <v>27425</v>
      </c>
      <c r="P7" s="8">
        <f t="shared" si="6"/>
        <v>27149</v>
      </c>
      <c r="Q7" s="8">
        <f t="shared" si="7"/>
        <v>27514</v>
      </c>
      <c r="R7">
        <f t="shared" si="9"/>
        <v>43.570794771287062</v>
      </c>
      <c r="S7" t="e">
        <f t="shared" si="10"/>
        <v>#N/A</v>
      </c>
      <c r="T7" s="20" t="e">
        <f t="shared" si="8"/>
        <v>#N/A</v>
      </c>
      <c r="U7" s="20" t="e">
        <f t="shared" si="11"/>
        <v>#N/A</v>
      </c>
    </row>
    <row r="8" spans="1:23" x14ac:dyDescent="0.2">
      <c r="A8" s="8">
        <f t="shared" si="0"/>
        <v>27545</v>
      </c>
      <c r="B8" s="17">
        <f t="shared" si="1"/>
        <v>1975</v>
      </c>
      <c r="C8" s="17">
        <f t="shared" si="2"/>
        <v>5</v>
      </c>
      <c r="J8">
        <v>43.724429449606092</v>
      </c>
      <c r="K8" s="6">
        <f t="shared" si="3"/>
        <v>0</v>
      </c>
      <c r="L8" s="15">
        <f t="shared" si="4"/>
        <v>3.7779069722113237</v>
      </c>
      <c r="M8" s="16">
        <f t="shared" si="5"/>
        <v>3.5198909977789405E-3</v>
      </c>
      <c r="N8" s="8">
        <f t="array" ref="N8">MAX(IF($B$4:$B$507=B8,$A$4:$A$507))</f>
        <v>27759</v>
      </c>
      <c r="O8" s="8">
        <f t="array" ref="O8">MIN(IF($B$4:$B$507=B8,$A$4:$A$507))</f>
        <v>27425</v>
      </c>
      <c r="P8" s="8">
        <f t="shared" si="6"/>
        <v>27180</v>
      </c>
      <c r="Q8" s="8">
        <f t="shared" si="7"/>
        <v>27545</v>
      </c>
      <c r="R8">
        <f t="shared" si="9"/>
        <v>43.724429449606092</v>
      </c>
      <c r="S8" t="e">
        <f t="shared" si="10"/>
        <v>#N/A</v>
      </c>
      <c r="T8" s="20" t="e">
        <f t="shared" si="8"/>
        <v>#N/A</v>
      </c>
      <c r="U8" s="20" t="e">
        <f t="shared" si="11"/>
        <v>#N/A</v>
      </c>
    </row>
    <row r="9" spans="1:23" x14ac:dyDescent="0.2">
      <c r="A9" s="8">
        <f t="shared" si="0"/>
        <v>27575</v>
      </c>
      <c r="B9" s="17">
        <f t="shared" si="1"/>
        <v>1975</v>
      </c>
      <c r="C9" s="17">
        <f t="shared" si="2"/>
        <v>6</v>
      </c>
      <c r="J9">
        <v>45.174740812938033</v>
      </c>
      <c r="K9" s="6">
        <f t="shared" si="3"/>
        <v>0</v>
      </c>
      <c r="L9" s="15">
        <f t="shared" si="4"/>
        <v>3.8105380990614575</v>
      </c>
      <c r="M9" s="16">
        <f t="shared" si="5"/>
        <v>3.2631126850133807E-2</v>
      </c>
      <c r="N9" s="8">
        <f t="array" ref="N9">MAX(IF($B$4:$B$507=B9,$A$4:$A$507))</f>
        <v>27759</v>
      </c>
      <c r="O9" s="8">
        <f t="array" ref="O9">MIN(IF($B$4:$B$507=B9,$A$4:$A$507))</f>
        <v>27425</v>
      </c>
      <c r="P9" s="8">
        <f t="shared" si="6"/>
        <v>27210</v>
      </c>
      <c r="Q9" s="8">
        <f t="shared" si="7"/>
        <v>27575</v>
      </c>
      <c r="R9">
        <f t="shared" si="9"/>
        <v>45.174740812938033</v>
      </c>
      <c r="S9" t="e">
        <f t="shared" si="10"/>
        <v>#N/A</v>
      </c>
      <c r="T9" s="20" t="e">
        <f t="shared" si="8"/>
        <v>#N/A</v>
      </c>
      <c r="U9" s="20" t="e">
        <f t="shared" si="11"/>
        <v>#N/A</v>
      </c>
    </row>
    <row r="10" spans="1:23" x14ac:dyDescent="0.2">
      <c r="A10" s="8">
        <f t="shared" si="0"/>
        <v>27606</v>
      </c>
      <c r="B10" s="17">
        <f t="shared" si="1"/>
        <v>1975</v>
      </c>
      <c r="C10" s="17">
        <f t="shared" si="2"/>
        <v>7</v>
      </c>
      <c r="J10">
        <v>46.877013048713337</v>
      </c>
      <c r="K10" s="6">
        <f t="shared" si="3"/>
        <v>0</v>
      </c>
      <c r="L10" s="15">
        <f t="shared" si="4"/>
        <v>3.8475274284076808</v>
      </c>
      <c r="M10" s="16">
        <f t="shared" si="5"/>
        <v>3.6989329346223343E-2</v>
      </c>
      <c r="N10" s="8">
        <f t="array" ref="N10">MAX(IF($B$4:$B$507=B10,$A$4:$A$507))</f>
        <v>27759</v>
      </c>
      <c r="O10" s="8">
        <f t="array" ref="O10">MIN(IF($B$4:$B$507=B10,$A$4:$A$507))</f>
        <v>27425</v>
      </c>
      <c r="P10" s="8">
        <f t="shared" si="6"/>
        <v>27241</v>
      </c>
      <c r="Q10" s="8">
        <f t="shared" si="7"/>
        <v>27606</v>
      </c>
      <c r="R10">
        <f t="shared" si="9"/>
        <v>46.877013048713337</v>
      </c>
      <c r="S10" t="e">
        <f t="shared" si="10"/>
        <v>#N/A</v>
      </c>
      <c r="T10" s="20" t="e">
        <f t="shared" si="8"/>
        <v>#N/A</v>
      </c>
      <c r="U10" s="20" t="e">
        <f t="shared" si="11"/>
        <v>#N/A</v>
      </c>
    </row>
    <row r="11" spans="1:23" x14ac:dyDescent="0.2">
      <c r="A11" s="8">
        <f t="shared" si="0"/>
        <v>27637</v>
      </c>
      <c r="B11" s="17">
        <f t="shared" si="1"/>
        <v>1975</v>
      </c>
      <c r="C11" s="17">
        <f t="shared" si="2"/>
        <v>8</v>
      </c>
      <c r="J11">
        <v>46.022804237259294</v>
      </c>
      <c r="K11" s="6">
        <f t="shared" si="3"/>
        <v>0</v>
      </c>
      <c r="L11" s="15">
        <f t="shared" si="4"/>
        <v>3.8291370179367377</v>
      </c>
      <c r="M11" s="16">
        <f t="shared" si="5"/>
        <v>-1.8390410470943142E-2</v>
      </c>
      <c r="N11" s="8">
        <f t="array" ref="N11">MAX(IF($B$4:$B$507=B11,$A$4:$A$507))</f>
        <v>27759</v>
      </c>
      <c r="O11" s="8">
        <f t="array" ref="O11">MIN(IF($B$4:$B$507=B11,$A$4:$A$507))</f>
        <v>27425</v>
      </c>
      <c r="P11" s="8">
        <f t="shared" si="6"/>
        <v>27272</v>
      </c>
      <c r="Q11" s="8">
        <f t="shared" si="7"/>
        <v>27637</v>
      </c>
      <c r="R11">
        <f t="shared" si="9"/>
        <v>46.022804237259294</v>
      </c>
      <c r="S11" t="e">
        <f t="shared" si="10"/>
        <v>#N/A</v>
      </c>
      <c r="T11" s="20" t="e">
        <f t="shared" si="8"/>
        <v>#N/A</v>
      </c>
      <c r="U11" s="20" t="e">
        <f t="shared" si="11"/>
        <v>#N/A</v>
      </c>
    </row>
    <row r="12" spans="1:23" x14ac:dyDescent="0.2">
      <c r="A12" s="8">
        <f t="shared" si="0"/>
        <v>27667</v>
      </c>
      <c r="B12" s="17">
        <f t="shared" si="1"/>
        <v>1975</v>
      </c>
      <c r="C12" s="17">
        <f t="shared" si="2"/>
        <v>9</v>
      </c>
      <c r="J12">
        <v>47.178137018218628</v>
      </c>
      <c r="K12" s="6">
        <f t="shared" si="3"/>
        <v>0</v>
      </c>
      <c r="L12" s="15">
        <f t="shared" si="4"/>
        <v>3.853930586515268</v>
      </c>
      <c r="M12" s="16">
        <f t="shared" si="5"/>
        <v>2.4793568578530323E-2</v>
      </c>
      <c r="N12" s="8">
        <f t="array" ref="N12">MAX(IF($B$4:$B$507=B12,$A$4:$A$507))</f>
        <v>27759</v>
      </c>
      <c r="O12" s="8">
        <f t="array" ref="O12">MIN(IF($B$4:$B$507=B12,$A$4:$A$507))</f>
        <v>27425</v>
      </c>
      <c r="P12" s="8">
        <f t="shared" si="6"/>
        <v>27302</v>
      </c>
      <c r="Q12" s="8">
        <f t="shared" si="7"/>
        <v>27667</v>
      </c>
      <c r="R12">
        <f t="shared" si="9"/>
        <v>47.178137018218628</v>
      </c>
      <c r="S12" t="e">
        <f t="shared" si="10"/>
        <v>#N/A</v>
      </c>
      <c r="T12" s="20" t="e">
        <f t="shared" si="8"/>
        <v>#N/A</v>
      </c>
      <c r="U12" s="20" t="e">
        <f t="shared" si="11"/>
        <v>#N/A</v>
      </c>
    </row>
    <row r="13" spans="1:23" x14ac:dyDescent="0.2">
      <c r="A13" s="8">
        <f t="shared" si="0"/>
        <v>27698</v>
      </c>
      <c r="B13" s="17">
        <f t="shared" si="1"/>
        <v>1975</v>
      </c>
      <c r="C13" s="17">
        <f t="shared" si="2"/>
        <v>10</v>
      </c>
      <c r="J13">
        <v>48.812809995533541</v>
      </c>
      <c r="K13" s="6">
        <f t="shared" si="3"/>
        <v>0</v>
      </c>
      <c r="L13" s="15">
        <f t="shared" si="4"/>
        <v>3.8879927783205028</v>
      </c>
      <c r="M13" s="16">
        <f t="shared" si="5"/>
        <v>3.4062191805234843E-2</v>
      </c>
      <c r="N13" s="8">
        <f t="array" ref="N13">MAX(IF($B$4:$B$507=B13,$A$4:$A$507))</f>
        <v>27759</v>
      </c>
      <c r="O13" s="8">
        <f t="array" ref="O13">MIN(IF($B$4:$B$507=B13,$A$4:$A$507))</f>
        <v>27425</v>
      </c>
      <c r="P13" s="8">
        <f t="shared" si="6"/>
        <v>27333</v>
      </c>
      <c r="Q13" s="8">
        <f t="shared" si="7"/>
        <v>27698</v>
      </c>
      <c r="R13">
        <f t="shared" si="9"/>
        <v>48.812809995533541</v>
      </c>
      <c r="S13" t="e">
        <f t="shared" si="10"/>
        <v>#N/A</v>
      </c>
      <c r="T13" s="20" t="e">
        <f t="shared" si="8"/>
        <v>#N/A</v>
      </c>
      <c r="U13" s="20" t="e">
        <f t="shared" si="11"/>
        <v>#N/A</v>
      </c>
    </row>
    <row r="14" spans="1:23" x14ac:dyDescent="0.2">
      <c r="A14" s="8">
        <f t="shared" si="0"/>
        <v>27728</v>
      </c>
      <c r="B14" s="17">
        <f t="shared" si="1"/>
        <v>1975</v>
      </c>
      <c r="C14" s="17">
        <f t="shared" si="2"/>
        <v>11</v>
      </c>
      <c r="J14">
        <v>45.752407203417782</v>
      </c>
      <c r="K14" s="6">
        <f t="shared" si="3"/>
        <v>0</v>
      </c>
      <c r="L14" s="15">
        <f t="shared" si="4"/>
        <v>3.8232444068054807</v>
      </c>
      <c r="M14" s="16">
        <f t="shared" si="5"/>
        <v>-6.4748371515022107E-2</v>
      </c>
      <c r="N14" s="8">
        <f t="array" ref="N14">MAX(IF($B$4:$B$507=B14,$A$4:$A$507))</f>
        <v>27759</v>
      </c>
      <c r="O14" s="8">
        <f t="array" ref="O14">MIN(IF($B$4:$B$507=B14,$A$4:$A$507))</f>
        <v>27425</v>
      </c>
      <c r="P14" s="8">
        <f t="shared" si="6"/>
        <v>27363</v>
      </c>
      <c r="Q14" s="8">
        <f t="shared" si="7"/>
        <v>27728</v>
      </c>
      <c r="R14">
        <f t="shared" si="9"/>
        <v>45.752407203417782</v>
      </c>
      <c r="S14" t="e">
        <f t="shared" si="10"/>
        <v>#N/A</v>
      </c>
      <c r="T14" s="20" t="e">
        <f t="shared" si="8"/>
        <v>#N/A</v>
      </c>
      <c r="U14" s="20" t="e">
        <f t="shared" si="11"/>
        <v>#N/A</v>
      </c>
    </row>
    <row r="15" spans="1:23" x14ac:dyDescent="0.2">
      <c r="A15" s="8">
        <f t="shared" si="0"/>
        <v>27759</v>
      </c>
      <c r="B15" s="17">
        <f t="shared" si="1"/>
        <v>1975</v>
      </c>
      <c r="C15" s="17">
        <f t="shared" si="2"/>
        <v>12</v>
      </c>
      <c r="J15">
        <v>44.39427664707717</v>
      </c>
      <c r="K15" s="6">
        <f t="shared" si="3"/>
        <v>0</v>
      </c>
      <c r="L15" s="15">
        <f t="shared" si="4"/>
        <v>3.7931105567841912</v>
      </c>
      <c r="M15" s="16">
        <f t="shared" si="5"/>
        <v>-3.0133850021289543E-2</v>
      </c>
      <c r="N15" s="8">
        <f t="array" ref="N15">MAX(IF($B$4:$B$507=B15,$A$4:$A$507))</f>
        <v>27759</v>
      </c>
      <c r="O15" s="8">
        <f t="array" ref="O15">MIN(IF($B$4:$B$507=B15,$A$4:$A$507))</f>
        <v>27425</v>
      </c>
      <c r="P15" s="8">
        <f t="shared" si="6"/>
        <v>27394</v>
      </c>
      <c r="Q15" s="8">
        <f t="shared" si="7"/>
        <v>27759</v>
      </c>
      <c r="R15">
        <f t="shared" si="9"/>
        <v>44.39427664707717</v>
      </c>
      <c r="S15" t="e">
        <f t="shared" si="10"/>
        <v>#N/A</v>
      </c>
      <c r="T15" s="20" t="e">
        <f t="shared" si="8"/>
        <v>#N/A</v>
      </c>
      <c r="U15" s="20" t="e">
        <f t="shared" si="11"/>
        <v>#N/A</v>
      </c>
    </row>
    <row r="16" spans="1:23" x14ac:dyDescent="0.2">
      <c r="A16" s="8">
        <f t="shared" si="0"/>
        <v>27790</v>
      </c>
      <c r="B16" s="17">
        <f t="shared" si="1"/>
        <v>1976</v>
      </c>
      <c r="C16" s="17">
        <f t="shared" si="2"/>
        <v>1</v>
      </c>
      <c r="J16">
        <v>43.951808773518302</v>
      </c>
      <c r="K16" s="6">
        <f t="shared" si="3"/>
        <v>0</v>
      </c>
      <c r="L16" s="15">
        <f t="shared" si="4"/>
        <v>3.7830937785407208</v>
      </c>
      <c r="M16" s="16">
        <f t="shared" si="5"/>
        <v>-1.0016778243470359E-2</v>
      </c>
      <c r="N16" s="8">
        <f t="array" ref="N16">MAX(IF($B$4:$B$507=B16,$A$4:$A$507))</f>
        <v>28125</v>
      </c>
      <c r="O16" s="8">
        <f t="array" ref="O16">MIN(IF($B$4:$B$507=B16,$A$4:$A$507))</f>
        <v>27790</v>
      </c>
      <c r="P16" s="8">
        <f t="shared" si="6"/>
        <v>27425</v>
      </c>
      <c r="Q16" s="8">
        <f t="shared" si="7"/>
        <v>27790</v>
      </c>
      <c r="R16">
        <f t="shared" si="9"/>
        <v>43.951808773518302</v>
      </c>
      <c r="S16">
        <f t="shared" si="10"/>
        <v>40.694753593154104</v>
      </c>
      <c r="T16" s="20">
        <f t="shared" si="8"/>
        <v>8.0036242826940551E-2</v>
      </c>
      <c r="U16" s="20">
        <f t="shared" si="11"/>
        <v>0.11994057037818573</v>
      </c>
    </row>
    <row r="17" spans="1:21" x14ac:dyDescent="0.2">
      <c r="A17" s="8">
        <f t="shared" si="0"/>
        <v>27819</v>
      </c>
      <c r="B17" s="17">
        <f t="shared" si="1"/>
        <v>1976</v>
      </c>
      <c r="C17" s="17">
        <f t="shared" si="2"/>
        <v>2</v>
      </c>
      <c r="J17">
        <v>45.076414618813857</v>
      </c>
      <c r="K17" s="6">
        <f t="shared" si="3"/>
        <v>0</v>
      </c>
      <c r="L17" s="15">
        <f t="shared" si="4"/>
        <v>3.8083591522644529</v>
      </c>
      <c r="M17" s="16">
        <f t="shared" si="5"/>
        <v>2.5265373723732054E-2</v>
      </c>
      <c r="N17" s="8">
        <f t="array" ref="N17">MAX(IF($B$4:$B$507=B17,$A$4:$A$507))</f>
        <v>28125</v>
      </c>
      <c r="O17" s="8">
        <f t="array" ref="O17">MIN(IF($B$4:$B$507=B17,$A$4:$A$507))</f>
        <v>27790</v>
      </c>
      <c r="P17" s="8">
        <f t="shared" si="6"/>
        <v>27453</v>
      </c>
      <c r="Q17" s="8">
        <f t="shared" si="7"/>
        <v>27819</v>
      </c>
      <c r="R17">
        <f t="shared" si="9"/>
        <v>45.076414618813857</v>
      </c>
      <c r="S17">
        <f t="shared" si="10"/>
        <v>38.181290255854236</v>
      </c>
      <c r="T17" s="20">
        <f t="shared" si="8"/>
        <v>0.18058908739739121</v>
      </c>
      <c r="U17" s="20">
        <f t="shared" si="11"/>
        <v>0.11994057037818573</v>
      </c>
    </row>
    <row r="18" spans="1:21" x14ac:dyDescent="0.2">
      <c r="A18" s="8">
        <f t="shared" si="0"/>
        <v>27850</v>
      </c>
      <c r="B18" s="17">
        <f t="shared" si="1"/>
        <v>1976</v>
      </c>
      <c r="C18" s="17">
        <f t="shared" si="2"/>
        <v>3</v>
      </c>
      <c r="J18">
        <v>48.155253572327929</v>
      </c>
      <c r="K18" s="6">
        <f t="shared" si="3"/>
        <v>0</v>
      </c>
      <c r="L18" s="15">
        <f t="shared" si="4"/>
        <v>3.8744302407518019</v>
      </c>
      <c r="M18" s="16">
        <f t="shared" si="5"/>
        <v>6.6071088487348995E-2</v>
      </c>
      <c r="N18" s="8">
        <f t="array" ref="N18">MAX(IF($B$4:$B$507=B18,$A$4:$A$507))</f>
        <v>28125</v>
      </c>
      <c r="O18" s="8">
        <f t="array" ref="O18">MIN(IF($B$4:$B$507=B18,$A$4:$A$507))</f>
        <v>27790</v>
      </c>
      <c r="P18" s="8">
        <f t="shared" si="6"/>
        <v>27484</v>
      </c>
      <c r="Q18" s="8">
        <f t="shared" si="7"/>
        <v>27850</v>
      </c>
      <c r="R18">
        <f t="shared" si="9"/>
        <v>48.155253572327929</v>
      </c>
      <c r="S18">
        <f t="shared" si="10"/>
        <v>41.352310016359716</v>
      </c>
      <c r="T18" s="20">
        <f t="shared" si="8"/>
        <v>0.16451181453410579</v>
      </c>
      <c r="U18" s="20">
        <f t="shared" si="11"/>
        <v>0.11994057037818573</v>
      </c>
    </row>
    <row r="19" spans="1:21" x14ac:dyDescent="0.2">
      <c r="A19" s="8">
        <f t="shared" si="0"/>
        <v>27880</v>
      </c>
      <c r="B19" s="17">
        <f t="shared" si="1"/>
        <v>1976</v>
      </c>
      <c r="C19" s="17">
        <f t="shared" si="2"/>
        <v>4</v>
      </c>
      <c r="J19">
        <v>47.092101598360003</v>
      </c>
      <c r="K19" s="6">
        <f t="shared" si="3"/>
        <v>0</v>
      </c>
      <c r="L19" s="15">
        <f t="shared" si="4"/>
        <v>3.8521052926577752</v>
      </c>
      <c r="M19" s="16">
        <f t="shared" si="5"/>
        <v>-2.2324948094026631E-2</v>
      </c>
      <c r="N19" s="8">
        <f t="array" ref="N19">MAX(IF($B$4:$B$507=B19,$A$4:$A$507))</f>
        <v>28125</v>
      </c>
      <c r="O19" s="8">
        <f t="array" ref="O19">MIN(IF($B$4:$B$507=B19,$A$4:$A$507))</f>
        <v>27790</v>
      </c>
      <c r="P19" s="8">
        <f t="shared" si="6"/>
        <v>27514</v>
      </c>
      <c r="Q19" s="8">
        <f t="shared" si="7"/>
        <v>27880</v>
      </c>
      <c r="R19">
        <f t="shared" si="9"/>
        <v>47.092101598360003</v>
      </c>
      <c r="S19">
        <f t="shared" si="10"/>
        <v>43.570794771287062</v>
      </c>
      <c r="T19" s="20">
        <f t="shared" si="8"/>
        <v>8.081805359661387E-2</v>
      </c>
      <c r="U19" s="20">
        <f t="shared" si="11"/>
        <v>0.11994057037818573</v>
      </c>
    </row>
    <row r="20" spans="1:21" x14ac:dyDescent="0.2">
      <c r="A20" s="8">
        <f t="shared" si="0"/>
        <v>27911</v>
      </c>
      <c r="B20" s="17">
        <f t="shared" si="1"/>
        <v>1976</v>
      </c>
      <c r="C20" s="17">
        <f t="shared" si="2"/>
        <v>5</v>
      </c>
      <c r="J20">
        <v>49.728472678315129</v>
      </c>
      <c r="K20" s="6">
        <f t="shared" si="3"/>
        <v>0</v>
      </c>
      <c r="L20" s="15">
        <f t="shared" si="4"/>
        <v>3.9065776599750062</v>
      </c>
      <c r="M20" s="16">
        <f t="shared" si="5"/>
        <v>5.447236731723093E-2</v>
      </c>
      <c r="N20" s="8">
        <f t="array" ref="N20">MAX(IF($B$4:$B$507=B20,$A$4:$A$507))</f>
        <v>28125</v>
      </c>
      <c r="O20" s="8">
        <f t="array" ref="O20">MIN(IF($B$4:$B$507=B20,$A$4:$A$507))</f>
        <v>27790</v>
      </c>
      <c r="P20" s="8">
        <f t="shared" si="6"/>
        <v>27545</v>
      </c>
      <c r="Q20" s="8">
        <f t="shared" si="7"/>
        <v>27911</v>
      </c>
      <c r="R20">
        <f t="shared" si="9"/>
        <v>49.728472678315129</v>
      </c>
      <c r="S20">
        <f t="shared" si="10"/>
        <v>43.724429449606092</v>
      </c>
      <c r="T20" s="20">
        <f t="shared" si="8"/>
        <v>0.13731553056921886</v>
      </c>
      <c r="U20" s="20">
        <f t="shared" si="11"/>
        <v>0.11994057037818573</v>
      </c>
    </row>
    <row r="21" spans="1:21" x14ac:dyDescent="0.2">
      <c r="A21" s="8">
        <f t="shared" si="0"/>
        <v>27941</v>
      </c>
      <c r="B21" s="17">
        <f t="shared" si="1"/>
        <v>1976</v>
      </c>
      <c r="C21" s="17">
        <f t="shared" si="2"/>
        <v>6</v>
      </c>
      <c r="J21">
        <v>51.264819461505859</v>
      </c>
      <c r="K21" s="6">
        <f t="shared" si="3"/>
        <v>0</v>
      </c>
      <c r="L21" s="15">
        <f t="shared" si="4"/>
        <v>3.937004736444262</v>
      </c>
      <c r="M21" s="16">
        <f t="shared" si="5"/>
        <v>3.0427076469255798E-2</v>
      </c>
      <c r="N21" s="8">
        <f t="array" ref="N21">MAX(IF($B$4:$B$507=B21,$A$4:$A$507))</f>
        <v>28125</v>
      </c>
      <c r="O21" s="8">
        <f t="array" ref="O21">MIN(IF($B$4:$B$507=B21,$A$4:$A$507))</f>
        <v>27790</v>
      </c>
      <c r="P21" s="8">
        <f t="shared" si="6"/>
        <v>27575</v>
      </c>
      <c r="Q21" s="8">
        <f t="shared" si="7"/>
        <v>27941</v>
      </c>
      <c r="R21">
        <f t="shared" si="9"/>
        <v>51.264819461505859</v>
      </c>
      <c r="S21">
        <f t="shared" si="10"/>
        <v>45.174740812938033</v>
      </c>
      <c r="T21" s="20">
        <f t="shared" si="8"/>
        <v>0.13481159025983014</v>
      </c>
      <c r="U21" s="20">
        <f t="shared" si="11"/>
        <v>0.11994057037818573</v>
      </c>
    </row>
    <row r="22" spans="1:21" x14ac:dyDescent="0.2">
      <c r="A22" s="8">
        <f t="shared" si="0"/>
        <v>27972</v>
      </c>
      <c r="B22" s="17">
        <f t="shared" si="1"/>
        <v>1976</v>
      </c>
      <c r="C22" s="17">
        <f t="shared" si="2"/>
        <v>7</v>
      </c>
      <c r="J22">
        <v>52.229645241349537</v>
      </c>
      <c r="K22" s="6">
        <f t="shared" si="3"/>
        <v>0</v>
      </c>
      <c r="L22" s="15">
        <f t="shared" si="4"/>
        <v>3.9556502501859967</v>
      </c>
      <c r="M22" s="16">
        <f t="shared" si="5"/>
        <v>1.8645513741734732E-2</v>
      </c>
      <c r="N22" s="8">
        <f t="array" ref="N22">MAX(IF($B$4:$B$507=B22,$A$4:$A$507))</f>
        <v>28125</v>
      </c>
      <c r="O22" s="8">
        <f t="array" ref="O22">MIN(IF($B$4:$B$507=B22,$A$4:$A$507))</f>
        <v>27790</v>
      </c>
      <c r="P22" s="8">
        <f t="shared" si="6"/>
        <v>27606</v>
      </c>
      <c r="Q22" s="8">
        <f t="shared" si="7"/>
        <v>27972</v>
      </c>
      <c r="R22">
        <f t="shared" si="9"/>
        <v>52.229645241349537</v>
      </c>
      <c r="S22">
        <f t="shared" si="10"/>
        <v>46.877013048713337</v>
      </c>
      <c r="T22" s="20">
        <f t="shared" si="8"/>
        <v>0.11418458311483892</v>
      </c>
      <c r="U22" s="20">
        <f t="shared" si="11"/>
        <v>0.11994057037818573</v>
      </c>
    </row>
    <row r="23" spans="1:21" x14ac:dyDescent="0.2">
      <c r="A23" s="8">
        <f t="shared" si="0"/>
        <v>28003</v>
      </c>
      <c r="B23" s="17">
        <f t="shared" si="1"/>
        <v>1976</v>
      </c>
      <c r="C23" s="17">
        <f t="shared" si="2"/>
        <v>8</v>
      </c>
      <c r="J23">
        <v>52.752003147634355</v>
      </c>
      <c r="K23" s="6">
        <f t="shared" si="3"/>
        <v>0</v>
      </c>
      <c r="L23" s="15">
        <f t="shared" si="4"/>
        <v>3.9656017459979047</v>
      </c>
      <c r="M23" s="16">
        <f t="shared" si="5"/>
        <v>9.9514958119080177E-3</v>
      </c>
      <c r="N23" s="8">
        <f t="array" ref="N23">MAX(IF($B$4:$B$507=B23,$A$4:$A$507))</f>
        <v>28125</v>
      </c>
      <c r="O23" s="8">
        <f t="array" ref="O23">MIN(IF($B$4:$B$507=B23,$A$4:$A$507))</f>
        <v>27790</v>
      </c>
      <c r="P23" s="8">
        <f t="shared" si="6"/>
        <v>27637</v>
      </c>
      <c r="Q23" s="8">
        <f t="shared" si="7"/>
        <v>28003</v>
      </c>
      <c r="R23">
        <f t="shared" si="9"/>
        <v>52.752003147634355</v>
      </c>
      <c r="S23">
        <f t="shared" si="10"/>
        <v>46.022804237259294</v>
      </c>
      <c r="T23" s="20">
        <f t="shared" si="8"/>
        <v>0.14621444785685656</v>
      </c>
      <c r="U23" s="20">
        <f t="shared" si="11"/>
        <v>0.11994057037818573</v>
      </c>
    </row>
    <row r="24" spans="1:21" x14ac:dyDescent="0.2">
      <c r="A24" s="8">
        <f t="shared" si="0"/>
        <v>28033</v>
      </c>
      <c r="B24" s="17">
        <f t="shared" si="1"/>
        <v>1976</v>
      </c>
      <c r="C24" s="17">
        <f t="shared" si="2"/>
        <v>9</v>
      </c>
      <c r="J24">
        <v>51.897794336180397</v>
      </c>
      <c r="K24" s="6">
        <f t="shared" si="3"/>
        <v>0</v>
      </c>
      <c r="L24" s="15">
        <f t="shared" si="4"/>
        <v>3.9492762909292716</v>
      </c>
      <c r="M24" s="16">
        <f t="shared" si="5"/>
        <v>-1.6325455068633143E-2</v>
      </c>
      <c r="N24" s="8">
        <f t="array" ref="N24">MAX(IF($B$4:$B$507=B24,$A$4:$A$507))</f>
        <v>28125</v>
      </c>
      <c r="O24" s="8">
        <f t="array" ref="O24">MIN(IF($B$4:$B$507=B24,$A$4:$A$507))</f>
        <v>27790</v>
      </c>
      <c r="P24" s="8">
        <f t="shared" si="6"/>
        <v>27667</v>
      </c>
      <c r="Q24" s="8">
        <f t="shared" si="7"/>
        <v>28033</v>
      </c>
      <c r="R24">
        <f t="shared" si="9"/>
        <v>51.897794336180397</v>
      </c>
      <c r="S24">
        <f t="shared" si="10"/>
        <v>47.178137018218628</v>
      </c>
      <c r="T24" s="20">
        <f t="shared" si="8"/>
        <v>0.10003907776475351</v>
      </c>
      <c r="U24" s="20">
        <f t="shared" si="11"/>
        <v>0.11994057037818573</v>
      </c>
    </row>
    <row r="25" spans="1:21" x14ac:dyDescent="0.2">
      <c r="A25" s="8">
        <f t="shared" si="0"/>
        <v>28064</v>
      </c>
      <c r="B25" s="17">
        <f t="shared" si="1"/>
        <v>1976</v>
      </c>
      <c r="C25" s="17">
        <f t="shared" si="2"/>
        <v>10</v>
      </c>
      <c r="J25">
        <v>53.557048862026299</v>
      </c>
      <c r="K25" s="6">
        <f t="shared" si="3"/>
        <v>0</v>
      </c>
      <c r="L25" s="15">
        <f t="shared" si="4"/>
        <v>3.9807474196414923</v>
      </c>
      <c r="M25" s="16">
        <f t="shared" si="5"/>
        <v>3.1471128712220686E-2</v>
      </c>
      <c r="N25" s="8">
        <f t="array" ref="N25">MAX(IF($B$4:$B$507=B25,$A$4:$A$507))</f>
        <v>28125</v>
      </c>
      <c r="O25" s="8">
        <f t="array" ref="O25">MIN(IF($B$4:$B$507=B25,$A$4:$A$507))</f>
        <v>27790</v>
      </c>
      <c r="P25" s="8">
        <f t="shared" si="6"/>
        <v>27698</v>
      </c>
      <c r="Q25" s="8">
        <f t="shared" si="7"/>
        <v>28064</v>
      </c>
      <c r="R25">
        <f t="shared" si="9"/>
        <v>53.557048862026299</v>
      </c>
      <c r="S25">
        <f t="shared" si="10"/>
        <v>48.812809995533541</v>
      </c>
      <c r="T25" s="20">
        <f t="shared" si="8"/>
        <v>9.7192496537832351E-2</v>
      </c>
      <c r="U25" s="20">
        <f t="shared" si="11"/>
        <v>0.11994057037818573</v>
      </c>
    </row>
    <row r="26" spans="1:21" x14ac:dyDescent="0.2">
      <c r="A26" s="8">
        <f t="shared" si="0"/>
        <v>28094</v>
      </c>
      <c r="B26" s="17">
        <f t="shared" si="1"/>
        <v>1976</v>
      </c>
      <c r="C26" s="17">
        <f t="shared" si="2"/>
        <v>11</v>
      </c>
      <c r="J26">
        <v>50.386029101520741</v>
      </c>
      <c r="K26" s="6">
        <f t="shared" si="3"/>
        <v>0</v>
      </c>
      <c r="L26" s="15">
        <f t="shared" si="4"/>
        <v>3.9197139362835478</v>
      </c>
      <c r="M26" s="16">
        <f t="shared" si="5"/>
        <v>-6.1033483357944451E-2</v>
      </c>
      <c r="N26" s="8">
        <f t="array" ref="N26">MAX(IF($B$4:$B$507=B26,$A$4:$A$507))</f>
        <v>28125</v>
      </c>
      <c r="O26" s="8">
        <f t="array" ref="O26">MIN(IF($B$4:$B$507=B26,$A$4:$A$507))</f>
        <v>27790</v>
      </c>
      <c r="P26" s="8">
        <f t="shared" si="6"/>
        <v>27728</v>
      </c>
      <c r="Q26" s="8">
        <f t="shared" si="7"/>
        <v>28094</v>
      </c>
      <c r="R26">
        <f t="shared" si="9"/>
        <v>50.386029101520741</v>
      </c>
      <c r="S26">
        <f t="shared" si="10"/>
        <v>45.752407203417782</v>
      </c>
      <c r="T26" s="20">
        <f t="shared" si="8"/>
        <v>0.10127602417729875</v>
      </c>
      <c r="U26" s="20">
        <f t="shared" si="11"/>
        <v>0.11994057037818573</v>
      </c>
    </row>
    <row r="27" spans="1:21" x14ac:dyDescent="0.2">
      <c r="A27" s="8">
        <f t="shared" si="0"/>
        <v>28125</v>
      </c>
      <c r="B27" s="17">
        <f t="shared" si="1"/>
        <v>1976</v>
      </c>
      <c r="C27" s="17">
        <f t="shared" si="2"/>
        <v>12</v>
      </c>
      <c r="J27">
        <v>48.935717738188799</v>
      </c>
      <c r="K27" s="6">
        <f t="shared" si="3"/>
        <v>0</v>
      </c>
      <c r="L27" s="15">
        <f t="shared" si="4"/>
        <v>3.8905075539448157</v>
      </c>
      <c r="M27" s="16">
        <f t="shared" si="5"/>
        <v>-2.9206382338732073E-2</v>
      </c>
      <c r="N27" s="8">
        <f t="array" ref="N27">MAX(IF($B$4:$B$507=B27,$A$4:$A$507))</f>
        <v>28125</v>
      </c>
      <c r="O27" s="8">
        <f t="array" ref="O27">MIN(IF($B$4:$B$507=B27,$A$4:$A$507))</f>
        <v>27790</v>
      </c>
      <c r="P27" s="8">
        <f t="shared" si="6"/>
        <v>27759</v>
      </c>
      <c r="Q27" s="8">
        <f t="shared" si="7"/>
        <v>28125</v>
      </c>
      <c r="R27">
        <f t="shared" si="9"/>
        <v>48.935717738188799</v>
      </c>
      <c r="S27">
        <f t="shared" si="10"/>
        <v>44.39427664707717</v>
      </c>
      <c r="T27" s="20">
        <f t="shared" si="8"/>
        <v>0.10229789590254823</v>
      </c>
      <c r="U27" s="20">
        <f t="shared" si="11"/>
        <v>0.11994057037818573</v>
      </c>
    </row>
    <row r="28" spans="1:21" x14ac:dyDescent="0.2">
      <c r="A28" s="8">
        <f t="shared" si="0"/>
        <v>28156</v>
      </c>
      <c r="B28" s="17">
        <f t="shared" si="1"/>
        <v>1977</v>
      </c>
      <c r="C28" s="17">
        <f t="shared" si="2"/>
        <v>1</v>
      </c>
      <c r="J28">
        <v>45.266921619929519</v>
      </c>
      <c r="K28" s="6">
        <f t="shared" si="3"/>
        <v>0</v>
      </c>
      <c r="L28" s="15">
        <f t="shared" si="4"/>
        <v>3.8125765586923817</v>
      </c>
      <c r="M28" s="16">
        <f t="shared" si="5"/>
        <v>-7.7930995252434077E-2</v>
      </c>
      <c r="N28" s="8">
        <f t="array" ref="N28">MAX(IF($B$4:$B$507=B28,$A$4:$A$507))</f>
        <v>28490</v>
      </c>
      <c r="O28" s="8">
        <f t="array" ref="O28">MIN(IF($B$4:$B$507=B28,$A$4:$A$507))</f>
        <v>28156</v>
      </c>
      <c r="P28" s="8">
        <f t="shared" si="6"/>
        <v>27790</v>
      </c>
      <c r="Q28" s="8">
        <f t="shared" si="7"/>
        <v>28156</v>
      </c>
      <c r="R28">
        <f t="shared" si="9"/>
        <v>45.266921619929519</v>
      </c>
      <c r="S28">
        <f t="shared" si="10"/>
        <v>43.951808773518302</v>
      </c>
      <c r="T28" s="20">
        <f t="shared" si="8"/>
        <v>2.9921700223713987E-2</v>
      </c>
      <c r="U28" s="20">
        <f t="shared" si="11"/>
        <v>2.1080313866975332E-2</v>
      </c>
    </row>
    <row r="29" spans="1:21" x14ac:dyDescent="0.2">
      <c r="A29" s="8">
        <f t="shared" si="0"/>
        <v>28184</v>
      </c>
      <c r="B29" s="17">
        <f t="shared" si="1"/>
        <v>1977</v>
      </c>
      <c r="C29" s="17">
        <f t="shared" si="2"/>
        <v>2</v>
      </c>
      <c r="J29">
        <v>43.828901030863044</v>
      </c>
      <c r="K29" s="6">
        <f t="shared" si="3"/>
        <v>0</v>
      </c>
      <c r="L29" s="15">
        <f t="shared" si="4"/>
        <v>3.7802934406704014</v>
      </c>
      <c r="M29" s="16">
        <f t="shared" si="5"/>
        <v>-3.228311802198025E-2</v>
      </c>
      <c r="N29" s="8">
        <f t="array" ref="N29">MAX(IF($B$4:$B$507=B29,$A$4:$A$507))</f>
        <v>28490</v>
      </c>
      <c r="O29" s="8">
        <f t="array" ref="O29">MIN(IF($B$4:$B$507=B29,$A$4:$A$507))</f>
        <v>28156</v>
      </c>
      <c r="P29" s="8">
        <f t="shared" si="6"/>
        <v>27819</v>
      </c>
      <c r="Q29" s="8">
        <f t="shared" si="7"/>
        <v>28184</v>
      </c>
      <c r="R29">
        <f t="shared" si="9"/>
        <v>43.828901030863044</v>
      </c>
      <c r="S29">
        <f t="shared" si="10"/>
        <v>45.076414618813857</v>
      </c>
      <c r="T29" s="20">
        <f t="shared" si="8"/>
        <v>-2.7675528289025197E-2</v>
      </c>
      <c r="U29" s="20">
        <f t="shared" si="11"/>
        <v>2.1080313866975332E-2</v>
      </c>
    </row>
    <row r="30" spans="1:21" x14ac:dyDescent="0.2">
      <c r="A30" s="8">
        <f t="shared" si="0"/>
        <v>28215</v>
      </c>
      <c r="B30" s="17">
        <f t="shared" si="1"/>
        <v>1977</v>
      </c>
      <c r="C30" s="17">
        <f t="shared" si="2"/>
        <v>3</v>
      </c>
      <c r="J30">
        <v>51.375436429895579</v>
      </c>
      <c r="K30" s="6">
        <f t="shared" si="3"/>
        <v>0</v>
      </c>
      <c r="L30" s="15">
        <f t="shared" si="4"/>
        <v>3.9391601677661185</v>
      </c>
      <c r="M30" s="16">
        <f t="shared" si="5"/>
        <v>0.15886672709571714</v>
      </c>
      <c r="N30" s="8">
        <f t="array" ref="N30">MAX(IF($B$4:$B$507=B30,$A$4:$A$507))</f>
        <v>28490</v>
      </c>
      <c r="O30" s="8">
        <f t="array" ref="O30">MIN(IF($B$4:$B$507=B30,$A$4:$A$507))</f>
        <v>28156</v>
      </c>
      <c r="P30" s="8">
        <f t="shared" si="6"/>
        <v>27850</v>
      </c>
      <c r="Q30" s="8">
        <f t="shared" si="7"/>
        <v>28215</v>
      </c>
      <c r="R30">
        <f t="shared" si="9"/>
        <v>51.375436429895579</v>
      </c>
      <c r="S30">
        <f t="shared" si="10"/>
        <v>48.155253572327929</v>
      </c>
      <c r="T30" s="20">
        <f t="shared" si="8"/>
        <v>6.687085247575375E-2</v>
      </c>
      <c r="U30" s="20">
        <f t="shared" si="11"/>
        <v>2.1080313866975332E-2</v>
      </c>
    </row>
    <row r="31" spans="1:21" x14ac:dyDescent="0.2">
      <c r="A31" s="8">
        <f t="shared" si="0"/>
        <v>28245</v>
      </c>
      <c r="B31" s="17">
        <f t="shared" si="1"/>
        <v>1977</v>
      </c>
      <c r="C31" s="17">
        <f t="shared" si="2"/>
        <v>4</v>
      </c>
      <c r="J31">
        <v>47.700494924503523</v>
      </c>
      <c r="K31" s="6">
        <f t="shared" si="3"/>
        <v>0</v>
      </c>
      <c r="L31" s="15">
        <f t="shared" si="4"/>
        <v>3.8649417736162226</v>
      </c>
      <c r="M31" s="16">
        <f t="shared" si="5"/>
        <v>-7.421839414989595E-2</v>
      </c>
      <c r="N31" s="8">
        <f t="array" ref="N31">MAX(IF($B$4:$B$507=B31,$A$4:$A$507))</f>
        <v>28490</v>
      </c>
      <c r="O31" s="8">
        <f t="array" ref="O31">MIN(IF($B$4:$B$507=B31,$A$4:$A$507))</f>
        <v>28156</v>
      </c>
      <c r="P31" s="8">
        <f t="shared" si="6"/>
        <v>27880</v>
      </c>
      <c r="Q31" s="8">
        <f t="shared" si="7"/>
        <v>28245</v>
      </c>
      <c r="R31">
        <f t="shared" si="9"/>
        <v>47.700494924503523</v>
      </c>
      <c r="S31">
        <f t="shared" si="10"/>
        <v>47.092101598360003</v>
      </c>
      <c r="T31" s="20">
        <f t="shared" si="8"/>
        <v>1.2919222236722261E-2</v>
      </c>
      <c r="U31" s="20">
        <f t="shared" si="11"/>
        <v>2.1080313866975332E-2</v>
      </c>
    </row>
    <row r="32" spans="1:21" x14ac:dyDescent="0.2">
      <c r="A32" s="8">
        <f t="shared" si="0"/>
        <v>28276</v>
      </c>
      <c r="B32" s="17">
        <f t="shared" si="1"/>
        <v>1977</v>
      </c>
      <c r="C32" s="17">
        <f t="shared" si="2"/>
        <v>5</v>
      </c>
      <c r="J32">
        <v>52.530769210854913</v>
      </c>
      <c r="K32" s="6">
        <f t="shared" si="3"/>
        <v>0</v>
      </c>
      <c r="L32" s="15">
        <f t="shared" si="4"/>
        <v>3.9613990781264086</v>
      </c>
      <c r="M32" s="16">
        <f t="shared" si="5"/>
        <v>9.6457304510185971E-2</v>
      </c>
      <c r="N32" s="8">
        <f t="array" ref="N32">MAX(IF($B$4:$B$507=B32,$A$4:$A$507))</f>
        <v>28490</v>
      </c>
      <c r="O32" s="8">
        <f t="array" ref="O32">MIN(IF($B$4:$B$507=B32,$A$4:$A$507))</f>
        <v>28156</v>
      </c>
      <c r="P32" s="8">
        <f t="shared" si="6"/>
        <v>27911</v>
      </c>
      <c r="Q32" s="8">
        <f t="shared" si="7"/>
        <v>28276</v>
      </c>
      <c r="R32">
        <f t="shared" si="9"/>
        <v>52.530769210854913</v>
      </c>
      <c r="S32">
        <f t="shared" si="10"/>
        <v>49.728472678315129</v>
      </c>
      <c r="T32" s="20">
        <f t="shared" si="8"/>
        <v>5.6351952545724782E-2</v>
      </c>
      <c r="U32" s="20">
        <f t="shared" si="11"/>
        <v>2.1080313866975332E-2</v>
      </c>
    </row>
    <row r="33" spans="1:21" x14ac:dyDescent="0.2">
      <c r="A33" s="8">
        <f t="shared" si="0"/>
        <v>28306</v>
      </c>
      <c r="B33" s="17">
        <f t="shared" si="1"/>
        <v>1977</v>
      </c>
      <c r="C33" s="17">
        <f t="shared" si="2"/>
        <v>6</v>
      </c>
      <c r="J33">
        <v>52.493896888058366</v>
      </c>
      <c r="K33" s="6">
        <f t="shared" si="3"/>
        <v>0</v>
      </c>
      <c r="L33" s="15">
        <f t="shared" si="4"/>
        <v>3.9606969130887828</v>
      </c>
      <c r="M33" s="16">
        <f t="shared" si="5"/>
        <v>-7.0216503762576821E-4</v>
      </c>
      <c r="N33" s="8">
        <f t="array" ref="N33">MAX(IF($B$4:$B$507=B33,$A$4:$A$507))</f>
        <v>28490</v>
      </c>
      <c r="O33" s="8">
        <f t="array" ref="O33">MIN(IF($B$4:$B$507=B33,$A$4:$A$507))</f>
        <v>28156</v>
      </c>
      <c r="P33" s="8">
        <f t="shared" si="6"/>
        <v>27941</v>
      </c>
      <c r="Q33" s="8">
        <f t="shared" si="7"/>
        <v>28306</v>
      </c>
      <c r="R33">
        <f t="shared" si="9"/>
        <v>52.493896888058366</v>
      </c>
      <c r="S33">
        <f t="shared" si="10"/>
        <v>51.264819461505859</v>
      </c>
      <c r="T33" s="20">
        <f t="shared" si="8"/>
        <v>2.3975065931430839E-2</v>
      </c>
      <c r="U33" s="20">
        <f t="shared" si="11"/>
        <v>2.1080313866975332E-2</v>
      </c>
    </row>
    <row r="34" spans="1:21" x14ac:dyDescent="0.2">
      <c r="A34" s="8">
        <f t="shared" si="0"/>
        <v>28337</v>
      </c>
      <c r="B34" s="17">
        <f t="shared" si="1"/>
        <v>1977</v>
      </c>
      <c r="C34" s="17">
        <f t="shared" si="2"/>
        <v>7</v>
      </c>
      <c r="J34">
        <v>52.284953725544405</v>
      </c>
      <c r="K34" s="6">
        <f t="shared" si="3"/>
        <v>0</v>
      </c>
      <c r="L34" s="15">
        <f t="shared" si="4"/>
        <v>3.9567086380074983</v>
      </c>
      <c r="M34" s="16">
        <f t="shared" si="5"/>
        <v>-3.9882750812845202E-3</v>
      </c>
      <c r="N34" s="8">
        <f t="array" ref="N34">MAX(IF($B$4:$B$507=B34,$A$4:$A$507))</f>
        <v>28490</v>
      </c>
      <c r="O34" s="8">
        <f t="array" ref="O34">MIN(IF($B$4:$B$507=B34,$A$4:$A$507))</f>
        <v>28156</v>
      </c>
      <c r="P34" s="8">
        <f t="shared" si="6"/>
        <v>27972</v>
      </c>
      <c r="Q34" s="8">
        <f t="shared" si="7"/>
        <v>28337</v>
      </c>
      <c r="R34">
        <f t="shared" si="9"/>
        <v>52.284953725544405</v>
      </c>
      <c r="S34">
        <f t="shared" si="10"/>
        <v>52.229645241349537</v>
      </c>
      <c r="T34" s="20">
        <f t="shared" si="8"/>
        <v>1.0589481115426125E-3</v>
      </c>
      <c r="U34" s="20">
        <f t="shared" si="11"/>
        <v>2.1080313866975332E-2</v>
      </c>
    </row>
    <row r="35" spans="1:21" x14ac:dyDescent="0.2">
      <c r="A35" s="8">
        <f t="shared" si="0"/>
        <v>28368</v>
      </c>
      <c r="B35" s="17">
        <f t="shared" si="1"/>
        <v>1977</v>
      </c>
      <c r="C35" s="17">
        <f t="shared" si="2"/>
        <v>8</v>
      </c>
      <c r="J35">
        <v>54.362094576418187</v>
      </c>
      <c r="K35" s="6">
        <f t="shared" si="3"/>
        <v>0</v>
      </c>
      <c r="L35" s="15">
        <f t="shared" si="4"/>
        <v>3.9956671201156428</v>
      </c>
      <c r="M35" s="16">
        <f t="shared" si="5"/>
        <v>3.8958482108144565E-2</v>
      </c>
      <c r="N35" s="8">
        <f t="array" ref="N35">MAX(IF($B$4:$B$507=B35,$A$4:$A$507))</f>
        <v>28490</v>
      </c>
      <c r="O35" s="8">
        <f t="array" ref="O35">MIN(IF($B$4:$B$507=B35,$A$4:$A$507))</f>
        <v>28156</v>
      </c>
      <c r="P35" s="8">
        <f t="shared" si="6"/>
        <v>28003</v>
      </c>
      <c r="Q35" s="8">
        <f t="shared" si="7"/>
        <v>28368</v>
      </c>
      <c r="R35">
        <f t="shared" si="9"/>
        <v>54.362094576418187</v>
      </c>
      <c r="S35">
        <f t="shared" si="10"/>
        <v>52.752003147634355</v>
      </c>
      <c r="T35" s="20">
        <f t="shared" si="8"/>
        <v>3.0521901211556957E-2</v>
      </c>
      <c r="U35" s="20">
        <f t="shared" si="11"/>
        <v>2.1080313866975332E-2</v>
      </c>
    </row>
    <row r="36" spans="1:21" x14ac:dyDescent="0.2">
      <c r="A36" s="8">
        <f t="shared" si="0"/>
        <v>28398</v>
      </c>
      <c r="B36" s="17">
        <f t="shared" si="1"/>
        <v>1977</v>
      </c>
      <c r="C36" s="17">
        <f t="shared" si="2"/>
        <v>9</v>
      </c>
      <c r="J36">
        <v>52.205063692818548</v>
      </c>
      <c r="K36" s="6">
        <f t="shared" si="3"/>
        <v>0</v>
      </c>
      <c r="L36" s="15">
        <f t="shared" si="4"/>
        <v>3.9551794957934039</v>
      </c>
      <c r="M36" s="16">
        <f t="shared" si="5"/>
        <v>-4.0487624322238958E-2</v>
      </c>
      <c r="N36" s="8">
        <f t="array" ref="N36">MAX(IF($B$4:$B$507=B36,$A$4:$A$507))</f>
        <v>28490</v>
      </c>
      <c r="O36" s="8">
        <f t="array" ref="O36">MIN(IF($B$4:$B$507=B36,$A$4:$A$507))</f>
        <v>28156</v>
      </c>
      <c r="P36" s="8">
        <f t="shared" si="6"/>
        <v>28033</v>
      </c>
      <c r="Q36" s="8">
        <f t="shared" si="7"/>
        <v>28398</v>
      </c>
      <c r="R36">
        <f t="shared" si="9"/>
        <v>52.205063692818548</v>
      </c>
      <c r="S36">
        <f t="shared" si="10"/>
        <v>51.897794336180397</v>
      </c>
      <c r="T36" s="20">
        <f t="shared" si="8"/>
        <v>5.9206631142691979E-3</v>
      </c>
      <c r="U36" s="20">
        <f t="shared" si="11"/>
        <v>2.1080313866975332E-2</v>
      </c>
    </row>
    <row r="37" spans="1:21" x14ac:dyDescent="0.2">
      <c r="A37" s="8">
        <f t="shared" si="0"/>
        <v>28429</v>
      </c>
      <c r="B37" s="17">
        <f t="shared" si="1"/>
        <v>1977</v>
      </c>
      <c r="C37" s="17">
        <f t="shared" si="2"/>
        <v>10</v>
      </c>
      <c r="J37">
        <v>53.833591283000615</v>
      </c>
      <c r="K37" s="6">
        <f t="shared" si="3"/>
        <v>0</v>
      </c>
      <c r="L37" s="15">
        <f t="shared" si="4"/>
        <v>3.9858976456178081</v>
      </c>
      <c r="M37" s="16">
        <f t="shared" si="5"/>
        <v>3.0718149824404239E-2</v>
      </c>
      <c r="N37" s="8">
        <f t="array" ref="N37">MAX(IF($B$4:$B$507=B37,$A$4:$A$507))</f>
        <v>28490</v>
      </c>
      <c r="O37" s="8">
        <f t="array" ref="O37">MIN(IF($B$4:$B$507=B37,$A$4:$A$507))</f>
        <v>28156</v>
      </c>
      <c r="P37" s="8">
        <f t="shared" si="6"/>
        <v>28064</v>
      </c>
      <c r="Q37" s="8">
        <f t="shared" si="7"/>
        <v>28429</v>
      </c>
      <c r="R37">
        <f t="shared" si="9"/>
        <v>53.833591283000615</v>
      </c>
      <c r="S37">
        <f t="shared" si="10"/>
        <v>53.557048862026299</v>
      </c>
      <c r="T37" s="20">
        <f t="shared" si="8"/>
        <v>5.1635111876076056E-3</v>
      </c>
      <c r="U37" s="20">
        <f t="shared" si="11"/>
        <v>2.1080313866975332E-2</v>
      </c>
    </row>
    <row r="38" spans="1:21" x14ac:dyDescent="0.2">
      <c r="A38" s="8">
        <f t="shared" si="0"/>
        <v>28459</v>
      </c>
      <c r="B38" s="17">
        <f t="shared" si="1"/>
        <v>1977</v>
      </c>
      <c r="C38" s="17">
        <f t="shared" si="2"/>
        <v>11</v>
      </c>
      <c r="J38">
        <v>52.155900595756464</v>
      </c>
      <c r="K38" s="6">
        <f t="shared" si="3"/>
        <v>0</v>
      </c>
      <c r="L38" s="15">
        <f t="shared" si="4"/>
        <v>3.9542373216570486</v>
      </c>
      <c r="M38" s="16">
        <f t="shared" si="5"/>
        <v>-3.1660323960759573E-2</v>
      </c>
      <c r="N38" s="8">
        <f t="array" ref="N38">MAX(IF($B$4:$B$507=B38,$A$4:$A$507))</f>
        <v>28490</v>
      </c>
      <c r="O38" s="8">
        <f t="array" ref="O38">MIN(IF($B$4:$B$507=B38,$A$4:$A$507))</f>
        <v>28156</v>
      </c>
      <c r="P38" s="8">
        <f t="shared" si="6"/>
        <v>28094</v>
      </c>
      <c r="Q38" s="8">
        <f t="shared" si="7"/>
        <v>28459</v>
      </c>
      <c r="R38">
        <f t="shared" si="9"/>
        <v>52.155900595756464</v>
      </c>
      <c r="S38">
        <f t="shared" si="10"/>
        <v>50.386029101520741</v>
      </c>
      <c r="T38" s="20">
        <f t="shared" si="8"/>
        <v>3.512623490669764E-2</v>
      </c>
      <c r="U38" s="20">
        <f t="shared" si="11"/>
        <v>2.1080313866975332E-2</v>
      </c>
    </row>
    <row r="39" spans="1:21" x14ac:dyDescent="0.2">
      <c r="A39" s="8">
        <f t="shared" si="0"/>
        <v>28490</v>
      </c>
      <c r="B39" s="17">
        <f t="shared" si="1"/>
        <v>1977</v>
      </c>
      <c r="C39" s="17">
        <f t="shared" si="2"/>
        <v>12</v>
      </c>
      <c r="J39">
        <v>49.562547225730654</v>
      </c>
      <c r="K39" s="6">
        <f t="shared" si="3"/>
        <v>0</v>
      </c>
      <c r="L39" s="15">
        <f t="shared" si="4"/>
        <v>3.9032354522466814</v>
      </c>
      <c r="M39" s="16">
        <f t="shared" si="5"/>
        <v>-5.1001869410367107E-2</v>
      </c>
      <c r="N39" s="8">
        <f t="array" ref="N39">MAX(IF($B$4:$B$507=B39,$A$4:$A$507))</f>
        <v>28490</v>
      </c>
      <c r="O39" s="8">
        <f t="array" ref="O39">MIN(IF($B$4:$B$507=B39,$A$4:$A$507))</f>
        <v>28156</v>
      </c>
      <c r="P39" s="8">
        <f t="shared" si="6"/>
        <v>28125</v>
      </c>
      <c r="Q39" s="8">
        <f t="shared" si="7"/>
        <v>28490</v>
      </c>
      <c r="R39">
        <f t="shared" si="9"/>
        <v>49.562547225730654</v>
      </c>
      <c r="S39">
        <f t="shared" si="10"/>
        <v>48.935717738188799</v>
      </c>
      <c r="T39" s="20">
        <f t="shared" si="8"/>
        <v>1.2809242747709559E-2</v>
      </c>
      <c r="U39" s="20">
        <f t="shared" si="11"/>
        <v>2.1080313866975332E-2</v>
      </c>
    </row>
    <row r="40" spans="1:21" x14ac:dyDescent="0.2">
      <c r="A40" s="8">
        <f t="shared" si="0"/>
        <v>28521</v>
      </c>
      <c r="B40" s="17">
        <f t="shared" si="1"/>
        <v>1978</v>
      </c>
      <c r="C40" s="17">
        <f t="shared" si="2"/>
        <v>1</v>
      </c>
      <c r="J40">
        <v>48.39492367050569</v>
      </c>
      <c r="K40" s="6">
        <f t="shared" si="3"/>
        <v>0</v>
      </c>
      <c r="L40" s="15">
        <f t="shared" si="4"/>
        <v>3.8793949253812046</v>
      </c>
      <c r="M40" s="16">
        <f t="shared" si="5"/>
        <v>-2.3840526865476885E-2</v>
      </c>
      <c r="N40" s="8">
        <f t="array" ref="N40">MAX(IF($B$4:$B$507=B40,$A$4:$A$507))</f>
        <v>28855</v>
      </c>
      <c r="O40" s="8">
        <f t="array" ref="O40">MIN(IF($B$4:$B$507=B40,$A$4:$A$507))</f>
        <v>28521</v>
      </c>
      <c r="P40" s="8">
        <f t="shared" si="6"/>
        <v>28156</v>
      </c>
      <c r="Q40" s="8">
        <f t="shared" si="7"/>
        <v>28521</v>
      </c>
      <c r="R40">
        <f t="shared" si="9"/>
        <v>48.39492367050569</v>
      </c>
      <c r="S40">
        <f t="shared" si="10"/>
        <v>45.266921619929519</v>
      </c>
      <c r="T40" s="20">
        <f t="shared" si="8"/>
        <v>6.910127613358652E-2</v>
      </c>
      <c r="U40" s="20">
        <f t="shared" si="11"/>
        <v>6.1492149279961515E-2</v>
      </c>
    </row>
    <row r="41" spans="1:21" x14ac:dyDescent="0.2">
      <c r="A41" s="8">
        <f t="shared" si="0"/>
        <v>28549</v>
      </c>
      <c r="B41" s="17">
        <f t="shared" si="1"/>
        <v>1978</v>
      </c>
      <c r="C41" s="17">
        <f t="shared" si="2"/>
        <v>2</v>
      </c>
      <c r="J41">
        <v>45.942914204533452</v>
      </c>
      <c r="K41" s="6">
        <f t="shared" si="3"/>
        <v>0</v>
      </c>
      <c r="L41" s="15">
        <f t="shared" si="4"/>
        <v>3.8273996302628253</v>
      </c>
      <c r="M41" s="16">
        <f t="shared" si="5"/>
        <v>-5.1995295118379303E-2</v>
      </c>
      <c r="N41" s="8">
        <f t="array" ref="N41">MAX(IF($B$4:$B$507=B41,$A$4:$A$507))</f>
        <v>28855</v>
      </c>
      <c r="O41" s="8">
        <f t="array" ref="O41">MIN(IF($B$4:$B$507=B41,$A$4:$A$507))</f>
        <v>28521</v>
      </c>
      <c r="P41" s="8">
        <f t="shared" si="6"/>
        <v>28184</v>
      </c>
      <c r="Q41" s="8">
        <f t="shared" si="7"/>
        <v>28549</v>
      </c>
      <c r="R41">
        <f t="shared" si="9"/>
        <v>45.942914204533452</v>
      </c>
      <c r="S41">
        <f t="shared" si="10"/>
        <v>43.828901030863044</v>
      </c>
      <c r="T41" s="20">
        <f t="shared" si="8"/>
        <v>4.8233314638251645E-2</v>
      </c>
      <c r="U41" s="20">
        <f t="shared" si="11"/>
        <v>6.1492149279961515E-2</v>
      </c>
    </row>
    <row r="42" spans="1:21" x14ac:dyDescent="0.2">
      <c r="A42" s="8">
        <f t="shared" si="0"/>
        <v>28580</v>
      </c>
      <c r="B42" s="17">
        <f t="shared" si="1"/>
        <v>1978</v>
      </c>
      <c r="C42" s="17">
        <f t="shared" si="2"/>
        <v>3</v>
      </c>
      <c r="J42">
        <v>52.788875470430987</v>
      </c>
      <c r="K42" s="6">
        <f t="shared" si="3"/>
        <v>0</v>
      </c>
      <c r="L42" s="15">
        <f t="shared" si="4"/>
        <v>3.9663004766656722</v>
      </c>
      <c r="M42" s="16">
        <f t="shared" si="5"/>
        <v>0.13890084640284694</v>
      </c>
      <c r="N42" s="8">
        <f t="array" ref="N42">MAX(IF($B$4:$B$507=B42,$A$4:$A$507))</f>
        <v>28855</v>
      </c>
      <c r="O42" s="8">
        <f t="array" ref="O42">MIN(IF($B$4:$B$507=B42,$A$4:$A$507))</f>
        <v>28521</v>
      </c>
      <c r="P42" s="8">
        <f t="shared" si="6"/>
        <v>28215</v>
      </c>
      <c r="Q42" s="8">
        <f t="shared" si="7"/>
        <v>28580</v>
      </c>
      <c r="R42">
        <f t="shared" si="9"/>
        <v>52.788875470430987</v>
      </c>
      <c r="S42">
        <f t="shared" si="10"/>
        <v>51.375436429895579</v>
      </c>
      <c r="T42" s="20">
        <f t="shared" si="8"/>
        <v>2.7511961722488154E-2</v>
      </c>
      <c r="U42" s="20">
        <f t="shared" si="11"/>
        <v>6.1492149279961515E-2</v>
      </c>
    </row>
    <row r="43" spans="1:21" x14ac:dyDescent="0.2">
      <c r="A43" s="8">
        <f t="shared" si="0"/>
        <v>28610</v>
      </c>
      <c r="B43" s="17">
        <f t="shared" si="1"/>
        <v>1978</v>
      </c>
      <c r="C43" s="17">
        <f t="shared" si="2"/>
        <v>4</v>
      </c>
      <c r="J43">
        <v>51.00671320192982</v>
      </c>
      <c r="K43" s="6">
        <f t="shared" si="3"/>
        <v>0</v>
      </c>
      <c r="L43" s="15">
        <f t="shared" si="4"/>
        <v>3.9319572554720605</v>
      </c>
      <c r="M43" s="16">
        <f t="shared" si="5"/>
        <v>-3.4343221193611662E-2</v>
      </c>
      <c r="N43" s="8">
        <f t="array" ref="N43">MAX(IF($B$4:$B$507=B43,$A$4:$A$507))</f>
        <v>28855</v>
      </c>
      <c r="O43" s="8">
        <f t="array" ref="O43">MIN(IF($B$4:$B$507=B43,$A$4:$A$507))</f>
        <v>28521</v>
      </c>
      <c r="P43" s="8">
        <f t="shared" si="6"/>
        <v>28245</v>
      </c>
      <c r="Q43" s="8">
        <f t="shared" si="7"/>
        <v>28610</v>
      </c>
      <c r="R43">
        <f t="shared" si="9"/>
        <v>51.00671320192982</v>
      </c>
      <c r="S43">
        <f t="shared" si="10"/>
        <v>47.700494924503523</v>
      </c>
      <c r="T43" s="20">
        <f t="shared" si="8"/>
        <v>6.9312032981190486E-2</v>
      </c>
      <c r="U43" s="20">
        <f t="shared" si="11"/>
        <v>6.1492149279961515E-2</v>
      </c>
    </row>
    <row r="44" spans="1:21" x14ac:dyDescent="0.2">
      <c r="A44" s="8">
        <f t="shared" si="0"/>
        <v>28641</v>
      </c>
      <c r="B44" s="17">
        <f t="shared" si="1"/>
        <v>1978</v>
      </c>
      <c r="C44" s="17">
        <f t="shared" si="2"/>
        <v>5</v>
      </c>
      <c r="J44">
        <v>53.913481315726557</v>
      </c>
      <c r="K44" s="6">
        <f t="shared" si="3"/>
        <v>0</v>
      </c>
      <c r="L44" s="15">
        <f t="shared" si="4"/>
        <v>3.9873805638157553</v>
      </c>
      <c r="M44" s="16">
        <f t="shared" si="5"/>
        <v>5.5423308343694799E-2</v>
      </c>
      <c r="N44" s="8">
        <f t="array" ref="N44">MAX(IF($B$4:$B$507=B44,$A$4:$A$507))</f>
        <v>28855</v>
      </c>
      <c r="O44" s="8">
        <f t="array" ref="O44">MIN(IF($B$4:$B$507=B44,$A$4:$A$507))</f>
        <v>28521</v>
      </c>
      <c r="P44" s="8">
        <f t="shared" si="6"/>
        <v>28276</v>
      </c>
      <c r="Q44" s="8">
        <f t="shared" si="7"/>
        <v>28641</v>
      </c>
      <c r="R44">
        <f t="shared" si="9"/>
        <v>53.913481315726557</v>
      </c>
      <c r="S44">
        <f t="shared" si="10"/>
        <v>52.530769210854913</v>
      </c>
      <c r="T44" s="20">
        <f t="shared" si="8"/>
        <v>2.6321946654189077E-2</v>
      </c>
      <c r="U44" s="20">
        <f t="shared" si="11"/>
        <v>6.1492149279961515E-2</v>
      </c>
    </row>
    <row r="45" spans="1:21" x14ac:dyDescent="0.2">
      <c r="A45" s="8">
        <f t="shared" si="0"/>
        <v>28671</v>
      </c>
      <c r="B45" s="17">
        <f t="shared" si="1"/>
        <v>1978</v>
      </c>
      <c r="C45" s="17">
        <f t="shared" si="2"/>
        <v>6</v>
      </c>
      <c r="J45">
        <v>54.300640705090636</v>
      </c>
      <c r="K45" s="6">
        <f t="shared" si="3"/>
        <v>0</v>
      </c>
      <c r="L45" s="15">
        <f t="shared" si="4"/>
        <v>3.9945360262273799</v>
      </c>
      <c r="M45" s="16">
        <f t="shared" si="5"/>
        <v>7.1554624116245691E-3</v>
      </c>
      <c r="N45" s="8">
        <f t="array" ref="N45">MAX(IF($B$4:$B$507=B45,$A$4:$A$507))</f>
        <v>28855</v>
      </c>
      <c r="O45" s="8">
        <f t="array" ref="O45">MIN(IF($B$4:$B$507=B45,$A$4:$A$507))</f>
        <v>28521</v>
      </c>
      <c r="P45" s="8">
        <f t="shared" si="6"/>
        <v>28306</v>
      </c>
      <c r="Q45" s="8">
        <f t="shared" si="7"/>
        <v>28671</v>
      </c>
      <c r="R45">
        <f t="shared" si="9"/>
        <v>54.300640705090636</v>
      </c>
      <c r="S45">
        <f t="shared" si="10"/>
        <v>52.493896888058366</v>
      </c>
      <c r="T45" s="20">
        <f t="shared" si="8"/>
        <v>3.441816904706263E-2</v>
      </c>
      <c r="U45" s="20">
        <f t="shared" si="11"/>
        <v>6.1492149279961515E-2</v>
      </c>
    </row>
    <row r="46" spans="1:21" x14ac:dyDescent="0.2">
      <c r="A46" s="8">
        <f t="shared" si="0"/>
        <v>28702</v>
      </c>
      <c r="B46" s="17">
        <f t="shared" si="1"/>
        <v>1978</v>
      </c>
      <c r="C46" s="17">
        <f t="shared" si="2"/>
        <v>7</v>
      </c>
      <c r="J46">
        <v>55.154849516544594</v>
      </c>
      <c r="K46" s="6">
        <f t="shared" si="3"/>
        <v>0</v>
      </c>
      <c r="L46" s="15">
        <f t="shared" si="4"/>
        <v>4.0101446750438505</v>
      </c>
      <c r="M46" s="16">
        <f t="shared" si="5"/>
        <v>1.5608648816470616E-2</v>
      </c>
      <c r="N46" s="8">
        <f t="array" ref="N46">MAX(IF($B$4:$B$507=B46,$A$4:$A$507))</f>
        <v>28855</v>
      </c>
      <c r="O46" s="8">
        <f t="array" ref="O46">MIN(IF($B$4:$B$507=B46,$A$4:$A$507))</f>
        <v>28521</v>
      </c>
      <c r="P46" s="8">
        <f t="shared" si="6"/>
        <v>28337</v>
      </c>
      <c r="Q46" s="8">
        <f t="shared" si="7"/>
        <v>28702</v>
      </c>
      <c r="R46">
        <f t="shared" si="9"/>
        <v>55.154849516544594</v>
      </c>
      <c r="S46">
        <f t="shared" si="10"/>
        <v>52.284953725544405</v>
      </c>
      <c r="T46" s="20">
        <f t="shared" si="8"/>
        <v>5.4889515749883211E-2</v>
      </c>
      <c r="U46" s="20">
        <f t="shared" si="11"/>
        <v>6.1492149279961515E-2</v>
      </c>
    </row>
    <row r="47" spans="1:21" x14ac:dyDescent="0.2">
      <c r="A47" s="8">
        <f t="shared" si="0"/>
        <v>28733</v>
      </c>
      <c r="B47" s="17">
        <f t="shared" si="1"/>
        <v>1978</v>
      </c>
      <c r="C47" s="17">
        <f t="shared" si="2"/>
        <v>8</v>
      </c>
      <c r="J47">
        <v>59.143205765707563</v>
      </c>
      <c r="K47" s="6">
        <f t="shared" si="3"/>
        <v>0</v>
      </c>
      <c r="L47" s="15">
        <f t="shared" si="4"/>
        <v>4.0799617193418865</v>
      </c>
      <c r="M47" s="16">
        <f t="shared" si="5"/>
        <v>6.9817044298035924E-2</v>
      </c>
      <c r="N47" s="8">
        <f t="array" ref="N47">MAX(IF($B$4:$B$507=B47,$A$4:$A$507))</f>
        <v>28855</v>
      </c>
      <c r="O47" s="8">
        <f t="array" ref="O47">MIN(IF($B$4:$B$507=B47,$A$4:$A$507))</f>
        <v>28521</v>
      </c>
      <c r="P47" s="8">
        <f t="shared" si="6"/>
        <v>28368</v>
      </c>
      <c r="Q47" s="8">
        <f t="shared" si="7"/>
        <v>28733</v>
      </c>
      <c r="R47">
        <f t="shared" si="9"/>
        <v>59.143205765707563</v>
      </c>
      <c r="S47">
        <f t="shared" si="10"/>
        <v>54.362094576418187</v>
      </c>
      <c r="T47" s="20">
        <f t="shared" si="8"/>
        <v>8.7949355640968729E-2</v>
      </c>
      <c r="U47" s="20">
        <f t="shared" si="11"/>
        <v>6.1492149279961515E-2</v>
      </c>
    </row>
    <row r="48" spans="1:21" x14ac:dyDescent="0.2">
      <c r="A48" s="8">
        <f t="shared" si="0"/>
        <v>28763</v>
      </c>
      <c r="B48" s="17">
        <f t="shared" si="1"/>
        <v>1978</v>
      </c>
      <c r="C48" s="17">
        <f t="shared" si="2"/>
        <v>9</v>
      </c>
      <c r="J48">
        <v>56.045930650795171</v>
      </c>
      <c r="K48" s="6">
        <f t="shared" si="3"/>
        <v>0</v>
      </c>
      <c r="L48" s="15">
        <f t="shared" si="4"/>
        <v>4.0261715447557478</v>
      </c>
      <c r="M48" s="16">
        <f t="shared" si="5"/>
        <v>-5.3790174586138662E-2</v>
      </c>
      <c r="N48" s="8">
        <f t="array" ref="N48">MAX(IF($B$4:$B$507=B48,$A$4:$A$507))</f>
        <v>28855</v>
      </c>
      <c r="O48" s="8">
        <f t="array" ref="O48">MIN(IF($B$4:$B$507=B48,$A$4:$A$507))</f>
        <v>28521</v>
      </c>
      <c r="P48" s="8">
        <f t="shared" si="6"/>
        <v>28398</v>
      </c>
      <c r="Q48" s="8">
        <f t="shared" si="7"/>
        <v>28763</v>
      </c>
      <c r="R48">
        <f t="shared" si="9"/>
        <v>56.045930650795171</v>
      </c>
      <c r="S48">
        <f t="shared" si="10"/>
        <v>52.205063692818548</v>
      </c>
      <c r="T48" s="20">
        <f t="shared" si="8"/>
        <v>7.3572689817539283E-2</v>
      </c>
      <c r="U48" s="20">
        <f t="shared" si="11"/>
        <v>6.1492149279961515E-2</v>
      </c>
    </row>
    <row r="49" spans="1:21" x14ac:dyDescent="0.2">
      <c r="A49" s="8">
        <f t="shared" si="0"/>
        <v>28794</v>
      </c>
      <c r="B49" s="17">
        <f t="shared" si="1"/>
        <v>1978</v>
      </c>
      <c r="C49" s="17">
        <f t="shared" si="2"/>
        <v>10</v>
      </c>
      <c r="J49">
        <v>59.610255187797506</v>
      </c>
      <c r="K49" s="6">
        <f t="shared" si="3"/>
        <v>0</v>
      </c>
      <c r="L49" s="15">
        <f t="shared" si="4"/>
        <v>4.0878276261788455</v>
      </c>
      <c r="M49" s="16">
        <f t="shared" si="5"/>
        <v>6.1656081423097753E-2</v>
      </c>
      <c r="N49" s="8">
        <f t="array" ref="N49">MAX(IF($B$4:$B$507=B49,$A$4:$A$507))</f>
        <v>28855</v>
      </c>
      <c r="O49" s="8">
        <f t="array" ref="O49">MIN(IF($B$4:$B$507=B49,$A$4:$A$507))</f>
        <v>28521</v>
      </c>
      <c r="P49" s="8">
        <f t="shared" si="6"/>
        <v>28429</v>
      </c>
      <c r="Q49" s="8">
        <f t="shared" si="7"/>
        <v>28794</v>
      </c>
      <c r="R49">
        <f t="shared" si="9"/>
        <v>59.610255187797506</v>
      </c>
      <c r="S49">
        <f t="shared" si="10"/>
        <v>53.833591283000615</v>
      </c>
      <c r="T49" s="20">
        <f t="shared" si="8"/>
        <v>0.10730593607305972</v>
      </c>
      <c r="U49" s="20">
        <f t="shared" si="11"/>
        <v>6.1492149279961515E-2</v>
      </c>
    </row>
    <row r="50" spans="1:21" x14ac:dyDescent="0.2">
      <c r="A50" s="8">
        <f t="shared" si="0"/>
        <v>28824</v>
      </c>
      <c r="B50" s="17">
        <f t="shared" si="1"/>
        <v>1978</v>
      </c>
      <c r="C50" s="17">
        <f t="shared" si="2"/>
        <v>11</v>
      </c>
      <c r="J50">
        <v>55.941459069538219</v>
      </c>
      <c r="K50" s="6">
        <f t="shared" si="3"/>
        <v>0</v>
      </c>
      <c r="L50" s="15">
        <f t="shared" si="4"/>
        <v>4.0243057701926599</v>
      </c>
      <c r="M50" s="16">
        <f t="shared" si="5"/>
        <v>-6.3521855986185649E-2</v>
      </c>
      <c r="N50" s="8">
        <f t="array" ref="N50">MAX(IF($B$4:$B$507=B50,$A$4:$A$507))</f>
        <v>28855</v>
      </c>
      <c r="O50" s="8">
        <f t="array" ref="O50">MIN(IF($B$4:$B$507=B50,$A$4:$A$507))</f>
        <v>28521</v>
      </c>
      <c r="P50" s="8">
        <f t="shared" si="6"/>
        <v>28459</v>
      </c>
      <c r="Q50" s="8">
        <f t="shared" si="7"/>
        <v>28824</v>
      </c>
      <c r="R50">
        <f t="shared" si="9"/>
        <v>55.941459069538219</v>
      </c>
      <c r="S50">
        <f t="shared" si="10"/>
        <v>52.155900595756464</v>
      </c>
      <c r="T50" s="20">
        <f t="shared" si="8"/>
        <v>7.2581595381170594E-2</v>
      </c>
      <c r="U50" s="20">
        <f t="shared" si="11"/>
        <v>6.1492149279961515E-2</v>
      </c>
    </row>
    <row r="51" spans="1:21" x14ac:dyDescent="0.2">
      <c r="A51" s="8">
        <f t="shared" si="0"/>
        <v>28855</v>
      </c>
      <c r="B51" s="17">
        <f t="shared" si="1"/>
        <v>1978</v>
      </c>
      <c r="C51" s="17">
        <f t="shared" si="2"/>
        <v>12</v>
      </c>
      <c r="J51">
        <v>52.868765503156922</v>
      </c>
      <c r="K51" s="6">
        <f t="shared" si="3"/>
        <v>0</v>
      </c>
      <c r="L51" s="15">
        <f t="shared" si="4"/>
        <v>3.9678127203087197</v>
      </c>
      <c r="M51" s="16">
        <f t="shared" si="5"/>
        <v>-5.6493049883940216E-2</v>
      </c>
      <c r="N51" s="8">
        <f t="array" ref="N51">MAX(IF($B$4:$B$507=B51,$A$4:$A$507))</f>
        <v>28855</v>
      </c>
      <c r="O51" s="8">
        <f t="array" ref="O51">MIN(IF($B$4:$B$507=B51,$A$4:$A$507))</f>
        <v>28521</v>
      </c>
      <c r="P51" s="8">
        <f t="shared" si="6"/>
        <v>28490</v>
      </c>
      <c r="Q51" s="8">
        <f t="shared" si="7"/>
        <v>28855</v>
      </c>
      <c r="R51">
        <f t="shared" si="9"/>
        <v>52.868765503156922</v>
      </c>
      <c r="S51">
        <f t="shared" si="10"/>
        <v>49.562547225730654</v>
      </c>
      <c r="T51" s="20">
        <f t="shared" si="8"/>
        <v>6.670799752014811E-2</v>
      </c>
      <c r="U51" s="20">
        <f t="shared" si="11"/>
        <v>6.1492149279961515E-2</v>
      </c>
    </row>
    <row r="52" spans="1:21" x14ac:dyDescent="0.2">
      <c r="A52" s="8">
        <f t="shared" si="0"/>
        <v>28886</v>
      </c>
      <c r="B52" s="17">
        <f t="shared" si="1"/>
        <v>1979</v>
      </c>
      <c r="C52" s="17">
        <f t="shared" si="2"/>
        <v>1</v>
      </c>
      <c r="J52">
        <v>53.569339636291836</v>
      </c>
      <c r="K52" s="6">
        <f t="shared" si="3"/>
        <v>0</v>
      </c>
      <c r="L52" s="15">
        <f t="shared" si="4"/>
        <v>3.9809768826989473</v>
      </c>
      <c r="M52" s="16">
        <f t="shared" si="5"/>
        <v>1.3164162390227663E-2</v>
      </c>
      <c r="N52" s="8">
        <f t="array" ref="N52">MAX(IF($B$4:$B$507=B52,$A$4:$A$507))</f>
        <v>29220</v>
      </c>
      <c r="O52" s="8">
        <f t="array" ref="O52">MIN(IF($B$4:$B$507=B52,$A$4:$A$507))</f>
        <v>28886</v>
      </c>
      <c r="P52" s="8">
        <f t="shared" si="6"/>
        <v>28521</v>
      </c>
      <c r="Q52" s="8">
        <f t="shared" si="7"/>
        <v>28886</v>
      </c>
      <c r="R52">
        <f t="shared" si="9"/>
        <v>53.569339636291836</v>
      </c>
      <c r="S52">
        <f t="shared" si="10"/>
        <v>48.39492367050569</v>
      </c>
      <c r="T52" s="20">
        <f t="shared" si="8"/>
        <v>0.1069206349206353</v>
      </c>
      <c r="U52" s="20">
        <f t="shared" si="11"/>
        <v>7.004910049369524E-2</v>
      </c>
    </row>
    <row r="53" spans="1:21" x14ac:dyDescent="0.2">
      <c r="A53" s="8">
        <f t="shared" si="0"/>
        <v>28914</v>
      </c>
      <c r="B53" s="17">
        <f t="shared" si="1"/>
        <v>1979</v>
      </c>
      <c r="C53" s="17">
        <f t="shared" si="2"/>
        <v>2</v>
      </c>
      <c r="J53">
        <v>49.980433550758413</v>
      </c>
      <c r="K53" s="6">
        <f t="shared" si="3"/>
        <v>0</v>
      </c>
      <c r="L53" s="15">
        <f t="shared" si="4"/>
        <v>3.9116315998541453</v>
      </c>
      <c r="M53" s="16">
        <f t="shared" si="5"/>
        <v>-6.9345282844802014E-2</v>
      </c>
      <c r="N53" s="8">
        <f t="array" ref="N53">MAX(IF($B$4:$B$507=B53,$A$4:$A$507))</f>
        <v>29220</v>
      </c>
      <c r="O53" s="8">
        <f t="array" ref="O53">MIN(IF($B$4:$B$507=B53,$A$4:$A$507))</f>
        <v>28886</v>
      </c>
      <c r="P53" s="8">
        <f t="shared" si="6"/>
        <v>28549</v>
      </c>
      <c r="Q53" s="8">
        <f t="shared" si="7"/>
        <v>28914</v>
      </c>
      <c r="R53">
        <f t="shared" si="9"/>
        <v>49.980433550758413</v>
      </c>
      <c r="S53">
        <f t="shared" si="10"/>
        <v>45.942914204533452</v>
      </c>
      <c r="T53" s="20">
        <f t="shared" si="8"/>
        <v>8.78812199036898E-2</v>
      </c>
      <c r="U53" s="20">
        <f t="shared" si="11"/>
        <v>7.004910049369524E-2</v>
      </c>
    </row>
    <row r="54" spans="1:21" x14ac:dyDescent="0.2">
      <c r="A54" s="8">
        <f t="shared" si="0"/>
        <v>28945</v>
      </c>
      <c r="B54" s="17">
        <f t="shared" si="1"/>
        <v>1979</v>
      </c>
      <c r="C54" s="17">
        <f t="shared" si="2"/>
        <v>3</v>
      </c>
      <c r="J54">
        <v>55.726370519891468</v>
      </c>
      <c r="K54" s="6">
        <f t="shared" si="3"/>
        <v>0</v>
      </c>
      <c r="L54" s="15">
        <f t="shared" si="4"/>
        <v>4.0204534733147899</v>
      </c>
      <c r="M54" s="16">
        <f t="shared" si="5"/>
        <v>0.10882187346064454</v>
      </c>
      <c r="N54" s="8">
        <f t="array" ref="N54">MAX(IF($B$4:$B$507=B54,$A$4:$A$507))</f>
        <v>29220</v>
      </c>
      <c r="O54" s="8">
        <f t="array" ref="O54">MIN(IF($B$4:$B$507=B54,$A$4:$A$507))</f>
        <v>28886</v>
      </c>
      <c r="P54" s="8">
        <f t="shared" si="6"/>
        <v>28580</v>
      </c>
      <c r="Q54" s="8">
        <f t="shared" si="7"/>
        <v>28945</v>
      </c>
      <c r="R54">
        <f t="shared" si="9"/>
        <v>55.726370519891468</v>
      </c>
      <c r="S54">
        <f t="shared" si="10"/>
        <v>52.788875470430987</v>
      </c>
      <c r="T54" s="20">
        <f t="shared" si="8"/>
        <v>5.5646100116413466E-2</v>
      </c>
      <c r="U54" s="20">
        <f t="shared" si="11"/>
        <v>7.004910049369524E-2</v>
      </c>
    </row>
    <row r="55" spans="1:21" x14ac:dyDescent="0.2">
      <c r="A55" s="8">
        <f t="shared" si="0"/>
        <v>28975</v>
      </c>
      <c r="B55" s="17">
        <f t="shared" si="1"/>
        <v>1979</v>
      </c>
      <c r="C55" s="17">
        <f t="shared" si="2"/>
        <v>4</v>
      </c>
      <c r="J55">
        <v>53.729119701743635</v>
      </c>
      <c r="K55" s="6">
        <f t="shared" si="3"/>
        <v>0</v>
      </c>
      <c r="L55" s="15">
        <f t="shared" si="4"/>
        <v>3.9839551208682615</v>
      </c>
      <c r="M55" s="16">
        <f t="shared" si="5"/>
        <v>-3.6498352446528326E-2</v>
      </c>
      <c r="N55" s="8">
        <f t="array" ref="N55">MAX(IF($B$4:$B$507=B55,$A$4:$A$507))</f>
        <v>29220</v>
      </c>
      <c r="O55" s="8">
        <f t="array" ref="O55">MIN(IF($B$4:$B$507=B55,$A$4:$A$507))</f>
        <v>28886</v>
      </c>
      <c r="P55" s="8">
        <f t="shared" si="6"/>
        <v>28610</v>
      </c>
      <c r="Q55" s="8">
        <f t="shared" si="7"/>
        <v>28975</v>
      </c>
      <c r="R55">
        <f t="shared" si="9"/>
        <v>53.729119701743635</v>
      </c>
      <c r="S55">
        <f t="shared" si="10"/>
        <v>51.00671320192982</v>
      </c>
      <c r="T55" s="20">
        <f t="shared" si="8"/>
        <v>5.3373493975902964E-2</v>
      </c>
      <c r="U55" s="20">
        <f t="shared" si="11"/>
        <v>7.004910049369524E-2</v>
      </c>
    </row>
    <row r="56" spans="1:21" x14ac:dyDescent="0.2">
      <c r="A56" s="8">
        <f t="shared" si="0"/>
        <v>29006</v>
      </c>
      <c r="B56" s="17">
        <f t="shared" si="1"/>
        <v>1979</v>
      </c>
      <c r="C56" s="17">
        <f t="shared" si="2"/>
        <v>5</v>
      </c>
      <c r="J56">
        <v>58.424195471174293</v>
      </c>
      <c r="K56" s="6">
        <f t="shared" si="3"/>
        <v>0</v>
      </c>
      <c r="L56" s="15">
        <f t="shared" si="4"/>
        <v>4.0677301100464014</v>
      </c>
      <c r="M56" s="16">
        <f t="shared" si="5"/>
        <v>8.3774989178139858E-2</v>
      </c>
      <c r="N56" s="8">
        <f t="array" ref="N56">MAX(IF($B$4:$B$507=B56,$A$4:$A$507))</f>
        <v>29220</v>
      </c>
      <c r="O56" s="8">
        <f t="array" ref="O56">MIN(IF($B$4:$B$507=B56,$A$4:$A$507))</f>
        <v>28886</v>
      </c>
      <c r="P56" s="8">
        <f t="shared" si="6"/>
        <v>28641</v>
      </c>
      <c r="Q56" s="8">
        <f t="shared" si="7"/>
        <v>29006</v>
      </c>
      <c r="R56">
        <f t="shared" si="9"/>
        <v>58.424195471174293</v>
      </c>
      <c r="S56">
        <f t="shared" si="10"/>
        <v>53.913481315726557</v>
      </c>
      <c r="T56" s="20">
        <f t="shared" si="8"/>
        <v>8.3665792773281122E-2</v>
      </c>
      <c r="U56" s="20">
        <f t="shared" si="11"/>
        <v>7.004910049369524E-2</v>
      </c>
    </row>
    <row r="57" spans="1:21" x14ac:dyDescent="0.2">
      <c r="A57" s="8">
        <f t="shared" si="0"/>
        <v>29036</v>
      </c>
      <c r="B57" s="17">
        <f t="shared" si="1"/>
        <v>1979</v>
      </c>
      <c r="C57" s="17">
        <f t="shared" si="2"/>
        <v>6</v>
      </c>
      <c r="J57">
        <v>58.424195471174293</v>
      </c>
      <c r="K57" s="6">
        <f t="shared" si="3"/>
        <v>0</v>
      </c>
      <c r="L57" s="15">
        <f t="shared" si="4"/>
        <v>4.0677301100464014</v>
      </c>
      <c r="M57" s="16">
        <f t="shared" si="5"/>
        <v>0</v>
      </c>
      <c r="N57" s="8">
        <f t="array" ref="N57">MAX(IF($B$4:$B$507=B57,$A$4:$A$507))</f>
        <v>29220</v>
      </c>
      <c r="O57" s="8">
        <f t="array" ref="O57">MIN(IF($B$4:$B$507=B57,$A$4:$A$507))</f>
        <v>28886</v>
      </c>
      <c r="P57" s="8">
        <f t="shared" si="6"/>
        <v>28671</v>
      </c>
      <c r="Q57" s="8">
        <f t="shared" si="7"/>
        <v>29036</v>
      </c>
      <c r="R57">
        <f t="shared" si="9"/>
        <v>58.424195471174293</v>
      </c>
      <c r="S57">
        <f t="shared" si="10"/>
        <v>54.300640705090636</v>
      </c>
      <c r="T57" s="20">
        <f t="shared" si="8"/>
        <v>7.5939339067450096E-2</v>
      </c>
      <c r="U57" s="20">
        <f t="shared" si="11"/>
        <v>7.004910049369524E-2</v>
      </c>
    </row>
    <row r="58" spans="1:21" x14ac:dyDescent="0.2">
      <c r="A58" s="8">
        <f t="shared" si="0"/>
        <v>29067</v>
      </c>
      <c r="B58" s="17">
        <f t="shared" si="1"/>
        <v>1979</v>
      </c>
      <c r="C58" s="17">
        <f t="shared" si="2"/>
        <v>7</v>
      </c>
      <c r="J58">
        <v>59.32756737969035</v>
      </c>
      <c r="K58" s="6">
        <f t="shared" si="3"/>
        <v>0</v>
      </c>
      <c r="L58" s="15">
        <f t="shared" si="4"/>
        <v>4.0830740779078081</v>
      </c>
      <c r="M58" s="16">
        <f t="shared" si="5"/>
        <v>1.5343967861406682E-2</v>
      </c>
      <c r="N58" s="8">
        <f t="array" ref="N58">MAX(IF($B$4:$B$507=B58,$A$4:$A$507))</f>
        <v>29220</v>
      </c>
      <c r="O58" s="8">
        <f t="array" ref="O58">MIN(IF($B$4:$B$507=B58,$A$4:$A$507))</f>
        <v>28886</v>
      </c>
      <c r="P58" s="8">
        <f t="shared" si="6"/>
        <v>28702</v>
      </c>
      <c r="Q58" s="8">
        <f t="shared" si="7"/>
        <v>29067</v>
      </c>
      <c r="R58">
        <f t="shared" si="9"/>
        <v>59.32756737969035</v>
      </c>
      <c r="S58">
        <f t="shared" si="10"/>
        <v>55.154849516544594</v>
      </c>
      <c r="T58" s="20">
        <f t="shared" si="8"/>
        <v>7.5654596100277249E-2</v>
      </c>
      <c r="U58" s="20">
        <f t="shared" si="11"/>
        <v>7.004910049369524E-2</v>
      </c>
    </row>
    <row r="59" spans="1:21" x14ac:dyDescent="0.2">
      <c r="A59" s="8">
        <f t="shared" si="0"/>
        <v>29098</v>
      </c>
      <c r="B59" s="17">
        <f t="shared" si="1"/>
        <v>1979</v>
      </c>
      <c r="C59" s="17">
        <f t="shared" si="2"/>
        <v>8</v>
      </c>
      <c r="J59">
        <v>63.002508885082392</v>
      </c>
      <c r="K59" s="6">
        <f t="shared" si="3"/>
        <v>0</v>
      </c>
      <c r="L59" s="15">
        <f t="shared" si="4"/>
        <v>4.1431745491713317</v>
      </c>
      <c r="M59" s="16">
        <f t="shared" si="5"/>
        <v>6.010047126352358E-2</v>
      </c>
      <c r="N59" s="8">
        <f t="array" ref="N59">MAX(IF($B$4:$B$507=B59,$A$4:$A$507))</f>
        <v>29220</v>
      </c>
      <c r="O59" s="8">
        <f t="array" ref="O59">MIN(IF($B$4:$B$507=B59,$A$4:$A$507))</f>
        <v>28886</v>
      </c>
      <c r="P59" s="8">
        <f t="shared" si="6"/>
        <v>28733</v>
      </c>
      <c r="Q59" s="8">
        <f t="shared" si="7"/>
        <v>29098</v>
      </c>
      <c r="R59">
        <f t="shared" si="9"/>
        <v>63.002508885082392</v>
      </c>
      <c r="S59">
        <f t="shared" si="10"/>
        <v>59.143205765707563</v>
      </c>
      <c r="T59" s="20">
        <f t="shared" si="8"/>
        <v>6.5253532834578465E-2</v>
      </c>
      <c r="U59" s="20">
        <f t="shared" si="11"/>
        <v>7.004910049369524E-2</v>
      </c>
    </row>
    <row r="60" spans="1:21" x14ac:dyDescent="0.2">
      <c r="A60" s="8">
        <f t="shared" si="0"/>
        <v>29128</v>
      </c>
      <c r="B60" s="17">
        <f t="shared" si="1"/>
        <v>1979</v>
      </c>
      <c r="C60" s="17">
        <f t="shared" si="2"/>
        <v>9</v>
      </c>
      <c r="J60">
        <v>57.98172759761534</v>
      </c>
      <c r="K60" s="6">
        <f t="shared" si="3"/>
        <v>0</v>
      </c>
      <c r="L60" s="15">
        <f t="shared" si="4"/>
        <v>4.0601279194900206</v>
      </c>
      <c r="M60" s="16">
        <f t="shared" si="5"/>
        <v>-8.3046629681311046E-2</v>
      </c>
      <c r="N60" s="8">
        <f t="array" ref="N60">MAX(IF($B$4:$B$507=B60,$A$4:$A$507))</f>
        <v>29220</v>
      </c>
      <c r="O60" s="8">
        <f t="array" ref="O60">MIN(IF($B$4:$B$507=B60,$A$4:$A$507))</f>
        <v>28886</v>
      </c>
      <c r="P60" s="8">
        <f t="shared" si="6"/>
        <v>28763</v>
      </c>
      <c r="Q60" s="8">
        <f t="shared" si="7"/>
        <v>29128</v>
      </c>
      <c r="R60">
        <f t="shared" si="9"/>
        <v>57.98172759761534</v>
      </c>
      <c r="S60">
        <f t="shared" si="10"/>
        <v>56.045930650795171</v>
      </c>
      <c r="T60" s="20">
        <f t="shared" si="8"/>
        <v>3.453947368420951E-2</v>
      </c>
      <c r="U60" s="20">
        <f t="shared" si="11"/>
        <v>7.004910049369524E-2</v>
      </c>
    </row>
    <row r="61" spans="1:21" x14ac:dyDescent="0.2">
      <c r="A61" s="8">
        <f t="shared" si="0"/>
        <v>29159</v>
      </c>
      <c r="B61" s="17">
        <f t="shared" si="1"/>
        <v>1979</v>
      </c>
      <c r="C61" s="17">
        <f t="shared" si="2"/>
        <v>10</v>
      </c>
      <c r="J61">
        <v>64.876851960574953</v>
      </c>
      <c r="K61" s="6">
        <f t="shared" si="3"/>
        <v>0</v>
      </c>
      <c r="L61" s="15">
        <f t="shared" si="4"/>
        <v>4.1724908876770641</v>
      </c>
      <c r="M61" s="16">
        <f t="shared" si="5"/>
        <v>0.1123629681870435</v>
      </c>
      <c r="N61" s="8">
        <f t="array" ref="N61">MAX(IF($B$4:$B$507=B61,$A$4:$A$507))</f>
        <v>29220</v>
      </c>
      <c r="O61" s="8">
        <f t="array" ref="O61">MIN(IF($B$4:$B$507=B61,$A$4:$A$507))</f>
        <v>28886</v>
      </c>
      <c r="P61" s="8">
        <f t="shared" si="6"/>
        <v>28794</v>
      </c>
      <c r="Q61" s="8">
        <f t="shared" si="7"/>
        <v>29159</v>
      </c>
      <c r="R61">
        <f t="shared" si="9"/>
        <v>64.876851960574953</v>
      </c>
      <c r="S61">
        <f t="shared" si="10"/>
        <v>59.610255187797506</v>
      </c>
      <c r="T61" s="20">
        <f t="shared" si="8"/>
        <v>8.835051546391548E-2</v>
      </c>
      <c r="U61" s="20">
        <f t="shared" si="11"/>
        <v>7.004910049369524E-2</v>
      </c>
    </row>
    <row r="62" spans="1:21" x14ac:dyDescent="0.2">
      <c r="A62" s="8">
        <f t="shared" si="0"/>
        <v>29189</v>
      </c>
      <c r="B62" s="17">
        <f t="shared" si="1"/>
        <v>1979</v>
      </c>
      <c r="C62" s="17">
        <f t="shared" si="2"/>
        <v>11</v>
      </c>
      <c r="J62">
        <v>59.714726769054415</v>
      </c>
      <c r="K62" s="6">
        <f t="shared" si="3"/>
        <v>0</v>
      </c>
      <c r="L62" s="15">
        <f t="shared" si="4"/>
        <v>4.0895786695268095</v>
      </c>
      <c r="M62" s="16">
        <f t="shared" si="5"/>
        <v>-8.2912218150254624E-2</v>
      </c>
      <c r="N62" s="8">
        <f t="array" ref="N62">MAX(IF($B$4:$B$507=B62,$A$4:$A$507))</f>
        <v>29220</v>
      </c>
      <c r="O62" s="8">
        <f t="array" ref="O62">MIN(IF($B$4:$B$507=B62,$A$4:$A$507))</f>
        <v>28886</v>
      </c>
      <c r="P62" s="8">
        <f t="shared" si="6"/>
        <v>28824</v>
      </c>
      <c r="Q62" s="8">
        <f t="shared" si="7"/>
        <v>29189</v>
      </c>
      <c r="R62">
        <f t="shared" si="9"/>
        <v>59.714726769054415</v>
      </c>
      <c r="S62">
        <f t="shared" si="10"/>
        <v>55.941459069538219</v>
      </c>
      <c r="T62" s="20">
        <f t="shared" si="8"/>
        <v>6.7450291112818972E-2</v>
      </c>
      <c r="U62" s="20">
        <f t="shared" si="11"/>
        <v>7.004910049369524E-2</v>
      </c>
    </row>
    <row r="63" spans="1:21" x14ac:dyDescent="0.2">
      <c r="A63" s="8">
        <f t="shared" si="0"/>
        <v>29220</v>
      </c>
      <c r="B63" s="17">
        <f t="shared" si="1"/>
        <v>1979</v>
      </c>
      <c r="C63" s="17">
        <f t="shared" si="2"/>
        <v>12</v>
      </c>
      <c r="J63">
        <v>55.296193420598044</v>
      </c>
      <c r="K63" s="6">
        <f t="shared" si="3"/>
        <v>0</v>
      </c>
      <c r="L63" s="15">
        <f t="shared" si="4"/>
        <v>4.0127040710884874</v>
      </c>
      <c r="M63" s="16">
        <f t="shared" si="5"/>
        <v>-7.6874598438322117E-2</v>
      </c>
      <c r="N63" s="8">
        <f t="array" ref="N63">MAX(IF($B$4:$B$507=B63,$A$4:$A$507))</f>
        <v>29220</v>
      </c>
      <c r="O63" s="8">
        <f t="array" ref="O63">MIN(IF($B$4:$B$507=B63,$A$4:$A$507))</f>
        <v>28886</v>
      </c>
      <c r="P63" s="8">
        <f t="shared" si="6"/>
        <v>28855</v>
      </c>
      <c r="Q63" s="8">
        <f t="shared" si="7"/>
        <v>29220</v>
      </c>
      <c r="R63">
        <f t="shared" si="9"/>
        <v>55.296193420598044</v>
      </c>
      <c r="S63">
        <f t="shared" si="10"/>
        <v>52.868765503156922</v>
      </c>
      <c r="T63" s="20">
        <f t="shared" si="8"/>
        <v>4.5914215971170513E-2</v>
      </c>
      <c r="U63" s="20">
        <f t="shared" si="11"/>
        <v>7.004910049369524E-2</v>
      </c>
    </row>
    <row r="64" spans="1:21" x14ac:dyDescent="0.2">
      <c r="A64" s="8">
        <f t="shared" si="0"/>
        <v>29251</v>
      </c>
      <c r="B64" s="17">
        <f t="shared" si="1"/>
        <v>1980</v>
      </c>
      <c r="C64" s="17">
        <f t="shared" si="2"/>
        <v>1</v>
      </c>
      <c r="J64">
        <v>57.096791850497517</v>
      </c>
      <c r="K64" s="6">
        <f t="shared" si="3"/>
        <v>0</v>
      </c>
      <c r="L64" s="15">
        <f t="shared" si="4"/>
        <v>4.0447479303286826</v>
      </c>
      <c r="M64" s="16">
        <f t="shared" si="5"/>
        <v>3.204385924019526E-2</v>
      </c>
      <c r="N64" s="8">
        <f t="array" ref="N64">MAX(IF($B$4:$B$507=B64,$A$4:$A$507))</f>
        <v>29586</v>
      </c>
      <c r="O64" s="8">
        <f t="array" ref="O64">MIN(IF($B$4:$B$507=B64,$A$4:$A$507))</f>
        <v>29251</v>
      </c>
      <c r="P64" s="8">
        <f t="shared" si="6"/>
        <v>28886</v>
      </c>
      <c r="Q64" s="8">
        <f t="shared" si="7"/>
        <v>29251</v>
      </c>
      <c r="R64">
        <f t="shared" si="9"/>
        <v>57.096791850497517</v>
      </c>
      <c r="S64">
        <f t="shared" si="10"/>
        <v>53.569339636291836</v>
      </c>
      <c r="T64" s="20">
        <f t="shared" si="8"/>
        <v>6.5848342319604125E-2</v>
      </c>
      <c r="U64" s="20">
        <f t="shared" si="11"/>
        <v>9.2310142721229504E-2</v>
      </c>
    </row>
    <row r="65" spans="1:21" x14ac:dyDescent="0.2">
      <c r="A65" s="8">
        <f t="shared" si="0"/>
        <v>29280</v>
      </c>
      <c r="B65" s="17">
        <f t="shared" si="1"/>
        <v>1980</v>
      </c>
      <c r="C65" s="17">
        <f t="shared" si="2"/>
        <v>2</v>
      </c>
      <c r="J65">
        <v>55.966040618069187</v>
      </c>
      <c r="K65" s="6">
        <f t="shared" si="3"/>
        <v>0</v>
      </c>
      <c r="L65" s="15">
        <f t="shared" si="4"/>
        <v>4.0247450892551884</v>
      </c>
      <c r="M65" s="16">
        <f t="shared" si="5"/>
        <v>-2.000284107349426E-2</v>
      </c>
      <c r="N65" s="8">
        <f t="array" ref="N65">MAX(IF($B$4:$B$507=B65,$A$4:$A$507))</f>
        <v>29586</v>
      </c>
      <c r="O65" s="8">
        <f t="array" ref="O65">MIN(IF($B$4:$B$507=B65,$A$4:$A$507))</f>
        <v>29251</v>
      </c>
      <c r="P65" s="8">
        <f t="shared" si="6"/>
        <v>28914</v>
      </c>
      <c r="Q65" s="8">
        <f t="shared" si="7"/>
        <v>29280</v>
      </c>
      <c r="R65">
        <f t="shared" si="9"/>
        <v>55.966040618069187</v>
      </c>
      <c r="S65">
        <f t="shared" si="10"/>
        <v>49.980433550758413</v>
      </c>
      <c r="T65" s="20">
        <f t="shared" si="8"/>
        <v>0.11975900651666005</v>
      </c>
      <c r="U65" s="20">
        <f t="shared" si="11"/>
        <v>9.2310142721229504E-2</v>
      </c>
    </row>
    <row r="66" spans="1:21" x14ac:dyDescent="0.2">
      <c r="A66" s="8">
        <f t="shared" si="0"/>
        <v>29311</v>
      </c>
      <c r="B66" s="17">
        <f t="shared" si="1"/>
        <v>1980</v>
      </c>
      <c r="C66" s="17">
        <f t="shared" si="2"/>
        <v>3</v>
      </c>
      <c r="J66">
        <v>61.798013007060959</v>
      </c>
      <c r="K66" s="6">
        <f t="shared" si="3"/>
        <v>0</v>
      </c>
      <c r="L66" s="15">
        <f t="shared" si="4"/>
        <v>4.1238712119574537</v>
      </c>
      <c r="M66" s="16">
        <f t="shared" si="5"/>
        <v>9.9126122702265285E-2</v>
      </c>
      <c r="N66" s="8">
        <f t="array" ref="N66">MAX(IF($B$4:$B$507=B66,$A$4:$A$507))</f>
        <v>29586</v>
      </c>
      <c r="O66" s="8">
        <f t="array" ref="O66">MIN(IF($B$4:$B$507=B66,$A$4:$A$507))</f>
        <v>29251</v>
      </c>
      <c r="P66" s="8">
        <f t="shared" si="6"/>
        <v>28945</v>
      </c>
      <c r="Q66" s="8">
        <f t="shared" si="7"/>
        <v>29311</v>
      </c>
      <c r="R66">
        <f t="shared" si="9"/>
        <v>61.798013007060959</v>
      </c>
      <c r="S66">
        <f t="shared" si="10"/>
        <v>55.726370519891468</v>
      </c>
      <c r="T66" s="20">
        <f t="shared" si="8"/>
        <v>0.10895456550507321</v>
      </c>
      <c r="U66" s="20">
        <f t="shared" si="11"/>
        <v>9.2310142721229504E-2</v>
      </c>
    </row>
    <row r="67" spans="1:21" x14ac:dyDescent="0.2">
      <c r="A67" s="8">
        <f t="shared" si="0"/>
        <v>29341</v>
      </c>
      <c r="B67" s="17">
        <f t="shared" si="1"/>
        <v>1980</v>
      </c>
      <c r="C67" s="17">
        <f t="shared" si="2"/>
        <v>4</v>
      </c>
      <c r="J67">
        <v>57.490096626994294</v>
      </c>
      <c r="K67" s="6">
        <f t="shared" si="3"/>
        <v>0</v>
      </c>
      <c r="L67" s="15">
        <f t="shared" si="4"/>
        <v>4.0516127003955598</v>
      </c>
      <c r="M67" s="16">
        <f t="shared" si="5"/>
        <v>-7.225851156189389E-2</v>
      </c>
      <c r="N67" s="8">
        <f t="array" ref="N67">MAX(IF($B$4:$B$507=B67,$A$4:$A$507))</f>
        <v>29586</v>
      </c>
      <c r="O67" s="8">
        <f t="array" ref="O67">MIN(IF($B$4:$B$507=B67,$A$4:$A$507))</f>
        <v>29251</v>
      </c>
      <c r="P67" s="8">
        <f t="shared" si="6"/>
        <v>28975</v>
      </c>
      <c r="Q67" s="8">
        <f t="shared" si="7"/>
        <v>29341</v>
      </c>
      <c r="R67">
        <f t="shared" si="9"/>
        <v>57.490096626994294</v>
      </c>
      <c r="S67">
        <f t="shared" si="10"/>
        <v>53.729119701743635</v>
      </c>
      <c r="T67" s="20">
        <f t="shared" si="8"/>
        <v>6.9998856227838191E-2</v>
      </c>
      <c r="U67" s="20">
        <f t="shared" si="11"/>
        <v>9.2310142721229504E-2</v>
      </c>
    </row>
    <row r="68" spans="1:21" x14ac:dyDescent="0.2">
      <c r="A68" s="8">
        <f t="shared" ref="A68:A131" si="12">EOMONTH(A69,-1)</f>
        <v>29372</v>
      </c>
      <c r="B68" s="17">
        <f t="shared" ref="B68:B131" si="13">YEAR(A68)</f>
        <v>1980</v>
      </c>
      <c r="C68" s="17">
        <f t="shared" ref="C68:C131" si="14">MONTH(A68)</f>
        <v>5</v>
      </c>
      <c r="J68">
        <v>63.186870499065265</v>
      </c>
      <c r="K68" s="6">
        <f t="shared" ref="K68:K131" si="15">IF(AND(ISNUMBER(D68),ISNUMBER(E68)),D68-E68,IF(AND(ISNUMBER(F68),ISNUMBER(G68)),F68-G68,H68-I68))</f>
        <v>0</v>
      </c>
      <c r="L68" s="15">
        <f t="shared" ref="L68:L131" si="16">LN(J68)</f>
        <v>4.1460965343028198</v>
      </c>
      <c r="M68" s="16">
        <f t="shared" ref="M68:M131" si="17">L68-L67</f>
        <v>9.4483833907260006E-2</v>
      </c>
      <c r="N68" s="8">
        <f t="array" ref="N68">MAX(IF($B$4:$B$507=B68,$A$4:$A$507))</f>
        <v>29586</v>
      </c>
      <c r="O68" s="8">
        <f t="array" ref="O68">MIN(IF($B$4:$B$507=B68,$A$4:$A$507))</f>
        <v>29251</v>
      </c>
      <c r="P68" s="8">
        <f t="shared" ref="P68:P131" si="18">EOMONTH(Q68,-12)</f>
        <v>29006</v>
      </c>
      <c r="Q68" s="8">
        <f t="shared" ref="Q68:Q131" si="19">A68</f>
        <v>29372</v>
      </c>
      <c r="R68">
        <f t="shared" si="9"/>
        <v>63.186870499065265</v>
      </c>
      <c r="S68">
        <f t="shared" si="10"/>
        <v>58.424195471174293</v>
      </c>
      <c r="T68" s="20">
        <f t="shared" ref="T68:T131" si="20">R68/S68-1</f>
        <v>8.1518880824654305E-2</v>
      </c>
      <c r="U68" s="20">
        <f t="shared" si="11"/>
        <v>9.2310142721229504E-2</v>
      </c>
    </row>
    <row r="69" spans="1:21" x14ac:dyDescent="0.2">
      <c r="A69" s="8">
        <f t="shared" si="12"/>
        <v>29402</v>
      </c>
      <c r="B69" s="17">
        <f t="shared" si="13"/>
        <v>1980</v>
      </c>
      <c r="C69" s="17">
        <f t="shared" si="14"/>
        <v>6</v>
      </c>
      <c r="J69">
        <v>64.016497761988219</v>
      </c>
      <c r="K69" s="6">
        <f t="shared" si="15"/>
        <v>0</v>
      </c>
      <c r="L69" s="15">
        <f t="shared" si="16"/>
        <v>4.1591408276718189</v>
      </c>
      <c r="M69" s="16">
        <f t="shared" si="17"/>
        <v>1.3044293368999149E-2</v>
      </c>
      <c r="N69" s="8">
        <f t="array" ref="N69">MAX(IF($B$4:$B$507=B69,$A$4:$A$507))</f>
        <v>29586</v>
      </c>
      <c r="O69" s="8">
        <f t="array" ref="O69">MIN(IF($B$4:$B$507=B69,$A$4:$A$507))</f>
        <v>29251</v>
      </c>
      <c r="P69" s="8">
        <f t="shared" si="18"/>
        <v>29036</v>
      </c>
      <c r="Q69" s="8">
        <f t="shared" si="19"/>
        <v>29402</v>
      </c>
      <c r="R69">
        <f t="shared" ref="R69:R132" si="21">VLOOKUP(Q69,$A$4:$L$507,$J$1,FALSE)</f>
        <v>64.016497761988219</v>
      </c>
      <c r="S69">
        <f t="shared" ref="S69:S132" si="22">VLOOKUP(P69,$A$4:$L$507,$J$1,FALSE)</f>
        <v>58.424195471174293</v>
      </c>
      <c r="T69" s="20">
        <f t="shared" si="20"/>
        <v>9.5718943936045964E-2</v>
      </c>
      <c r="U69" s="20">
        <f t="shared" ref="U69:U132" si="23">AVERAGEIF($B$4:$B$507,B69,$T$4:$T$507)</f>
        <v>9.2310142721229504E-2</v>
      </c>
    </row>
    <row r="70" spans="1:21" x14ac:dyDescent="0.2">
      <c r="A70" s="8">
        <f t="shared" si="12"/>
        <v>29433</v>
      </c>
      <c r="B70" s="17">
        <f t="shared" si="13"/>
        <v>1980</v>
      </c>
      <c r="C70" s="17">
        <f t="shared" si="14"/>
        <v>7</v>
      </c>
      <c r="J70">
        <v>67.132209038298839</v>
      </c>
      <c r="K70" s="6">
        <f t="shared" si="15"/>
        <v>0</v>
      </c>
      <c r="L70" s="15">
        <f t="shared" si="16"/>
        <v>4.2066639442809652</v>
      </c>
      <c r="M70" s="16">
        <f t="shared" si="17"/>
        <v>4.7523116609146321E-2</v>
      </c>
      <c r="N70" s="8">
        <f t="array" ref="N70">MAX(IF($B$4:$B$507=B70,$A$4:$A$507))</f>
        <v>29586</v>
      </c>
      <c r="O70" s="8">
        <f t="array" ref="O70">MIN(IF($B$4:$B$507=B70,$A$4:$A$507))</f>
        <v>29251</v>
      </c>
      <c r="P70" s="8">
        <f t="shared" si="18"/>
        <v>29067</v>
      </c>
      <c r="Q70" s="8">
        <f t="shared" si="19"/>
        <v>29433</v>
      </c>
      <c r="R70">
        <f t="shared" si="21"/>
        <v>67.132209038298839</v>
      </c>
      <c r="S70">
        <f t="shared" si="22"/>
        <v>59.32756737969035</v>
      </c>
      <c r="T70" s="20">
        <f t="shared" si="20"/>
        <v>0.13155168841930731</v>
      </c>
      <c r="U70" s="20">
        <f t="shared" si="23"/>
        <v>9.2310142721229504E-2</v>
      </c>
    </row>
    <row r="71" spans="1:21" x14ac:dyDescent="0.2">
      <c r="A71" s="8">
        <f t="shared" si="12"/>
        <v>29464</v>
      </c>
      <c r="B71" s="17">
        <f t="shared" si="13"/>
        <v>1980</v>
      </c>
      <c r="C71" s="17">
        <f t="shared" si="14"/>
        <v>8</v>
      </c>
      <c r="J71">
        <v>66.394762582367363</v>
      </c>
      <c r="K71" s="6">
        <f t="shared" si="15"/>
        <v>0</v>
      </c>
      <c r="L71" s="15">
        <f t="shared" si="16"/>
        <v>4.1956181765998766</v>
      </c>
      <c r="M71" s="16">
        <f t="shared" si="17"/>
        <v>-1.104576768108867E-2</v>
      </c>
      <c r="N71" s="8">
        <f t="array" ref="N71">MAX(IF($B$4:$B$507=B71,$A$4:$A$507))</f>
        <v>29586</v>
      </c>
      <c r="O71" s="8">
        <f t="array" ref="O71">MIN(IF($B$4:$B$507=B71,$A$4:$A$507))</f>
        <v>29251</v>
      </c>
      <c r="P71" s="8">
        <f t="shared" si="18"/>
        <v>29098</v>
      </c>
      <c r="Q71" s="8">
        <f t="shared" si="19"/>
        <v>29464</v>
      </c>
      <c r="R71">
        <f t="shared" si="21"/>
        <v>66.394762582367363</v>
      </c>
      <c r="S71">
        <f t="shared" si="22"/>
        <v>63.002508885082392</v>
      </c>
      <c r="T71" s="20">
        <f t="shared" si="20"/>
        <v>5.3843152555598905E-2</v>
      </c>
      <c r="U71" s="20">
        <f t="shared" si="23"/>
        <v>9.2310142721229504E-2</v>
      </c>
    </row>
    <row r="72" spans="1:21" x14ac:dyDescent="0.2">
      <c r="A72" s="8">
        <f t="shared" si="12"/>
        <v>29494</v>
      </c>
      <c r="B72" s="17">
        <f t="shared" si="13"/>
        <v>1980</v>
      </c>
      <c r="C72" s="17">
        <f t="shared" si="14"/>
        <v>9</v>
      </c>
      <c r="J72">
        <v>68.090889431009828</v>
      </c>
      <c r="K72" s="6">
        <f t="shared" si="15"/>
        <v>0</v>
      </c>
      <c r="L72" s="15">
        <f t="shared" si="16"/>
        <v>4.2208434219886444</v>
      </c>
      <c r="M72" s="16">
        <f t="shared" si="17"/>
        <v>2.5225245388767803E-2</v>
      </c>
      <c r="N72" s="8">
        <f t="array" ref="N72">MAX(IF($B$4:$B$507=B72,$A$4:$A$507))</f>
        <v>29586</v>
      </c>
      <c r="O72" s="8">
        <f t="array" ref="O72">MIN(IF($B$4:$B$507=B72,$A$4:$A$507))</f>
        <v>29251</v>
      </c>
      <c r="P72" s="8">
        <f t="shared" si="18"/>
        <v>29128</v>
      </c>
      <c r="Q72" s="8">
        <f t="shared" si="19"/>
        <v>29494</v>
      </c>
      <c r="R72">
        <f t="shared" si="21"/>
        <v>68.090889431009828</v>
      </c>
      <c r="S72">
        <f t="shared" si="22"/>
        <v>57.98172759761534</v>
      </c>
      <c r="T72" s="20">
        <f t="shared" si="20"/>
        <v>0.17435082140964453</v>
      </c>
      <c r="U72" s="20">
        <f t="shared" si="23"/>
        <v>9.2310142721229504E-2</v>
      </c>
    </row>
    <row r="73" spans="1:21" x14ac:dyDescent="0.2">
      <c r="A73" s="8">
        <f t="shared" si="12"/>
        <v>29525</v>
      </c>
      <c r="B73" s="17">
        <f t="shared" si="13"/>
        <v>1980</v>
      </c>
      <c r="C73" s="17">
        <f t="shared" si="14"/>
        <v>10</v>
      </c>
      <c r="J73">
        <v>69.375275341757259</v>
      </c>
      <c r="K73" s="6">
        <f t="shared" si="15"/>
        <v>0</v>
      </c>
      <c r="L73" s="15">
        <f t="shared" si="16"/>
        <v>4.239530540948917</v>
      </c>
      <c r="M73" s="16">
        <f t="shared" si="17"/>
        <v>1.8687118960272642E-2</v>
      </c>
      <c r="N73" s="8">
        <f t="array" ref="N73">MAX(IF($B$4:$B$507=B73,$A$4:$A$507))</f>
        <v>29586</v>
      </c>
      <c r="O73" s="8">
        <f t="array" ref="O73">MIN(IF($B$4:$B$507=B73,$A$4:$A$507))</f>
        <v>29251</v>
      </c>
      <c r="P73" s="8">
        <f t="shared" si="18"/>
        <v>29159</v>
      </c>
      <c r="Q73" s="8">
        <f t="shared" si="19"/>
        <v>29525</v>
      </c>
      <c r="R73">
        <f t="shared" si="21"/>
        <v>69.375275341757259</v>
      </c>
      <c r="S73">
        <f t="shared" si="22"/>
        <v>64.876851960574953</v>
      </c>
      <c r="T73" s="20">
        <f t="shared" si="20"/>
        <v>6.9337880079569203E-2</v>
      </c>
      <c r="U73" s="20">
        <f t="shared" si="23"/>
        <v>9.2310142721229504E-2</v>
      </c>
    </row>
    <row r="74" spans="1:21" x14ac:dyDescent="0.2">
      <c r="A74" s="8">
        <f t="shared" si="12"/>
        <v>29555</v>
      </c>
      <c r="B74" s="17">
        <f t="shared" si="13"/>
        <v>1980</v>
      </c>
      <c r="C74" s="17">
        <f t="shared" si="14"/>
        <v>11</v>
      </c>
      <c r="J74">
        <v>64.342203280024677</v>
      </c>
      <c r="K74" s="6">
        <f t="shared" si="15"/>
        <v>0</v>
      </c>
      <c r="L74" s="15">
        <f t="shared" si="16"/>
        <v>4.1642157655519529</v>
      </c>
      <c r="M74" s="16">
        <f t="shared" si="17"/>
        <v>-7.5314775396964073E-2</v>
      </c>
      <c r="N74" s="8">
        <f t="array" ref="N74">MAX(IF($B$4:$B$507=B74,$A$4:$A$507))</f>
        <v>29586</v>
      </c>
      <c r="O74" s="8">
        <f t="array" ref="O74">MIN(IF($B$4:$B$507=B74,$A$4:$A$507))</f>
        <v>29251</v>
      </c>
      <c r="P74" s="8">
        <f t="shared" si="18"/>
        <v>29189</v>
      </c>
      <c r="Q74" s="8">
        <f t="shared" si="19"/>
        <v>29555</v>
      </c>
      <c r="R74">
        <f t="shared" si="21"/>
        <v>64.342203280024677</v>
      </c>
      <c r="S74">
        <f t="shared" si="22"/>
        <v>59.714726769054415</v>
      </c>
      <c r="T74" s="20">
        <f t="shared" si="20"/>
        <v>7.7493053411546775E-2</v>
      </c>
      <c r="U74" s="20">
        <f t="shared" si="23"/>
        <v>9.2310142721229504E-2</v>
      </c>
    </row>
    <row r="75" spans="1:21" x14ac:dyDescent="0.2">
      <c r="A75" s="8">
        <f t="shared" si="12"/>
        <v>29586</v>
      </c>
      <c r="B75" s="17">
        <f t="shared" si="13"/>
        <v>1980</v>
      </c>
      <c r="C75" s="17">
        <f t="shared" si="14"/>
        <v>12</v>
      </c>
      <c r="J75">
        <v>58.577830149493316</v>
      </c>
      <c r="K75" s="6">
        <f t="shared" si="15"/>
        <v>0</v>
      </c>
      <c r="L75" s="15">
        <f t="shared" si="16"/>
        <v>4.0703562999060026</v>
      </c>
      <c r="M75" s="16">
        <f t="shared" si="17"/>
        <v>-9.385946564595038E-2</v>
      </c>
      <c r="N75" s="8">
        <f t="array" ref="N75">MAX(IF($B$4:$B$507=B75,$A$4:$A$507))</f>
        <v>29586</v>
      </c>
      <c r="O75" s="8">
        <f t="array" ref="O75">MIN(IF($B$4:$B$507=B75,$A$4:$A$507))</f>
        <v>29251</v>
      </c>
      <c r="P75" s="8">
        <f t="shared" si="18"/>
        <v>29220</v>
      </c>
      <c r="Q75" s="8">
        <f t="shared" si="19"/>
        <v>29586</v>
      </c>
      <c r="R75">
        <f t="shared" si="21"/>
        <v>58.577830149493316</v>
      </c>
      <c r="S75">
        <f t="shared" si="22"/>
        <v>55.296193420598044</v>
      </c>
      <c r="T75" s="20">
        <f t="shared" si="20"/>
        <v>5.9346521449211487E-2</v>
      </c>
      <c r="U75" s="20">
        <f t="shared" si="23"/>
        <v>9.2310142721229504E-2</v>
      </c>
    </row>
    <row r="76" spans="1:21" x14ac:dyDescent="0.2">
      <c r="A76" s="8">
        <f t="shared" si="12"/>
        <v>29617</v>
      </c>
      <c r="B76" s="17">
        <f t="shared" si="13"/>
        <v>1981</v>
      </c>
      <c r="C76" s="17">
        <f t="shared" si="14"/>
        <v>1</v>
      </c>
      <c r="J76">
        <v>57.188972657488925</v>
      </c>
      <c r="K76" s="6">
        <f t="shared" si="15"/>
        <v>0</v>
      </c>
      <c r="L76" s="15">
        <f t="shared" si="16"/>
        <v>4.0463610940919637</v>
      </c>
      <c r="M76" s="16">
        <f t="shared" si="17"/>
        <v>-2.3995205814038911E-2</v>
      </c>
      <c r="N76" s="8">
        <f t="array" ref="N76">MAX(IF($B$4:$B$507=B76,$A$4:$A$507))</f>
        <v>29951</v>
      </c>
      <c r="O76" s="8">
        <f t="array" ref="O76">MIN(IF($B$4:$B$507=B76,$A$4:$A$507))</f>
        <v>29617</v>
      </c>
      <c r="P76" s="8">
        <f t="shared" si="18"/>
        <v>29251</v>
      </c>
      <c r="Q76" s="8">
        <f t="shared" si="19"/>
        <v>29617</v>
      </c>
      <c r="R76">
        <f t="shared" si="21"/>
        <v>57.188972657488925</v>
      </c>
      <c r="S76">
        <f t="shared" si="22"/>
        <v>57.096791850497517</v>
      </c>
      <c r="T76" s="20">
        <f t="shared" si="20"/>
        <v>1.6144656118819434E-3</v>
      </c>
      <c r="U76" s="20">
        <f t="shared" si="23"/>
        <v>-9.8712194410515264E-2</v>
      </c>
    </row>
    <row r="77" spans="1:21" x14ac:dyDescent="0.2">
      <c r="A77" s="8">
        <f t="shared" si="12"/>
        <v>29645</v>
      </c>
      <c r="B77" s="17">
        <f t="shared" si="13"/>
        <v>1981</v>
      </c>
      <c r="C77" s="17">
        <f t="shared" si="14"/>
        <v>2</v>
      </c>
      <c r="J77">
        <v>56.912430236514631</v>
      </c>
      <c r="K77" s="6">
        <f t="shared" si="15"/>
        <v>0</v>
      </c>
      <c r="L77" s="15">
        <f t="shared" si="16"/>
        <v>4.0415137748576386</v>
      </c>
      <c r="M77" s="16">
        <f t="shared" si="17"/>
        <v>-4.8473192343250204E-3</v>
      </c>
      <c r="N77" s="8">
        <f t="array" ref="N77">MAX(IF($B$4:$B$507=B77,$A$4:$A$507))</f>
        <v>29951</v>
      </c>
      <c r="O77" s="8">
        <f t="array" ref="O77">MIN(IF($B$4:$B$507=B77,$A$4:$A$507))</f>
        <v>29617</v>
      </c>
      <c r="P77" s="8">
        <f t="shared" si="18"/>
        <v>29280</v>
      </c>
      <c r="Q77" s="8">
        <f t="shared" si="19"/>
        <v>29645</v>
      </c>
      <c r="R77">
        <f t="shared" si="21"/>
        <v>56.912430236514631</v>
      </c>
      <c r="S77">
        <f t="shared" si="22"/>
        <v>55.966040618069187</v>
      </c>
      <c r="T77" s="20">
        <f t="shared" si="20"/>
        <v>1.6910069177555664E-2</v>
      </c>
      <c r="U77" s="20">
        <f t="shared" si="23"/>
        <v>-9.8712194410515264E-2</v>
      </c>
    </row>
    <row r="78" spans="1:21" x14ac:dyDescent="0.2">
      <c r="A78" s="8">
        <f t="shared" si="12"/>
        <v>29676</v>
      </c>
      <c r="B78" s="17">
        <f t="shared" si="13"/>
        <v>1981</v>
      </c>
      <c r="C78" s="17">
        <f t="shared" si="14"/>
        <v>3</v>
      </c>
      <c r="J78">
        <v>57.539259724056393</v>
      </c>
      <c r="K78" s="6">
        <f t="shared" si="15"/>
        <v>0</v>
      </c>
      <c r="L78" s="15">
        <f t="shared" si="16"/>
        <v>4.0524674926262589</v>
      </c>
      <c r="M78" s="16">
        <f t="shared" si="17"/>
        <v>1.0953717768620308E-2</v>
      </c>
      <c r="N78" s="8">
        <f t="array" ref="N78">MAX(IF($B$4:$B$507=B78,$A$4:$A$507))</f>
        <v>29951</v>
      </c>
      <c r="O78" s="8">
        <f t="array" ref="O78">MIN(IF($B$4:$B$507=B78,$A$4:$A$507))</f>
        <v>29617</v>
      </c>
      <c r="P78" s="8">
        <f t="shared" si="18"/>
        <v>29311</v>
      </c>
      <c r="Q78" s="8">
        <f t="shared" si="19"/>
        <v>29676</v>
      </c>
      <c r="R78">
        <f t="shared" si="21"/>
        <v>57.539259724056393</v>
      </c>
      <c r="S78">
        <f t="shared" si="22"/>
        <v>61.798013007060959</v>
      </c>
      <c r="T78" s="20">
        <f t="shared" si="20"/>
        <v>-6.8914081145585837E-2</v>
      </c>
      <c r="U78" s="20">
        <f t="shared" si="23"/>
        <v>-9.8712194410515264E-2</v>
      </c>
    </row>
    <row r="79" spans="1:21" x14ac:dyDescent="0.2">
      <c r="A79" s="8">
        <f t="shared" si="12"/>
        <v>29706</v>
      </c>
      <c r="B79" s="17">
        <f t="shared" si="13"/>
        <v>1981</v>
      </c>
      <c r="C79" s="17">
        <f t="shared" si="14"/>
        <v>4</v>
      </c>
      <c r="J79">
        <v>53.735265088876396</v>
      </c>
      <c r="K79" s="6">
        <f t="shared" si="15"/>
        <v>0</v>
      </c>
      <c r="L79" s="15">
        <f t="shared" si="16"/>
        <v>3.9840694915437451</v>
      </c>
      <c r="M79" s="16">
        <f t="shared" si="17"/>
        <v>-6.8398001082513815E-2</v>
      </c>
      <c r="N79" s="8">
        <f t="array" ref="N79">MAX(IF($B$4:$B$507=B79,$A$4:$A$507))</f>
        <v>29951</v>
      </c>
      <c r="O79" s="8">
        <f t="array" ref="O79">MIN(IF($B$4:$B$507=B79,$A$4:$A$507))</f>
        <v>29617</v>
      </c>
      <c r="P79" s="8">
        <f t="shared" si="18"/>
        <v>29341</v>
      </c>
      <c r="Q79" s="8">
        <f t="shared" si="19"/>
        <v>29706</v>
      </c>
      <c r="R79">
        <f t="shared" si="21"/>
        <v>53.735265088876396</v>
      </c>
      <c r="S79">
        <f t="shared" si="22"/>
        <v>57.490096626994294</v>
      </c>
      <c r="T79" s="20">
        <f t="shared" si="20"/>
        <v>-6.531266702298133E-2</v>
      </c>
      <c r="U79" s="20">
        <f t="shared" si="23"/>
        <v>-9.8712194410515264E-2</v>
      </c>
    </row>
    <row r="80" spans="1:21" x14ac:dyDescent="0.2">
      <c r="A80" s="8">
        <f t="shared" si="12"/>
        <v>29737</v>
      </c>
      <c r="B80" s="17">
        <f t="shared" si="13"/>
        <v>1981</v>
      </c>
      <c r="C80" s="17">
        <f t="shared" si="14"/>
        <v>5</v>
      </c>
      <c r="J80">
        <v>55.695643584227604</v>
      </c>
      <c r="K80" s="6">
        <f t="shared" si="15"/>
        <v>0</v>
      </c>
      <c r="L80" s="15">
        <f t="shared" si="16"/>
        <v>4.0199019317421509</v>
      </c>
      <c r="M80" s="16">
        <f t="shared" si="17"/>
        <v>3.5832440198405813E-2</v>
      </c>
      <c r="N80" s="8">
        <f t="array" ref="N80">MAX(IF($B$4:$B$507=B80,$A$4:$A$507))</f>
        <v>29951</v>
      </c>
      <c r="O80" s="8">
        <f t="array" ref="O80">MIN(IF($B$4:$B$507=B80,$A$4:$A$507))</f>
        <v>29617</v>
      </c>
      <c r="P80" s="8">
        <f t="shared" si="18"/>
        <v>29372</v>
      </c>
      <c r="Q80" s="8">
        <f t="shared" si="19"/>
        <v>29737</v>
      </c>
      <c r="R80">
        <f t="shared" si="21"/>
        <v>55.695643584227604</v>
      </c>
      <c r="S80">
        <f t="shared" si="22"/>
        <v>63.186870499065265</v>
      </c>
      <c r="T80" s="20">
        <f t="shared" si="20"/>
        <v>-0.1185567010309283</v>
      </c>
      <c r="U80" s="20">
        <f t="shared" si="23"/>
        <v>-9.8712194410515264E-2</v>
      </c>
    </row>
    <row r="81" spans="1:21" x14ac:dyDescent="0.2">
      <c r="A81" s="8">
        <f t="shared" si="12"/>
        <v>29767</v>
      </c>
      <c r="B81" s="17">
        <f t="shared" si="13"/>
        <v>1981</v>
      </c>
      <c r="C81" s="17">
        <f t="shared" si="14"/>
        <v>6</v>
      </c>
      <c r="J81">
        <v>57.821947532163549</v>
      </c>
      <c r="K81" s="6">
        <f t="shared" si="15"/>
        <v>0</v>
      </c>
      <c r="L81" s="15">
        <f t="shared" si="16"/>
        <v>4.0573684186941366</v>
      </c>
      <c r="M81" s="16">
        <f t="shared" si="17"/>
        <v>3.7466486951985623E-2</v>
      </c>
      <c r="N81" s="8">
        <f t="array" ref="N81">MAX(IF($B$4:$B$507=B81,$A$4:$A$507))</f>
        <v>29951</v>
      </c>
      <c r="O81" s="8">
        <f t="array" ref="O81">MIN(IF($B$4:$B$507=B81,$A$4:$A$507))</f>
        <v>29617</v>
      </c>
      <c r="P81" s="8">
        <f t="shared" si="18"/>
        <v>29402</v>
      </c>
      <c r="Q81" s="8">
        <f t="shared" si="19"/>
        <v>29767</v>
      </c>
      <c r="R81">
        <f t="shared" si="21"/>
        <v>57.821947532163549</v>
      </c>
      <c r="S81">
        <f t="shared" si="22"/>
        <v>64.016497761988219</v>
      </c>
      <c r="T81" s="20">
        <f t="shared" si="20"/>
        <v>-9.6764903523086421E-2</v>
      </c>
      <c r="U81" s="20">
        <f t="shared" si="23"/>
        <v>-9.8712194410515264E-2</v>
      </c>
    </row>
    <row r="82" spans="1:21" x14ac:dyDescent="0.2">
      <c r="A82" s="8">
        <f t="shared" si="12"/>
        <v>29798</v>
      </c>
      <c r="B82" s="17">
        <f t="shared" si="13"/>
        <v>1981</v>
      </c>
      <c r="C82" s="17">
        <f t="shared" si="14"/>
        <v>7</v>
      </c>
      <c r="J82">
        <v>59.942106092966625</v>
      </c>
      <c r="K82" s="6">
        <f t="shared" si="15"/>
        <v>0</v>
      </c>
      <c r="L82" s="15">
        <f t="shared" si="16"/>
        <v>4.0933791979573684</v>
      </c>
      <c r="M82" s="16">
        <f t="shared" si="17"/>
        <v>3.6010779263231818E-2</v>
      </c>
      <c r="N82" s="8">
        <f t="array" ref="N82">MAX(IF($B$4:$B$507=B82,$A$4:$A$507))</f>
        <v>29951</v>
      </c>
      <c r="O82" s="8">
        <f t="array" ref="O82">MIN(IF($B$4:$B$507=B82,$A$4:$A$507))</f>
        <v>29617</v>
      </c>
      <c r="P82" s="8">
        <f t="shared" si="18"/>
        <v>29433</v>
      </c>
      <c r="Q82" s="8">
        <f t="shared" si="19"/>
        <v>29798</v>
      </c>
      <c r="R82">
        <f t="shared" si="21"/>
        <v>59.942106092966625</v>
      </c>
      <c r="S82">
        <f t="shared" si="22"/>
        <v>67.132209038298839</v>
      </c>
      <c r="T82" s="20">
        <f t="shared" si="20"/>
        <v>-0.10710362504577009</v>
      </c>
      <c r="U82" s="20">
        <f t="shared" si="23"/>
        <v>-9.8712194410515264E-2</v>
      </c>
    </row>
    <row r="83" spans="1:21" x14ac:dyDescent="0.2">
      <c r="A83" s="8">
        <f t="shared" si="12"/>
        <v>29829</v>
      </c>
      <c r="B83" s="17">
        <f t="shared" si="13"/>
        <v>1981</v>
      </c>
      <c r="C83" s="17">
        <f t="shared" si="14"/>
        <v>8</v>
      </c>
      <c r="J83">
        <v>58.368886986979348</v>
      </c>
      <c r="K83" s="6">
        <f t="shared" si="15"/>
        <v>0</v>
      </c>
      <c r="L83" s="15">
        <f t="shared" si="16"/>
        <v>4.0667829907964368</v>
      </c>
      <c r="M83" s="16">
        <f t="shared" si="17"/>
        <v>-2.6596207160931584E-2</v>
      </c>
      <c r="N83" s="8">
        <f t="array" ref="N83">MAX(IF($B$4:$B$507=B83,$A$4:$A$507))</f>
        <v>29951</v>
      </c>
      <c r="O83" s="8">
        <f t="array" ref="O83">MIN(IF($B$4:$B$507=B83,$A$4:$A$507))</f>
        <v>29617</v>
      </c>
      <c r="P83" s="8">
        <f t="shared" si="18"/>
        <v>29464</v>
      </c>
      <c r="Q83" s="8">
        <f t="shared" si="19"/>
        <v>29829</v>
      </c>
      <c r="R83">
        <f t="shared" si="21"/>
        <v>58.368886986979348</v>
      </c>
      <c r="S83">
        <f t="shared" si="22"/>
        <v>66.394762582367363</v>
      </c>
      <c r="T83" s="20">
        <f t="shared" si="20"/>
        <v>-0.1208811551277309</v>
      </c>
      <c r="U83" s="20">
        <f t="shared" si="23"/>
        <v>-9.8712194410515264E-2</v>
      </c>
    </row>
    <row r="84" spans="1:21" x14ac:dyDescent="0.2">
      <c r="A84" s="8">
        <f t="shared" si="12"/>
        <v>29859</v>
      </c>
      <c r="B84" s="17">
        <f t="shared" si="13"/>
        <v>1981</v>
      </c>
      <c r="C84" s="17">
        <f t="shared" si="14"/>
        <v>9</v>
      </c>
      <c r="J84">
        <v>56.758795558195615</v>
      </c>
      <c r="K84" s="6">
        <f t="shared" si="15"/>
        <v>0</v>
      </c>
      <c r="L84" s="15">
        <f t="shared" si="16"/>
        <v>4.0388106321617565</v>
      </c>
      <c r="M84" s="16">
        <f t="shared" si="17"/>
        <v>-2.7972358634680283E-2</v>
      </c>
      <c r="N84" s="8">
        <f t="array" ref="N84">MAX(IF($B$4:$B$507=B84,$A$4:$A$507))</f>
        <v>29951</v>
      </c>
      <c r="O84" s="8">
        <f t="array" ref="O84">MIN(IF($B$4:$B$507=B84,$A$4:$A$507))</f>
        <v>29617</v>
      </c>
      <c r="P84" s="8">
        <f t="shared" si="18"/>
        <v>29494</v>
      </c>
      <c r="Q84" s="8">
        <f t="shared" si="19"/>
        <v>29859</v>
      </c>
      <c r="R84">
        <f t="shared" si="21"/>
        <v>56.758795558195615</v>
      </c>
      <c r="S84">
        <f t="shared" si="22"/>
        <v>68.090889431009828</v>
      </c>
      <c r="T84" s="20">
        <f t="shared" si="20"/>
        <v>-0.16642599277978254</v>
      </c>
      <c r="U84" s="20">
        <f t="shared" si="23"/>
        <v>-9.8712194410515264E-2</v>
      </c>
    </row>
    <row r="85" spans="1:21" x14ac:dyDescent="0.2">
      <c r="A85" s="8">
        <f t="shared" si="12"/>
        <v>29890</v>
      </c>
      <c r="B85" s="17">
        <f t="shared" si="13"/>
        <v>1981</v>
      </c>
      <c r="C85" s="17">
        <f t="shared" si="14"/>
        <v>10</v>
      </c>
      <c r="J85">
        <v>58.282851567120723</v>
      </c>
      <c r="K85" s="6">
        <f t="shared" si="15"/>
        <v>0</v>
      </c>
      <c r="L85" s="15">
        <f t="shared" si="16"/>
        <v>4.0653079088726667</v>
      </c>
      <c r="M85" s="16">
        <f t="shared" si="17"/>
        <v>2.6497276710910178E-2</v>
      </c>
      <c r="N85" s="8">
        <f t="array" ref="N85">MAX(IF($B$4:$B$507=B85,$A$4:$A$507))</f>
        <v>29951</v>
      </c>
      <c r="O85" s="8">
        <f t="array" ref="O85">MIN(IF($B$4:$B$507=B85,$A$4:$A$507))</f>
        <v>29617</v>
      </c>
      <c r="P85" s="8">
        <f t="shared" si="18"/>
        <v>29525</v>
      </c>
      <c r="Q85" s="8">
        <f t="shared" si="19"/>
        <v>29890</v>
      </c>
      <c r="R85">
        <f t="shared" si="21"/>
        <v>58.282851567120723</v>
      </c>
      <c r="S85">
        <f t="shared" si="22"/>
        <v>69.375275341757259</v>
      </c>
      <c r="T85" s="20">
        <f t="shared" si="20"/>
        <v>-0.15989015856143152</v>
      </c>
      <c r="U85" s="20">
        <f t="shared" si="23"/>
        <v>-9.8712194410515264E-2</v>
      </c>
    </row>
    <row r="86" spans="1:21" x14ac:dyDescent="0.2">
      <c r="A86" s="8">
        <f t="shared" si="12"/>
        <v>29920</v>
      </c>
      <c r="B86" s="17">
        <f t="shared" si="13"/>
        <v>1981</v>
      </c>
      <c r="C86" s="17">
        <f t="shared" si="14"/>
        <v>11</v>
      </c>
      <c r="J86">
        <v>54.614055448861436</v>
      </c>
      <c r="K86" s="6">
        <f t="shared" si="15"/>
        <v>0</v>
      </c>
      <c r="L86" s="15">
        <f t="shared" si="16"/>
        <v>4.0002912754258455</v>
      </c>
      <c r="M86" s="16">
        <f t="shared" si="17"/>
        <v>-6.5016633446821182E-2</v>
      </c>
      <c r="N86" s="8">
        <f t="array" ref="N86">MAX(IF($B$4:$B$507=B86,$A$4:$A$507))</f>
        <v>29951</v>
      </c>
      <c r="O86" s="8">
        <f t="array" ref="O86">MIN(IF($B$4:$B$507=B86,$A$4:$A$507))</f>
        <v>29617</v>
      </c>
      <c r="P86" s="8">
        <f t="shared" si="18"/>
        <v>29555</v>
      </c>
      <c r="Q86" s="8">
        <f t="shared" si="19"/>
        <v>29920</v>
      </c>
      <c r="R86">
        <f t="shared" si="21"/>
        <v>54.614055448861436</v>
      </c>
      <c r="S86">
        <f t="shared" si="22"/>
        <v>64.342203280024677</v>
      </c>
      <c r="T86" s="20">
        <f t="shared" si="20"/>
        <v>-0.15119388729703931</v>
      </c>
      <c r="U86" s="20">
        <f t="shared" si="23"/>
        <v>-9.8712194410515264E-2</v>
      </c>
    </row>
    <row r="87" spans="1:21" x14ac:dyDescent="0.2">
      <c r="A87" s="8">
        <f t="shared" si="12"/>
        <v>29951</v>
      </c>
      <c r="B87" s="17">
        <f t="shared" si="13"/>
        <v>1981</v>
      </c>
      <c r="C87" s="17">
        <f t="shared" si="14"/>
        <v>12</v>
      </c>
      <c r="J87">
        <v>49.906688905165225</v>
      </c>
      <c r="K87" s="6">
        <f t="shared" si="15"/>
        <v>0</v>
      </c>
      <c r="L87" s="15">
        <f t="shared" si="16"/>
        <v>3.9101550399697804</v>
      </c>
      <c r="M87" s="16">
        <f t="shared" si="17"/>
        <v>-9.0136235456065084E-2</v>
      </c>
      <c r="N87" s="8">
        <f t="array" ref="N87">MAX(IF($B$4:$B$507=B87,$A$4:$A$507))</f>
        <v>29951</v>
      </c>
      <c r="O87" s="8">
        <f t="array" ref="O87">MIN(IF($B$4:$B$507=B87,$A$4:$A$507))</f>
        <v>29617</v>
      </c>
      <c r="P87" s="8">
        <f t="shared" si="18"/>
        <v>29586</v>
      </c>
      <c r="Q87" s="8">
        <f t="shared" si="19"/>
        <v>29951</v>
      </c>
      <c r="R87">
        <f t="shared" si="21"/>
        <v>49.906688905165225</v>
      </c>
      <c r="S87">
        <f t="shared" si="22"/>
        <v>58.577830149493316</v>
      </c>
      <c r="T87" s="20">
        <f t="shared" si="20"/>
        <v>-0.14802769618128464</v>
      </c>
      <c r="U87" s="20">
        <f t="shared" si="23"/>
        <v>-9.8712194410515264E-2</v>
      </c>
    </row>
    <row r="88" spans="1:21" x14ac:dyDescent="0.2">
      <c r="A88" s="8">
        <f t="shared" si="12"/>
        <v>29982</v>
      </c>
      <c r="B88" s="17">
        <f t="shared" si="13"/>
        <v>1982</v>
      </c>
      <c r="C88" s="17">
        <f t="shared" si="14"/>
        <v>1</v>
      </c>
      <c r="J88">
        <v>48.597721445886783</v>
      </c>
      <c r="K88" s="6">
        <f t="shared" si="15"/>
        <v>0</v>
      </c>
      <c r="L88" s="15">
        <f t="shared" si="16"/>
        <v>3.8835766459778771</v>
      </c>
      <c r="M88" s="16">
        <f t="shared" si="17"/>
        <v>-2.6578393991903315E-2</v>
      </c>
      <c r="N88" s="8">
        <f t="array" ref="N88">MAX(IF($B$4:$B$507=B88,$A$4:$A$507))</f>
        <v>30316</v>
      </c>
      <c r="O88" s="8">
        <f t="array" ref="O88">MIN(IF($B$4:$B$507=B88,$A$4:$A$507))</f>
        <v>29982</v>
      </c>
      <c r="P88" s="8">
        <f t="shared" si="18"/>
        <v>29617</v>
      </c>
      <c r="Q88" s="8">
        <f t="shared" si="19"/>
        <v>29982</v>
      </c>
      <c r="R88">
        <f t="shared" si="21"/>
        <v>48.597721445886783</v>
      </c>
      <c r="S88">
        <f t="shared" si="22"/>
        <v>57.188972657488925</v>
      </c>
      <c r="T88" s="20">
        <f t="shared" si="20"/>
        <v>-0.15022566086395872</v>
      </c>
      <c r="U88" s="20">
        <f t="shared" si="23"/>
        <v>2.4584611190541411E-4</v>
      </c>
    </row>
    <row r="89" spans="1:21" x14ac:dyDescent="0.2">
      <c r="A89" s="8">
        <f t="shared" si="12"/>
        <v>30010</v>
      </c>
      <c r="B89" s="17">
        <f t="shared" si="13"/>
        <v>1982</v>
      </c>
      <c r="C89" s="17">
        <f t="shared" si="14"/>
        <v>2</v>
      </c>
      <c r="J89">
        <v>48.136817410929609</v>
      </c>
      <c r="K89" s="6">
        <f t="shared" si="15"/>
        <v>0</v>
      </c>
      <c r="L89" s="15">
        <f t="shared" si="16"/>
        <v>3.8740473190546085</v>
      </c>
      <c r="M89" s="16">
        <f t="shared" si="17"/>
        <v>-9.5293269232685773E-3</v>
      </c>
      <c r="N89" s="8">
        <f t="array" ref="N89">MAX(IF($B$4:$B$507=B89,$A$4:$A$507))</f>
        <v>30316</v>
      </c>
      <c r="O89" s="8">
        <f t="array" ref="O89">MIN(IF($B$4:$B$507=B89,$A$4:$A$507))</f>
        <v>29982</v>
      </c>
      <c r="P89" s="8">
        <f t="shared" si="18"/>
        <v>29645</v>
      </c>
      <c r="Q89" s="8">
        <f t="shared" si="19"/>
        <v>30010</v>
      </c>
      <c r="R89">
        <f t="shared" si="21"/>
        <v>48.136817410929609</v>
      </c>
      <c r="S89">
        <f t="shared" si="22"/>
        <v>56.912430236514631</v>
      </c>
      <c r="T89" s="20">
        <f t="shared" si="20"/>
        <v>-0.1541950113378685</v>
      </c>
      <c r="U89" s="20">
        <f t="shared" si="23"/>
        <v>2.4584611190541411E-4</v>
      </c>
    </row>
    <row r="90" spans="1:21" x14ac:dyDescent="0.2">
      <c r="A90" s="8">
        <f t="shared" si="12"/>
        <v>30041</v>
      </c>
      <c r="B90" s="17">
        <f t="shared" si="13"/>
        <v>1982</v>
      </c>
      <c r="C90" s="17">
        <f t="shared" si="14"/>
        <v>3</v>
      </c>
      <c r="J90">
        <v>57.053774140568216</v>
      </c>
      <c r="K90" s="6">
        <f t="shared" si="15"/>
        <v>0</v>
      </c>
      <c r="L90" s="15">
        <f t="shared" si="16"/>
        <v>4.0439942290816981</v>
      </c>
      <c r="M90" s="16">
        <f t="shared" si="17"/>
        <v>0.16994691002708961</v>
      </c>
      <c r="N90" s="8">
        <f t="array" ref="N90">MAX(IF($B$4:$B$507=B90,$A$4:$A$507))</f>
        <v>30316</v>
      </c>
      <c r="O90" s="8">
        <f t="array" ref="O90">MIN(IF($B$4:$B$507=B90,$A$4:$A$507))</f>
        <v>29982</v>
      </c>
      <c r="P90" s="8">
        <f t="shared" si="18"/>
        <v>29676</v>
      </c>
      <c r="Q90" s="8">
        <f t="shared" si="19"/>
        <v>30041</v>
      </c>
      <c r="R90">
        <f t="shared" si="21"/>
        <v>57.053774140568216</v>
      </c>
      <c r="S90">
        <f t="shared" si="22"/>
        <v>57.539259724056393</v>
      </c>
      <c r="T90" s="20">
        <f t="shared" si="20"/>
        <v>-8.4374666239440677E-3</v>
      </c>
      <c r="U90" s="20">
        <f t="shared" si="23"/>
        <v>2.4584611190541411E-4</v>
      </c>
    </row>
    <row r="91" spans="1:21" x14ac:dyDescent="0.2">
      <c r="A91" s="8">
        <f t="shared" si="12"/>
        <v>30071</v>
      </c>
      <c r="B91" s="17">
        <f t="shared" si="13"/>
        <v>1982</v>
      </c>
      <c r="C91" s="17">
        <f t="shared" si="14"/>
        <v>4</v>
      </c>
      <c r="J91">
        <v>53.630793507619373</v>
      </c>
      <c r="K91" s="6">
        <f t="shared" si="15"/>
        <v>0</v>
      </c>
      <c r="L91" s="15">
        <f t="shared" si="16"/>
        <v>3.9821234088506809</v>
      </c>
      <c r="M91" s="16">
        <f t="shared" si="17"/>
        <v>-6.1870820231017198E-2</v>
      </c>
      <c r="N91" s="8">
        <f t="array" ref="N91">MAX(IF($B$4:$B$507=B91,$A$4:$A$507))</f>
        <v>30316</v>
      </c>
      <c r="O91" s="8">
        <f t="array" ref="O91">MIN(IF($B$4:$B$507=B91,$A$4:$A$507))</f>
        <v>29982</v>
      </c>
      <c r="P91" s="8">
        <f t="shared" si="18"/>
        <v>29706</v>
      </c>
      <c r="Q91" s="8">
        <f t="shared" si="19"/>
        <v>30071</v>
      </c>
      <c r="R91">
        <f t="shared" si="21"/>
        <v>53.630793507619373</v>
      </c>
      <c r="S91">
        <f t="shared" si="22"/>
        <v>53.735265088876396</v>
      </c>
      <c r="T91" s="20">
        <f t="shared" si="20"/>
        <v>-1.9441903019223883E-3</v>
      </c>
      <c r="U91" s="20">
        <f t="shared" si="23"/>
        <v>2.4584611190541411E-4</v>
      </c>
    </row>
    <row r="92" spans="1:21" x14ac:dyDescent="0.2">
      <c r="A92" s="8">
        <f t="shared" si="12"/>
        <v>30102</v>
      </c>
      <c r="B92" s="17">
        <f t="shared" si="13"/>
        <v>1982</v>
      </c>
      <c r="C92" s="17">
        <f t="shared" si="14"/>
        <v>5</v>
      </c>
      <c r="J92">
        <v>56.930866397912958</v>
      </c>
      <c r="K92" s="6">
        <f t="shared" si="15"/>
        <v>0</v>
      </c>
      <c r="L92" s="15">
        <f t="shared" si="16"/>
        <v>4.0418376615001472</v>
      </c>
      <c r="M92" s="16">
        <f t="shared" si="17"/>
        <v>5.9714252649466282E-2</v>
      </c>
      <c r="N92" s="8">
        <f t="array" ref="N92">MAX(IF($B$4:$B$507=B92,$A$4:$A$507))</f>
        <v>30316</v>
      </c>
      <c r="O92" s="8">
        <f t="array" ref="O92">MIN(IF($B$4:$B$507=B92,$A$4:$A$507))</f>
        <v>29982</v>
      </c>
      <c r="P92" s="8">
        <f t="shared" si="18"/>
        <v>29737</v>
      </c>
      <c r="Q92" s="8">
        <f t="shared" si="19"/>
        <v>30102</v>
      </c>
      <c r="R92">
        <f t="shared" si="21"/>
        <v>56.930866397912958</v>
      </c>
      <c r="S92">
        <f t="shared" si="22"/>
        <v>55.695643584227604</v>
      </c>
      <c r="T92" s="20">
        <f t="shared" si="20"/>
        <v>2.2178086726250879E-2</v>
      </c>
      <c r="U92" s="20">
        <f t="shared" si="23"/>
        <v>2.4584611190541411E-4</v>
      </c>
    </row>
    <row r="93" spans="1:21" x14ac:dyDescent="0.2">
      <c r="A93" s="8">
        <f t="shared" si="12"/>
        <v>30132</v>
      </c>
      <c r="B93" s="17">
        <f t="shared" si="13"/>
        <v>1982</v>
      </c>
      <c r="C93" s="17">
        <f t="shared" si="14"/>
        <v>6</v>
      </c>
      <c r="J93">
        <v>59.73930831758544</v>
      </c>
      <c r="K93" s="6">
        <f t="shared" si="15"/>
        <v>0</v>
      </c>
      <c r="L93" s="15">
        <f t="shared" si="16"/>
        <v>4.0899902345084387</v>
      </c>
      <c r="M93" s="16">
        <f t="shared" si="17"/>
        <v>4.8152573008291455E-2</v>
      </c>
      <c r="N93" s="8">
        <f t="array" ref="N93">MAX(IF($B$4:$B$507=B93,$A$4:$A$507))</f>
        <v>30316</v>
      </c>
      <c r="O93" s="8">
        <f t="array" ref="O93">MIN(IF($B$4:$B$507=B93,$A$4:$A$507))</f>
        <v>29982</v>
      </c>
      <c r="P93" s="8">
        <f t="shared" si="18"/>
        <v>29767</v>
      </c>
      <c r="Q93" s="8">
        <f t="shared" si="19"/>
        <v>30132</v>
      </c>
      <c r="R93">
        <f t="shared" si="21"/>
        <v>59.73930831758544</v>
      </c>
      <c r="S93">
        <f t="shared" si="22"/>
        <v>57.821947532163549</v>
      </c>
      <c r="T93" s="20">
        <f t="shared" si="20"/>
        <v>3.3159740673822213E-2</v>
      </c>
      <c r="U93" s="20">
        <f t="shared" si="23"/>
        <v>2.4584611190541411E-4</v>
      </c>
    </row>
    <row r="94" spans="1:21" x14ac:dyDescent="0.2">
      <c r="A94" s="8">
        <f t="shared" si="12"/>
        <v>30163</v>
      </c>
      <c r="B94" s="17">
        <f t="shared" si="13"/>
        <v>1982</v>
      </c>
      <c r="C94" s="17">
        <f t="shared" si="14"/>
        <v>7</v>
      </c>
      <c r="J94">
        <v>61.865612265521285</v>
      </c>
      <c r="K94" s="6">
        <f t="shared" si="15"/>
        <v>0</v>
      </c>
      <c r="L94" s="15">
        <f t="shared" si="16"/>
        <v>4.1249644884167926</v>
      </c>
      <c r="M94" s="16">
        <f t="shared" si="17"/>
        <v>3.4974253908353958E-2</v>
      </c>
      <c r="N94" s="8">
        <f t="array" ref="N94">MAX(IF($B$4:$B$507=B94,$A$4:$A$507))</f>
        <v>30316</v>
      </c>
      <c r="O94" s="8">
        <f t="array" ref="O94">MIN(IF($B$4:$B$507=B94,$A$4:$A$507))</f>
        <v>29982</v>
      </c>
      <c r="P94" s="8">
        <f t="shared" si="18"/>
        <v>29798</v>
      </c>
      <c r="Q94" s="8">
        <f t="shared" si="19"/>
        <v>30163</v>
      </c>
      <c r="R94">
        <f t="shared" si="21"/>
        <v>61.865612265521285</v>
      </c>
      <c r="S94">
        <f t="shared" si="22"/>
        <v>59.942106092966625</v>
      </c>
      <c r="T94" s="20">
        <f t="shared" si="20"/>
        <v>3.208939922083176E-2</v>
      </c>
      <c r="U94" s="20">
        <f t="shared" si="23"/>
        <v>2.4584611190541411E-4</v>
      </c>
    </row>
    <row r="95" spans="1:21" x14ac:dyDescent="0.2">
      <c r="A95" s="8">
        <f t="shared" si="12"/>
        <v>30194</v>
      </c>
      <c r="B95" s="17">
        <f t="shared" si="13"/>
        <v>1982</v>
      </c>
      <c r="C95" s="17">
        <f t="shared" si="14"/>
        <v>8</v>
      </c>
      <c r="J95">
        <v>63.199161273330823</v>
      </c>
      <c r="K95" s="6">
        <f t="shared" si="15"/>
        <v>0</v>
      </c>
      <c r="L95" s="15">
        <f t="shared" si="16"/>
        <v>4.1462910300731508</v>
      </c>
      <c r="M95" s="16">
        <f t="shared" si="17"/>
        <v>2.1326541656358167E-2</v>
      </c>
      <c r="N95" s="8">
        <f t="array" ref="N95">MAX(IF($B$4:$B$507=B95,$A$4:$A$507))</f>
        <v>30316</v>
      </c>
      <c r="O95" s="8">
        <f t="array" ref="O95">MIN(IF($B$4:$B$507=B95,$A$4:$A$507))</f>
        <v>29982</v>
      </c>
      <c r="P95" s="8">
        <f t="shared" si="18"/>
        <v>29829</v>
      </c>
      <c r="Q95" s="8">
        <f t="shared" si="19"/>
        <v>30194</v>
      </c>
      <c r="R95">
        <f t="shared" si="21"/>
        <v>63.199161273330823</v>
      </c>
      <c r="S95">
        <f t="shared" si="22"/>
        <v>58.368886986979348</v>
      </c>
      <c r="T95" s="20">
        <f t="shared" si="20"/>
        <v>8.2754264055591609E-2</v>
      </c>
      <c r="U95" s="20">
        <f t="shared" si="23"/>
        <v>2.4584611190541411E-4</v>
      </c>
    </row>
    <row r="96" spans="1:21" x14ac:dyDescent="0.2">
      <c r="A96" s="8">
        <f t="shared" si="12"/>
        <v>30224</v>
      </c>
      <c r="B96" s="17">
        <f t="shared" si="13"/>
        <v>1982</v>
      </c>
      <c r="C96" s="17">
        <f t="shared" si="14"/>
        <v>9</v>
      </c>
      <c r="J96">
        <v>61.091293486793198</v>
      </c>
      <c r="K96" s="6">
        <f t="shared" si="15"/>
        <v>0</v>
      </c>
      <c r="L96" s="15">
        <f t="shared" si="16"/>
        <v>4.1123693598995148</v>
      </c>
      <c r="M96" s="16">
        <f t="shared" si="17"/>
        <v>-3.3921670173636009E-2</v>
      </c>
      <c r="N96" s="8">
        <f t="array" ref="N96">MAX(IF($B$4:$B$507=B96,$A$4:$A$507))</f>
        <v>30316</v>
      </c>
      <c r="O96" s="8">
        <f t="array" ref="O96">MIN(IF($B$4:$B$507=B96,$A$4:$A$507))</f>
        <v>29982</v>
      </c>
      <c r="P96" s="8">
        <f t="shared" si="18"/>
        <v>29859</v>
      </c>
      <c r="Q96" s="8">
        <f t="shared" si="19"/>
        <v>30224</v>
      </c>
      <c r="R96">
        <f t="shared" si="21"/>
        <v>61.091293486793198</v>
      </c>
      <c r="S96">
        <f t="shared" si="22"/>
        <v>56.758795558195615</v>
      </c>
      <c r="T96" s="20">
        <f t="shared" si="20"/>
        <v>7.6331745344303759E-2</v>
      </c>
      <c r="U96" s="20">
        <f t="shared" si="23"/>
        <v>2.4584611190541411E-4</v>
      </c>
    </row>
    <row r="97" spans="1:21" x14ac:dyDescent="0.2">
      <c r="A97" s="8">
        <f t="shared" si="12"/>
        <v>30255</v>
      </c>
      <c r="B97" s="17">
        <f t="shared" si="13"/>
        <v>1982</v>
      </c>
      <c r="C97" s="17">
        <f t="shared" si="14"/>
        <v>10</v>
      </c>
      <c r="J97">
        <v>59.899088383037309</v>
      </c>
      <c r="K97" s="6">
        <f t="shared" si="15"/>
        <v>0</v>
      </c>
      <c r="L97" s="15">
        <f t="shared" si="16"/>
        <v>4.0926612860245806</v>
      </c>
      <c r="M97" s="16">
        <f t="shared" si="17"/>
        <v>-1.9708073874934229E-2</v>
      </c>
      <c r="N97" s="8">
        <f t="array" ref="N97">MAX(IF($B$4:$B$507=B97,$A$4:$A$507))</f>
        <v>30316</v>
      </c>
      <c r="O97" s="8">
        <f t="array" ref="O97">MIN(IF($B$4:$B$507=B97,$A$4:$A$507))</f>
        <v>29982</v>
      </c>
      <c r="P97" s="8">
        <f t="shared" si="18"/>
        <v>29890</v>
      </c>
      <c r="Q97" s="8">
        <f t="shared" si="19"/>
        <v>30255</v>
      </c>
      <c r="R97">
        <f t="shared" si="21"/>
        <v>59.899088383037309</v>
      </c>
      <c r="S97">
        <f t="shared" si="22"/>
        <v>58.282851567120723</v>
      </c>
      <c r="T97" s="20">
        <f t="shared" si="20"/>
        <v>2.7730915225643527E-2</v>
      </c>
      <c r="U97" s="20">
        <f t="shared" si="23"/>
        <v>2.4584611190541411E-4</v>
      </c>
    </row>
    <row r="98" spans="1:21" x14ac:dyDescent="0.2">
      <c r="A98" s="8">
        <f t="shared" si="12"/>
        <v>30285</v>
      </c>
      <c r="B98" s="17">
        <f t="shared" si="13"/>
        <v>1982</v>
      </c>
      <c r="C98" s="17">
        <f t="shared" si="14"/>
        <v>11</v>
      </c>
      <c r="J98">
        <v>56.230292264777958</v>
      </c>
      <c r="K98" s="6">
        <f t="shared" si="15"/>
        <v>0</v>
      </c>
      <c r="L98" s="15">
        <f t="shared" si="16"/>
        <v>4.0294556199569369</v>
      </c>
      <c r="M98" s="16">
        <f t="shared" si="17"/>
        <v>-6.3205666067643662E-2</v>
      </c>
      <c r="N98" s="8">
        <f t="array" ref="N98">MAX(IF($B$4:$B$507=B98,$A$4:$A$507))</f>
        <v>30316</v>
      </c>
      <c r="O98" s="8">
        <f t="array" ref="O98">MIN(IF($B$4:$B$507=B98,$A$4:$A$507))</f>
        <v>29982</v>
      </c>
      <c r="P98" s="8">
        <f t="shared" si="18"/>
        <v>29920</v>
      </c>
      <c r="Q98" s="8">
        <f t="shared" si="19"/>
        <v>30285</v>
      </c>
      <c r="R98">
        <f t="shared" si="21"/>
        <v>56.230292264777958</v>
      </c>
      <c r="S98">
        <f t="shared" si="22"/>
        <v>54.614055448861436</v>
      </c>
      <c r="T98" s="20">
        <f t="shared" si="20"/>
        <v>2.9593788680093658E-2</v>
      </c>
      <c r="U98" s="20">
        <f t="shared" si="23"/>
        <v>2.4584611190541411E-4</v>
      </c>
    </row>
    <row r="99" spans="1:21" x14ac:dyDescent="0.2">
      <c r="A99" s="8">
        <f t="shared" si="12"/>
        <v>30316</v>
      </c>
      <c r="B99" s="17">
        <f t="shared" si="13"/>
        <v>1982</v>
      </c>
      <c r="C99" s="17">
        <f t="shared" si="14"/>
        <v>12</v>
      </c>
      <c r="J99">
        <v>50.601117651167385</v>
      </c>
      <c r="K99" s="6">
        <f t="shared" si="15"/>
        <v>0</v>
      </c>
      <c r="L99" s="15">
        <f t="shared" si="16"/>
        <v>3.9239736640172191</v>
      </c>
      <c r="M99" s="16">
        <f t="shared" si="17"/>
        <v>-0.10548195593971776</v>
      </c>
      <c r="N99" s="8">
        <f t="array" ref="N99">MAX(IF($B$4:$B$507=B99,$A$4:$A$507))</f>
        <v>30316</v>
      </c>
      <c r="O99" s="8">
        <f t="array" ref="O99">MIN(IF($B$4:$B$507=B99,$A$4:$A$507))</f>
        <v>29982</v>
      </c>
      <c r="P99" s="8">
        <f t="shared" si="18"/>
        <v>29951</v>
      </c>
      <c r="Q99" s="8">
        <f t="shared" si="19"/>
        <v>30316</v>
      </c>
      <c r="R99">
        <f t="shared" si="21"/>
        <v>50.601117651167385</v>
      </c>
      <c r="S99">
        <f t="shared" si="22"/>
        <v>49.906688905165225</v>
      </c>
      <c r="T99" s="20">
        <f t="shared" si="20"/>
        <v>1.3914542544021247E-2</v>
      </c>
      <c r="U99" s="20">
        <f t="shared" si="23"/>
        <v>2.4584611190541411E-4</v>
      </c>
    </row>
    <row r="100" spans="1:21" x14ac:dyDescent="0.2">
      <c r="A100" s="8">
        <f t="shared" si="12"/>
        <v>30347</v>
      </c>
      <c r="B100" s="17">
        <f t="shared" si="13"/>
        <v>1983</v>
      </c>
      <c r="C100" s="17">
        <f t="shared" si="14"/>
        <v>1</v>
      </c>
      <c r="J100">
        <v>47.313335535139423</v>
      </c>
      <c r="K100" s="6">
        <f t="shared" si="15"/>
        <v>0</v>
      </c>
      <c r="L100" s="15">
        <f t="shared" si="16"/>
        <v>3.8567921909654195</v>
      </c>
      <c r="M100" s="16">
        <f t="shared" si="17"/>
        <v>-6.7181473051799667E-2</v>
      </c>
      <c r="N100" s="8">
        <f t="array" ref="N100">MAX(IF($B$4:$B$507=B100,$A$4:$A$507))</f>
        <v>30681</v>
      </c>
      <c r="O100" s="8">
        <f t="array" ref="O100">MIN(IF($B$4:$B$507=B100,$A$4:$A$507))</f>
        <v>30347</v>
      </c>
      <c r="P100" s="8">
        <f t="shared" si="18"/>
        <v>29982</v>
      </c>
      <c r="Q100" s="8">
        <f t="shared" si="19"/>
        <v>30347</v>
      </c>
      <c r="R100">
        <f t="shared" si="21"/>
        <v>47.313335535139423</v>
      </c>
      <c r="S100">
        <f t="shared" si="22"/>
        <v>48.597721445886783</v>
      </c>
      <c r="T100" s="20">
        <f t="shared" si="20"/>
        <v>-2.6428932726352494E-2</v>
      </c>
      <c r="U100" s="20">
        <f t="shared" si="23"/>
        <v>-5.0398151332013474E-2</v>
      </c>
    </row>
    <row r="101" spans="1:21" x14ac:dyDescent="0.2">
      <c r="A101" s="8">
        <f t="shared" si="12"/>
        <v>30375</v>
      </c>
      <c r="B101" s="17">
        <f t="shared" si="13"/>
        <v>1983</v>
      </c>
      <c r="C101" s="17">
        <f t="shared" si="14"/>
        <v>2</v>
      </c>
      <c r="J101">
        <v>45.568045589434803</v>
      </c>
      <c r="K101" s="6">
        <f t="shared" si="15"/>
        <v>0</v>
      </c>
      <c r="L101" s="15">
        <f t="shared" si="16"/>
        <v>3.8192067162594014</v>
      </c>
      <c r="M101" s="16">
        <f t="shared" si="17"/>
        <v>-3.7585474706018029E-2</v>
      </c>
      <c r="N101" s="8">
        <f t="array" ref="N101">MAX(IF($B$4:$B$507=B101,$A$4:$A$507))</f>
        <v>30681</v>
      </c>
      <c r="O101" s="8">
        <f t="array" ref="O101">MIN(IF($B$4:$B$507=B101,$A$4:$A$507))</f>
        <v>30347</v>
      </c>
      <c r="P101" s="8">
        <f t="shared" si="18"/>
        <v>30010</v>
      </c>
      <c r="Q101" s="8">
        <f t="shared" si="19"/>
        <v>30375</v>
      </c>
      <c r="R101">
        <f t="shared" si="21"/>
        <v>45.568045589434803</v>
      </c>
      <c r="S101">
        <f t="shared" si="22"/>
        <v>48.136817410929609</v>
      </c>
      <c r="T101" s="20">
        <f t="shared" si="20"/>
        <v>-5.3363972935019155E-2</v>
      </c>
      <c r="U101" s="20">
        <f t="shared" si="23"/>
        <v>-5.0398151332013474E-2</v>
      </c>
    </row>
    <row r="102" spans="1:21" x14ac:dyDescent="0.2">
      <c r="A102" s="8">
        <f t="shared" si="12"/>
        <v>30406</v>
      </c>
      <c r="B102" s="17">
        <f t="shared" si="13"/>
        <v>1983</v>
      </c>
      <c r="C102" s="17">
        <f t="shared" si="14"/>
        <v>3</v>
      </c>
      <c r="J102">
        <v>53.815155121602267</v>
      </c>
      <c r="K102" s="6">
        <f t="shared" si="15"/>
        <v>0</v>
      </c>
      <c r="L102" s="15">
        <f t="shared" si="16"/>
        <v>3.9855551212095941</v>
      </c>
      <c r="M102" s="16">
        <f t="shared" si="17"/>
        <v>0.16634840495019265</v>
      </c>
      <c r="N102" s="8">
        <f t="array" ref="N102">MAX(IF($B$4:$B$507=B102,$A$4:$A$507))</f>
        <v>30681</v>
      </c>
      <c r="O102" s="8">
        <f t="array" ref="O102">MIN(IF($B$4:$B$507=B102,$A$4:$A$507))</f>
        <v>30347</v>
      </c>
      <c r="P102" s="8">
        <f t="shared" si="18"/>
        <v>30041</v>
      </c>
      <c r="Q102" s="8">
        <f t="shared" si="19"/>
        <v>30406</v>
      </c>
      <c r="R102">
        <f t="shared" si="21"/>
        <v>53.815155121602267</v>
      </c>
      <c r="S102">
        <f t="shared" si="22"/>
        <v>57.053774140568216</v>
      </c>
      <c r="T102" s="20">
        <f t="shared" si="20"/>
        <v>-5.6764325721672448E-2</v>
      </c>
      <c r="U102" s="20">
        <f t="shared" si="23"/>
        <v>-5.0398151332013474E-2</v>
      </c>
    </row>
    <row r="103" spans="1:21" x14ac:dyDescent="0.2">
      <c r="A103" s="8">
        <f t="shared" si="12"/>
        <v>30436</v>
      </c>
      <c r="B103" s="17">
        <f t="shared" si="13"/>
        <v>1983</v>
      </c>
      <c r="C103" s="17">
        <f t="shared" si="14"/>
        <v>4</v>
      </c>
      <c r="J103">
        <v>48.74521073707313</v>
      </c>
      <c r="K103" s="6">
        <f t="shared" si="15"/>
        <v>0</v>
      </c>
      <c r="L103" s="15">
        <f t="shared" si="16"/>
        <v>3.8866069513270567</v>
      </c>
      <c r="M103" s="16">
        <f t="shared" si="17"/>
        <v>-9.8948169882537407E-2</v>
      </c>
      <c r="N103" s="8">
        <f t="array" ref="N103">MAX(IF($B$4:$B$507=B103,$A$4:$A$507))</f>
        <v>30681</v>
      </c>
      <c r="O103" s="8">
        <f t="array" ref="O103">MIN(IF($B$4:$B$507=B103,$A$4:$A$507))</f>
        <v>30347</v>
      </c>
      <c r="P103" s="8">
        <f t="shared" si="18"/>
        <v>30071</v>
      </c>
      <c r="Q103" s="8">
        <f t="shared" si="19"/>
        <v>30436</v>
      </c>
      <c r="R103">
        <f t="shared" si="21"/>
        <v>48.74521073707313</v>
      </c>
      <c r="S103">
        <f t="shared" si="22"/>
        <v>53.630793507619373</v>
      </c>
      <c r="T103" s="20">
        <f t="shared" si="20"/>
        <v>-9.1096596768648341E-2</v>
      </c>
      <c r="U103" s="20">
        <f t="shared" si="23"/>
        <v>-5.0398151332013474E-2</v>
      </c>
    </row>
    <row r="104" spans="1:21" x14ac:dyDescent="0.2">
      <c r="A104" s="8">
        <f t="shared" si="12"/>
        <v>30467</v>
      </c>
      <c r="B104" s="17">
        <f t="shared" si="13"/>
        <v>1983</v>
      </c>
      <c r="C104" s="17">
        <f t="shared" si="14"/>
        <v>5</v>
      </c>
      <c r="J104">
        <v>54.030243671249004</v>
      </c>
      <c r="K104" s="6">
        <f t="shared" si="15"/>
        <v>0</v>
      </c>
      <c r="L104" s="15">
        <f t="shared" si="16"/>
        <v>3.9895439577708278</v>
      </c>
      <c r="M104" s="16">
        <f t="shared" si="17"/>
        <v>0.10293700644377113</v>
      </c>
      <c r="N104" s="8">
        <f t="array" ref="N104">MAX(IF($B$4:$B$507=B104,$A$4:$A$507))</f>
        <v>30681</v>
      </c>
      <c r="O104" s="8">
        <f t="array" ref="O104">MIN(IF($B$4:$B$507=B104,$A$4:$A$507))</f>
        <v>30347</v>
      </c>
      <c r="P104" s="8">
        <f t="shared" si="18"/>
        <v>30102</v>
      </c>
      <c r="Q104" s="8">
        <f t="shared" si="19"/>
        <v>30467</v>
      </c>
      <c r="R104">
        <f t="shared" si="21"/>
        <v>54.030243671249004</v>
      </c>
      <c r="S104">
        <f t="shared" si="22"/>
        <v>56.930866397912958</v>
      </c>
      <c r="T104" s="20">
        <f t="shared" si="20"/>
        <v>-5.0949913644214084E-2</v>
      </c>
      <c r="U104" s="20">
        <f t="shared" si="23"/>
        <v>-5.0398151332013474E-2</v>
      </c>
    </row>
    <row r="105" spans="1:21" x14ac:dyDescent="0.2">
      <c r="A105" s="8">
        <f t="shared" si="12"/>
        <v>30497</v>
      </c>
      <c r="B105" s="17">
        <f t="shared" si="13"/>
        <v>1983</v>
      </c>
      <c r="C105" s="17">
        <f t="shared" si="14"/>
        <v>6</v>
      </c>
      <c r="J105">
        <v>54.435839222011317</v>
      </c>
      <c r="K105" s="6">
        <f t="shared" si="15"/>
        <v>0</v>
      </c>
      <c r="L105" s="15">
        <f t="shared" si="16"/>
        <v>3.9970227461705137</v>
      </c>
      <c r="M105" s="16">
        <f t="shared" si="17"/>
        <v>7.478788399685854E-3</v>
      </c>
      <c r="N105" s="8">
        <f t="array" ref="N105">MAX(IF($B$4:$B$507=B105,$A$4:$A$507))</f>
        <v>30681</v>
      </c>
      <c r="O105" s="8">
        <f t="array" ref="O105">MIN(IF($B$4:$B$507=B105,$A$4:$A$507))</f>
        <v>30347</v>
      </c>
      <c r="P105" s="8">
        <f t="shared" si="18"/>
        <v>30132</v>
      </c>
      <c r="Q105" s="8">
        <f t="shared" si="19"/>
        <v>30497</v>
      </c>
      <c r="R105">
        <f t="shared" si="21"/>
        <v>54.435839222011317</v>
      </c>
      <c r="S105">
        <f t="shared" si="22"/>
        <v>59.73930831758544</v>
      </c>
      <c r="T105" s="20">
        <f t="shared" si="20"/>
        <v>-8.8776874807118267E-2</v>
      </c>
      <c r="U105" s="20">
        <f t="shared" si="23"/>
        <v>-5.0398151332013474E-2</v>
      </c>
    </row>
    <row r="106" spans="1:21" x14ac:dyDescent="0.2">
      <c r="A106" s="8">
        <f t="shared" si="12"/>
        <v>30528</v>
      </c>
      <c r="B106" s="17">
        <f t="shared" si="13"/>
        <v>1983</v>
      </c>
      <c r="C106" s="17">
        <f t="shared" si="14"/>
        <v>7</v>
      </c>
      <c r="J106">
        <v>55.025796386756532</v>
      </c>
      <c r="K106" s="6">
        <f t="shared" si="15"/>
        <v>0</v>
      </c>
      <c r="L106" s="15">
        <f t="shared" si="16"/>
        <v>4.0078021004882816</v>
      </c>
      <c r="M106" s="16">
        <f t="shared" si="17"/>
        <v>1.0779354317767886E-2</v>
      </c>
      <c r="N106" s="8">
        <f t="array" ref="N106">MAX(IF($B$4:$B$507=B106,$A$4:$A$507))</f>
        <v>30681</v>
      </c>
      <c r="O106" s="8">
        <f t="array" ref="O106">MIN(IF($B$4:$B$507=B106,$A$4:$A$507))</f>
        <v>30347</v>
      </c>
      <c r="P106" s="8">
        <f t="shared" si="18"/>
        <v>30163</v>
      </c>
      <c r="Q106" s="8">
        <f t="shared" si="19"/>
        <v>30528</v>
      </c>
      <c r="R106">
        <f t="shared" si="21"/>
        <v>55.025796386756532</v>
      </c>
      <c r="S106">
        <f t="shared" si="22"/>
        <v>61.865612265521285</v>
      </c>
      <c r="T106" s="20">
        <f t="shared" si="20"/>
        <v>-0.11055925300486669</v>
      </c>
      <c r="U106" s="20">
        <f t="shared" si="23"/>
        <v>-5.0398151332013474E-2</v>
      </c>
    </row>
    <row r="107" spans="1:21" x14ac:dyDescent="0.2">
      <c r="A107" s="8">
        <f t="shared" si="12"/>
        <v>30559</v>
      </c>
      <c r="B107" s="17">
        <f t="shared" si="13"/>
        <v>1983</v>
      </c>
      <c r="C107" s="17">
        <f t="shared" si="14"/>
        <v>8</v>
      </c>
      <c r="J107">
        <v>59.364439702486962</v>
      </c>
      <c r="K107" s="6">
        <f t="shared" si="15"/>
        <v>0</v>
      </c>
      <c r="L107" s="15">
        <f t="shared" si="16"/>
        <v>4.0836953888939345</v>
      </c>
      <c r="M107" s="16">
        <f t="shared" si="17"/>
        <v>7.5893288405652903E-2</v>
      </c>
      <c r="N107" s="8">
        <f t="array" ref="N107">MAX(IF($B$4:$B$507=B107,$A$4:$A$507))</f>
        <v>30681</v>
      </c>
      <c r="O107" s="8">
        <f t="array" ref="O107">MIN(IF($B$4:$B$507=B107,$A$4:$A$507))</f>
        <v>30347</v>
      </c>
      <c r="P107" s="8">
        <f t="shared" si="18"/>
        <v>30194</v>
      </c>
      <c r="Q107" s="8">
        <f t="shared" si="19"/>
        <v>30559</v>
      </c>
      <c r="R107">
        <f t="shared" si="21"/>
        <v>59.364439702486962</v>
      </c>
      <c r="S107">
        <f t="shared" si="22"/>
        <v>63.199161273330823</v>
      </c>
      <c r="T107" s="20">
        <f t="shared" si="20"/>
        <v>-6.0676779463243569E-2</v>
      </c>
      <c r="U107" s="20">
        <f t="shared" si="23"/>
        <v>-5.0398151332013474E-2</v>
      </c>
    </row>
    <row r="108" spans="1:21" x14ac:dyDescent="0.2">
      <c r="A108" s="8">
        <f t="shared" si="12"/>
        <v>30589</v>
      </c>
      <c r="B108" s="17">
        <f t="shared" si="13"/>
        <v>1983</v>
      </c>
      <c r="C108" s="17">
        <f t="shared" si="14"/>
        <v>9</v>
      </c>
      <c r="J108">
        <v>57.268862690214888</v>
      </c>
      <c r="K108" s="6">
        <f t="shared" si="15"/>
        <v>0</v>
      </c>
      <c r="L108" s="15">
        <f t="shared" si="16"/>
        <v>4.0477570674730261</v>
      </c>
      <c r="M108" s="16">
        <f t="shared" si="17"/>
        <v>-3.5938321420908359E-2</v>
      </c>
      <c r="N108" s="8">
        <f t="array" ref="N108">MAX(IF($B$4:$B$507=B108,$A$4:$A$507))</f>
        <v>30681</v>
      </c>
      <c r="O108" s="8">
        <f t="array" ref="O108">MIN(IF($B$4:$B$507=B108,$A$4:$A$507))</f>
        <v>30347</v>
      </c>
      <c r="P108" s="8">
        <f t="shared" si="18"/>
        <v>30224</v>
      </c>
      <c r="Q108" s="8">
        <f t="shared" si="19"/>
        <v>30589</v>
      </c>
      <c r="R108">
        <f t="shared" si="21"/>
        <v>57.268862690214888</v>
      </c>
      <c r="S108">
        <f t="shared" si="22"/>
        <v>61.091293486793198</v>
      </c>
      <c r="T108" s="20">
        <f t="shared" si="20"/>
        <v>-6.2569158032390493E-2</v>
      </c>
      <c r="U108" s="20">
        <f t="shared" si="23"/>
        <v>-5.0398151332013474E-2</v>
      </c>
    </row>
    <row r="109" spans="1:21" x14ac:dyDescent="0.2">
      <c r="A109" s="8">
        <f t="shared" si="12"/>
        <v>30620</v>
      </c>
      <c r="B109" s="17">
        <f t="shared" si="13"/>
        <v>1983</v>
      </c>
      <c r="C109" s="17">
        <f t="shared" si="14"/>
        <v>10</v>
      </c>
      <c r="J109">
        <v>58.516376278165701</v>
      </c>
      <c r="K109" s="6">
        <f t="shared" si="15"/>
        <v>0</v>
      </c>
      <c r="L109" s="15">
        <f t="shared" si="16"/>
        <v>4.0693066514418348</v>
      </c>
      <c r="M109" s="16">
        <f t="shared" si="17"/>
        <v>2.1549583968808683E-2</v>
      </c>
      <c r="N109" s="8">
        <f t="array" ref="N109">MAX(IF($B$4:$B$507=B109,$A$4:$A$507))</f>
        <v>30681</v>
      </c>
      <c r="O109" s="8">
        <f t="array" ref="O109">MIN(IF($B$4:$B$507=B109,$A$4:$A$507))</f>
        <v>30347</v>
      </c>
      <c r="P109" s="8">
        <f t="shared" si="18"/>
        <v>30255</v>
      </c>
      <c r="Q109" s="8">
        <f t="shared" si="19"/>
        <v>30620</v>
      </c>
      <c r="R109">
        <f t="shared" si="21"/>
        <v>58.516376278165701</v>
      </c>
      <c r="S109">
        <f t="shared" si="22"/>
        <v>59.899088383037309</v>
      </c>
      <c r="T109" s="20">
        <f t="shared" si="20"/>
        <v>-2.3084025854109291E-2</v>
      </c>
      <c r="U109" s="20">
        <f t="shared" si="23"/>
        <v>-5.0398151332013474E-2</v>
      </c>
    </row>
    <row r="110" spans="1:21" x14ac:dyDescent="0.2">
      <c r="A110" s="8">
        <f t="shared" si="12"/>
        <v>30650</v>
      </c>
      <c r="B110" s="17">
        <f t="shared" si="13"/>
        <v>1983</v>
      </c>
      <c r="C110" s="17">
        <f t="shared" si="14"/>
        <v>11</v>
      </c>
      <c r="J110">
        <v>56.38392694309708</v>
      </c>
      <c r="K110" s="6">
        <f t="shared" si="15"/>
        <v>0</v>
      </c>
      <c r="L110" s="15">
        <f t="shared" si="16"/>
        <v>4.0321841346101417</v>
      </c>
      <c r="M110" s="16">
        <f t="shared" si="17"/>
        <v>-3.7122516831693098E-2</v>
      </c>
      <c r="N110" s="8">
        <f t="array" ref="N110">MAX(IF($B$4:$B$507=B110,$A$4:$A$507))</f>
        <v>30681</v>
      </c>
      <c r="O110" s="8">
        <f t="array" ref="O110">MIN(IF($B$4:$B$507=B110,$A$4:$A$507))</f>
        <v>30347</v>
      </c>
      <c r="P110" s="8">
        <f t="shared" si="18"/>
        <v>30285</v>
      </c>
      <c r="Q110" s="8">
        <f t="shared" si="19"/>
        <v>30650</v>
      </c>
      <c r="R110">
        <f t="shared" si="21"/>
        <v>56.38392694309708</v>
      </c>
      <c r="S110">
        <f t="shared" si="22"/>
        <v>56.230292264777958</v>
      </c>
      <c r="T110" s="20">
        <f t="shared" si="20"/>
        <v>2.7322404371594722E-3</v>
      </c>
      <c r="U110" s="20">
        <f t="shared" si="23"/>
        <v>-5.0398151332013474E-2</v>
      </c>
    </row>
    <row r="111" spans="1:21" x14ac:dyDescent="0.2">
      <c r="A111" s="8">
        <f t="shared" si="12"/>
        <v>30681</v>
      </c>
      <c r="B111" s="17">
        <f t="shared" si="13"/>
        <v>1983</v>
      </c>
      <c r="C111" s="17">
        <f t="shared" si="14"/>
        <v>12</v>
      </c>
      <c r="J111">
        <v>51.449181075488667</v>
      </c>
      <c r="K111" s="6">
        <f t="shared" si="15"/>
        <v>0</v>
      </c>
      <c r="L111" s="15">
        <f t="shared" si="16"/>
        <v>3.9405945452532603</v>
      </c>
      <c r="M111" s="16">
        <f t="shared" si="17"/>
        <v>-9.158958935688144E-2</v>
      </c>
      <c r="N111" s="8">
        <f t="array" ref="N111">MAX(IF($B$4:$B$507=B111,$A$4:$A$507))</f>
        <v>30681</v>
      </c>
      <c r="O111" s="8">
        <f t="array" ref="O111">MIN(IF($B$4:$B$507=B111,$A$4:$A$507))</f>
        <v>30347</v>
      </c>
      <c r="P111" s="8">
        <f t="shared" si="18"/>
        <v>30316</v>
      </c>
      <c r="Q111" s="8">
        <f t="shared" si="19"/>
        <v>30681</v>
      </c>
      <c r="R111">
        <f t="shared" si="21"/>
        <v>51.449181075488667</v>
      </c>
      <c r="S111">
        <f t="shared" si="22"/>
        <v>50.601117651167385</v>
      </c>
      <c r="T111" s="20">
        <f t="shared" si="20"/>
        <v>1.6759776536313664E-2</v>
      </c>
      <c r="U111" s="20">
        <f t="shared" si="23"/>
        <v>-5.0398151332013474E-2</v>
      </c>
    </row>
    <row r="112" spans="1:21" x14ac:dyDescent="0.2">
      <c r="A112" s="8">
        <f t="shared" si="12"/>
        <v>30712</v>
      </c>
      <c r="B112" s="17">
        <f t="shared" si="13"/>
        <v>1984</v>
      </c>
      <c r="C112" s="17">
        <f t="shared" si="14"/>
        <v>1</v>
      </c>
      <c r="J112">
        <v>49.175387836366539</v>
      </c>
      <c r="K112" s="6">
        <f t="shared" si="15"/>
        <v>0</v>
      </c>
      <c r="L112" s="15">
        <f t="shared" si="16"/>
        <v>3.8953932511045513</v>
      </c>
      <c r="M112" s="16">
        <f t="shared" si="17"/>
        <v>-4.5201294148708993E-2</v>
      </c>
      <c r="N112" s="8">
        <f t="array" ref="N112">MAX(IF($B$4:$B$507=B112,$A$4:$A$507))</f>
        <v>31047</v>
      </c>
      <c r="O112" s="8">
        <f t="array" ref="O112">MIN(IF($B$4:$B$507=B112,$A$4:$A$507))</f>
        <v>30712</v>
      </c>
      <c r="P112" s="8">
        <f t="shared" si="18"/>
        <v>30347</v>
      </c>
      <c r="Q112" s="8">
        <f t="shared" si="19"/>
        <v>30712</v>
      </c>
      <c r="R112">
        <f t="shared" si="21"/>
        <v>49.175387836366539</v>
      </c>
      <c r="S112">
        <f t="shared" si="22"/>
        <v>47.313335535139423</v>
      </c>
      <c r="T112" s="20">
        <f t="shared" si="20"/>
        <v>3.9355760488376079E-2</v>
      </c>
      <c r="U112" s="20">
        <f t="shared" si="23"/>
        <v>7.0774781491381597E-2</v>
      </c>
    </row>
    <row r="113" spans="1:21" x14ac:dyDescent="0.2">
      <c r="A113" s="8">
        <f t="shared" si="12"/>
        <v>30741</v>
      </c>
      <c r="B113" s="17">
        <f t="shared" si="13"/>
        <v>1984</v>
      </c>
      <c r="C113" s="17">
        <f t="shared" si="14"/>
        <v>2</v>
      </c>
      <c r="J113">
        <v>51.283255622904093</v>
      </c>
      <c r="K113" s="6">
        <f t="shared" si="15"/>
        <v>0</v>
      </c>
      <c r="L113" s="15">
        <f t="shared" si="16"/>
        <v>3.9373642977833057</v>
      </c>
      <c r="M113" s="16">
        <f t="shared" si="17"/>
        <v>4.1971046678754398E-2</v>
      </c>
      <c r="N113" s="8">
        <f t="array" ref="N113">MAX(IF($B$4:$B$507=B113,$A$4:$A$507))</f>
        <v>31047</v>
      </c>
      <c r="O113" s="8">
        <f t="array" ref="O113">MIN(IF($B$4:$B$507=B113,$A$4:$A$507))</f>
        <v>30712</v>
      </c>
      <c r="P113" s="8">
        <f t="shared" si="18"/>
        <v>30375</v>
      </c>
      <c r="Q113" s="8">
        <f t="shared" si="19"/>
        <v>30741</v>
      </c>
      <c r="R113">
        <f t="shared" si="21"/>
        <v>51.283255622904093</v>
      </c>
      <c r="S113">
        <f t="shared" si="22"/>
        <v>45.568045589434803</v>
      </c>
      <c r="T113" s="20">
        <f t="shared" si="20"/>
        <v>0.12542144302090485</v>
      </c>
      <c r="U113" s="20">
        <f t="shared" si="23"/>
        <v>7.0774781491381597E-2</v>
      </c>
    </row>
    <row r="114" spans="1:21" x14ac:dyDescent="0.2">
      <c r="A114" s="8">
        <f t="shared" si="12"/>
        <v>30772</v>
      </c>
      <c r="B114" s="17">
        <f t="shared" si="13"/>
        <v>1984</v>
      </c>
      <c r="C114" s="17">
        <f t="shared" si="14"/>
        <v>3</v>
      </c>
      <c r="J114">
        <v>52.616804630713624</v>
      </c>
      <c r="K114" s="6">
        <f t="shared" si="15"/>
        <v>0</v>
      </c>
      <c r="L114" s="15">
        <f t="shared" si="16"/>
        <v>3.9630355483922624</v>
      </c>
      <c r="M114" s="16">
        <f t="shared" si="17"/>
        <v>2.5671250608956697E-2</v>
      </c>
      <c r="N114" s="8">
        <f t="array" ref="N114">MAX(IF($B$4:$B$507=B114,$A$4:$A$507))</f>
        <v>31047</v>
      </c>
      <c r="O114" s="8">
        <f t="array" ref="O114">MIN(IF($B$4:$B$507=B114,$A$4:$A$507))</f>
        <v>30712</v>
      </c>
      <c r="P114" s="8">
        <f t="shared" si="18"/>
        <v>30406</v>
      </c>
      <c r="Q114" s="8">
        <f t="shared" si="19"/>
        <v>30772</v>
      </c>
      <c r="R114">
        <f t="shared" si="21"/>
        <v>52.616804630713624</v>
      </c>
      <c r="S114">
        <f t="shared" si="22"/>
        <v>53.815155121602267</v>
      </c>
      <c r="T114" s="20">
        <f t="shared" si="20"/>
        <v>-2.2267899965740412E-2</v>
      </c>
      <c r="U114" s="20">
        <f t="shared" si="23"/>
        <v>7.0774781491381597E-2</v>
      </c>
    </row>
    <row r="115" spans="1:21" x14ac:dyDescent="0.2">
      <c r="A115" s="8">
        <f t="shared" si="12"/>
        <v>30802</v>
      </c>
      <c r="B115" s="17">
        <f t="shared" si="13"/>
        <v>1984</v>
      </c>
      <c r="C115" s="17">
        <f t="shared" si="14"/>
        <v>4</v>
      </c>
      <c r="J115">
        <v>50.736316168088202</v>
      </c>
      <c r="K115" s="6">
        <f t="shared" si="15"/>
        <v>0</v>
      </c>
      <c r="L115" s="15">
        <f t="shared" si="16"/>
        <v>3.9266419494087139</v>
      </c>
      <c r="M115" s="16">
        <f t="shared" si="17"/>
        <v>-3.6393598983548436E-2</v>
      </c>
      <c r="N115" s="8">
        <f t="array" ref="N115">MAX(IF($B$4:$B$507=B115,$A$4:$A$507))</f>
        <v>31047</v>
      </c>
      <c r="O115" s="8">
        <f t="array" ref="O115">MIN(IF($B$4:$B$507=B115,$A$4:$A$507))</f>
        <v>30712</v>
      </c>
      <c r="P115" s="8">
        <f t="shared" si="18"/>
        <v>30436</v>
      </c>
      <c r="Q115" s="8">
        <f t="shared" si="19"/>
        <v>30802</v>
      </c>
      <c r="R115">
        <f t="shared" si="21"/>
        <v>50.736316168088202</v>
      </c>
      <c r="S115">
        <f t="shared" si="22"/>
        <v>48.74521073707313</v>
      </c>
      <c r="T115" s="20">
        <f t="shared" si="20"/>
        <v>4.0847201210287176E-2</v>
      </c>
      <c r="U115" s="20">
        <f t="shared" si="23"/>
        <v>7.0774781491381597E-2</v>
      </c>
    </row>
    <row r="116" spans="1:21" x14ac:dyDescent="0.2">
      <c r="A116" s="8">
        <f t="shared" si="12"/>
        <v>30833</v>
      </c>
      <c r="B116" s="17">
        <f t="shared" si="13"/>
        <v>1984</v>
      </c>
      <c r="C116" s="17">
        <f t="shared" si="14"/>
        <v>5</v>
      </c>
      <c r="J116">
        <v>57.791220596499713</v>
      </c>
      <c r="K116" s="6">
        <f t="shared" si="15"/>
        <v>0</v>
      </c>
      <c r="L116" s="15">
        <f t="shared" si="16"/>
        <v>4.0568368713473308</v>
      </c>
      <c r="M116" s="16">
        <f t="shared" si="17"/>
        <v>0.13019492193861693</v>
      </c>
      <c r="N116" s="8">
        <f t="array" ref="N116">MAX(IF($B$4:$B$507=B116,$A$4:$A$507))</f>
        <v>31047</v>
      </c>
      <c r="O116" s="8">
        <f t="array" ref="O116">MIN(IF($B$4:$B$507=B116,$A$4:$A$507))</f>
        <v>30712</v>
      </c>
      <c r="P116" s="8">
        <f t="shared" si="18"/>
        <v>30467</v>
      </c>
      <c r="Q116" s="8">
        <f t="shared" si="19"/>
        <v>30833</v>
      </c>
      <c r="R116">
        <f t="shared" si="21"/>
        <v>57.791220596499713</v>
      </c>
      <c r="S116">
        <f t="shared" si="22"/>
        <v>54.030243671249004</v>
      </c>
      <c r="T116" s="20">
        <f t="shared" si="20"/>
        <v>6.9608735213830375E-2</v>
      </c>
      <c r="U116" s="20">
        <f t="shared" si="23"/>
        <v>7.0774781491381597E-2</v>
      </c>
    </row>
    <row r="117" spans="1:21" x14ac:dyDescent="0.2">
      <c r="A117" s="8">
        <f t="shared" si="12"/>
        <v>30863</v>
      </c>
      <c r="B117" s="17">
        <f t="shared" si="13"/>
        <v>1984</v>
      </c>
      <c r="C117" s="17">
        <f t="shared" si="14"/>
        <v>6</v>
      </c>
      <c r="J117">
        <v>59.456620509478384</v>
      </c>
      <c r="K117" s="6">
        <f t="shared" si="15"/>
        <v>0</v>
      </c>
      <c r="L117" s="15">
        <f t="shared" si="16"/>
        <v>4.085246979585353</v>
      </c>
      <c r="M117" s="16">
        <f t="shared" si="17"/>
        <v>2.8410108238022147E-2</v>
      </c>
      <c r="N117" s="8">
        <f t="array" ref="N117">MAX(IF($B$4:$B$507=B117,$A$4:$A$507))</f>
        <v>31047</v>
      </c>
      <c r="O117" s="8">
        <f t="array" ref="O117">MIN(IF($B$4:$B$507=B117,$A$4:$A$507))</f>
        <v>30712</v>
      </c>
      <c r="P117" s="8">
        <f t="shared" si="18"/>
        <v>30497</v>
      </c>
      <c r="Q117" s="8">
        <f t="shared" si="19"/>
        <v>30863</v>
      </c>
      <c r="R117">
        <f t="shared" si="21"/>
        <v>59.456620509478384</v>
      </c>
      <c r="S117">
        <f t="shared" si="22"/>
        <v>54.435839222011317</v>
      </c>
      <c r="T117" s="20">
        <f t="shared" si="20"/>
        <v>9.2233009708737823E-2</v>
      </c>
      <c r="U117" s="20">
        <f t="shared" si="23"/>
        <v>7.0774781491381597E-2</v>
      </c>
    </row>
    <row r="118" spans="1:21" x14ac:dyDescent="0.2">
      <c r="A118" s="8">
        <f t="shared" si="12"/>
        <v>30894</v>
      </c>
      <c r="B118" s="17">
        <f t="shared" si="13"/>
        <v>1984</v>
      </c>
      <c r="C118" s="17">
        <f t="shared" si="14"/>
        <v>7</v>
      </c>
      <c r="J118">
        <v>61.711977587202284</v>
      </c>
      <c r="K118" s="6">
        <f t="shared" si="15"/>
        <v>0</v>
      </c>
      <c r="L118" s="15">
        <f t="shared" si="16"/>
        <v>4.1224780382820212</v>
      </c>
      <c r="M118" s="16">
        <f t="shared" si="17"/>
        <v>3.7231058696668207E-2</v>
      </c>
      <c r="N118" s="8">
        <f t="array" ref="N118">MAX(IF($B$4:$B$507=B118,$A$4:$A$507))</f>
        <v>31047</v>
      </c>
      <c r="O118" s="8">
        <f t="array" ref="O118">MIN(IF($B$4:$B$507=B118,$A$4:$A$507))</f>
        <v>30712</v>
      </c>
      <c r="P118" s="8">
        <f t="shared" si="18"/>
        <v>30528</v>
      </c>
      <c r="Q118" s="8">
        <f t="shared" si="19"/>
        <v>30894</v>
      </c>
      <c r="R118">
        <f t="shared" si="21"/>
        <v>61.711977587202284</v>
      </c>
      <c r="S118">
        <f t="shared" si="22"/>
        <v>55.025796386756532</v>
      </c>
      <c r="T118" s="20">
        <f t="shared" si="20"/>
        <v>0.12150993969175827</v>
      </c>
      <c r="U118" s="20">
        <f t="shared" si="23"/>
        <v>7.0774781491381597E-2</v>
      </c>
    </row>
    <row r="119" spans="1:21" x14ac:dyDescent="0.2">
      <c r="A119" s="8">
        <f t="shared" si="12"/>
        <v>30925</v>
      </c>
      <c r="B119" s="17">
        <f t="shared" si="13"/>
        <v>1984</v>
      </c>
      <c r="C119" s="17">
        <f t="shared" si="14"/>
        <v>8</v>
      </c>
      <c r="J119">
        <v>63.457267532906819</v>
      </c>
      <c r="K119" s="6">
        <f t="shared" si="15"/>
        <v>0</v>
      </c>
      <c r="L119" s="15">
        <f t="shared" si="16"/>
        <v>4.150366727126964</v>
      </c>
      <c r="M119" s="16">
        <f t="shared" si="17"/>
        <v>2.7888688844942777E-2</v>
      </c>
      <c r="N119" s="8">
        <f t="array" ref="N119">MAX(IF($B$4:$B$507=B119,$A$4:$A$507))</f>
        <v>31047</v>
      </c>
      <c r="O119" s="8">
        <f t="array" ref="O119">MIN(IF($B$4:$B$507=B119,$A$4:$A$507))</f>
        <v>30712</v>
      </c>
      <c r="P119" s="8">
        <f t="shared" si="18"/>
        <v>30559</v>
      </c>
      <c r="Q119" s="8">
        <f t="shared" si="19"/>
        <v>30925</v>
      </c>
      <c r="R119">
        <f t="shared" si="21"/>
        <v>63.457267532906819</v>
      </c>
      <c r="S119">
        <f t="shared" si="22"/>
        <v>59.364439702486962</v>
      </c>
      <c r="T119" s="20">
        <f t="shared" si="20"/>
        <v>6.8944099378881019E-2</v>
      </c>
      <c r="U119" s="20">
        <f t="shared" si="23"/>
        <v>7.0774781491381597E-2</v>
      </c>
    </row>
    <row r="120" spans="1:21" x14ac:dyDescent="0.2">
      <c r="A120" s="8">
        <f t="shared" si="12"/>
        <v>30955</v>
      </c>
      <c r="B120" s="17">
        <f t="shared" si="13"/>
        <v>1984</v>
      </c>
      <c r="C120" s="17">
        <f t="shared" si="14"/>
        <v>9</v>
      </c>
      <c r="J120">
        <v>60.15719464261332</v>
      </c>
      <c r="K120" s="6">
        <f t="shared" si="15"/>
        <v>0</v>
      </c>
      <c r="L120" s="15">
        <f t="shared" si="16"/>
        <v>4.0969610469488007</v>
      </c>
      <c r="M120" s="16">
        <f t="shared" si="17"/>
        <v>-5.3405680178163273E-2</v>
      </c>
      <c r="N120" s="8">
        <f t="array" ref="N120">MAX(IF($B$4:$B$507=B120,$A$4:$A$507))</f>
        <v>31047</v>
      </c>
      <c r="O120" s="8">
        <f t="array" ref="O120">MIN(IF($B$4:$B$507=B120,$A$4:$A$507))</f>
        <v>30712</v>
      </c>
      <c r="P120" s="8">
        <f t="shared" si="18"/>
        <v>30589</v>
      </c>
      <c r="Q120" s="8">
        <f t="shared" si="19"/>
        <v>30955</v>
      </c>
      <c r="R120">
        <f t="shared" si="21"/>
        <v>60.15719464261332</v>
      </c>
      <c r="S120">
        <f t="shared" si="22"/>
        <v>57.268862690214888</v>
      </c>
      <c r="T120" s="20">
        <f t="shared" si="20"/>
        <v>5.0434595986693864E-2</v>
      </c>
      <c r="U120" s="20">
        <f t="shared" si="23"/>
        <v>7.0774781491381597E-2</v>
      </c>
    </row>
    <row r="121" spans="1:21" x14ac:dyDescent="0.2">
      <c r="A121" s="8">
        <f t="shared" si="12"/>
        <v>30986</v>
      </c>
      <c r="B121" s="17">
        <f t="shared" si="13"/>
        <v>1984</v>
      </c>
      <c r="C121" s="17">
        <f t="shared" si="14"/>
        <v>10</v>
      </c>
      <c r="J121">
        <v>65.350046769797785</v>
      </c>
      <c r="K121" s="6">
        <f t="shared" si="15"/>
        <v>0</v>
      </c>
      <c r="L121" s="15">
        <f t="shared" si="16"/>
        <v>4.1797581557516548</v>
      </c>
      <c r="M121" s="16">
        <f t="shared" si="17"/>
        <v>8.2797108802854069E-2</v>
      </c>
      <c r="N121" s="8">
        <f t="array" ref="N121">MAX(IF($B$4:$B$507=B121,$A$4:$A$507))</f>
        <v>31047</v>
      </c>
      <c r="O121" s="8">
        <f t="array" ref="O121">MIN(IF($B$4:$B$507=B121,$A$4:$A$507))</f>
        <v>30712</v>
      </c>
      <c r="P121" s="8">
        <f t="shared" si="18"/>
        <v>30620</v>
      </c>
      <c r="Q121" s="8">
        <f t="shared" si="19"/>
        <v>30986</v>
      </c>
      <c r="R121">
        <f t="shared" si="21"/>
        <v>65.350046769797785</v>
      </c>
      <c r="S121">
        <f t="shared" si="22"/>
        <v>58.516376278165701</v>
      </c>
      <c r="T121" s="20">
        <f t="shared" si="20"/>
        <v>0.11678218861583778</v>
      </c>
      <c r="U121" s="20">
        <f t="shared" si="23"/>
        <v>7.0774781491381597E-2</v>
      </c>
    </row>
    <row r="122" spans="1:21" x14ac:dyDescent="0.2">
      <c r="A122" s="8">
        <f t="shared" si="12"/>
        <v>31016</v>
      </c>
      <c r="B122" s="17">
        <f t="shared" si="13"/>
        <v>1984</v>
      </c>
      <c r="C122" s="17">
        <f t="shared" si="14"/>
        <v>11</v>
      </c>
      <c r="J122">
        <v>60.814751065818925</v>
      </c>
      <c r="K122" s="6">
        <f t="shared" si="15"/>
        <v>0</v>
      </c>
      <c r="L122" s="15">
        <f t="shared" si="16"/>
        <v>4.1078323757596937</v>
      </c>
      <c r="M122" s="16">
        <f t="shared" si="17"/>
        <v>-7.1925779991961036E-2</v>
      </c>
      <c r="N122" s="8">
        <f t="array" ref="N122">MAX(IF($B$4:$B$507=B122,$A$4:$A$507))</f>
        <v>31047</v>
      </c>
      <c r="O122" s="8">
        <f t="array" ref="O122">MIN(IF($B$4:$B$507=B122,$A$4:$A$507))</f>
        <v>30712</v>
      </c>
      <c r="P122" s="8">
        <f t="shared" si="18"/>
        <v>30650</v>
      </c>
      <c r="Q122" s="8">
        <f t="shared" si="19"/>
        <v>31016</v>
      </c>
      <c r="R122">
        <f t="shared" si="21"/>
        <v>60.814751065818925</v>
      </c>
      <c r="S122">
        <f t="shared" si="22"/>
        <v>56.38392694309708</v>
      </c>
      <c r="T122" s="20">
        <f t="shared" si="20"/>
        <v>7.8583106267029912E-2</v>
      </c>
      <c r="U122" s="20">
        <f t="shared" si="23"/>
        <v>7.0774781491381597E-2</v>
      </c>
    </row>
    <row r="123" spans="1:21" x14ac:dyDescent="0.2">
      <c r="A123" s="8">
        <f t="shared" si="12"/>
        <v>31047</v>
      </c>
      <c r="B123" s="17">
        <f t="shared" si="13"/>
        <v>1984</v>
      </c>
      <c r="C123" s="17">
        <f t="shared" si="14"/>
        <v>12</v>
      </c>
      <c r="J123">
        <v>54.939760966897907</v>
      </c>
      <c r="K123" s="6">
        <f t="shared" si="15"/>
        <v>0</v>
      </c>
      <c r="L123" s="15">
        <f t="shared" si="16"/>
        <v>4.0062373298549314</v>
      </c>
      <c r="M123" s="16">
        <f t="shared" si="17"/>
        <v>-0.10159504590476232</v>
      </c>
      <c r="N123" s="8">
        <f t="array" ref="N123">MAX(IF($B$4:$B$507=B123,$A$4:$A$507))</f>
        <v>31047</v>
      </c>
      <c r="O123" s="8">
        <f t="array" ref="O123">MIN(IF($B$4:$B$507=B123,$A$4:$A$507))</f>
        <v>30712</v>
      </c>
      <c r="P123" s="8">
        <f t="shared" si="18"/>
        <v>30681</v>
      </c>
      <c r="Q123" s="8">
        <f t="shared" si="19"/>
        <v>31047</v>
      </c>
      <c r="R123">
        <f t="shared" si="21"/>
        <v>54.939760966897907</v>
      </c>
      <c r="S123">
        <f t="shared" si="22"/>
        <v>51.449181075488667</v>
      </c>
      <c r="T123" s="20">
        <f t="shared" si="20"/>
        <v>6.7845198279982366E-2</v>
      </c>
      <c r="U123" s="20">
        <f t="shared" si="23"/>
        <v>7.0774781491381597E-2</v>
      </c>
    </row>
    <row r="124" spans="1:21" x14ac:dyDescent="0.2">
      <c r="A124" s="8">
        <f t="shared" si="12"/>
        <v>31078</v>
      </c>
      <c r="B124" s="17">
        <f t="shared" si="13"/>
        <v>1985</v>
      </c>
      <c r="C124" s="17">
        <f t="shared" si="14"/>
        <v>1</v>
      </c>
      <c r="J124">
        <v>56.451526201557478</v>
      </c>
      <c r="K124" s="6">
        <f t="shared" si="15"/>
        <v>0</v>
      </c>
      <c r="L124" s="15">
        <f t="shared" si="16"/>
        <v>4.0333823265731095</v>
      </c>
      <c r="M124" s="16">
        <f t="shared" si="17"/>
        <v>2.7144996718178049E-2</v>
      </c>
      <c r="N124" s="8">
        <f t="array" ref="N124">MAX(IF($B$4:$B$507=B124,$A$4:$A$507))</f>
        <v>31412</v>
      </c>
      <c r="O124" s="8">
        <f t="array" ref="O124">MIN(IF($B$4:$B$507=B124,$A$4:$A$507))</f>
        <v>31078</v>
      </c>
      <c r="P124" s="8">
        <f t="shared" si="18"/>
        <v>30712</v>
      </c>
      <c r="Q124" s="8">
        <f t="shared" si="19"/>
        <v>31078</v>
      </c>
      <c r="R124">
        <f t="shared" si="21"/>
        <v>56.451526201557478</v>
      </c>
      <c r="S124">
        <f t="shared" si="22"/>
        <v>49.175387836366539</v>
      </c>
      <c r="T124" s="20">
        <f t="shared" si="20"/>
        <v>0.14796300924768779</v>
      </c>
      <c r="U124" s="20">
        <f t="shared" si="23"/>
        <v>8.4242277805570198E-2</v>
      </c>
    </row>
    <row r="125" spans="1:21" x14ac:dyDescent="0.2">
      <c r="A125" s="8">
        <f t="shared" si="12"/>
        <v>31106</v>
      </c>
      <c r="B125" s="17">
        <f t="shared" si="13"/>
        <v>1985</v>
      </c>
      <c r="C125" s="17">
        <f t="shared" si="14"/>
        <v>2</v>
      </c>
      <c r="J125">
        <v>52.229645241349537</v>
      </c>
      <c r="K125" s="6">
        <f t="shared" si="15"/>
        <v>0</v>
      </c>
      <c r="L125" s="15">
        <f t="shared" si="16"/>
        <v>3.9556502501859967</v>
      </c>
      <c r="M125" s="16">
        <f t="shared" si="17"/>
        <v>-7.773207638711277E-2</v>
      </c>
      <c r="N125" s="8">
        <f t="array" ref="N125">MAX(IF($B$4:$B$507=B125,$A$4:$A$507))</f>
        <v>31412</v>
      </c>
      <c r="O125" s="8">
        <f t="array" ref="O125">MIN(IF($B$4:$B$507=B125,$A$4:$A$507))</f>
        <v>31078</v>
      </c>
      <c r="P125" s="8">
        <f t="shared" si="18"/>
        <v>30741</v>
      </c>
      <c r="Q125" s="8">
        <f t="shared" si="19"/>
        <v>31106</v>
      </c>
      <c r="R125">
        <f t="shared" si="21"/>
        <v>52.229645241349537</v>
      </c>
      <c r="S125">
        <f t="shared" si="22"/>
        <v>51.283255622904093</v>
      </c>
      <c r="T125" s="20">
        <f t="shared" si="20"/>
        <v>1.845416417016188E-2</v>
      </c>
      <c r="U125" s="20">
        <f t="shared" si="23"/>
        <v>8.4242277805570198E-2</v>
      </c>
    </row>
    <row r="126" spans="1:21" x14ac:dyDescent="0.2">
      <c r="A126" s="8">
        <f t="shared" si="12"/>
        <v>31137</v>
      </c>
      <c r="B126" s="17">
        <f t="shared" si="13"/>
        <v>1985</v>
      </c>
      <c r="C126" s="17">
        <f t="shared" si="14"/>
        <v>3</v>
      </c>
      <c r="J126">
        <v>58.344305438448373</v>
      </c>
      <c r="K126" s="6">
        <f t="shared" si="15"/>
        <v>0</v>
      </c>
      <c r="L126" s="15">
        <f t="shared" si="16"/>
        <v>4.0663617607986344</v>
      </c>
      <c r="M126" s="16">
        <f t="shared" si="17"/>
        <v>0.11071151061263773</v>
      </c>
      <c r="N126" s="8">
        <f t="array" ref="N126">MAX(IF($B$4:$B$507=B126,$A$4:$A$507))</f>
        <v>31412</v>
      </c>
      <c r="O126" s="8">
        <f t="array" ref="O126">MIN(IF($B$4:$B$507=B126,$A$4:$A$507))</f>
        <v>31078</v>
      </c>
      <c r="P126" s="8">
        <f t="shared" si="18"/>
        <v>30772</v>
      </c>
      <c r="Q126" s="8">
        <f t="shared" si="19"/>
        <v>31137</v>
      </c>
      <c r="R126">
        <f t="shared" si="21"/>
        <v>58.344305438448373</v>
      </c>
      <c r="S126">
        <f t="shared" si="22"/>
        <v>52.616804630713624</v>
      </c>
      <c r="T126" s="20">
        <f t="shared" si="20"/>
        <v>0.10885307171221648</v>
      </c>
      <c r="U126" s="20">
        <f t="shared" si="23"/>
        <v>8.4242277805570198E-2</v>
      </c>
    </row>
    <row r="127" spans="1:21" x14ac:dyDescent="0.2">
      <c r="A127" s="8">
        <f t="shared" si="12"/>
        <v>31167</v>
      </c>
      <c r="B127" s="17">
        <f t="shared" si="13"/>
        <v>1985</v>
      </c>
      <c r="C127" s="17">
        <f t="shared" si="14"/>
        <v>4</v>
      </c>
      <c r="J127">
        <v>52.364843758270339</v>
      </c>
      <c r="K127" s="6">
        <f t="shared" si="15"/>
        <v>0</v>
      </c>
      <c r="L127" s="15">
        <f t="shared" si="16"/>
        <v>3.9582354455153266</v>
      </c>
      <c r="M127" s="16">
        <f t="shared" si="17"/>
        <v>-0.10812631528330785</v>
      </c>
      <c r="N127" s="8">
        <f t="array" ref="N127">MAX(IF($B$4:$B$507=B127,$A$4:$A$507))</f>
        <v>31412</v>
      </c>
      <c r="O127" s="8">
        <f t="array" ref="O127">MIN(IF($B$4:$B$507=B127,$A$4:$A$507))</f>
        <v>31078</v>
      </c>
      <c r="P127" s="8">
        <f t="shared" si="18"/>
        <v>30802</v>
      </c>
      <c r="Q127" s="8">
        <f t="shared" si="19"/>
        <v>31167</v>
      </c>
      <c r="R127">
        <f t="shared" si="21"/>
        <v>52.364843758270339</v>
      </c>
      <c r="S127">
        <f t="shared" si="22"/>
        <v>50.736316168088202</v>
      </c>
      <c r="T127" s="20">
        <f t="shared" si="20"/>
        <v>3.2097868217055181E-2</v>
      </c>
      <c r="U127" s="20">
        <f t="shared" si="23"/>
        <v>8.4242277805570198E-2</v>
      </c>
    </row>
    <row r="128" spans="1:21" x14ac:dyDescent="0.2">
      <c r="A128" s="8">
        <f t="shared" si="12"/>
        <v>31198</v>
      </c>
      <c r="B128" s="17">
        <f t="shared" si="13"/>
        <v>1985</v>
      </c>
      <c r="C128" s="17">
        <f t="shared" si="14"/>
        <v>5</v>
      </c>
      <c r="J128">
        <v>59.180078088504096</v>
      </c>
      <c r="K128" s="6">
        <f t="shared" si="15"/>
        <v>0</v>
      </c>
      <c r="L128" s="15">
        <f t="shared" si="16"/>
        <v>4.0805849664795417</v>
      </c>
      <c r="M128" s="16">
        <f t="shared" si="17"/>
        <v>0.12234952096421514</v>
      </c>
      <c r="N128" s="8">
        <f t="array" ref="N128">MAX(IF($B$4:$B$507=B128,$A$4:$A$507))</f>
        <v>31412</v>
      </c>
      <c r="O128" s="8">
        <f t="array" ref="O128">MIN(IF($B$4:$B$507=B128,$A$4:$A$507))</f>
        <v>31078</v>
      </c>
      <c r="P128" s="8">
        <f t="shared" si="18"/>
        <v>30833</v>
      </c>
      <c r="Q128" s="8">
        <f t="shared" si="19"/>
        <v>31198</v>
      </c>
      <c r="R128">
        <f t="shared" si="21"/>
        <v>59.180078088504096</v>
      </c>
      <c r="S128">
        <f t="shared" si="22"/>
        <v>57.791220596499713</v>
      </c>
      <c r="T128" s="20">
        <f t="shared" si="20"/>
        <v>2.4032326669502835E-2</v>
      </c>
      <c r="U128" s="20">
        <f t="shared" si="23"/>
        <v>8.4242277805570198E-2</v>
      </c>
    </row>
    <row r="129" spans="1:21" x14ac:dyDescent="0.2">
      <c r="A129" s="8">
        <f t="shared" si="12"/>
        <v>31228</v>
      </c>
      <c r="B129" s="17">
        <f t="shared" si="13"/>
        <v>1985</v>
      </c>
      <c r="C129" s="17">
        <f t="shared" si="14"/>
        <v>6</v>
      </c>
      <c r="J129">
        <v>61.054421163996672</v>
      </c>
      <c r="K129" s="6">
        <f t="shared" si="15"/>
        <v>0</v>
      </c>
      <c r="L129" s="15">
        <f t="shared" si="16"/>
        <v>4.1117656166732877</v>
      </c>
      <c r="M129" s="16">
        <f t="shared" si="17"/>
        <v>3.118065019374594E-2</v>
      </c>
      <c r="N129" s="8">
        <f t="array" ref="N129">MAX(IF($B$4:$B$507=B129,$A$4:$A$507))</f>
        <v>31412</v>
      </c>
      <c r="O129" s="8">
        <f t="array" ref="O129">MIN(IF($B$4:$B$507=B129,$A$4:$A$507))</f>
        <v>31078</v>
      </c>
      <c r="P129" s="8">
        <f t="shared" si="18"/>
        <v>30863</v>
      </c>
      <c r="Q129" s="8">
        <f t="shared" si="19"/>
        <v>31228</v>
      </c>
      <c r="R129">
        <f t="shared" si="21"/>
        <v>61.054421163996672</v>
      </c>
      <c r="S129">
        <f t="shared" si="22"/>
        <v>59.456620509478384</v>
      </c>
      <c r="T129" s="20">
        <f t="shared" si="20"/>
        <v>2.6873385012919915E-2</v>
      </c>
      <c r="U129" s="20">
        <f t="shared" si="23"/>
        <v>8.4242277805570198E-2</v>
      </c>
    </row>
    <row r="130" spans="1:21" x14ac:dyDescent="0.2">
      <c r="A130" s="8">
        <f t="shared" si="12"/>
        <v>31259</v>
      </c>
      <c r="B130" s="17">
        <f t="shared" si="13"/>
        <v>1985</v>
      </c>
      <c r="C130" s="17">
        <f t="shared" si="14"/>
        <v>7</v>
      </c>
      <c r="J130">
        <v>67.507077653397431</v>
      </c>
      <c r="K130" s="6">
        <f t="shared" si="15"/>
        <v>0</v>
      </c>
      <c r="L130" s="15">
        <f t="shared" si="16"/>
        <v>4.2122324465060812</v>
      </c>
      <c r="M130" s="16">
        <f t="shared" si="17"/>
        <v>0.10046682983279354</v>
      </c>
      <c r="N130" s="8">
        <f t="array" ref="N130">MAX(IF($B$4:$B$507=B130,$A$4:$A$507))</f>
        <v>31412</v>
      </c>
      <c r="O130" s="8">
        <f t="array" ref="O130">MIN(IF($B$4:$B$507=B130,$A$4:$A$507))</f>
        <v>31078</v>
      </c>
      <c r="P130" s="8">
        <f t="shared" si="18"/>
        <v>30894</v>
      </c>
      <c r="Q130" s="8">
        <f t="shared" si="19"/>
        <v>31259</v>
      </c>
      <c r="R130">
        <f t="shared" si="21"/>
        <v>67.507077653397431</v>
      </c>
      <c r="S130">
        <f t="shared" si="22"/>
        <v>61.711977587202284</v>
      </c>
      <c r="T130" s="20">
        <f t="shared" si="20"/>
        <v>9.3905596494721966E-2</v>
      </c>
      <c r="U130" s="20">
        <f t="shared" si="23"/>
        <v>8.4242277805570198E-2</v>
      </c>
    </row>
    <row r="131" spans="1:21" x14ac:dyDescent="0.2">
      <c r="A131" s="8">
        <f t="shared" si="12"/>
        <v>31290</v>
      </c>
      <c r="B131" s="17">
        <f t="shared" si="13"/>
        <v>1985</v>
      </c>
      <c r="C131" s="17">
        <f t="shared" si="14"/>
        <v>8</v>
      </c>
      <c r="J131">
        <v>68.809899725543104</v>
      </c>
      <c r="K131" s="6">
        <f t="shared" si="15"/>
        <v>0</v>
      </c>
      <c r="L131" s="15">
        <f t="shared" si="16"/>
        <v>4.2313476259475671</v>
      </c>
      <c r="M131" s="16">
        <f t="shared" si="17"/>
        <v>1.9115179441485886E-2</v>
      </c>
      <c r="N131" s="8">
        <f t="array" ref="N131">MAX(IF($B$4:$B$507=B131,$A$4:$A$507))</f>
        <v>31412</v>
      </c>
      <c r="O131" s="8">
        <f t="array" ref="O131">MIN(IF($B$4:$B$507=B131,$A$4:$A$507))</f>
        <v>31078</v>
      </c>
      <c r="P131" s="8">
        <f t="shared" si="18"/>
        <v>30925</v>
      </c>
      <c r="Q131" s="8">
        <f t="shared" si="19"/>
        <v>31290</v>
      </c>
      <c r="R131">
        <f t="shared" si="21"/>
        <v>68.809899725543104</v>
      </c>
      <c r="S131">
        <f t="shared" si="22"/>
        <v>63.457267532906819</v>
      </c>
      <c r="T131" s="20">
        <f t="shared" si="20"/>
        <v>8.4350184001550144E-2</v>
      </c>
      <c r="U131" s="20">
        <f t="shared" si="23"/>
        <v>8.4242277805570198E-2</v>
      </c>
    </row>
    <row r="132" spans="1:21" x14ac:dyDescent="0.2">
      <c r="A132" s="8">
        <f t="shared" ref="A132:A195" si="24">EOMONTH(A133,-1)</f>
        <v>31320</v>
      </c>
      <c r="B132" s="17">
        <f t="shared" ref="B132:B195" si="25">YEAR(A132)</f>
        <v>1985</v>
      </c>
      <c r="C132" s="17">
        <f t="shared" ref="C132:C195" si="26">MONTH(A132)</f>
        <v>9</v>
      </c>
      <c r="J132">
        <v>67.691439267380332</v>
      </c>
      <c r="K132" s="6">
        <f t="shared" ref="K132:K195" si="27">IF(AND(ISNUMBER(D132),ISNUMBER(E132)),D132-E132,IF(AND(ISNUMBER(F132),ISNUMBER(G132)),F132-G132,H132-I132))</f>
        <v>0</v>
      </c>
      <c r="L132" s="15">
        <f t="shared" ref="L132:L195" si="28">LN(J132)</f>
        <v>4.2149597209238143</v>
      </c>
      <c r="M132" s="16">
        <f t="shared" ref="M132:M195" si="29">L132-L131</f>
        <v>-1.6387905023752758E-2</v>
      </c>
      <c r="N132" s="8">
        <f t="array" ref="N132">MAX(IF($B$4:$B$507=B132,$A$4:$A$507))</f>
        <v>31412</v>
      </c>
      <c r="O132" s="8">
        <f t="array" ref="O132">MIN(IF($B$4:$B$507=B132,$A$4:$A$507))</f>
        <v>31078</v>
      </c>
      <c r="P132" s="8">
        <f t="shared" ref="P132:P195" si="30">EOMONTH(Q132,-12)</f>
        <v>30955</v>
      </c>
      <c r="Q132" s="8">
        <f t="shared" ref="Q132:Q195" si="31">A132</f>
        <v>31320</v>
      </c>
      <c r="R132">
        <f t="shared" si="21"/>
        <v>67.691439267380332</v>
      </c>
      <c r="S132">
        <f t="shared" si="22"/>
        <v>60.15719464261332</v>
      </c>
      <c r="T132" s="20">
        <f t="shared" ref="T132:T195" si="32">R132/S132-1</f>
        <v>0.12524261926652436</v>
      </c>
      <c r="U132" s="20">
        <f t="shared" si="23"/>
        <v>8.4242277805570198E-2</v>
      </c>
    </row>
    <row r="133" spans="1:21" x14ac:dyDescent="0.2">
      <c r="A133" s="8">
        <f t="shared" si="24"/>
        <v>31351</v>
      </c>
      <c r="B133" s="17">
        <f t="shared" si="25"/>
        <v>1985</v>
      </c>
      <c r="C133" s="17">
        <f t="shared" si="26"/>
        <v>10</v>
      </c>
      <c r="J133">
        <v>73.929007207134347</v>
      </c>
      <c r="K133" s="6">
        <f t="shared" si="27"/>
        <v>0</v>
      </c>
      <c r="L133" s="15">
        <f t="shared" si="28"/>
        <v>4.3031052706560944</v>
      </c>
      <c r="M133" s="16">
        <f t="shared" si="29"/>
        <v>8.814554973228006E-2</v>
      </c>
      <c r="N133" s="8">
        <f t="array" ref="N133">MAX(IF($B$4:$B$507=B133,$A$4:$A$507))</f>
        <v>31412</v>
      </c>
      <c r="O133" s="8">
        <f t="array" ref="O133">MIN(IF($B$4:$B$507=B133,$A$4:$A$507))</f>
        <v>31078</v>
      </c>
      <c r="P133" s="8">
        <f t="shared" si="30"/>
        <v>30986</v>
      </c>
      <c r="Q133" s="8">
        <f t="shared" si="31"/>
        <v>31351</v>
      </c>
      <c r="R133">
        <f t="shared" ref="R133:R196" si="33">VLOOKUP(Q133,$A$4:$L$507,$J$1,FALSE)</f>
        <v>73.929007207134347</v>
      </c>
      <c r="S133">
        <f t="shared" ref="S133:S196" si="34">VLOOKUP(P133,$A$4:$L$507,$J$1,FALSE)</f>
        <v>65.350046769797785</v>
      </c>
      <c r="T133" s="20">
        <f t="shared" si="32"/>
        <v>0.13127703592251172</v>
      </c>
      <c r="U133" s="20">
        <f t="shared" ref="U133:U196" si="35">AVERAGEIF($B$4:$B$507,B133,$T$4:$T$507)</f>
        <v>8.4242277805570198E-2</v>
      </c>
    </row>
    <row r="134" spans="1:21" x14ac:dyDescent="0.2">
      <c r="A134" s="8">
        <f t="shared" si="24"/>
        <v>31381</v>
      </c>
      <c r="B134" s="17">
        <f t="shared" si="25"/>
        <v>1985</v>
      </c>
      <c r="C134" s="17">
        <f t="shared" si="26"/>
        <v>11</v>
      </c>
      <c r="J134">
        <v>66.88024816585569</v>
      </c>
      <c r="K134" s="6">
        <f t="shared" si="27"/>
        <v>0</v>
      </c>
      <c r="L134" s="15">
        <f t="shared" si="28"/>
        <v>4.2029036793834331</v>
      </c>
      <c r="M134" s="16">
        <f t="shared" si="29"/>
        <v>-0.10020159127266126</v>
      </c>
      <c r="N134" s="8">
        <f t="array" ref="N134">MAX(IF($B$4:$B$507=B134,$A$4:$A$507))</f>
        <v>31412</v>
      </c>
      <c r="O134" s="8">
        <f t="array" ref="O134">MIN(IF($B$4:$B$507=B134,$A$4:$A$507))</f>
        <v>31078</v>
      </c>
      <c r="P134" s="8">
        <f t="shared" si="30"/>
        <v>31016</v>
      </c>
      <c r="Q134" s="8">
        <f t="shared" si="31"/>
        <v>31381</v>
      </c>
      <c r="R134">
        <f t="shared" si="33"/>
        <v>66.88024816585569</v>
      </c>
      <c r="S134">
        <f t="shared" si="34"/>
        <v>60.814751065818925</v>
      </c>
      <c r="T134" s="20">
        <f t="shared" si="32"/>
        <v>9.9737267582862721E-2</v>
      </c>
      <c r="U134" s="20">
        <f t="shared" si="35"/>
        <v>8.4242277805570198E-2</v>
      </c>
    </row>
    <row r="135" spans="1:21" x14ac:dyDescent="0.2">
      <c r="A135" s="8">
        <f t="shared" si="24"/>
        <v>31412</v>
      </c>
      <c r="B135" s="17">
        <f t="shared" si="25"/>
        <v>1985</v>
      </c>
      <c r="C135" s="17">
        <f t="shared" si="26"/>
        <v>12</v>
      </c>
      <c r="J135">
        <v>61.429289779095235</v>
      </c>
      <c r="K135" s="6">
        <f t="shared" si="27"/>
        <v>0</v>
      </c>
      <c r="L135" s="15">
        <f t="shared" si="28"/>
        <v>4.1178867536422139</v>
      </c>
      <c r="M135" s="16">
        <f t="shared" si="29"/>
        <v>-8.5016925741219218E-2</v>
      </c>
      <c r="N135" s="8">
        <f t="array" ref="N135">MAX(IF($B$4:$B$507=B135,$A$4:$A$507))</f>
        <v>31412</v>
      </c>
      <c r="O135" s="8">
        <f t="array" ref="O135">MIN(IF($B$4:$B$507=B135,$A$4:$A$507))</f>
        <v>31078</v>
      </c>
      <c r="P135" s="8">
        <f t="shared" si="30"/>
        <v>31047</v>
      </c>
      <c r="Q135" s="8">
        <f t="shared" si="31"/>
        <v>31412</v>
      </c>
      <c r="R135">
        <f t="shared" si="33"/>
        <v>61.429289779095235</v>
      </c>
      <c r="S135">
        <f t="shared" si="34"/>
        <v>54.939760966897907</v>
      </c>
      <c r="T135" s="20">
        <f t="shared" si="32"/>
        <v>0.11812080536912739</v>
      </c>
      <c r="U135" s="20">
        <f t="shared" si="35"/>
        <v>8.4242277805570198E-2</v>
      </c>
    </row>
    <row r="136" spans="1:21" x14ac:dyDescent="0.2">
      <c r="A136" s="8">
        <f t="shared" si="24"/>
        <v>31443</v>
      </c>
      <c r="B136" s="17">
        <f t="shared" si="25"/>
        <v>1986</v>
      </c>
      <c r="C136" s="17">
        <f t="shared" si="26"/>
        <v>1</v>
      </c>
      <c r="J136">
        <v>62.725966464108154</v>
      </c>
      <c r="K136" s="6">
        <f t="shared" si="27"/>
        <v>0</v>
      </c>
      <c r="L136" s="15">
        <f t="shared" si="28"/>
        <v>4.1387755000908699</v>
      </c>
      <c r="M136" s="16">
        <f t="shared" si="29"/>
        <v>2.0888746448656015E-2</v>
      </c>
      <c r="N136" s="8">
        <f t="array" ref="N136">MAX(IF($B$4:$B$507=B136,$A$4:$A$507))</f>
        <v>31777</v>
      </c>
      <c r="O136" s="8">
        <f t="array" ref="O136">MIN(IF($B$4:$B$507=B136,$A$4:$A$507))</f>
        <v>31443</v>
      </c>
      <c r="P136" s="8">
        <f t="shared" si="30"/>
        <v>31078</v>
      </c>
      <c r="Q136" s="8">
        <f t="shared" si="31"/>
        <v>31443</v>
      </c>
      <c r="R136">
        <f t="shared" si="33"/>
        <v>62.725966464108154</v>
      </c>
      <c r="S136">
        <f t="shared" si="34"/>
        <v>56.451526201557478</v>
      </c>
      <c r="T136" s="20">
        <f t="shared" si="32"/>
        <v>0.11114739821467512</v>
      </c>
      <c r="U136" s="20">
        <f t="shared" si="35"/>
        <v>0.11054656684779335</v>
      </c>
    </row>
    <row r="137" spans="1:21" x14ac:dyDescent="0.2">
      <c r="A137" s="8">
        <f t="shared" si="24"/>
        <v>31471</v>
      </c>
      <c r="B137" s="17">
        <f t="shared" si="25"/>
        <v>1986</v>
      </c>
      <c r="C137" s="17">
        <f t="shared" si="26"/>
        <v>2</v>
      </c>
      <c r="J137">
        <v>59.02644341018501</v>
      </c>
      <c r="K137" s="6">
        <f t="shared" si="27"/>
        <v>0</v>
      </c>
      <c r="L137" s="15">
        <f t="shared" si="28"/>
        <v>4.0779855368900275</v>
      </c>
      <c r="M137" s="16">
        <f t="shared" si="29"/>
        <v>-6.0789963200842401E-2</v>
      </c>
      <c r="N137" s="8">
        <f t="array" ref="N137">MAX(IF($B$4:$B$507=B137,$A$4:$A$507))</f>
        <v>31777</v>
      </c>
      <c r="O137" s="8">
        <f t="array" ref="O137">MIN(IF($B$4:$B$507=B137,$A$4:$A$507))</f>
        <v>31443</v>
      </c>
      <c r="P137" s="8">
        <f t="shared" si="30"/>
        <v>31106</v>
      </c>
      <c r="Q137" s="8">
        <f t="shared" si="31"/>
        <v>31471</v>
      </c>
      <c r="R137">
        <f t="shared" si="33"/>
        <v>59.02644341018501</v>
      </c>
      <c r="S137">
        <f t="shared" si="34"/>
        <v>52.229645241349537</v>
      </c>
      <c r="T137" s="20">
        <f t="shared" si="32"/>
        <v>0.1301329568184495</v>
      </c>
      <c r="U137" s="20">
        <f t="shared" si="35"/>
        <v>0.11054656684779335</v>
      </c>
    </row>
    <row r="138" spans="1:21" x14ac:dyDescent="0.2">
      <c r="A138" s="8">
        <f t="shared" si="24"/>
        <v>31502</v>
      </c>
      <c r="B138" s="17">
        <f t="shared" si="25"/>
        <v>1986</v>
      </c>
      <c r="C138" s="17">
        <f t="shared" si="26"/>
        <v>3</v>
      </c>
      <c r="J138">
        <v>60.366137805127302</v>
      </c>
      <c r="K138" s="6">
        <f t="shared" si="27"/>
        <v>0</v>
      </c>
      <c r="L138" s="15">
        <f t="shared" si="28"/>
        <v>4.1004283153622412</v>
      </c>
      <c r="M138" s="16">
        <f t="shared" si="29"/>
        <v>2.2442778472213654E-2</v>
      </c>
      <c r="N138" s="8">
        <f t="array" ref="N138">MAX(IF($B$4:$B$507=B138,$A$4:$A$507))</f>
        <v>31777</v>
      </c>
      <c r="O138" s="8">
        <f t="array" ref="O138">MIN(IF($B$4:$B$507=B138,$A$4:$A$507))</f>
        <v>31443</v>
      </c>
      <c r="P138" s="8">
        <f t="shared" si="30"/>
        <v>31137</v>
      </c>
      <c r="Q138" s="8">
        <f t="shared" si="31"/>
        <v>31502</v>
      </c>
      <c r="R138">
        <f t="shared" si="33"/>
        <v>60.366137805127302</v>
      </c>
      <c r="S138">
        <f t="shared" si="34"/>
        <v>58.344305438448373</v>
      </c>
      <c r="T138" s="20">
        <f t="shared" si="32"/>
        <v>3.4653465346535128E-2</v>
      </c>
      <c r="U138" s="20">
        <f t="shared" si="35"/>
        <v>0.11054656684779335</v>
      </c>
    </row>
    <row r="139" spans="1:21" x14ac:dyDescent="0.2">
      <c r="A139" s="8">
        <f t="shared" si="24"/>
        <v>31532</v>
      </c>
      <c r="B139" s="17">
        <f t="shared" si="25"/>
        <v>1986</v>
      </c>
      <c r="C139" s="17">
        <f t="shared" si="26"/>
        <v>4</v>
      </c>
      <c r="J139">
        <v>62.842728819630622</v>
      </c>
      <c r="K139" s="6">
        <f t="shared" si="27"/>
        <v>0</v>
      </c>
      <c r="L139" s="15">
        <f t="shared" si="28"/>
        <v>4.1406352373273156</v>
      </c>
      <c r="M139" s="16">
        <f t="shared" si="29"/>
        <v>4.0206921965074471E-2</v>
      </c>
      <c r="N139" s="8">
        <f t="array" ref="N139">MAX(IF($B$4:$B$507=B139,$A$4:$A$507))</f>
        <v>31777</v>
      </c>
      <c r="O139" s="8">
        <f t="array" ref="O139">MIN(IF($B$4:$B$507=B139,$A$4:$A$507))</f>
        <v>31443</v>
      </c>
      <c r="P139" s="8">
        <f t="shared" si="30"/>
        <v>31167</v>
      </c>
      <c r="Q139" s="8">
        <f t="shared" si="31"/>
        <v>31532</v>
      </c>
      <c r="R139">
        <f t="shared" si="33"/>
        <v>62.842728819630622</v>
      </c>
      <c r="S139">
        <f t="shared" si="34"/>
        <v>52.364843758270339</v>
      </c>
      <c r="T139" s="20">
        <f t="shared" si="32"/>
        <v>0.20009388569416742</v>
      </c>
      <c r="U139" s="20">
        <f t="shared" si="35"/>
        <v>0.11054656684779335</v>
      </c>
    </row>
    <row r="140" spans="1:21" x14ac:dyDescent="0.2">
      <c r="A140" s="8">
        <f t="shared" si="24"/>
        <v>31563</v>
      </c>
      <c r="B140" s="17">
        <f t="shared" si="25"/>
        <v>1986</v>
      </c>
      <c r="C140" s="17">
        <f t="shared" si="26"/>
        <v>5</v>
      </c>
      <c r="J140">
        <v>65.522117609515078</v>
      </c>
      <c r="K140" s="6">
        <f t="shared" si="27"/>
        <v>0</v>
      </c>
      <c r="L140" s="15">
        <f t="shared" si="28"/>
        <v>4.1823877590700764</v>
      </c>
      <c r="M140" s="16">
        <f t="shared" si="29"/>
        <v>4.1752521742760784E-2</v>
      </c>
      <c r="N140" s="8">
        <f t="array" ref="N140">MAX(IF($B$4:$B$507=B140,$A$4:$A$507))</f>
        <v>31777</v>
      </c>
      <c r="O140" s="8">
        <f t="array" ref="O140">MIN(IF($B$4:$B$507=B140,$A$4:$A$507))</f>
        <v>31443</v>
      </c>
      <c r="P140" s="8">
        <f t="shared" si="30"/>
        <v>31198</v>
      </c>
      <c r="Q140" s="8">
        <f t="shared" si="31"/>
        <v>31563</v>
      </c>
      <c r="R140">
        <f t="shared" si="33"/>
        <v>65.522117609515078</v>
      </c>
      <c r="S140">
        <f t="shared" si="34"/>
        <v>59.180078088504096</v>
      </c>
      <c r="T140" s="20">
        <f t="shared" si="32"/>
        <v>0.10716510903426713</v>
      </c>
      <c r="U140" s="20">
        <f t="shared" si="35"/>
        <v>0.11054656684779335</v>
      </c>
    </row>
    <row r="141" spans="1:21" x14ac:dyDescent="0.2">
      <c r="A141" s="8">
        <f t="shared" si="24"/>
        <v>31593</v>
      </c>
      <c r="B141" s="17">
        <f t="shared" si="25"/>
        <v>1986</v>
      </c>
      <c r="C141" s="17">
        <f t="shared" si="26"/>
        <v>6</v>
      </c>
      <c r="J141">
        <v>69.362984567491793</v>
      </c>
      <c r="K141" s="6">
        <f t="shared" si="27"/>
        <v>0</v>
      </c>
      <c r="L141" s="15">
        <f t="shared" si="28"/>
        <v>4.2393533616429977</v>
      </c>
      <c r="M141" s="16">
        <f t="shared" si="29"/>
        <v>5.696560257292127E-2</v>
      </c>
      <c r="N141" s="8">
        <f t="array" ref="N141">MAX(IF($B$4:$B$507=B141,$A$4:$A$507))</f>
        <v>31777</v>
      </c>
      <c r="O141" s="8">
        <f t="array" ref="O141">MIN(IF($B$4:$B$507=B141,$A$4:$A$507))</f>
        <v>31443</v>
      </c>
      <c r="P141" s="8">
        <f t="shared" si="30"/>
        <v>31228</v>
      </c>
      <c r="Q141" s="8">
        <f t="shared" si="31"/>
        <v>31593</v>
      </c>
      <c r="R141">
        <f t="shared" si="33"/>
        <v>69.362984567491793</v>
      </c>
      <c r="S141">
        <f t="shared" si="34"/>
        <v>61.054421163996672</v>
      </c>
      <c r="T141" s="20">
        <f t="shared" si="32"/>
        <v>0.13608454957222027</v>
      </c>
      <c r="U141" s="20">
        <f t="shared" si="35"/>
        <v>0.11054656684779335</v>
      </c>
    </row>
    <row r="142" spans="1:21" x14ac:dyDescent="0.2">
      <c r="A142" s="8">
        <f t="shared" si="24"/>
        <v>31624</v>
      </c>
      <c r="B142" s="17">
        <f t="shared" si="25"/>
        <v>1986</v>
      </c>
      <c r="C142" s="17">
        <f t="shared" si="26"/>
        <v>7</v>
      </c>
      <c r="J142">
        <v>75.0597584395627</v>
      </c>
      <c r="K142" s="6">
        <f t="shared" si="27"/>
        <v>0</v>
      </c>
      <c r="L142" s="15">
        <f t="shared" si="28"/>
        <v>4.3182845754704502</v>
      </c>
      <c r="M142" s="16">
        <f t="shared" si="29"/>
        <v>7.8931213827452495E-2</v>
      </c>
      <c r="N142" s="8">
        <f t="array" ref="N142">MAX(IF($B$4:$B$507=B142,$A$4:$A$507))</f>
        <v>31777</v>
      </c>
      <c r="O142" s="8">
        <f t="array" ref="O142">MIN(IF($B$4:$B$507=B142,$A$4:$A$507))</f>
        <v>31443</v>
      </c>
      <c r="P142" s="8">
        <f t="shared" si="30"/>
        <v>31259</v>
      </c>
      <c r="Q142" s="8">
        <f t="shared" si="31"/>
        <v>31624</v>
      </c>
      <c r="R142">
        <f t="shared" si="33"/>
        <v>75.0597584395627</v>
      </c>
      <c r="S142">
        <f t="shared" si="34"/>
        <v>67.507077653397431</v>
      </c>
      <c r="T142" s="20">
        <f t="shared" si="32"/>
        <v>0.11187983614019115</v>
      </c>
      <c r="U142" s="20">
        <f t="shared" si="35"/>
        <v>0.11054656684779335</v>
      </c>
    </row>
    <row r="143" spans="1:21" x14ac:dyDescent="0.2">
      <c r="A143" s="8">
        <f t="shared" si="24"/>
        <v>31655</v>
      </c>
      <c r="B143" s="17">
        <f t="shared" si="25"/>
        <v>1986</v>
      </c>
      <c r="C143" s="17">
        <f t="shared" si="26"/>
        <v>8</v>
      </c>
      <c r="J143">
        <v>74.36532969356054</v>
      </c>
      <c r="K143" s="6">
        <f t="shared" si="27"/>
        <v>0</v>
      </c>
      <c r="L143" s="15">
        <f t="shared" si="28"/>
        <v>4.3089898344854234</v>
      </c>
      <c r="M143" s="16">
        <f t="shared" si="29"/>
        <v>-9.2947409850268059E-3</v>
      </c>
      <c r="N143" s="8">
        <f t="array" ref="N143">MAX(IF($B$4:$B$507=B143,$A$4:$A$507))</f>
        <v>31777</v>
      </c>
      <c r="O143" s="8">
        <f t="array" ref="O143">MIN(IF($B$4:$B$507=B143,$A$4:$A$507))</f>
        <v>31443</v>
      </c>
      <c r="P143" s="8">
        <f t="shared" si="30"/>
        <v>31290</v>
      </c>
      <c r="Q143" s="8">
        <f t="shared" si="31"/>
        <v>31655</v>
      </c>
      <c r="R143">
        <f t="shared" si="33"/>
        <v>74.36532969356054</v>
      </c>
      <c r="S143">
        <f t="shared" si="34"/>
        <v>68.809899725543104</v>
      </c>
      <c r="T143" s="20">
        <f t="shared" si="32"/>
        <v>8.0735911404840932E-2</v>
      </c>
      <c r="U143" s="20">
        <f t="shared" si="35"/>
        <v>0.11054656684779335</v>
      </c>
    </row>
    <row r="144" spans="1:21" x14ac:dyDescent="0.2">
      <c r="A144" s="8">
        <f t="shared" si="24"/>
        <v>31685</v>
      </c>
      <c r="B144" s="17">
        <f t="shared" si="25"/>
        <v>1986</v>
      </c>
      <c r="C144" s="17">
        <f t="shared" si="26"/>
        <v>9</v>
      </c>
      <c r="J144">
        <v>78.304522845661424</v>
      </c>
      <c r="K144" s="6">
        <f t="shared" si="27"/>
        <v>0</v>
      </c>
      <c r="L144" s="15">
        <f t="shared" si="28"/>
        <v>4.3606053643638045</v>
      </c>
      <c r="M144" s="16">
        <f t="shared" si="29"/>
        <v>5.1615529878381139E-2</v>
      </c>
      <c r="N144" s="8">
        <f t="array" ref="N144">MAX(IF($B$4:$B$507=B144,$A$4:$A$507))</f>
        <v>31777</v>
      </c>
      <c r="O144" s="8">
        <f t="array" ref="O144">MIN(IF($B$4:$B$507=B144,$A$4:$A$507))</f>
        <v>31443</v>
      </c>
      <c r="P144" s="8">
        <f t="shared" si="30"/>
        <v>31320</v>
      </c>
      <c r="Q144" s="8">
        <f t="shared" si="31"/>
        <v>31685</v>
      </c>
      <c r="R144">
        <f t="shared" si="33"/>
        <v>78.304522845661424</v>
      </c>
      <c r="S144">
        <f t="shared" si="34"/>
        <v>67.691439267380332</v>
      </c>
      <c r="T144" s="20">
        <f t="shared" si="32"/>
        <v>0.15678620063549764</v>
      </c>
      <c r="U144" s="20">
        <f t="shared" si="35"/>
        <v>0.11054656684779335</v>
      </c>
    </row>
    <row r="145" spans="1:21" x14ac:dyDescent="0.2">
      <c r="A145" s="8">
        <f t="shared" si="24"/>
        <v>31716</v>
      </c>
      <c r="B145" s="17">
        <f t="shared" si="25"/>
        <v>1986</v>
      </c>
      <c r="C145" s="17">
        <f t="shared" si="26"/>
        <v>10</v>
      </c>
      <c r="J145">
        <v>81.770521188539277</v>
      </c>
      <c r="K145" s="6">
        <f t="shared" si="27"/>
        <v>0</v>
      </c>
      <c r="L145" s="15">
        <f t="shared" si="28"/>
        <v>4.403916801989201</v>
      </c>
      <c r="M145" s="16">
        <f t="shared" si="29"/>
        <v>4.3311437625396465E-2</v>
      </c>
      <c r="N145" s="8">
        <f t="array" ref="N145">MAX(IF($B$4:$B$507=B145,$A$4:$A$507))</f>
        <v>31777</v>
      </c>
      <c r="O145" s="8">
        <f t="array" ref="O145">MIN(IF($B$4:$B$507=B145,$A$4:$A$507))</f>
        <v>31443</v>
      </c>
      <c r="P145" s="8">
        <f t="shared" si="30"/>
        <v>31351</v>
      </c>
      <c r="Q145" s="8">
        <f t="shared" si="31"/>
        <v>31716</v>
      </c>
      <c r="R145">
        <f t="shared" si="33"/>
        <v>81.770521188539277</v>
      </c>
      <c r="S145">
        <f t="shared" si="34"/>
        <v>73.929007207134347</v>
      </c>
      <c r="T145" s="20">
        <f t="shared" si="32"/>
        <v>0.10606816292601584</v>
      </c>
      <c r="U145" s="20">
        <f t="shared" si="35"/>
        <v>0.11054656684779335</v>
      </c>
    </row>
    <row r="146" spans="1:21" x14ac:dyDescent="0.2">
      <c r="A146" s="8">
        <f t="shared" si="24"/>
        <v>31746</v>
      </c>
      <c r="B146" s="17">
        <f t="shared" si="25"/>
        <v>1986</v>
      </c>
      <c r="C146" s="17">
        <f t="shared" si="26"/>
        <v>11</v>
      </c>
      <c r="J146">
        <v>72.49713200520074</v>
      </c>
      <c r="K146" s="6">
        <f t="shared" si="27"/>
        <v>0</v>
      </c>
      <c r="L146" s="15">
        <f t="shared" si="28"/>
        <v>4.2835470025292137</v>
      </c>
      <c r="M146" s="16">
        <f t="shared" si="29"/>
        <v>-0.12036979945998727</v>
      </c>
      <c r="N146" s="8">
        <f t="array" ref="N146">MAX(IF($B$4:$B$507=B146,$A$4:$A$507))</f>
        <v>31777</v>
      </c>
      <c r="O146" s="8">
        <f t="array" ref="O146">MIN(IF($B$4:$B$507=B146,$A$4:$A$507))</f>
        <v>31443</v>
      </c>
      <c r="P146" s="8">
        <f t="shared" si="30"/>
        <v>31381</v>
      </c>
      <c r="Q146" s="8">
        <f t="shared" si="31"/>
        <v>31746</v>
      </c>
      <c r="R146">
        <f t="shared" si="33"/>
        <v>72.49713200520074</v>
      </c>
      <c r="S146">
        <f t="shared" si="34"/>
        <v>66.88024816585569</v>
      </c>
      <c r="T146" s="20">
        <f t="shared" si="32"/>
        <v>8.3984195534319683E-2</v>
      </c>
      <c r="U146" s="20">
        <f t="shared" si="35"/>
        <v>0.11054656684779335</v>
      </c>
    </row>
    <row r="147" spans="1:21" x14ac:dyDescent="0.2">
      <c r="A147" s="8">
        <f t="shared" si="24"/>
        <v>31777</v>
      </c>
      <c r="B147" s="17">
        <f t="shared" si="25"/>
        <v>1986</v>
      </c>
      <c r="C147" s="17">
        <f t="shared" si="26"/>
        <v>12</v>
      </c>
      <c r="J147">
        <v>65.595862255108258</v>
      </c>
      <c r="K147" s="6">
        <f t="shared" si="27"/>
        <v>0</v>
      </c>
      <c r="L147" s="15">
        <f t="shared" si="28"/>
        <v>4.1835126185812603</v>
      </c>
      <c r="M147" s="16">
        <f t="shared" si="29"/>
        <v>-0.10003438394795339</v>
      </c>
      <c r="N147" s="8">
        <f t="array" ref="N147">MAX(IF($B$4:$B$507=B147,$A$4:$A$507))</f>
        <v>31777</v>
      </c>
      <c r="O147" s="8">
        <f t="array" ref="O147">MIN(IF($B$4:$B$507=B147,$A$4:$A$507))</f>
        <v>31443</v>
      </c>
      <c r="P147" s="8">
        <f t="shared" si="30"/>
        <v>31412</v>
      </c>
      <c r="Q147" s="8">
        <f t="shared" si="31"/>
        <v>31777</v>
      </c>
      <c r="R147">
        <f t="shared" si="33"/>
        <v>65.595862255108258</v>
      </c>
      <c r="S147">
        <f t="shared" si="34"/>
        <v>61.429289779095235</v>
      </c>
      <c r="T147" s="20">
        <f t="shared" si="32"/>
        <v>6.7827130852340378E-2</v>
      </c>
      <c r="U147" s="20">
        <f t="shared" si="35"/>
        <v>0.11054656684779335</v>
      </c>
    </row>
    <row r="148" spans="1:21" x14ac:dyDescent="0.2">
      <c r="A148" s="8">
        <f t="shared" si="24"/>
        <v>31808</v>
      </c>
      <c r="B148" s="17">
        <f t="shared" si="25"/>
        <v>1987</v>
      </c>
      <c r="C148" s="17">
        <f t="shared" si="26"/>
        <v>1</v>
      </c>
      <c r="J148">
        <v>66.720468100403821</v>
      </c>
      <c r="K148" s="6">
        <f t="shared" si="27"/>
        <v>0</v>
      </c>
      <c r="L148" s="15">
        <f t="shared" si="28"/>
        <v>4.2005117739192226</v>
      </c>
      <c r="M148" s="16">
        <f t="shared" si="29"/>
        <v>1.6999155337962257E-2</v>
      </c>
      <c r="N148" s="8">
        <f t="array" ref="N148">MAX(IF($B$4:$B$507=B148,$A$4:$A$507))</f>
        <v>32142</v>
      </c>
      <c r="O148" s="8">
        <f t="array" ref="O148">MIN(IF($B$4:$B$507=B148,$A$4:$A$507))</f>
        <v>31808</v>
      </c>
      <c r="P148" s="8">
        <f t="shared" si="30"/>
        <v>31443</v>
      </c>
      <c r="Q148" s="8">
        <f t="shared" si="31"/>
        <v>31808</v>
      </c>
      <c r="R148">
        <f t="shared" si="33"/>
        <v>66.720468100403821</v>
      </c>
      <c r="S148">
        <f t="shared" si="34"/>
        <v>62.725966464108154</v>
      </c>
      <c r="T148" s="20">
        <f t="shared" si="32"/>
        <v>6.3681787008914803E-2</v>
      </c>
      <c r="U148" s="20">
        <f t="shared" si="35"/>
        <v>1.5387935060318389E-2</v>
      </c>
    </row>
    <row r="149" spans="1:21" x14ac:dyDescent="0.2">
      <c r="A149" s="8">
        <f t="shared" si="24"/>
        <v>31836</v>
      </c>
      <c r="B149" s="17">
        <f t="shared" si="25"/>
        <v>1987</v>
      </c>
      <c r="C149" s="17">
        <f t="shared" si="26"/>
        <v>2</v>
      </c>
      <c r="J149">
        <v>66.284145613977714</v>
      </c>
      <c r="K149" s="6">
        <f t="shared" si="27"/>
        <v>0</v>
      </c>
      <c r="L149" s="15">
        <f t="shared" si="28"/>
        <v>4.1939507375845437</v>
      </c>
      <c r="M149" s="16">
        <f t="shared" si="29"/>
        <v>-6.5610363346788603E-3</v>
      </c>
      <c r="N149" s="8">
        <f t="array" ref="N149">MAX(IF($B$4:$B$507=B149,$A$4:$A$507))</f>
        <v>32142</v>
      </c>
      <c r="O149" s="8">
        <f t="array" ref="O149">MIN(IF($B$4:$B$507=B149,$A$4:$A$507))</f>
        <v>31808</v>
      </c>
      <c r="P149" s="8">
        <f t="shared" si="30"/>
        <v>31471</v>
      </c>
      <c r="Q149" s="8">
        <f t="shared" si="31"/>
        <v>31836</v>
      </c>
      <c r="R149">
        <f t="shared" si="33"/>
        <v>66.284145613977714</v>
      </c>
      <c r="S149">
        <f t="shared" si="34"/>
        <v>59.02644341018501</v>
      </c>
      <c r="T149" s="20">
        <f t="shared" si="32"/>
        <v>0.12295679333680454</v>
      </c>
      <c r="U149" s="20">
        <f t="shared" si="35"/>
        <v>1.5387935060318389E-2</v>
      </c>
    </row>
    <row r="150" spans="1:21" x14ac:dyDescent="0.2">
      <c r="A150" s="8">
        <f t="shared" si="24"/>
        <v>31867</v>
      </c>
      <c r="B150" s="17">
        <f t="shared" si="25"/>
        <v>1987</v>
      </c>
      <c r="C150" s="17">
        <f t="shared" si="26"/>
        <v>3</v>
      </c>
      <c r="J150">
        <v>68.828335886941446</v>
      </c>
      <c r="K150" s="6">
        <f t="shared" si="27"/>
        <v>0</v>
      </c>
      <c r="L150" s="15">
        <f t="shared" si="28"/>
        <v>4.2316155189705569</v>
      </c>
      <c r="M150" s="16">
        <f t="shared" si="29"/>
        <v>3.7664781386013146E-2</v>
      </c>
      <c r="N150" s="8">
        <f t="array" ref="N150">MAX(IF($B$4:$B$507=B150,$A$4:$A$507))</f>
        <v>32142</v>
      </c>
      <c r="O150" s="8">
        <f t="array" ref="O150">MIN(IF($B$4:$B$507=B150,$A$4:$A$507))</f>
        <v>31808</v>
      </c>
      <c r="P150" s="8">
        <f t="shared" si="30"/>
        <v>31502</v>
      </c>
      <c r="Q150" s="8">
        <f t="shared" si="31"/>
        <v>31867</v>
      </c>
      <c r="R150">
        <f t="shared" si="33"/>
        <v>68.828335886941446</v>
      </c>
      <c r="S150">
        <f t="shared" si="34"/>
        <v>60.366137805127302</v>
      </c>
      <c r="T150" s="20">
        <f t="shared" si="32"/>
        <v>0.14018120737045714</v>
      </c>
      <c r="U150" s="20">
        <f t="shared" si="35"/>
        <v>1.5387935060318389E-2</v>
      </c>
    </row>
    <row r="151" spans="1:21" x14ac:dyDescent="0.2">
      <c r="A151" s="8">
        <f t="shared" si="24"/>
        <v>31897</v>
      </c>
      <c r="B151" s="17">
        <f t="shared" si="25"/>
        <v>1987</v>
      </c>
      <c r="C151" s="17">
        <f t="shared" si="26"/>
        <v>4</v>
      </c>
      <c r="J151">
        <v>68.152343302337528</v>
      </c>
      <c r="K151" s="6">
        <f t="shared" si="27"/>
        <v>0</v>
      </c>
      <c r="L151" s="15">
        <f t="shared" si="28"/>
        <v>4.2217455420317833</v>
      </c>
      <c r="M151" s="16">
        <f t="shared" si="29"/>
        <v>-9.8699769387735614E-3</v>
      </c>
      <c r="N151" s="8">
        <f t="array" ref="N151">MAX(IF($B$4:$B$507=B151,$A$4:$A$507))</f>
        <v>32142</v>
      </c>
      <c r="O151" s="8">
        <f t="array" ref="O151">MIN(IF($B$4:$B$507=B151,$A$4:$A$507))</f>
        <v>31808</v>
      </c>
      <c r="P151" s="8">
        <f t="shared" si="30"/>
        <v>31532</v>
      </c>
      <c r="Q151" s="8">
        <f t="shared" si="31"/>
        <v>31897</v>
      </c>
      <c r="R151">
        <f t="shared" si="33"/>
        <v>68.152343302337528</v>
      </c>
      <c r="S151">
        <f t="shared" si="34"/>
        <v>62.842728819630622</v>
      </c>
      <c r="T151" s="20">
        <f t="shared" si="32"/>
        <v>8.4490514375122228E-2</v>
      </c>
      <c r="U151" s="20">
        <f t="shared" si="35"/>
        <v>1.5387935060318389E-2</v>
      </c>
    </row>
    <row r="152" spans="1:21" x14ac:dyDescent="0.2">
      <c r="A152" s="8">
        <f t="shared" si="24"/>
        <v>31928</v>
      </c>
      <c r="B152" s="17">
        <f t="shared" si="25"/>
        <v>1987</v>
      </c>
      <c r="C152" s="17">
        <f t="shared" si="26"/>
        <v>5</v>
      </c>
      <c r="J152">
        <v>68.975825178127707</v>
      </c>
      <c r="K152" s="6">
        <f t="shared" si="27"/>
        <v>0</v>
      </c>
      <c r="L152" s="15">
        <f t="shared" si="28"/>
        <v>4.2337560834696673</v>
      </c>
      <c r="M152" s="16">
        <f t="shared" si="29"/>
        <v>1.2010541437883937E-2</v>
      </c>
      <c r="N152" s="8">
        <f t="array" ref="N152">MAX(IF($B$4:$B$507=B152,$A$4:$A$507))</f>
        <v>32142</v>
      </c>
      <c r="O152" s="8">
        <f t="array" ref="O152">MIN(IF($B$4:$B$507=B152,$A$4:$A$507))</f>
        <v>31808</v>
      </c>
      <c r="P152" s="8">
        <f t="shared" si="30"/>
        <v>31563</v>
      </c>
      <c r="Q152" s="8">
        <f t="shared" si="31"/>
        <v>31928</v>
      </c>
      <c r="R152">
        <f t="shared" si="33"/>
        <v>68.975825178127707</v>
      </c>
      <c r="S152">
        <f t="shared" si="34"/>
        <v>65.522117609515078</v>
      </c>
      <c r="T152" s="20">
        <f t="shared" si="32"/>
        <v>5.2710560870381284E-2</v>
      </c>
      <c r="U152" s="20">
        <f t="shared" si="35"/>
        <v>1.5387935060318389E-2</v>
      </c>
    </row>
    <row r="153" spans="1:21" x14ac:dyDescent="0.2">
      <c r="A153" s="8">
        <f t="shared" si="24"/>
        <v>31958</v>
      </c>
      <c r="B153" s="17">
        <f t="shared" si="25"/>
        <v>1987</v>
      </c>
      <c r="C153" s="17">
        <f t="shared" si="26"/>
        <v>6</v>
      </c>
      <c r="J153">
        <v>70.524462735583896</v>
      </c>
      <c r="K153" s="6">
        <f t="shared" si="27"/>
        <v>0</v>
      </c>
      <c r="L153" s="15">
        <f t="shared" si="28"/>
        <v>4.2559596387886263</v>
      </c>
      <c r="M153" s="16">
        <f t="shared" si="29"/>
        <v>2.2203555318959012E-2</v>
      </c>
      <c r="N153" s="8">
        <f t="array" ref="N153">MAX(IF($B$4:$B$507=B153,$A$4:$A$507))</f>
        <v>32142</v>
      </c>
      <c r="O153" s="8">
        <f t="array" ref="O153">MIN(IF($B$4:$B$507=B153,$A$4:$A$507))</f>
        <v>31808</v>
      </c>
      <c r="P153" s="8">
        <f t="shared" si="30"/>
        <v>31593</v>
      </c>
      <c r="Q153" s="8">
        <f t="shared" si="31"/>
        <v>31958</v>
      </c>
      <c r="R153">
        <f t="shared" si="33"/>
        <v>70.524462735583896</v>
      </c>
      <c r="S153">
        <f t="shared" si="34"/>
        <v>69.362984567491793</v>
      </c>
      <c r="T153" s="20">
        <f t="shared" si="32"/>
        <v>1.6744927793035824E-2</v>
      </c>
      <c r="U153" s="20">
        <f t="shared" si="35"/>
        <v>1.5387935060318389E-2</v>
      </c>
    </row>
    <row r="154" spans="1:21" x14ac:dyDescent="0.2">
      <c r="A154" s="8">
        <f t="shared" si="24"/>
        <v>31989</v>
      </c>
      <c r="B154" s="17">
        <f t="shared" si="25"/>
        <v>1987</v>
      </c>
      <c r="C154" s="17">
        <f t="shared" si="26"/>
        <v>7</v>
      </c>
      <c r="J154">
        <v>70.321664960202767</v>
      </c>
      <c r="K154" s="6">
        <f t="shared" si="27"/>
        <v>0</v>
      </c>
      <c r="L154" s="15">
        <f t="shared" si="28"/>
        <v>4.2530799300050859</v>
      </c>
      <c r="M154" s="16">
        <f t="shared" si="29"/>
        <v>-2.8797087835403801E-3</v>
      </c>
      <c r="N154" s="8">
        <f t="array" ref="N154">MAX(IF($B$4:$B$507=B154,$A$4:$A$507))</f>
        <v>32142</v>
      </c>
      <c r="O154" s="8">
        <f t="array" ref="O154">MIN(IF($B$4:$B$507=B154,$A$4:$A$507))</f>
        <v>31808</v>
      </c>
      <c r="P154" s="8">
        <f t="shared" si="30"/>
        <v>31624</v>
      </c>
      <c r="Q154" s="8">
        <f t="shared" si="31"/>
        <v>31989</v>
      </c>
      <c r="R154">
        <f t="shared" si="33"/>
        <v>70.321664960202767</v>
      </c>
      <c r="S154">
        <f t="shared" si="34"/>
        <v>75.0597584395627</v>
      </c>
      <c r="T154" s="20">
        <f t="shared" si="32"/>
        <v>-6.3124283608972598E-2</v>
      </c>
      <c r="U154" s="20">
        <f t="shared" si="35"/>
        <v>1.5387935060318389E-2</v>
      </c>
    </row>
    <row r="155" spans="1:21" x14ac:dyDescent="0.2">
      <c r="A155" s="8">
        <f t="shared" si="24"/>
        <v>32020</v>
      </c>
      <c r="B155" s="17">
        <f t="shared" si="25"/>
        <v>1987</v>
      </c>
      <c r="C155" s="17">
        <f t="shared" si="26"/>
        <v>8</v>
      </c>
      <c r="J155">
        <v>70.856313640753044</v>
      </c>
      <c r="K155" s="6">
        <f t="shared" si="27"/>
        <v>0</v>
      </c>
      <c r="L155" s="15">
        <f t="shared" si="28"/>
        <v>4.2606540749504749</v>
      </c>
      <c r="M155" s="16">
        <f t="shared" si="29"/>
        <v>7.5741449453889942E-3</v>
      </c>
      <c r="N155" s="8">
        <f t="array" ref="N155">MAX(IF($B$4:$B$507=B155,$A$4:$A$507))</f>
        <v>32142</v>
      </c>
      <c r="O155" s="8">
        <f t="array" ref="O155">MIN(IF($B$4:$B$507=B155,$A$4:$A$507))</f>
        <v>31808</v>
      </c>
      <c r="P155" s="8">
        <f t="shared" si="30"/>
        <v>31655</v>
      </c>
      <c r="Q155" s="8">
        <f t="shared" si="31"/>
        <v>32020</v>
      </c>
      <c r="R155">
        <f t="shared" si="33"/>
        <v>70.856313640753044</v>
      </c>
      <c r="S155">
        <f t="shared" si="34"/>
        <v>74.36532969356054</v>
      </c>
      <c r="T155" s="20">
        <f t="shared" si="32"/>
        <v>-4.7186182960086476E-2</v>
      </c>
      <c r="U155" s="20">
        <f t="shared" si="35"/>
        <v>1.5387935060318389E-2</v>
      </c>
    </row>
    <row r="156" spans="1:21" x14ac:dyDescent="0.2">
      <c r="A156" s="8">
        <f t="shared" si="24"/>
        <v>32050</v>
      </c>
      <c r="B156" s="17">
        <f t="shared" si="25"/>
        <v>1987</v>
      </c>
      <c r="C156" s="17">
        <f t="shared" si="26"/>
        <v>9</v>
      </c>
      <c r="J156">
        <v>74.113368821117234</v>
      </c>
      <c r="K156" s="6">
        <f t="shared" si="27"/>
        <v>0</v>
      </c>
      <c r="L156" s="15">
        <f t="shared" si="28"/>
        <v>4.3055959319685471</v>
      </c>
      <c r="M156" s="16">
        <f t="shared" si="29"/>
        <v>4.4941857018072184E-2</v>
      </c>
      <c r="N156" s="8">
        <f t="array" ref="N156">MAX(IF($B$4:$B$507=B156,$A$4:$A$507))</f>
        <v>32142</v>
      </c>
      <c r="O156" s="8">
        <f t="array" ref="O156">MIN(IF($B$4:$B$507=B156,$A$4:$A$507))</f>
        <v>31808</v>
      </c>
      <c r="P156" s="8">
        <f t="shared" si="30"/>
        <v>31685</v>
      </c>
      <c r="Q156" s="8">
        <f t="shared" si="31"/>
        <v>32050</v>
      </c>
      <c r="R156">
        <f t="shared" si="33"/>
        <v>74.113368821117234</v>
      </c>
      <c r="S156">
        <f t="shared" si="34"/>
        <v>78.304522845661424</v>
      </c>
      <c r="T156" s="20">
        <f t="shared" si="32"/>
        <v>-5.3523779626433288E-2</v>
      </c>
      <c r="U156" s="20">
        <f t="shared" si="35"/>
        <v>1.5387935060318389E-2</v>
      </c>
    </row>
    <row r="157" spans="1:21" x14ac:dyDescent="0.2">
      <c r="A157" s="8">
        <f t="shared" si="24"/>
        <v>32081</v>
      </c>
      <c r="B157" s="17">
        <f t="shared" si="25"/>
        <v>1987</v>
      </c>
      <c r="C157" s="17">
        <f t="shared" si="26"/>
        <v>10</v>
      </c>
      <c r="J157">
        <v>75.901676476751177</v>
      </c>
      <c r="K157" s="6">
        <f t="shared" si="27"/>
        <v>0</v>
      </c>
      <c r="L157" s="15">
        <f t="shared" si="28"/>
        <v>4.3294387721253846</v>
      </c>
      <c r="M157" s="16">
        <f t="shared" si="29"/>
        <v>2.3842840156837575E-2</v>
      </c>
      <c r="N157" s="8">
        <f t="array" ref="N157">MAX(IF($B$4:$B$507=B157,$A$4:$A$507))</f>
        <v>32142</v>
      </c>
      <c r="O157" s="8">
        <f t="array" ref="O157">MIN(IF($B$4:$B$507=B157,$A$4:$A$507))</f>
        <v>31808</v>
      </c>
      <c r="P157" s="8">
        <f t="shared" si="30"/>
        <v>31716</v>
      </c>
      <c r="Q157" s="8">
        <f t="shared" si="31"/>
        <v>32081</v>
      </c>
      <c r="R157">
        <f t="shared" si="33"/>
        <v>75.901676476751177</v>
      </c>
      <c r="S157">
        <f t="shared" si="34"/>
        <v>81.770521188539277</v>
      </c>
      <c r="T157" s="20">
        <f t="shared" si="32"/>
        <v>-7.1772132872386041E-2</v>
      </c>
      <c r="U157" s="20">
        <f t="shared" si="35"/>
        <v>1.5387935060318389E-2</v>
      </c>
    </row>
    <row r="158" spans="1:21" x14ac:dyDescent="0.2">
      <c r="A158" s="8">
        <f t="shared" si="24"/>
        <v>32111</v>
      </c>
      <c r="B158" s="17">
        <f t="shared" si="25"/>
        <v>1987</v>
      </c>
      <c r="C158" s="17">
        <f t="shared" si="26"/>
        <v>11</v>
      </c>
      <c r="J158">
        <v>70.807150543690952</v>
      </c>
      <c r="K158" s="6">
        <f t="shared" si="27"/>
        <v>0</v>
      </c>
      <c r="L158" s="15">
        <f t="shared" si="28"/>
        <v>4.2599599919796987</v>
      </c>
      <c r="M158" s="16">
        <f t="shared" si="29"/>
        <v>-6.9478780145685981E-2</v>
      </c>
      <c r="N158" s="8">
        <f t="array" ref="N158">MAX(IF($B$4:$B$507=B158,$A$4:$A$507))</f>
        <v>32142</v>
      </c>
      <c r="O158" s="8">
        <f t="array" ref="O158">MIN(IF($B$4:$B$507=B158,$A$4:$A$507))</f>
        <v>31808</v>
      </c>
      <c r="P158" s="8">
        <f t="shared" si="30"/>
        <v>31746</v>
      </c>
      <c r="Q158" s="8">
        <f t="shared" si="31"/>
        <v>32111</v>
      </c>
      <c r="R158">
        <f t="shared" si="33"/>
        <v>70.807150543690952</v>
      </c>
      <c r="S158">
        <f t="shared" si="34"/>
        <v>72.49713200520074</v>
      </c>
      <c r="T158" s="20">
        <f t="shared" si="32"/>
        <v>-2.3311011274053661E-2</v>
      </c>
      <c r="U158" s="20">
        <f t="shared" si="35"/>
        <v>1.5387935060318389E-2</v>
      </c>
    </row>
    <row r="159" spans="1:21" x14ac:dyDescent="0.2">
      <c r="A159" s="8">
        <f t="shared" si="24"/>
        <v>32142</v>
      </c>
      <c r="B159" s="17">
        <f t="shared" si="25"/>
        <v>1987</v>
      </c>
      <c r="C159" s="17">
        <f t="shared" si="26"/>
        <v>12</v>
      </c>
      <c r="J159">
        <v>63.15614356340155</v>
      </c>
      <c r="K159" s="6">
        <f t="shared" si="27"/>
        <v>0</v>
      </c>
      <c r="L159" s="15">
        <f t="shared" si="28"/>
        <v>4.1456101293124448</v>
      </c>
      <c r="M159" s="16">
        <f t="shared" si="29"/>
        <v>-0.11434986266725389</v>
      </c>
      <c r="N159" s="8">
        <f t="array" ref="N159">MAX(IF($B$4:$B$507=B159,$A$4:$A$507))</f>
        <v>32142</v>
      </c>
      <c r="O159" s="8">
        <f t="array" ref="O159">MIN(IF($B$4:$B$507=B159,$A$4:$A$507))</f>
        <v>31808</v>
      </c>
      <c r="P159" s="8">
        <f t="shared" si="30"/>
        <v>31777</v>
      </c>
      <c r="Q159" s="8">
        <f t="shared" si="31"/>
        <v>32142</v>
      </c>
      <c r="R159">
        <f t="shared" si="33"/>
        <v>63.15614356340155</v>
      </c>
      <c r="S159">
        <f t="shared" si="34"/>
        <v>65.595862255108258</v>
      </c>
      <c r="T159" s="20">
        <f t="shared" si="32"/>
        <v>-3.7193179688963074E-2</v>
      </c>
      <c r="U159" s="20">
        <f t="shared" si="35"/>
        <v>1.5387935060318389E-2</v>
      </c>
    </row>
    <row r="160" spans="1:21" x14ac:dyDescent="0.2">
      <c r="A160" s="8">
        <f t="shared" si="24"/>
        <v>32173</v>
      </c>
      <c r="B160" s="17">
        <f t="shared" si="25"/>
        <v>1988</v>
      </c>
      <c r="C160" s="17">
        <f t="shared" si="26"/>
        <v>1</v>
      </c>
      <c r="J160">
        <v>60.802460291553409</v>
      </c>
      <c r="K160" s="6">
        <f t="shared" si="27"/>
        <v>0</v>
      </c>
      <c r="L160" s="15">
        <f t="shared" si="28"/>
        <v>4.1076302534750244</v>
      </c>
      <c r="M160" s="16">
        <f t="shared" si="29"/>
        <v>-3.7979875837420352E-2</v>
      </c>
      <c r="N160" s="8">
        <f t="array" ref="N160">MAX(IF($B$4:$B$507=B160,$A$4:$A$507))</f>
        <v>32508</v>
      </c>
      <c r="O160" s="8">
        <f t="array" ref="O160">MIN(IF($B$4:$B$507=B160,$A$4:$A$507))</f>
        <v>32173</v>
      </c>
      <c r="P160" s="8">
        <f t="shared" si="30"/>
        <v>31808</v>
      </c>
      <c r="Q160" s="8">
        <f t="shared" si="31"/>
        <v>32173</v>
      </c>
      <c r="R160">
        <f t="shared" si="33"/>
        <v>60.802460291553409</v>
      </c>
      <c r="S160">
        <f t="shared" si="34"/>
        <v>66.720468100403821</v>
      </c>
      <c r="T160" s="20">
        <f t="shared" si="32"/>
        <v>-8.8698535507046206E-2</v>
      </c>
      <c r="U160" s="20">
        <f t="shared" si="35"/>
        <v>-3.2879187948003319E-2</v>
      </c>
    </row>
    <row r="161" spans="1:21" x14ac:dyDescent="0.2">
      <c r="A161" s="8">
        <f t="shared" si="24"/>
        <v>32202</v>
      </c>
      <c r="B161" s="17">
        <f t="shared" si="25"/>
        <v>1988</v>
      </c>
      <c r="C161" s="17">
        <f t="shared" si="26"/>
        <v>2</v>
      </c>
      <c r="J161">
        <v>60.575080967641199</v>
      </c>
      <c r="K161" s="6">
        <f t="shared" si="27"/>
        <v>0</v>
      </c>
      <c r="L161" s="15">
        <f t="shared" si="28"/>
        <v>4.1038836033528092</v>
      </c>
      <c r="M161" s="16">
        <f t="shared" si="29"/>
        <v>-3.7466501222152004E-3</v>
      </c>
      <c r="N161" s="8">
        <f t="array" ref="N161">MAX(IF($B$4:$B$507=B161,$A$4:$A$507))</f>
        <v>32508</v>
      </c>
      <c r="O161" s="8">
        <f t="array" ref="O161">MIN(IF($B$4:$B$507=B161,$A$4:$A$507))</f>
        <v>32173</v>
      </c>
      <c r="P161" s="8">
        <f t="shared" si="30"/>
        <v>31836</v>
      </c>
      <c r="Q161" s="8">
        <f t="shared" si="31"/>
        <v>32202</v>
      </c>
      <c r="R161">
        <f t="shared" si="33"/>
        <v>60.575080967641199</v>
      </c>
      <c r="S161">
        <f t="shared" si="34"/>
        <v>66.284145613977714</v>
      </c>
      <c r="T161" s="20">
        <f t="shared" si="32"/>
        <v>-8.6130168737252433E-2</v>
      </c>
      <c r="U161" s="20">
        <f t="shared" si="35"/>
        <v>-3.2879187948003319E-2</v>
      </c>
    </row>
    <row r="162" spans="1:21" x14ac:dyDescent="0.2">
      <c r="A162" s="8">
        <f t="shared" si="24"/>
        <v>32233</v>
      </c>
      <c r="B162" s="17">
        <f t="shared" si="25"/>
        <v>1988</v>
      </c>
      <c r="C162" s="17">
        <f t="shared" si="26"/>
        <v>3</v>
      </c>
      <c r="J162">
        <v>68.895935145401836</v>
      </c>
      <c r="K162" s="6">
        <f t="shared" si="27"/>
        <v>0</v>
      </c>
      <c r="L162" s="15">
        <f t="shared" si="28"/>
        <v>4.2325971798409645</v>
      </c>
      <c r="M162" s="16">
        <f t="shared" si="29"/>
        <v>0.12871357648815529</v>
      </c>
      <c r="N162" s="8">
        <f t="array" ref="N162">MAX(IF($B$4:$B$507=B162,$A$4:$A$507))</f>
        <v>32508</v>
      </c>
      <c r="O162" s="8">
        <f t="array" ref="O162">MIN(IF($B$4:$B$507=B162,$A$4:$A$507))</f>
        <v>32173</v>
      </c>
      <c r="P162" s="8">
        <f t="shared" si="30"/>
        <v>31867</v>
      </c>
      <c r="Q162" s="8">
        <f t="shared" si="31"/>
        <v>32233</v>
      </c>
      <c r="R162">
        <f t="shared" si="33"/>
        <v>68.895935145401836</v>
      </c>
      <c r="S162">
        <f t="shared" si="34"/>
        <v>68.828335886941446</v>
      </c>
      <c r="T162" s="20">
        <f t="shared" si="32"/>
        <v>9.8214285714282035E-4</v>
      </c>
      <c r="U162" s="20">
        <f t="shared" si="35"/>
        <v>-3.2879187948003319E-2</v>
      </c>
    </row>
    <row r="163" spans="1:21" x14ac:dyDescent="0.2">
      <c r="A163" s="8">
        <f t="shared" si="24"/>
        <v>32263</v>
      </c>
      <c r="B163" s="17">
        <f t="shared" si="25"/>
        <v>1988</v>
      </c>
      <c r="C163" s="17">
        <f t="shared" si="26"/>
        <v>4</v>
      </c>
      <c r="J163">
        <v>62.842728819630622</v>
      </c>
      <c r="K163" s="6">
        <f t="shared" si="27"/>
        <v>0</v>
      </c>
      <c r="L163" s="15">
        <f t="shared" si="28"/>
        <v>4.1406352373273156</v>
      </c>
      <c r="M163" s="16">
        <f t="shared" si="29"/>
        <v>-9.1961942513648864E-2</v>
      </c>
      <c r="N163" s="8">
        <f t="array" ref="N163">MAX(IF($B$4:$B$507=B163,$A$4:$A$507))</f>
        <v>32508</v>
      </c>
      <c r="O163" s="8">
        <f t="array" ref="O163">MIN(IF($B$4:$B$507=B163,$A$4:$A$507))</f>
        <v>32173</v>
      </c>
      <c r="P163" s="8">
        <f t="shared" si="30"/>
        <v>31897</v>
      </c>
      <c r="Q163" s="8">
        <f t="shared" si="31"/>
        <v>32263</v>
      </c>
      <c r="R163">
        <f t="shared" si="33"/>
        <v>62.842728819630622</v>
      </c>
      <c r="S163">
        <f t="shared" si="34"/>
        <v>68.152343302337528</v>
      </c>
      <c r="T163" s="20">
        <f t="shared" si="32"/>
        <v>-7.7908025247971135E-2</v>
      </c>
      <c r="U163" s="20">
        <f t="shared" si="35"/>
        <v>-3.2879187948003319E-2</v>
      </c>
    </row>
    <row r="164" spans="1:21" x14ac:dyDescent="0.2">
      <c r="A164" s="8">
        <f t="shared" si="24"/>
        <v>32294</v>
      </c>
      <c r="B164" s="17">
        <f t="shared" si="25"/>
        <v>1988</v>
      </c>
      <c r="C164" s="17">
        <f t="shared" si="26"/>
        <v>5</v>
      </c>
      <c r="J164">
        <v>65.036632026026894</v>
      </c>
      <c r="K164" s="6">
        <f t="shared" si="27"/>
        <v>0</v>
      </c>
      <c r="L164" s="15">
        <f t="shared" si="28"/>
        <v>4.1749506807810954</v>
      </c>
      <c r="M164" s="16">
        <f t="shared" si="29"/>
        <v>3.4315443453779793E-2</v>
      </c>
      <c r="N164" s="8">
        <f t="array" ref="N164">MAX(IF($B$4:$B$507=B164,$A$4:$A$507))</f>
        <v>32508</v>
      </c>
      <c r="O164" s="8">
        <f t="array" ref="O164">MIN(IF($B$4:$B$507=B164,$A$4:$A$507))</f>
        <v>32173</v>
      </c>
      <c r="P164" s="8">
        <f t="shared" si="30"/>
        <v>31928</v>
      </c>
      <c r="Q164" s="8">
        <f t="shared" si="31"/>
        <v>32294</v>
      </c>
      <c r="R164">
        <f t="shared" si="33"/>
        <v>65.036632026026894</v>
      </c>
      <c r="S164">
        <f t="shared" si="34"/>
        <v>68.975825178127707</v>
      </c>
      <c r="T164" s="20">
        <f t="shared" si="32"/>
        <v>-5.710976478973584E-2</v>
      </c>
      <c r="U164" s="20">
        <f t="shared" si="35"/>
        <v>-3.2879187948003319E-2</v>
      </c>
    </row>
    <row r="165" spans="1:21" x14ac:dyDescent="0.2">
      <c r="A165" s="8">
        <f t="shared" si="24"/>
        <v>32324</v>
      </c>
      <c r="B165" s="17">
        <f t="shared" si="25"/>
        <v>1988</v>
      </c>
      <c r="C165" s="17">
        <f t="shared" si="26"/>
        <v>6</v>
      </c>
      <c r="J165">
        <v>71.716667839339848</v>
      </c>
      <c r="K165" s="6">
        <f t="shared" si="27"/>
        <v>0</v>
      </c>
      <c r="L165" s="15">
        <f t="shared" si="28"/>
        <v>4.2727231869679727</v>
      </c>
      <c r="M165" s="16">
        <f t="shared" si="29"/>
        <v>9.7772506186877273E-2</v>
      </c>
      <c r="N165" s="8">
        <f t="array" ref="N165">MAX(IF($B$4:$B$507=B165,$A$4:$A$507))</f>
        <v>32508</v>
      </c>
      <c r="O165" s="8">
        <f t="array" ref="O165">MIN(IF($B$4:$B$507=B165,$A$4:$A$507))</f>
        <v>32173</v>
      </c>
      <c r="P165" s="8">
        <f t="shared" si="30"/>
        <v>31958</v>
      </c>
      <c r="Q165" s="8">
        <f t="shared" si="31"/>
        <v>32324</v>
      </c>
      <c r="R165">
        <f t="shared" si="33"/>
        <v>71.716667839339848</v>
      </c>
      <c r="S165">
        <f t="shared" si="34"/>
        <v>70.524462735583896</v>
      </c>
      <c r="T165" s="20">
        <f t="shared" si="32"/>
        <v>1.6904844893691262E-2</v>
      </c>
      <c r="U165" s="20">
        <f t="shared" si="35"/>
        <v>-3.2879187948003319E-2</v>
      </c>
    </row>
    <row r="166" spans="1:21" x14ac:dyDescent="0.2">
      <c r="A166" s="8">
        <f t="shared" si="24"/>
        <v>32355</v>
      </c>
      <c r="B166" s="17">
        <f t="shared" si="25"/>
        <v>1988</v>
      </c>
      <c r="C166" s="17">
        <f t="shared" si="26"/>
        <v>7</v>
      </c>
      <c r="J166">
        <v>71.741249387870937</v>
      </c>
      <c r="K166" s="6">
        <f t="shared" si="27"/>
        <v>0</v>
      </c>
      <c r="L166" s="15">
        <f t="shared" si="28"/>
        <v>4.273065887451108</v>
      </c>
      <c r="M166" s="16">
        <f t="shared" si="29"/>
        <v>3.4270048313533863E-4</v>
      </c>
      <c r="N166" s="8">
        <f t="array" ref="N166">MAX(IF($B$4:$B$507=B166,$A$4:$A$507))</f>
        <v>32508</v>
      </c>
      <c r="O166" s="8">
        <f t="array" ref="O166">MIN(IF($B$4:$B$507=B166,$A$4:$A$507))</f>
        <v>32173</v>
      </c>
      <c r="P166" s="8">
        <f t="shared" si="30"/>
        <v>31989</v>
      </c>
      <c r="Q166" s="8">
        <f t="shared" si="31"/>
        <v>32355</v>
      </c>
      <c r="R166">
        <f t="shared" si="33"/>
        <v>71.741249387870937</v>
      </c>
      <c r="S166">
        <f t="shared" si="34"/>
        <v>70.321664960202767</v>
      </c>
      <c r="T166" s="20">
        <f t="shared" si="32"/>
        <v>2.0187013894957584E-2</v>
      </c>
      <c r="U166" s="20">
        <f t="shared" si="35"/>
        <v>-3.2879187948003319E-2</v>
      </c>
    </row>
    <row r="167" spans="1:21" x14ac:dyDescent="0.2">
      <c r="A167" s="8">
        <f t="shared" si="24"/>
        <v>32386</v>
      </c>
      <c r="B167" s="17">
        <f t="shared" si="25"/>
        <v>1988</v>
      </c>
      <c r="C167" s="17">
        <f t="shared" si="26"/>
        <v>8</v>
      </c>
      <c r="J167">
        <v>76.092183477866826</v>
      </c>
      <c r="K167" s="6">
        <f t="shared" si="27"/>
        <v>0</v>
      </c>
      <c r="L167" s="15">
        <f t="shared" si="28"/>
        <v>4.3319455457665477</v>
      </c>
      <c r="M167" s="16">
        <f t="shared" si="29"/>
        <v>5.887965831543962E-2</v>
      </c>
      <c r="N167" s="8">
        <f t="array" ref="N167">MAX(IF($B$4:$B$507=B167,$A$4:$A$507))</f>
        <v>32508</v>
      </c>
      <c r="O167" s="8">
        <f t="array" ref="O167">MIN(IF($B$4:$B$507=B167,$A$4:$A$507))</f>
        <v>32173</v>
      </c>
      <c r="P167" s="8">
        <f t="shared" si="30"/>
        <v>32020</v>
      </c>
      <c r="Q167" s="8">
        <f t="shared" si="31"/>
        <v>32386</v>
      </c>
      <c r="R167">
        <f t="shared" si="33"/>
        <v>76.092183477866826</v>
      </c>
      <c r="S167">
        <f t="shared" si="34"/>
        <v>70.856313640753044</v>
      </c>
      <c r="T167" s="20">
        <f t="shared" si="32"/>
        <v>7.3894189071986416E-2</v>
      </c>
      <c r="U167" s="20">
        <f t="shared" si="35"/>
        <v>-3.2879187948003319E-2</v>
      </c>
    </row>
    <row r="168" spans="1:21" x14ac:dyDescent="0.2">
      <c r="A168" s="8">
        <f t="shared" si="24"/>
        <v>32416</v>
      </c>
      <c r="B168" s="17">
        <f t="shared" si="25"/>
        <v>1988</v>
      </c>
      <c r="C168" s="17">
        <f t="shared" si="26"/>
        <v>9</v>
      </c>
      <c r="J168">
        <v>73.148543041273555</v>
      </c>
      <c r="K168" s="6">
        <f t="shared" si="27"/>
        <v>0</v>
      </c>
      <c r="L168" s="15">
        <f t="shared" si="28"/>
        <v>4.2924922098552507</v>
      </c>
      <c r="M168" s="16">
        <f t="shared" si="29"/>
        <v>-3.9453335911296961E-2</v>
      </c>
      <c r="N168" s="8">
        <f t="array" ref="N168">MAX(IF($B$4:$B$507=B168,$A$4:$A$507))</f>
        <v>32508</v>
      </c>
      <c r="O168" s="8">
        <f t="array" ref="O168">MIN(IF($B$4:$B$507=B168,$A$4:$A$507))</f>
        <v>32173</v>
      </c>
      <c r="P168" s="8">
        <f t="shared" si="30"/>
        <v>32050</v>
      </c>
      <c r="Q168" s="8">
        <f t="shared" si="31"/>
        <v>32416</v>
      </c>
      <c r="R168">
        <f t="shared" si="33"/>
        <v>73.148543041273555</v>
      </c>
      <c r="S168">
        <f t="shared" si="34"/>
        <v>74.113368821117234</v>
      </c>
      <c r="T168" s="20">
        <f t="shared" si="32"/>
        <v>-1.301824212271907E-2</v>
      </c>
      <c r="U168" s="20">
        <f t="shared" si="35"/>
        <v>-3.2879187948003319E-2</v>
      </c>
    </row>
    <row r="169" spans="1:21" x14ac:dyDescent="0.2">
      <c r="A169" s="8">
        <f t="shared" si="24"/>
        <v>32447</v>
      </c>
      <c r="B169" s="17">
        <f t="shared" si="25"/>
        <v>1988</v>
      </c>
      <c r="C169" s="17">
        <f t="shared" si="26"/>
        <v>10</v>
      </c>
      <c r="J169">
        <v>69.860760925245515</v>
      </c>
      <c r="K169" s="6">
        <f t="shared" si="27"/>
        <v>0</v>
      </c>
      <c r="L169" s="15">
        <f t="shared" si="28"/>
        <v>4.2465041314643068</v>
      </c>
      <c r="M169" s="16">
        <f t="shared" si="29"/>
        <v>-4.5988078390943876E-2</v>
      </c>
      <c r="N169" s="8">
        <f t="array" ref="N169">MAX(IF($B$4:$B$507=B169,$A$4:$A$507))</f>
        <v>32508</v>
      </c>
      <c r="O169" s="8">
        <f t="array" ref="O169">MIN(IF($B$4:$B$507=B169,$A$4:$A$507))</f>
        <v>32173</v>
      </c>
      <c r="P169" s="8">
        <f t="shared" si="30"/>
        <v>32081</v>
      </c>
      <c r="Q169" s="8">
        <f t="shared" si="31"/>
        <v>32447</v>
      </c>
      <c r="R169">
        <f t="shared" si="33"/>
        <v>69.860760925245515</v>
      </c>
      <c r="S169">
        <f t="shared" si="34"/>
        <v>75.901676476751177</v>
      </c>
      <c r="T169" s="20">
        <f t="shared" si="32"/>
        <v>-7.9588697271475994E-2</v>
      </c>
      <c r="U169" s="20">
        <f t="shared" si="35"/>
        <v>-3.2879187948003319E-2</v>
      </c>
    </row>
    <row r="170" spans="1:21" x14ac:dyDescent="0.2">
      <c r="A170" s="8">
        <f t="shared" si="24"/>
        <v>32477</v>
      </c>
      <c r="B170" s="17">
        <f t="shared" si="25"/>
        <v>1988</v>
      </c>
      <c r="C170" s="17">
        <f t="shared" si="26"/>
        <v>11</v>
      </c>
      <c r="J170">
        <v>65.829386966153308</v>
      </c>
      <c r="K170" s="6">
        <f t="shared" si="27"/>
        <v>0</v>
      </c>
      <c r="L170" s="15">
        <f t="shared" si="28"/>
        <v>4.1870663490583802</v>
      </c>
      <c r="M170" s="16">
        <f t="shared" si="29"/>
        <v>-5.9437782405926676E-2</v>
      </c>
      <c r="N170" s="8">
        <f t="array" ref="N170">MAX(IF($B$4:$B$507=B170,$A$4:$A$507))</f>
        <v>32508</v>
      </c>
      <c r="O170" s="8">
        <f t="array" ref="O170">MIN(IF($B$4:$B$507=B170,$A$4:$A$507))</f>
        <v>32173</v>
      </c>
      <c r="P170" s="8">
        <f t="shared" si="30"/>
        <v>32111</v>
      </c>
      <c r="Q170" s="8">
        <f t="shared" si="31"/>
        <v>32477</v>
      </c>
      <c r="R170">
        <f t="shared" si="33"/>
        <v>65.829386966153308</v>
      </c>
      <c r="S170">
        <f t="shared" si="34"/>
        <v>70.807150543690952</v>
      </c>
      <c r="T170" s="20">
        <f t="shared" si="32"/>
        <v>-7.0300295087657227E-2</v>
      </c>
      <c r="U170" s="20">
        <f t="shared" si="35"/>
        <v>-3.2879187948003319E-2</v>
      </c>
    </row>
    <row r="171" spans="1:21" x14ac:dyDescent="0.2">
      <c r="A171" s="8">
        <f t="shared" si="24"/>
        <v>32508</v>
      </c>
      <c r="B171" s="17">
        <f t="shared" si="25"/>
        <v>1988</v>
      </c>
      <c r="C171" s="17">
        <f t="shared" si="26"/>
        <v>12</v>
      </c>
      <c r="J171">
        <v>61.023694228332921</v>
      </c>
      <c r="K171" s="6">
        <f t="shared" si="27"/>
        <v>0</v>
      </c>
      <c r="L171" s="15">
        <f t="shared" si="28"/>
        <v>4.1112622187265897</v>
      </c>
      <c r="M171" s="16">
        <f t="shared" si="29"/>
        <v>-7.5804130331790454E-2</v>
      </c>
      <c r="N171" s="8">
        <f t="array" ref="N171">MAX(IF($B$4:$B$507=B171,$A$4:$A$507))</f>
        <v>32508</v>
      </c>
      <c r="O171" s="8">
        <f t="array" ref="O171">MIN(IF($B$4:$B$507=B171,$A$4:$A$507))</f>
        <v>32173</v>
      </c>
      <c r="P171" s="8">
        <f t="shared" si="30"/>
        <v>32142</v>
      </c>
      <c r="Q171" s="8">
        <f t="shared" si="31"/>
        <v>32508</v>
      </c>
      <c r="R171">
        <f t="shared" si="33"/>
        <v>61.023694228332921</v>
      </c>
      <c r="S171">
        <f t="shared" si="34"/>
        <v>63.15614356340155</v>
      </c>
      <c r="T171" s="20">
        <f t="shared" si="32"/>
        <v>-3.3764717329960003E-2</v>
      </c>
      <c r="U171" s="20">
        <f t="shared" si="35"/>
        <v>-3.2879187948003319E-2</v>
      </c>
    </row>
    <row r="172" spans="1:21" x14ac:dyDescent="0.2">
      <c r="A172" s="8">
        <f t="shared" si="24"/>
        <v>32539</v>
      </c>
      <c r="B172" s="17">
        <f t="shared" si="25"/>
        <v>1989</v>
      </c>
      <c r="C172" s="17">
        <f t="shared" si="26"/>
        <v>1</v>
      </c>
      <c r="J172">
        <v>59.573382865000902</v>
      </c>
      <c r="K172" s="6">
        <f t="shared" si="27"/>
        <v>0</v>
      </c>
      <c r="L172" s="15">
        <f t="shared" si="28"/>
        <v>4.0872088780926923</v>
      </c>
      <c r="M172" s="16">
        <f t="shared" si="29"/>
        <v>-2.4053340633897413E-2</v>
      </c>
      <c r="N172" s="8">
        <f t="array" ref="N172">MAX(IF($B$4:$B$507=B172,$A$4:$A$507))</f>
        <v>32873</v>
      </c>
      <c r="O172" s="8">
        <f t="array" ref="O172">MIN(IF($B$4:$B$507=B172,$A$4:$A$507))</f>
        <v>32539</v>
      </c>
      <c r="P172" s="8">
        <f t="shared" si="30"/>
        <v>32173</v>
      </c>
      <c r="Q172" s="8">
        <f t="shared" si="31"/>
        <v>32539</v>
      </c>
      <c r="R172">
        <f t="shared" si="33"/>
        <v>59.573382865000902</v>
      </c>
      <c r="S172">
        <f t="shared" si="34"/>
        <v>60.802460291553409</v>
      </c>
      <c r="T172" s="20">
        <f t="shared" si="32"/>
        <v>-2.0214271275520224E-2</v>
      </c>
      <c r="U172" s="20">
        <f t="shared" si="35"/>
        <v>2.6708740104321033E-2</v>
      </c>
    </row>
    <row r="173" spans="1:21" x14ac:dyDescent="0.2">
      <c r="A173" s="8">
        <f t="shared" si="24"/>
        <v>32567</v>
      </c>
      <c r="B173" s="17">
        <f t="shared" si="25"/>
        <v>1989</v>
      </c>
      <c r="C173" s="17">
        <f t="shared" si="26"/>
        <v>2</v>
      </c>
      <c r="J173">
        <v>54.638636997392489</v>
      </c>
      <c r="K173" s="6">
        <f t="shared" si="27"/>
        <v>0</v>
      </c>
      <c r="L173" s="15">
        <f t="shared" si="28"/>
        <v>4.0007412698085094</v>
      </c>
      <c r="M173" s="16">
        <f t="shared" si="29"/>
        <v>-8.6467608284182873E-2</v>
      </c>
      <c r="N173" s="8">
        <f t="array" ref="N173">MAX(IF($B$4:$B$507=B173,$A$4:$A$507))</f>
        <v>32873</v>
      </c>
      <c r="O173" s="8">
        <f t="array" ref="O173">MIN(IF($B$4:$B$507=B173,$A$4:$A$507))</f>
        <v>32539</v>
      </c>
      <c r="P173" s="8">
        <f t="shared" si="30"/>
        <v>32202</v>
      </c>
      <c r="Q173" s="8">
        <f t="shared" si="31"/>
        <v>32567</v>
      </c>
      <c r="R173">
        <f t="shared" si="33"/>
        <v>54.638636997392489</v>
      </c>
      <c r="S173">
        <f t="shared" si="34"/>
        <v>60.575080967641199</v>
      </c>
      <c r="T173" s="20">
        <f t="shared" si="32"/>
        <v>-9.8001420310439569E-2</v>
      </c>
      <c r="U173" s="20">
        <f t="shared" si="35"/>
        <v>2.6708740104321033E-2</v>
      </c>
    </row>
    <row r="174" spans="1:21" x14ac:dyDescent="0.2">
      <c r="A174" s="8">
        <f t="shared" si="24"/>
        <v>32598</v>
      </c>
      <c r="B174" s="17">
        <f t="shared" si="25"/>
        <v>1989</v>
      </c>
      <c r="C174" s="17">
        <f t="shared" si="26"/>
        <v>3</v>
      </c>
      <c r="J174">
        <v>62.670657979913294</v>
      </c>
      <c r="K174" s="6">
        <f t="shared" si="27"/>
        <v>0</v>
      </c>
      <c r="L174" s="15">
        <f t="shared" si="28"/>
        <v>4.1378933633024726</v>
      </c>
      <c r="M174" s="16">
        <f t="shared" si="29"/>
        <v>0.13715209349396318</v>
      </c>
      <c r="N174" s="8">
        <f t="array" ref="N174">MAX(IF($B$4:$B$507=B174,$A$4:$A$507))</f>
        <v>32873</v>
      </c>
      <c r="O174" s="8">
        <f t="array" ref="O174">MIN(IF($B$4:$B$507=B174,$A$4:$A$507))</f>
        <v>32539</v>
      </c>
      <c r="P174" s="8">
        <f t="shared" si="30"/>
        <v>32233</v>
      </c>
      <c r="Q174" s="8">
        <f t="shared" si="31"/>
        <v>32598</v>
      </c>
      <c r="R174">
        <f t="shared" si="33"/>
        <v>62.670657979913294</v>
      </c>
      <c r="S174">
        <f t="shared" si="34"/>
        <v>68.895935145401836</v>
      </c>
      <c r="T174" s="20">
        <f t="shared" si="32"/>
        <v>-9.0357684417090356E-2</v>
      </c>
      <c r="U174" s="20">
        <f t="shared" si="35"/>
        <v>2.6708740104321033E-2</v>
      </c>
    </row>
    <row r="175" spans="1:21" x14ac:dyDescent="0.2">
      <c r="A175" s="8">
        <f t="shared" si="24"/>
        <v>32628</v>
      </c>
      <c r="B175" s="17">
        <f t="shared" si="25"/>
        <v>1989</v>
      </c>
      <c r="C175" s="17">
        <f t="shared" si="26"/>
        <v>4</v>
      </c>
      <c r="J175">
        <v>61.367835907767613</v>
      </c>
      <c r="K175" s="6">
        <f t="shared" si="27"/>
        <v>0</v>
      </c>
      <c r="L175" s="15">
        <f t="shared" si="28"/>
        <v>4.1168858527479255</v>
      </c>
      <c r="M175" s="16">
        <f t="shared" si="29"/>
        <v>-2.1007510554547082E-2</v>
      </c>
      <c r="N175" s="8">
        <f t="array" ref="N175">MAX(IF($B$4:$B$507=B175,$A$4:$A$507))</f>
        <v>32873</v>
      </c>
      <c r="O175" s="8">
        <f t="array" ref="O175">MIN(IF($B$4:$B$507=B175,$A$4:$A$507))</f>
        <v>32539</v>
      </c>
      <c r="P175" s="8">
        <f t="shared" si="30"/>
        <v>32263</v>
      </c>
      <c r="Q175" s="8">
        <f t="shared" si="31"/>
        <v>32628</v>
      </c>
      <c r="R175">
        <f t="shared" si="33"/>
        <v>61.367835907767613</v>
      </c>
      <c r="S175">
        <f t="shared" si="34"/>
        <v>62.842728819630622</v>
      </c>
      <c r="T175" s="20">
        <f t="shared" si="32"/>
        <v>-2.3469587326422459E-2</v>
      </c>
      <c r="U175" s="20">
        <f t="shared" si="35"/>
        <v>2.6708740104321033E-2</v>
      </c>
    </row>
    <row r="176" spans="1:21" x14ac:dyDescent="0.2">
      <c r="A176" s="8">
        <f t="shared" si="24"/>
        <v>32659</v>
      </c>
      <c r="B176" s="17">
        <f t="shared" si="25"/>
        <v>1989</v>
      </c>
      <c r="C176" s="17">
        <f t="shared" si="26"/>
        <v>5</v>
      </c>
      <c r="J176">
        <v>68.637828885825797</v>
      </c>
      <c r="K176" s="6">
        <f t="shared" si="27"/>
        <v>0</v>
      </c>
      <c r="L176" s="15">
        <f t="shared" si="28"/>
        <v>4.228843824228198</v>
      </c>
      <c r="M176" s="16">
        <f t="shared" si="29"/>
        <v>0.11195797148027253</v>
      </c>
      <c r="N176" s="8">
        <f t="array" ref="N176">MAX(IF($B$4:$B$507=B176,$A$4:$A$507))</f>
        <v>32873</v>
      </c>
      <c r="O176" s="8">
        <f t="array" ref="O176">MIN(IF($B$4:$B$507=B176,$A$4:$A$507))</f>
        <v>32539</v>
      </c>
      <c r="P176" s="8">
        <f t="shared" si="30"/>
        <v>32294</v>
      </c>
      <c r="Q176" s="8">
        <f t="shared" si="31"/>
        <v>32659</v>
      </c>
      <c r="R176">
        <f t="shared" si="33"/>
        <v>68.637828885825797</v>
      </c>
      <c r="S176">
        <f t="shared" si="34"/>
        <v>65.036632026026894</v>
      </c>
      <c r="T176" s="20">
        <f t="shared" si="32"/>
        <v>5.5371822734574305E-2</v>
      </c>
      <c r="U176" s="20">
        <f t="shared" si="35"/>
        <v>2.6708740104321033E-2</v>
      </c>
    </row>
    <row r="177" spans="1:21" x14ac:dyDescent="0.2">
      <c r="A177" s="8">
        <f t="shared" si="24"/>
        <v>32689</v>
      </c>
      <c r="B177" s="17">
        <f t="shared" si="25"/>
        <v>1989</v>
      </c>
      <c r="C177" s="17">
        <f t="shared" si="26"/>
        <v>6</v>
      </c>
      <c r="J177">
        <v>74.936850696907527</v>
      </c>
      <c r="K177" s="6">
        <f t="shared" si="27"/>
        <v>0</v>
      </c>
      <c r="L177" s="15">
        <f t="shared" si="28"/>
        <v>4.3166457681551327</v>
      </c>
      <c r="M177" s="16">
        <f t="shared" si="29"/>
        <v>8.7801943926934634E-2</v>
      </c>
      <c r="N177" s="8">
        <f t="array" ref="N177">MAX(IF($B$4:$B$507=B177,$A$4:$A$507))</f>
        <v>32873</v>
      </c>
      <c r="O177" s="8">
        <f t="array" ref="O177">MIN(IF($B$4:$B$507=B177,$A$4:$A$507))</f>
        <v>32539</v>
      </c>
      <c r="P177" s="8">
        <f t="shared" si="30"/>
        <v>32324</v>
      </c>
      <c r="Q177" s="8">
        <f t="shared" si="31"/>
        <v>32689</v>
      </c>
      <c r="R177">
        <f t="shared" si="33"/>
        <v>74.936850696907527</v>
      </c>
      <c r="S177">
        <f t="shared" si="34"/>
        <v>71.716667839339848</v>
      </c>
      <c r="T177" s="20">
        <f t="shared" si="32"/>
        <v>4.4901456726650357E-2</v>
      </c>
      <c r="U177" s="20">
        <f t="shared" si="35"/>
        <v>2.6708740104321033E-2</v>
      </c>
    </row>
    <row r="178" spans="1:21" x14ac:dyDescent="0.2">
      <c r="A178" s="8">
        <f t="shared" si="24"/>
        <v>32720</v>
      </c>
      <c r="B178" s="17">
        <f t="shared" si="25"/>
        <v>1989</v>
      </c>
      <c r="C178" s="17">
        <f t="shared" si="26"/>
        <v>7</v>
      </c>
      <c r="J178">
        <v>77.044718483445067</v>
      </c>
      <c r="K178" s="6">
        <f t="shared" si="27"/>
        <v>0</v>
      </c>
      <c r="L178" s="15">
        <f t="shared" si="28"/>
        <v>4.3443860128033958</v>
      </c>
      <c r="M178" s="16">
        <f t="shared" si="29"/>
        <v>2.7740244648263079E-2</v>
      </c>
      <c r="N178" s="8">
        <f t="array" ref="N178">MAX(IF($B$4:$B$507=B178,$A$4:$A$507))</f>
        <v>32873</v>
      </c>
      <c r="O178" s="8">
        <f t="array" ref="O178">MIN(IF($B$4:$B$507=B178,$A$4:$A$507))</f>
        <v>32539</v>
      </c>
      <c r="P178" s="8">
        <f t="shared" si="30"/>
        <v>32355</v>
      </c>
      <c r="Q178" s="8">
        <f t="shared" si="31"/>
        <v>32720</v>
      </c>
      <c r="R178">
        <f t="shared" si="33"/>
        <v>77.044718483445067</v>
      </c>
      <c r="S178">
        <f t="shared" si="34"/>
        <v>71.741249387870937</v>
      </c>
      <c r="T178" s="20">
        <f t="shared" si="32"/>
        <v>7.3924961452800808E-2</v>
      </c>
      <c r="U178" s="20">
        <f t="shared" si="35"/>
        <v>2.6708740104321033E-2</v>
      </c>
    </row>
    <row r="179" spans="1:21" x14ac:dyDescent="0.2">
      <c r="A179" s="8">
        <f t="shared" si="24"/>
        <v>32751</v>
      </c>
      <c r="B179" s="17">
        <f t="shared" si="25"/>
        <v>1989</v>
      </c>
      <c r="C179" s="17">
        <f t="shared" si="26"/>
        <v>8</v>
      </c>
      <c r="J179">
        <v>81.807393511336372</v>
      </c>
      <c r="K179" s="6">
        <f t="shared" si="27"/>
        <v>0</v>
      </c>
      <c r="L179" s="15">
        <f t="shared" si="28"/>
        <v>4.4043676247483639</v>
      </c>
      <c r="M179" s="16">
        <f t="shared" si="29"/>
        <v>5.9981611944968094E-2</v>
      </c>
      <c r="N179" s="8">
        <f t="array" ref="N179">MAX(IF($B$4:$B$507=B179,$A$4:$A$507))</f>
        <v>32873</v>
      </c>
      <c r="O179" s="8">
        <f t="array" ref="O179">MIN(IF($B$4:$B$507=B179,$A$4:$A$507))</f>
        <v>32539</v>
      </c>
      <c r="P179" s="8">
        <f t="shared" si="30"/>
        <v>32386</v>
      </c>
      <c r="Q179" s="8">
        <f t="shared" si="31"/>
        <v>32751</v>
      </c>
      <c r="R179">
        <f t="shared" si="33"/>
        <v>81.807393511336372</v>
      </c>
      <c r="S179">
        <f t="shared" si="34"/>
        <v>76.092183477866826</v>
      </c>
      <c r="T179" s="20">
        <f t="shared" si="32"/>
        <v>7.510902923599172E-2</v>
      </c>
      <c r="U179" s="20">
        <f t="shared" si="35"/>
        <v>2.6708740104321033E-2</v>
      </c>
    </row>
    <row r="180" spans="1:21" x14ac:dyDescent="0.2">
      <c r="A180" s="8">
        <f t="shared" si="24"/>
        <v>32781</v>
      </c>
      <c r="B180" s="17">
        <f t="shared" si="25"/>
        <v>1989</v>
      </c>
      <c r="C180" s="17">
        <f t="shared" si="26"/>
        <v>9</v>
      </c>
      <c r="J180">
        <v>76.424034383036073</v>
      </c>
      <c r="K180" s="6">
        <f t="shared" si="27"/>
        <v>0</v>
      </c>
      <c r="L180" s="15">
        <f t="shared" si="28"/>
        <v>4.3362972328660163</v>
      </c>
      <c r="M180" s="16">
        <f t="shared" si="29"/>
        <v>-6.8070391882347536E-2</v>
      </c>
      <c r="N180" s="8">
        <f t="array" ref="N180">MAX(IF($B$4:$B$507=B180,$A$4:$A$507))</f>
        <v>32873</v>
      </c>
      <c r="O180" s="8">
        <f t="array" ref="O180">MIN(IF($B$4:$B$507=B180,$A$4:$A$507))</f>
        <v>32539</v>
      </c>
      <c r="P180" s="8">
        <f t="shared" si="30"/>
        <v>32416</v>
      </c>
      <c r="Q180" s="8">
        <f t="shared" si="31"/>
        <v>32781</v>
      </c>
      <c r="R180">
        <f t="shared" si="33"/>
        <v>76.424034383036073</v>
      </c>
      <c r="S180">
        <f t="shared" si="34"/>
        <v>73.148543041273555</v>
      </c>
      <c r="T180" s="20">
        <f t="shared" si="32"/>
        <v>4.477862723683157E-2</v>
      </c>
      <c r="U180" s="20">
        <f t="shared" si="35"/>
        <v>2.6708740104321033E-2</v>
      </c>
    </row>
    <row r="181" spans="1:21" x14ac:dyDescent="0.2">
      <c r="A181" s="8">
        <f t="shared" si="24"/>
        <v>32812</v>
      </c>
      <c r="B181" s="17">
        <f t="shared" si="25"/>
        <v>1989</v>
      </c>
      <c r="C181" s="17">
        <f t="shared" si="26"/>
        <v>10</v>
      </c>
      <c r="J181">
        <v>78.697827622158187</v>
      </c>
      <c r="K181" s="6">
        <f t="shared" si="27"/>
        <v>0</v>
      </c>
      <c r="L181" s="15">
        <f t="shared" si="28"/>
        <v>4.3656155517661182</v>
      </c>
      <c r="M181" s="16">
        <f t="shared" si="29"/>
        <v>2.9318318900101836E-2</v>
      </c>
      <c r="N181" s="8">
        <f t="array" ref="N181">MAX(IF($B$4:$B$507=B181,$A$4:$A$507))</f>
        <v>32873</v>
      </c>
      <c r="O181" s="8">
        <f t="array" ref="O181">MIN(IF($B$4:$B$507=B181,$A$4:$A$507))</f>
        <v>32539</v>
      </c>
      <c r="P181" s="8">
        <f t="shared" si="30"/>
        <v>32447</v>
      </c>
      <c r="Q181" s="8">
        <f t="shared" si="31"/>
        <v>32812</v>
      </c>
      <c r="R181">
        <f t="shared" si="33"/>
        <v>78.697827622158187</v>
      </c>
      <c r="S181">
        <f t="shared" si="34"/>
        <v>69.860760925245515</v>
      </c>
      <c r="T181" s="20">
        <f t="shared" si="32"/>
        <v>0.12649542575650985</v>
      </c>
      <c r="U181" s="20">
        <f t="shared" si="35"/>
        <v>2.6708740104321033E-2</v>
      </c>
    </row>
    <row r="182" spans="1:21" x14ac:dyDescent="0.2">
      <c r="A182" s="8">
        <f t="shared" si="24"/>
        <v>32842</v>
      </c>
      <c r="B182" s="17">
        <f t="shared" si="25"/>
        <v>1989</v>
      </c>
      <c r="C182" s="17">
        <f t="shared" si="26"/>
        <v>11</v>
      </c>
      <c r="J182">
        <v>72.527858940864505</v>
      </c>
      <c r="K182" s="6">
        <f t="shared" si="27"/>
        <v>0</v>
      </c>
      <c r="L182" s="15">
        <f t="shared" si="28"/>
        <v>4.2839707493044843</v>
      </c>
      <c r="M182" s="16">
        <f t="shared" si="29"/>
        <v>-8.1644802461633859E-2</v>
      </c>
      <c r="N182" s="8">
        <f t="array" ref="N182">MAX(IF($B$4:$B$507=B182,$A$4:$A$507))</f>
        <v>32873</v>
      </c>
      <c r="O182" s="8">
        <f t="array" ref="O182">MIN(IF($B$4:$B$507=B182,$A$4:$A$507))</f>
        <v>32539</v>
      </c>
      <c r="P182" s="8">
        <f t="shared" si="30"/>
        <v>32477</v>
      </c>
      <c r="Q182" s="8">
        <f t="shared" si="31"/>
        <v>32842</v>
      </c>
      <c r="R182">
        <f t="shared" si="33"/>
        <v>72.527858940864505</v>
      </c>
      <c r="S182">
        <f t="shared" si="34"/>
        <v>65.829386966153308</v>
      </c>
      <c r="T182" s="20">
        <f t="shared" si="32"/>
        <v>0.10175504107542843</v>
      </c>
      <c r="U182" s="20">
        <f t="shared" si="35"/>
        <v>2.6708740104321033E-2</v>
      </c>
    </row>
    <row r="183" spans="1:21" x14ac:dyDescent="0.2">
      <c r="A183" s="8">
        <f t="shared" si="24"/>
        <v>32873</v>
      </c>
      <c r="B183" s="17">
        <f t="shared" si="25"/>
        <v>1989</v>
      </c>
      <c r="C183" s="17">
        <f t="shared" si="26"/>
        <v>12</v>
      </c>
      <c r="J183">
        <v>62.867310368161718</v>
      </c>
      <c r="K183" s="6">
        <f t="shared" si="27"/>
        <v>0</v>
      </c>
      <c r="L183" s="15">
        <f t="shared" si="28"/>
        <v>4.1410263206330438</v>
      </c>
      <c r="M183" s="16">
        <f t="shared" si="29"/>
        <v>-0.14294442867144053</v>
      </c>
      <c r="N183" s="8">
        <f t="array" ref="N183">MAX(IF($B$4:$B$507=B183,$A$4:$A$507))</f>
        <v>32873</v>
      </c>
      <c r="O183" s="8">
        <f t="array" ref="O183">MIN(IF($B$4:$B$507=B183,$A$4:$A$507))</f>
        <v>32539</v>
      </c>
      <c r="P183" s="8">
        <f t="shared" si="30"/>
        <v>32508</v>
      </c>
      <c r="Q183" s="8">
        <f t="shared" si="31"/>
        <v>32873</v>
      </c>
      <c r="R183">
        <f t="shared" si="33"/>
        <v>62.867310368161718</v>
      </c>
      <c r="S183">
        <f t="shared" si="34"/>
        <v>61.023694228332921</v>
      </c>
      <c r="T183" s="20">
        <f t="shared" si="32"/>
        <v>3.0211480362537957E-2</v>
      </c>
      <c r="U183" s="20">
        <f t="shared" si="35"/>
        <v>2.6708740104321033E-2</v>
      </c>
    </row>
    <row r="184" spans="1:21" x14ac:dyDescent="0.2">
      <c r="A184" s="8">
        <f t="shared" si="24"/>
        <v>32904</v>
      </c>
      <c r="B184" s="17">
        <f t="shared" si="25"/>
        <v>1990</v>
      </c>
      <c r="C184" s="17">
        <f t="shared" si="26"/>
        <v>1</v>
      </c>
      <c r="J184">
        <v>62.566186398656342</v>
      </c>
      <c r="K184" s="6">
        <f t="shared" si="27"/>
        <v>0</v>
      </c>
      <c r="L184" s="15">
        <f t="shared" si="28"/>
        <v>4.1362249787945675</v>
      </c>
      <c r="M184" s="16">
        <f t="shared" si="29"/>
        <v>-4.8013418384762474E-3</v>
      </c>
      <c r="N184" s="8">
        <f t="array" ref="N184">MAX(IF($B$4:$B$507=B184,$A$4:$A$507))</f>
        <v>33238</v>
      </c>
      <c r="O184" s="8">
        <f t="array" ref="O184">MIN(IF($B$4:$B$507=B184,$A$4:$A$507))</f>
        <v>32904</v>
      </c>
      <c r="P184" s="8">
        <f t="shared" si="30"/>
        <v>32539</v>
      </c>
      <c r="Q184" s="8">
        <f t="shared" si="31"/>
        <v>32904</v>
      </c>
      <c r="R184">
        <f t="shared" si="33"/>
        <v>62.566186398656342</v>
      </c>
      <c r="S184">
        <f t="shared" si="34"/>
        <v>59.573382865000902</v>
      </c>
      <c r="T184" s="20">
        <f t="shared" si="32"/>
        <v>5.023726016092489E-2</v>
      </c>
      <c r="U184" s="20">
        <f t="shared" si="35"/>
        <v>-8.6185231796242531E-2</v>
      </c>
    </row>
    <row r="185" spans="1:21" x14ac:dyDescent="0.2">
      <c r="A185" s="8">
        <f t="shared" si="24"/>
        <v>32932</v>
      </c>
      <c r="B185" s="17">
        <f t="shared" si="25"/>
        <v>1990</v>
      </c>
      <c r="C185" s="17">
        <f t="shared" si="26"/>
        <v>2</v>
      </c>
      <c r="J185">
        <v>59.302985831159383</v>
      </c>
      <c r="K185" s="6">
        <f t="shared" si="27"/>
        <v>0</v>
      </c>
      <c r="L185" s="15">
        <f t="shared" si="28"/>
        <v>4.0826596560204029</v>
      </c>
      <c r="M185" s="16">
        <f t="shared" si="29"/>
        <v>-5.3565322774164592E-2</v>
      </c>
      <c r="N185" s="8">
        <f t="array" ref="N185">MAX(IF($B$4:$B$507=B185,$A$4:$A$507))</f>
        <v>33238</v>
      </c>
      <c r="O185" s="8">
        <f t="array" ref="O185">MIN(IF($B$4:$B$507=B185,$A$4:$A$507))</f>
        <v>32904</v>
      </c>
      <c r="P185" s="8">
        <f t="shared" si="30"/>
        <v>32567</v>
      </c>
      <c r="Q185" s="8">
        <f t="shared" si="31"/>
        <v>32932</v>
      </c>
      <c r="R185">
        <f t="shared" si="33"/>
        <v>59.302985831159383</v>
      </c>
      <c r="S185">
        <f t="shared" si="34"/>
        <v>54.638636997392489</v>
      </c>
      <c r="T185" s="20">
        <f t="shared" si="32"/>
        <v>8.5367225283996095E-2</v>
      </c>
      <c r="U185" s="20">
        <f t="shared" si="35"/>
        <v>-8.6185231796242531E-2</v>
      </c>
    </row>
    <row r="186" spans="1:21" x14ac:dyDescent="0.2">
      <c r="A186" s="8">
        <f t="shared" si="24"/>
        <v>32963</v>
      </c>
      <c r="B186" s="17">
        <f t="shared" si="25"/>
        <v>1990</v>
      </c>
      <c r="C186" s="17">
        <f t="shared" si="26"/>
        <v>3</v>
      </c>
      <c r="J186">
        <v>60.54435403197742</v>
      </c>
      <c r="K186" s="6">
        <f t="shared" si="27"/>
        <v>0</v>
      </c>
      <c r="L186" s="15">
        <f t="shared" si="28"/>
        <v>4.1033762209277995</v>
      </c>
      <c r="M186" s="16">
        <f t="shared" si="29"/>
        <v>2.0716564907396595E-2</v>
      </c>
      <c r="N186" s="8">
        <f t="array" ref="N186">MAX(IF($B$4:$B$507=B186,$A$4:$A$507))</f>
        <v>33238</v>
      </c>
      <c r="O186" s="8">
        <f t="array" ref="O186">MIN(IF($B$4:$B$507=B186,$A$4:$A$507))</f>
        <v>32904</v>
      </c>
      <c r="P186" s="8">
        <f t="shared" si="30"/>
        <v>32598</v>
      </c>
      <c r="Q186" s="8">
        <f t="shared" si="31"/>
        <v>32963</v>
      </c>
      <c r="R186">
        <f t="shared" si="33"/>
        <v>60.54435403197742</v>
      </c>
      <c r="S186">
        <f t="shared" si="34"/>
        <v>62.670657979913294</v>
      </c>
      <c r="T186" s="20">
        <f t="shared" si="32"/>
        <v>-3.3928221219847066E-2</v>
      </c>
      <c r="U186" s="20">
        <f t="shared" si="35"/>
        <v>-8.6185231796242531E-2</v>
      </c>
    </row>
    <row r="187" spans="1:21" x14ac:dyDescent="0.2">
      <c r="A187" s="8">
        <f t="shared" si="24"/>
        <v>32993</v>
      </c>
      <c r="B187" s="17">
        <f t="shared" si="25"/>
        <v>1990</v>
      </c>
      <c r="C187" s="17">
        <f t="shared" si="26"/>
        <v>4</v>
      </c>
      <c r="J187">
        <v>44.37584048567895</v>
      </c>
      <c r="K187" s="6">
        <f t="shared" si="27"/>
        <v>0</v>
      </c>
      <c r="L187" s="15">
        <f t="shared" si="28"/>
        <v>3.7926951881385529</v>
      </c>
      <c r="M187" s="16">
        <f t="shared" si="29"/>
        <v>-0.31068103278924664</v>
      </c>
      <c r="N187" s="8">
        <f t="array" ref="N187">MAX(IF($B$4:$B$507=B187,$A$4:$A$507))</f>
        <v>33238</v>
      </c>
      <c r="O187" s="8">
        <f t="array" ref="O187">MIN(IF($B$4:$B$507=B187,$A$4:$A$507))</f>
        <v>32904</v>
      </c>
      <c r="P187" s="8">
        <f t="shared" si="30"/>
        <v>32628</v>
      </c>
      <c r="Q187" s="8">
        <f t="shared" si="31"/>
        <v>32993</v>
      </c>
      <c r="R187">
        <f t="shared" si="33"/>
        <v>44.37584048567895</v>
      </c>
      <c r="S187">
        <f t="shared" si="34"/>
        <v>61.367835907767613</v>
      </c>
      <c r="T187" s="20">
        <f t="shared" si="32"/>
        <v>-0.27688764269977961</v>
      </c>
      <c r="U187" s="20">
        <f t="shared" si="35"/>
        <v>-8.6185231796242531E-2</v>
      </c>
    </row>
    <row r="188" spans="1:21" x14ac:dyDescent="0.2">
      <c r="A188" s="8">
        <f t="shared" si="24"/>
        <v>33024</v>
      </c>
      <c r="B188" s="17">
        <f t="shared" si="25"/>
        <v>1990</v>
      </c>
      <c r="C188" s="17">
        <f t="shared" si="26"/>
        <v>5</v>
      </c>
      <c r="J188">
        <v>61.220346616581345</v>
      </c>
      <c r="K188" s="6">
        <f t="shared" si="27"/>
        <v>0</v>
      </c>
      <c r="L188" s="15">
        <f t="shared" si="28"/>
        <v>4.1144795953206001</v>
      </c>
      <c r="M188" s="16">
        <f t="shared" si="29"/>
        <v>0.32178440718204726</v>
      </c>
      <c r="N188" s="8">
        <f t="array" ref="N188">MAX(IF($B$4:$B$507=B188,$A$4:$A$507))</f>
        <v>33238</v>
      </c>
      <c r="O188" s="8">
        <f t="array" ref="O188">MIN(IF($B$4:$B$507=B188,$A$4:$A$507))</f>
        <v>32904</v>
      </c>
      <c r="P188" s="8">
        <f t="shared" si="30"/>
        <v>32659</v>
      </c>
      <c r="Q188" s="8">
        <f t="shared" si="31"/>
        <v>33024</v>
      </c>
      <c r="R188">
        <f t="shared" si="33"/>
        <v>61.220346616581345</v>
      </c>
      <c r="S188">
        <f t="shared" si="34"/>
        <v>68.637828885825797</v>
      </c>
      <c r="T188" s="20">
        <f t="shared" si="32"/>
        <v>-0.10806697108066909</v>
      </c>
      <c r="U188" s="20">
        <f t="shared" si="35"/>
        <v>-8.6185231796242531E-2</v>
      </c>
    </row>
    <row r="189" spans="1:21" x14ac:dyDescent="0.2">
      <c r="A189" s="8">
        <f t="shared" si="24"/>
        <v>33054</v>
      </c>
      <c r="B189" s="17">
        <f t="shared" si="25"/>
        <v>1990</v>
      </c>
      <c r="C189" s="17">
        <f t="shared" si="26"/>
        <v>6</v>
      </c>
      <c r="J189">
        <v>62.603058721452882</v>
      </c>
      <c r="K189" s="6">
        <f t="shared" si="27"/>
        <v>0</v>
      </c>
      <c r="L189" s="15">
        <f t="shared" si="28"/>
        <v>4.1368141382774368</v>
      </c>
      <c r="M189" s="16">
        <f t="shared" si="29"/>
        <v>2.2334542956836678E-2</v>
      </c>
      <c r="N189" s="8">
        <f t="array" ref="N189">MAX(IF($B$4:$B$507=B189,$A$4:$A$507))</f>
        <v>33238</v>
      </c>
      <c r="O189" s="8">
        <f t="array" ref="O189">MIN(IF($B$4:$B$507=B189,$A$4:$A$507))</f>
        <v>32904</v>
      </c>
      <c r="P189" s="8">
        <f t="shared" si="30"/>
        <v>32689</v>
      </c>
      <c r="Q189" s="8">
        <f t="shared" si="31"/>
        <v>33054</v>
      </c>
      <c r="R189">
        <f t="shared" si="33"/>
        <v>62.603058721452882</v>
      </c>
      <c r="S189">
        <f t="shared" si="34"/>
        <v>74.936850696907527</v>
      </c>
      <c r="T189" s="20">
        <f t="shared" si="32"/>
        <v>-0.16458914220108312</v>
      </c>
      <c r="U189" s="20">
        <f t="shared" si="35"/>
        <v>-8.6185231796242531E-2</v>
      </c>
    </row>
    <row r="190" spans="1:21" x14ac:dyDescent="0.2">
      <c r="A190" s="8">
        <f t="shared" si="24"/>
        <v>33085</v>
      </c>
      <c r="B190" s="17">
        <f t="shared" si="25"/>
        <v>1990</v>
      </c>
      <c r="C190" s="17">
        <f t="shared" si="26"/>
        <v>7</v>
      </c>
      <c r="J190">
        <v>70.659661252504691</v>
      </c>
      <c r="K190" s="6">
        <f t="shared" si="27"/>
        <v>0</v>
      </c>
      <c r="L190" s="15">
        <f t="shared" si="28"/>
        <v>4.2578748478706068</v>
      </c>
      <c r="M190" s="16">
        <f t="shared" si="29"/>
        <v>0.12106070959316995</v>
      </c>
      <c r="N190" s="8">
        <f t="array" ref="N190">MAX(IF($B$4:$B$507=B190,$A$4:$A$507))</f>
        <v>33238</v>
      </c>
      <c r="O190" s="8">
        <f t="array" ref="O190">MIN(IF($B$4:$B$507=B190,$A$4:$A$507))</f>
        <v>32904</v>
      </c>
      <c r="P190" s="8">
        <f t="shared" si="30"/>
        <v>32720</v>
      </c>
      <c r="Q190" s="8">
        <f t="shared" si="31"/>
        <v>33085</v>
      </c>
      <c r="R190">
        <f t="shared" si="33"/>
        <v>70.659661252504691</v>
      </c>
      <c r="S190">
        <f t="shared" si="34"/>
        <v>77.044718483445067</v>
      </c>
      <c r="T190" s="20">
        <f t="shared" si="32"/>
        <v>-8.2874690914891969E-2</v>
      </c>
      <c r="U190" s="20">
        <f t="shared" si="35"/>
        <v>-8.6185231796242531E-2</v>
      </c>
    </row>
    <row r="191" spans="1:21" x14ac:dyDescent="0.2">
      <c r="A191" s="8">
        <f t="shared" si="24"/>
        <v>33116</v>
      </c>
      <c r="B191" s="17">
        <f t="shared" si="25"/>
        <v>1990</v>
      </c>
      <c r="C191" s="17">
        <f t="shared" si="26"/>
        <v>8</v>
      </c>
      <c r="J191">
        <v>75.004449955367903</v>
      </c>
      <c r="K191" s="6">
        <f t="shared" si="27"/>
        <v>0</v>
      </c>
      <c r="L191" s="15">
        <f t="shared" si="28"/>
        <v>4.3175474445144317</v>
      </c>
      <c r="M191" s="16">
        <f t="shared" si="29"/>
        <v>5.967259664382496E-2</v>
      </c>
      <c r="N191" s="8">
        <f t="array" ref="N191">MAX(IF($B$4:$B$507=B191,$A$4:$A$507))</f>
        <v>33238</v>
      </c>
      <c r="O191" s="8">
        <f t="array" ref="O191">MIN(IF($B$4:$B$507=B191,$A$4:$A$507))</f>
        <v>32904</v>
      </c>
      <c r="P191" s="8">
        <f t="shared" si="30"/>
        <v>32751</v>
      </c>
      <c r="Q191" s="8">
        <f t="shared" si="31"/>
        <v>33116</v>
      </c>
      <c r="R191">
        <f t="shared" si="33"/>
        <v>75.004449955367903</v>
      </c>
      <c r="S191">
        <f t="shared" si="34"/>
        <v>81.807393511336372</v>
      </c>
      <c r="T191" s="20">
        <f t="shared" si="32"/>
        <v>-8.3158052884618083E-2</v>
      </c>
      <c r="U191" s="20">
        <f t="shared" si="35"/>
        <v>-8.6185231796242531E-2</v>
      </c>
    </row>
    <row r="192" spans="1:21" x14ac:dyDescent="0.2">
      <c r="A192" s="8">
        <f t="shared" si="24"/>
        <v>33146</v>
      </c>
      <c r="B192" s="17">
        <f t="shared" si="25"/>
        <v>1990</v>
      </c>
      <c r="C192" s="17">
        <f t="shared" si="26"/>
        <v>9</v>
      </c>
      <c r="J192">
        <v>70.573625832646059</v>
      </c>
      <c r="K192" s="6">
        <f t="shared" si="27"/>
        <v>0</v>
      </c>
      <c r="L192" s="15">
        <f t="shared" si="28"/>
        <v>4.2566565029283261</v>
      </c>
      <c r="M192" s="16">
        <f t="shared" si="29"/>
        <v>-6.089094158610564E-2</v>
      </c>
      <c r="N192" s="8">
        <f t="array" ref="N192">MAX(IF($B$4:$B$507=B192,$A$4:$A$507))</f>
        <v>33238</v>
      </c>
      <c r="O192" s="8">
        <f t="array" ref="O192">MIN(IF($B$4:$B$507=B192,$A$4:$A$507))</f>
        <v>32904</v>
      </c>
      <c r="P192" s="8">
        <f t="shared" si="30"/>
        <v>32781</v>
      </c>
      <c r="Q192" s="8">
        <f t="shared" si="31"/>
        <v>33146</v>
      </c>
      <c r="R192">
        <f t="shared" si="33"/>
        <v>70.573625832646059</v>
      </c>
      <c r="S192">
        <f t="shared" si="34"/>
        <v>76.424034383036073</v>
      </c>
      <c r="T192" s="20">
        <f t="shared" si="32"/>
        <v>-7.6551945963332146E-2</v>
      </c>
      <c r="U192" s="20">
        <f t="shared" si="35"/>
        <v>-8.6185231796242531E-2</v>
      </c>
    </row>
    <row r="193" spans="1:21" x14ac:dyDescent="0.2">
      <c r="A193" s="8">
        <f t="shared" si="24"/>
        <v>33177</v>
      </c>
      <c r="B193" s="17">
        <f t="shared" si="25"/>
        <v>1990</v>
      </c>
      <c r="C193" s="17">
        <f t="shared" si="26"/>
        <v>10</v>
      </c>
      <c r="J193">
        <v>72.773674426175006</v>
      </c>
      <c r="K193" s="6">
        <f t="shared" si="27"/>
        <v>0</v>
      </c>
      <c r="L193" s="15">
        <f t="shared" si="28"/>
        <v>4.2873542747790916</v>
      </c>
      <c r="M193" s="16">
        <f t="shared" si="29"/>
        <v>3.0697771850765498E-2</v>
      </c>
      <c r="N193" s="8">
        <f t="array" ref="N193">MAX(IF($B$4:$B$507=B193,$A$4:$A$507))</f>
        <v>33238</v>
      </c>
      <c r="O193" s="8">
        <f t="array" ref="O193">MIN(IF($B$4:$B$507=B193,$A$4:$A$507))</f>
        <v>32904</v>
      </c>
      <c r="P193" s="8">
        <f t="shared" si="30"/>
        <v>32812</v>
      </c>
      <c r="Q193" s="8">
        <f t="shared" si="31"/>
        <v>33177</v>
      </c>
      <c r="R193">
        <f t="shared" si="33"/>
        <v>72.773674426175006</v>
      </c>
      <c r="S193">
        <f t="shared" si="34"/>
        <v>78.697827622158187</v>
      </c>
      <c r="T193" s="20">
        <f t="shared" si="32"/>
        <v>-7.5277213806028587E-2</v>
      </c>
      <c r="U193" s="20">
        <f t="shared" si="35"/>
        <v>-8.6185231796242531E-2</v>
      </c>
    </row>
    <row r="194" spans="1:21" x14ac:dyDescent="0.2">
      <c r="A194" s="8">
        <f t="shared" si="24"/>
        <v>33207</v>
      </c>
      <c r="B194" s="17">
        <f t="shared" si="25"/>
        <v>1990</v>
      </c>
      <c r="C194" s="17">
        <f t="shared" si="26"/>
        <v>11</v>
      </c>
      <c r="J194">
        <v>65.546699158046152</v>
      </c>
      <c r="K194" s="6">
        <f t="shared" si="27"/>
        <v>0</v>
      </c>
      <c r="L194" s="15">
        <f t="shared" si="28"/>
        <v>4.1827628528479179</v>
      </c>
      <c r="M194" s="16">
        <f t="shared" si="29"/>
        <v>-0.10459142193117366</v>
      </c>
      <c r="N194" s="8">
        <f t="array" ref="N194">MAX(IF($B$4:$B$507=B194,$A$4:$A$507))</f>
        <v>33238</v>
      </c>
      <c r="O194" s="8">
        <f t="array" ref="O194">MIN(IF($B$4:$B$507=B194,$A$4:$A$507))</f>
        <v>32904</v>
      </c>
      <c r="P194" s="8">
        <f t="shared" si="30"/>
        <v>32842</v>
      </c>
      <c r="Q194" s="8">
        <f t="shared" si="31"/>
        <v>33207</v>
      </c>
      <c r="R194">
        <f t="shared" si="33"/>
        <v>65.546699158046152</v>
      </c>
      <c r="S194">
        <f t="shared" si="34"/>
        <v>72.527858940864505</v>
      </c>
      <c r="T194" s="20">
        <f t="shared" si="32"/>
        <v>-9.6254872055583918E-2</v>
      </c>
      <c r="U194" s="20">
        <f t="shared" si="35"/>
        <v>-8.6185231796242531E-2</v>
      </c>
    </row>
    <row r="195" spans="1:21" x14ac:dyDescent="0.2">
      <c r="A195" s="8">
        <f t="shared" si="24"/>
        <v>33238</v>
      </c>
      <c r="B195" s="17">
        <f t="shared" si="25"/>
        <v>1990</v>
      </c>
      <c r="C195" s="17">
        <f t="shared" si="26"/>
        <v>12</v>
      </c>
      <c r="J195">
        <v>52.039138240233974</v>
      </c>
      <c r="K195" s="6">
        <f t="shared" si="27"/>
        <v>0</v>
      </c>
      <c r="L195" s="15">
        <f t="shared" si="28"/>
        <v>3.9519960939421277</v>
      </c>
      <c r="M195" s="16">
        <f t="shared" si="29"/>
        <v>-0.23076675890579024</v>
      </c>
      <c r="N195" s="8">
        <f t="array" ref="N195">MAX(IF($B$4:$B$507=B195,$A$4:$A$507))</f>
        <v>33238</v>
      </c>
      <c r="O195" s="8">
        <f t="array" ref="O195">MIN(IF($B$4:$B$507=B195,$A$4:$A$507))</f>
        <v>32904</v>
      </c>
      <c r="P195" s="8">
        <f t="shared" si="30"/>
        <v>32873</v>
      </c>
      <c r="Q195" s="8">
        <f t="shared" si="31"/>
        <v>33238</v>
      </c>
      <c r="R195">
        <f t="shared" si="33"/>
        <v>52.039138240233974</v>
      </c>
      <c r="S195">
        <f t="shared" si="34"/>
        <v>62.867310368161718</v>
      </c>
      <c r="T195" s="20">
        <f t="shared" si="32"/>
        <v>-0.17223851417399783</v>
      </c>
      <c r="U195" s="20">
        <f t="shared" si="35"/>
        <v>-8.6185231796242531E-2</v>
      </c>
    </row>
    <row r="196" spans="1:21" x14ac:dyDescent="0.2">
      <c r="A196" s="8">
        <f t="shared" ref="A196:A231" si="36">EOMONTH(A197,-1)</f>
        <v>33269</v>
      </c>
      <c r="B196" s="17">
        <f t="shared" ref="B196:B231" si="37">YEAR(A196)</f>
        <v>1991</v>
      </c>
      <c r="C196" s="17">
        <f t="shared" ref="C196:C231" si="38">MONTH(A196)</f>
        <v>1</v>
      </c>
      <c r="J196">
        <v>52.838038567493086</v>
      </c>
      <c r="K196" s="6">
        <f t="shared" ref="K196:K232" si="39">IF(AND(ISNUMBER(D196),ISNUMBER(E196)),D196-E196,IF(AND(ISNUMBER(F196),ISNUMBER(G196)),F196-G196,H196-I196))</f>
        <v>0</v>
      </c>
      <c r="L196" s="15">
        <f t="shared" ref="L196:L232" si="40">LN(J196)</f>
        <v>3.9672313587435979</v>
      </c>
      <c r="M196" s="16">
        <f t="shared" ref="M196:M232" si="41">L196-L195</f>
        <v>1.5235264801470194E-2</v>
      </c>
      <c r="N196" s="8">
        <f t="array" ref="N196">MAX(IF($B$4:$B$507=B196,$A$4:$A$507))</f>
        <v>33603</v>
      </c>
      <c r="O196" s="8">
        <f t="array" ref="O196">MIN(IF($B$4:$B$507=B196,$A$4:$A$507))</f>
        <v>33269</v>
      </c>
      <c r="P196" s="8">
        <f t="shared" ref="P196:P231" si="42">EOMONTH(Q196,-12)</f>
        <v>32904</v>
      </c>
      <c r="Q196" s="8">
        <f t="shared" ref="Q196:Q231" si="43">A196</f>
        <v>33269</v>
      </c>
      <c r="R196">
        <f t="shared" si="33"/>
        <v>52.838038567493086</v>
      </c>
      <c r="S196">
        <f t="shared" si="34"/>
        <v>62.566186398656342</v>
      </c>
      <c r="T196" s="20">
        <f t="shared" ref="T196:T232" si="44">R196/S196-1</f>
        <v>-0.15548570867301859</v>
      </c>
      <c r="U196" s="20">
        <f t="shared" si="35"/>
        <v>-1.6635893845082562E-2</v>
      </c>
    </row>
    <row r="197" spans="1:21" x14ac:dyDescent="0.2">
      <c r="A197" s="8">
        <f t="shared" si="36"/>
        <v>33297</v>
      </c>
      <c r="B197" s="17">
        <f t="shared" si="37"/>
        <v>1991</v>
      </c>
      <c r="C197" s="17">
        <f t="shared" si="38"/>
        <v>2</v>
      </c>
      <c r="J197">
        <v>48.466115702479307</v>
      </c>
      <c r="K197" s="6">
        <f t="shared" si="39"/>
        <v>0</v>
      </c>
      <c r="L197" s="15">
        <f t="shared" si="40"/>
        <v>3.8808649084673679</v>
      </c>
      <c r="M197" s="16">
        <f t="shared" si="41"/>
        <v>-8.6366450276230022E-2</v>
      </c>
      <c r="N197" s="8">
        <f t="array" ref="N197">MAX(IF($B$4:$B$507=B197,$A$4:$A$507))</f>
        <v>33603</v>
      </c>
      <c r="O197" s="8">
        <f t="array" ref="O197">MIN(IF($B$4:$B$507=B197,$A$4:$A$507))</f>
        <v>33269</v>
      </c>
      <c r="P197" s="8">
        <f t="shared" si="42"/>
        <v>32932</v>
      </c>
      <c r="Q197" s="8">
        <f t="shared" si="43"/>
        <v>33297</v>
      </c>
      <c r="R197">
        <f t="shared" ref="R197:R232" si="45">VLOOKUP(Q197,$A$4:$L$507,$J$1,FALSE)</f>
        <v>48.466115702479307</v>
      </c>
      <c r="S197">
        <f t="shared" ref="S197:S260" si="46">VLOOKUP(P197,$A$4:$L$507,$J$1,FALSE)</f>
        <v>59.302985831159383</v>
      </c>
      <c r="T197" s="20">
        <f t="shared" si="44"/>
        <v>-0.18273734411170395</v>
      </c>
      <c r="U197" s="20">
        <f t="shared" ref="U197:U260" si="47">AVERAGEIF($B$4:$B$507,B197,$T$4:$T$507)</f>
        <v>-1.6635893845082562E-2</v>
      </c>
    </row>
    <row r="198" spans="1:21" x14ac:dyDescent="0.2">
      <c r="A198" s="8">
        <f t="shared" si="36"/>
        <v>33328</v>
      </c>
      <c r="B198" s="17">
        <f t="shared" si="37"/>
        <v>1991</v>
      </c>
      <c r="C198" s="17">
        <f t="shared" si="38"/>
        <v>3</v>
      </c>
      <c r="J198">
        <v>53.428407713498586</v>
      </c>
      <c r="K198" s="6">
        <f t="shared" si="39"/>
        <v>0</v>
      </c>
      <c r="L198" s="15">
        <f t="shared" si="40"/>
        <v>3.9783425841686686</v>
      </c>
      <c r="M198" s="16">
        <f t="shared" si="41"/>
        <v>9.7477675701300726E-2</v>
      </c>
      <c r="N198" s="8">
        <f t="array" ref="N198">MAX(IF($B$4:$B$507=B198,$A$4:$A$507))</f>
        <v>33603</v>
      </c>
      <c r="O198" s="8">
        <f t="array" ref="O198">MIN(IF($B$4:$B$507=B198,$A$4:$A$507))</f>
        <v>33269</v>
      </c>
      <c r="P198" s="8">
        <f t="shared" si="42"/>
        <v>32963</v>
      </c>
      <c r="Q198" s="8">
        <f t="shared" si="43"/>
        <v>33328</v>
      </c>
      <c r="R198">
        <f t="shared" si="45"/>
        <v>53.428407713498586</v>
      </c>
      <c r="S198">
        <f t="shared" si="46"/>
        <v>60.54435403197742</v>
      </c>
      <c r="T198" s="20">
        <f t="shared" si="44"/>
        <v>-0.11753278125191391</v>
      </c>
      <c r="U198" s="20">
        <f t="shared" si="47"/>
        <v>-1.6635893845082562E-2</v>
      </c>
    </row>
    <row r="199" spans="1:21" x14ac:dyDescent="0.2">
      <c r="A199" s="8">
        <f t="shared" si="36"/>
        <v>33358</v>
      </c>
      <c r="B199" s="17">
        <f t="shared" si="37"/>
        <v>1991</v>
      </c>
      <c r="C199" s="17">
        <f t="shared" si="38"/>
        <v>4</v>
      </c>
      <c r="J199">
        <v>60.88780165289252</v>
      </c>
      <c r="K199" s="6">
        <f t="shared" si="39"/>
        <v>0</v>
      </c>
      <c r="L199" s="15">
        <f t="shared" si="40"/>
        <v>4.1090328533867408</v>
      </c>
      <c r="M199" s="16">
        <f t="shared" si="41"/>
        <v>0.13069026921807225</v>
      </c>
      <c r="N199" s="8">
        <f t="array" ref="N199">MAX(IF($B$4:$B$507=B199,$A$4:$A$507))</f>
        <v>33603</v>
      </c>
      <c r="O199" s="8">
        <f t="array" ref="O199">MIN(IF($B$4:$B$507=B199,$A$4:$A$507))</f>
        <v>33269</v>
      </c>
      <c r="P199" s="8">
        <f t="shared" si="42"/>
        <v>32993</v>
      </c>
      <c r="Q199" s="8">
        <f t="shared" si="43"/>
        <v>33358</v>
      </c>
      <c r="R199">
        <f t="shared" si="45"/>
        <v>60.88780165289252</v>
      </c>
      <c r="S199">
        <f t="shared" si="46"/>
        <v>44.37584048567895</v>
      </c>
      <c r="T199" s="20">
        <f t="shared" si="44"/>
        <v>0.37209348570067857</v>
      </c>
      <c r="U199" s="20">
        <f t="shared" si="47"/>
        <v>-1.6635893845082562E-2</v>
      </c>
    </row>
    <row r="200" spans="1:21" x14ac:dyDescent="0.2">
      <c r="A200" s="8">
        <f t="shared" si="36"/>
        <v>33389</v>
      </c>
      <c r="B200" s="17">
        <f t="shared" si="37"/>
        <v>1991</v>
      </c>
      <c r="C200" s="17">
        <f t="shared" si="38"/>
        <v>5</v>
      </c>
      <c r="J200">
        <v>64.461928374655614</v>
      </c>
      <c r="K200" s="6">
        <f t="shared" si="39"/>
        <v>0</v>
      </c>
      <c r="L200" s="15">
        <f t="shared" si="40"/>
        <v>4.1660747917737595</v>
      </c>
      <c r="M200" s="16">
        <f t="shared" si="41"/>
        <v>5.7041938387018654E-2</v>
      </c>
      <c r="N200" s="8">
        <f t="array" ref="N200">MAX(IF($B$4:$B$507=B200,$A$4:$A$507))</f>
        <v>33603</v>
      </c>
      <c r="O200" s="8">
        <f t="array" ref="O200">MIN(IF($B$4:$B$507=B200,$A$4:$A$507))</f>
        <v>33269</v>
      </c>
      <c r="P200" s="8">
        <f t="shared" si="42"/>
        <v>33024</v>
      </c>
      <c r="Q200" s="8">
        <f t="shared" si="43"/>
        <v>33389</v>
      </c>
      <c r="R200">
        <f t="shared" si="45"/>
        <v>64.461928374655614</v>
      </c>
      <c r="S200">
        <f t="shared" si="46"/>
        <v>61.220346616581345</v>
      </c>
      <c r="T200" s="20">
        <f t="shared" si="44"/>
        <v>5.294941857118296E-2</v>
      </c>
      <c r="U200" s="20">
        <f t="shared" si="47"/>
        <v>-1.6635893845082562E-2</v>
      </c>
    </row>
    <row r="201" spans="1:21" x14ac:dyDescent="0.2">
      <c r="A201" s="8">
        <f t="shared" si="36"/>
        <v>33419</v>
      </c>
      <c r="B201" s="17">
        <f t="shared" si="37"/>
        <v>1991</v>
      </c>
      <c r="C201" s="17">
        <f t="shared" si="38"/>
        <v>6</v>
      </c>
      <c r="J201">
        <v>65.028363636363608</v>
      </c>
      <c r="K201" s="6">
        <f t="shared" si="39"/>
        <v>0</v>
      </c>
      <c r="L201" s="15">
        <f t="shared" si="40"/>
        <v>4.1748235383530758</v>
      </c>
      <c r="M201" s="16">
        <f t="shared" si="41"/>
        <v>8.7487465793163466E-3</v>
      </c>
      <c r="N201" s="8">
        <f t="array" ref="N201">MAX(IF($B$4:$B$507=B201,$A$4:$A$507))</f>
        <v>33603</v>
      </c>
      <c r="O201" s="8">
        <f t="array" ref="O201">MIN(IF($B$4:$B$507=B201,$A$4:$A$507))</f>
        <v>33269</v>
      </c>
      <c r="P201" s="8">
        <f t="shared" si="42"/>
        <v>33054</v>
      </c>
      <c r="Q201" s="8">
        <f t="shared" si="43"/>
        <v>33419</v>
      </c>
      <c r="R201">
        <f t="shared" si="45"/>
        <v>65.028363636363608</v>
      </c>
      <c r="S201">
        <f t="shared" si="46"/>
        <v>62.603058721452882</v>
      </c>
      <c r="T201" s="20">
        <f t="shared" si="44"/>
        <v>3.8740997076547323E-2</v>
      </c>
      <c r="U201" s="20">
        <f t="shared" si="47"/>
        <v>-1.6635893845082562E-2</v>
      </c>
    </row>
    <row r="202" spans="1:21" x14ac:dyDescent="0.2">
      <c r="A202" s="8">
        <f t="shared" si="36"/>
        <v>33450</v>
      </c>
      <c r="B202" s="17">
        <f t="shared" si="37"/>
        <v>1991</v>
      </c>
      <c r="C202" s="17">
        <f t="shared" si="38"/>
        <v>7</v>
      </c>
      <c r="J202">
        <v>71.55433608815423</v>
      </c>
      <c r="K202" s="6">
        <f t="shared" si="39"/>
        <v>0</v>
      </c>
      <c r="L202" s="15">
        <f t="shared" si="40"/>
        <v>4.2704571063766217</v>
      </c>
      <c r="M202" s="16">
        <f t="shared" si="41"/>
        <v>9.5633568023545834E-2</v>
      </c>
      <c r="N202" s="8">
        <f t="array" ref="N202">MAX(IF($B$4:$B$507=B202,$A$4:$A$507))</f>
        <v>33603</v>
      </c>
      <c r="O202" s="8">
        <f t="array" ref="O202">MIN(IF($B$4:$B$507=B202,$A$4:$A$507))</f>
        <v>33269</v>
      </c>
      <c r="P202" s="8">
        <f t="shared" si="42"/>
        <v>33085</v>
      </c>
      <c r="Q202" s="8">
        <f t="shared" si="43"/>
        <v>33450</v>
      </c>
      <c r="R202">
        <f t="shared" si="45"/>
        <v>71.55433608815423</v>
      </c>
      <c r="S202">
        <f t="shared" si="46"/>
        <v>70.659661252504691</v>
      </c>
      <c r="T202" s="20">
        <f t="shared" si="44"/>
        <v>1.2661748157161146E-2</v>
      </c>
      <c r="U202" s="20">
        <f t="shared" si="47"/>
        <v>-1.6635893845082562E-2</v>
      </c>
    </row>
    <row r="203" spans="1:21" x14ac:dyDescent="0.2">
      <c r="A203" s="8">
        <f t="shared" si="36"/>
        <v>33481</v>
      </c>
      <c r="B203" s="17">
        <f t="shared" si="37"/>
        <v>1991</v>
      </c>
      <c r="C203" s="17">
        <f t="shared" si="38"/>
        <v>8</v>
      </c>
      <c r="J203">
        <v>72.136727272727242</v>
      </c>
      <c r="K203" s="6">
        <f t="shared" si="39"/>
        <v>0</v>
      </c>
      <c r="L203" s="15">
        <f t="shared" si="40"/>
        <v>4.2785633081131689</v>
      </c>
      <c r="M203" s="16">
        <f t="shared" si="41"/>
        <v>8.1062017365471917E-3</v>
      </c>
      <c r="N203" s="8">
        <f t="array" ref="N203">MAX(IF($B$4:$B$507=B203,$A$4:$A$507))</f>
        <v>33603</v>
      </c>
      <c r="O203" s="8">
        <f t="array" ref="O203">MIN(IF($B$4:$B$507=B203,$A$4:$A$507))</f>
        <v>33269</v>
      </c>
      <c r="P203" s="8">
        <f t="shared" si="42"/>
        <v>33116</v>
      </c>
      <c r="Q203" s="8">
        <f t="shared" si="43"/>
        <v>33481</v>
      </c>
      <c r="R203">
        <f t="shared" si="45"/>
        <v>72.136727272727242</v>
      </c>
      <c r="S203">
        <f t="shared" si="46"/>
        <v>75.004449955367903</v>
      </c>
      <c r="T203" s="20">
        <f t="shared" si="44"/>
        <v>-3.8234033905283349E-2</v>
      </c>
      <c r="U203" s="20">
        <f t="shared" si="47"/>
        <v>-1.6635893845082562E-2</v>
      </c>
    </row>
    <row r="204" spans="1:21" x14ac:dyDescent="0.2">
      <c r="A204" s="8">
        <f t="shared" si="36"/>
        <v>33511</v>
      </c>
      <c r="B204" s="17">
        <f t="shared" si="37"/>
        <v>1991</v>
      </c>
      <c r="C204" s="17">
        <f t="shared" si="38"/>
        <v>9</v>
      </c>
      <c r="J204">
        <v>65.7064903581267</v>
      </c>
      <c r="K204" s="6">
        <f t="shared" si="39"/>
        <v>0</v>
      </c>
      <c r="L204" s="15">
        <f t="shared" si="40"/>
        <v>4.1851977084062986</v>
      </c>
      <c r="M204" s="16">
        <f t="shared" si="41"/>
        <v>-9.3365599706870306E-2</v>
      </c>
      <c r="N204" s="8">
        <f t="array" ref="N204">MAX(IF($B$4:$B$507=B204,$A$4:$A$507))</f>
        <v>33603</v>
      </c>
      <c r="O204" s="8">
        <f t="array" ref="O204">MIN(IF($B$4:$B$507=B204,$A$4:$A$507))</f>
        <v>33269</v>
      </c>
      <c r="P204" s="8">
        <f t="shared" si="42"/>
        <v>33146</v>
      </c>
      <c r="Q204" s="8">
        <f t="shared" si="43"/>
        <v>33511</v>
      </c>
      <c r="R204">
        <f t="shared" si="45"/>
        <v>65.7064903581267</v>
      </c>
      <c r="S204">
        <f t="shared" si="46"/>
        <v>70.573625832646059</v>
      </c>
      <c r="T204" s="20">
        <f t="shared" si="44"/>
        <v>-6.8965359468152965E-2</v>
      </c>
      <c r="U204" s="20">
        <f t="shared" si="47"/>
        <v>-1.6635893845082562E-2</v>
      </c>
    </row>
    <row r="205" spans="1:21" x14ac:dyDescent="0.2">
      <c r="A205" s="8">
        <f t="shared" si="36"/>
        <v>33542</v>
      </c>
      <c r="B205" s="17">
        <f t="shared" si="37"/>
        <v>1991</v>
      </c>
      <c r="C205" s="17">
        <f t="shared" si="38"/>
        <v>10</v>
      </c>
      <c r="J205">
        <v>69.990655647382908</v>
      </c>
      <c r="K205" s="6">
        <f t="shared" si="39"/>
        <v>0</v>
      </c>
      <c r="L205" s="15">
        <f t="shared" si="40"/>
        <v>4.2483617423870026</v>
      </c>
      <c r="M205" s="16">
        <f t="shared" si="41"/>
        <v>6.3164033980704026E-2</v>
      </c>
      <c r="N205" s="8">
        <f t="array" ref="N205">MAX(IF($B$4:$B$507=B205,$A$4:$A$507))</f>
        <v>33603</v>
      </c>
      <c r="O205" s="8">
        <f t="array" ref="O205">MIN(IF($B$4:$B$507=B205,$A$4:$A$507))</f>
        <v>33269</v>
      </c>
      <c r="P205" s="8">
        <f t="shared" si="42"/>
        <v>33177</v>
      </c>
      <c r="Q205" s="8">
        <f t="shared" si="43"/>
        <v>33542</v>
      </c>
      <c r="R205">
        <f t="shared" si="45"/>
        <v>69.990655647382908</v>
      </c>
      <c r="S205">
        <f t="shared" si="46"/>
        <v>72.773674426175006</v>
      </c>
      <c r="T205" s="20">
        <f t="shared" si="44"/>
        <v>-3.824210884961321E-2</v>
      </c>
      <c r="U205" s="20">
        <f t="shared" si="47"/>
        <v>-1.6635893845082562E-2</v>
      </c>
    </row>
    <row r="206" spans="1:21" x14ac:dyDescent="0.2">
      <c r="A206" s="8">
        <f t="shared" si="36"/>
        <v>33572</v>
      </c>
      <c r="B206" s="17">
        <f t="shared" si="37"/>
        <v>1991</v>
      </c>
      <c r="C206" s="17">
        <f t="shared" si="38"/>
        <v>11</v>
      </c>
      <c r="J206">
        <v>61.853134986225882</v>
      </c>
      <c r="K206" s="6">
        <f t="shared" si="39"/>
        <v>0</v>
      </c>
      <c r="L206" s="15">
        <f t="shared" si="40"/>
        <v>4.1247627844775776</v>
      </c>
      <c r="M206" s="16">
        <f t="shared" si="41"/>
        <v>-0.12359895790942499</v>
      </c>
      <c r="N206" s="8">
        <f t="array" ref="N206">MAX(IF($B$4:$B$507=B206,$A$4:$A$507))</f>
        <v>33603</v>
      </c>
      <c r="O206" s="8">
        <f t="array" ref="O206">MIN(IF($B$4:$B$507=B206,$A$4:$A$507))</f>
        <v>33269</v>
      </c>
      <c r="P206" s="8">
        <f t="shared" si="42"/>
        <v>33207</v>
      </c>
      <c r="Q206" s="8">
        <f t="shared" si="43"/>
        <v>33572</v>
      </c>
      <c r="R206">
        <f t="shared" si="45"/>
        <v>61.853134986225882</v>
      </c>
      <c r="S206">
        <f t="shared" si="46"/>
        <v>65.546699158046152</v>
      </c>
      <c r="T206" s="20">
        <f t="shared" si="44"/>
        <v>-5.6350117080867013E-2</v>
      </c>
      <c r="U206" s="20">
        <f t="shared" si="47"/>
        <v>-1.6635893845082562E-2</v>
      </c>
    </row>
    <row r="207" spans="1:21" x14ac:dyDescent="0.2">
      <c r="A207" s="8">
        <f t="shared" si="36"/>
        <v>33603</v>
      </c>
      <c r="B207" s="17">
        <f t="shared" si="37"/>
        <v>1991</v>
      </c>
      <c r="C207" s="17">
        <f t="shared" si="38"/>
        <v>12</v>
      </c>
      <c r="J207">
        <v>51.074909090909081</v>
      </c>
      <c r="K207" s="6">
        <f t="shared" si="39"/>
        <v>0</v>
      </c>
      <c r="L207" s="15">
        <f t="shared" si="40"/>
        <v>3.9332933607884275</v>
      </c>
      <c r="M207" s="16">
        <f t="shared" si="41"/>
        <v>-0.1914694236891501</v>
      </c>
      <c r="N207" s="8">
        <f t="array" ref="N207">MAX(IF($B$4:$B$507=B207,$A$4:$A$507))</f>
        <v>33603</v>
      </c>
      <c r="O207" s="8">
        <f t="array" ref="O207">MIN(IF($B$4:$B$507=B207,$A$4:$A$507))</f>
        <v>33269</v>
      </c>
      <c r="P207" s="8">
        <f t="shared" si="42"/>
        <v>33238</v>
      </c>
      <c r="Q207" s="8">
        <f t="shared" si="43"/>
        <v>33603</v>
      </c>
      <c r="R207">
        <f t="shared" si="45"/>
        <v>51.074909090909081</v>
      </c>
      <c r="S207">
        <f t="shared" si="46"/>
        <v>52.039138240233974</v>
      </c>
      <c r="T207" s="20">
        <f t="shared" si="44"/>
        <v>-1.8528922306007778E-2</v>
      </c>
      <c r="U207" s="20">
        <f t="shared" si="47"/>
        <v>-1.6635893845082562E-2</v>
      </c>
    </row>
    <row r="208" spans="1:21" x14ac:dyDescent="0.2">
      <c r="A208" s="8">
        <f t="shared" si="36"/>
        <v>33634</v>
      </c>
      <c r="B208" s="17">
        <f t="shared" si="37"/>
        <v>1992</v>
      </c>
      <c r="C208" s="17">
        <f t="shared" si="38"/>
        <v>1</v>
      </c>
      <c r="J208">
        <v>51.872705234159767</v>
      </c>
      <c r="K208" s="6">
        <f t="shared" si="39"/>
        <v>0</v>
      </c>
      <c r="L208" s="15">
        <f t="shared" si="40"/>
        <v>3.9487927411224697</v>
      </c>
      <c r="M208" s="16">
        <f t="shared" si="41"/>
        <v>1.549938033404219E-2</v>
      </c>
      <c r="N208" s="8">
        <f t="array" ref="N208">MAX(IF($B$4:$B$507=B208,$A$4:$A$507))</f>
        <v>33969</v>
      </c>
      <c r="O208" s="8">
        <f t="array" ref="O208">MIN(IF($B$4:$B$507=B208,$A$4:$A$507))</f>
        <v>33634</v>
      </c>
      <c r="P208" s="8">
        <f t="shared" si="42"/>
        <v>33269</v>
      </c>
      <c r="Q208" s="8">
        <f t="shared" si="43"/>
        <v>33634</v>
      </c>
      <c r="R208">
        <f t="shared" si="45"/>
        <v>51.872705234159767</v>
      </c>
      <c r="S208">
        <f t="shared" si="46"/>
        <v>52.838038567493086</v>
      </c>
      <c r="T208" s="20">
        <f t="shared" si="44"/>
        <v>-1.8269666314358779E-2</v>
      </c>
      <c r="U208" s="20">
        <f t="shared" si="47"/>
        <v>-2.8451319933361984E-2</v>
      </c>
    </row>
    <row r="209" spans="1:21" x14ac:dyDescent="0.2">
      <c r="A209" s="8">
        <f t="shared" si="36"/>
        <v>33663</v>
      </c>
      <c r="B209" s="17">
        <f t="shared" si="37"/>
        <v>1992</v>
      </c>
      <c r="C209" s="17">
        <f t="shared" si="38"/>
        <v>2</v>
      </c>
      <c r="J209">
        <v>54.601168044077127</v>
      </c>
      <c r="K209" s="6">
        <f t="shared" si="39"/>
        <v>0</v>
      </c>
      <c r="L209" s="15">
        <f t="shared" si="40"/>
        <v>4.0000552752707028</v>
      </c>
      <c r="M209" s="16">
        <f t="shared" si="41"/>
        <v>5.1262534148233119E-2</v>
      </c>
      <c r="N209" s="8">
        <f t="array" ref="N209">MAX(IF($B$4:$B$507=B209,$A$4:$A$507))</f>
        <v>33969</v>
      </c>
      <c r="O209" s="8">
        <f t="array" ref="O209">MIN(IF($B$4:$B$507=B209,$A$4:$A$507))</f>
        <v>33634</v>
      </c>
      <c r="P209" s="8">
        <f t="shared" si="42"/>
        <v>33297</v>
      </c>
      <c r="Q209" s="8">
        <f t="shared" si="43"/>
        <v>33663</v>
      </c>
      <c r="R209">
        <f t="shared" si="45"/>
        <v>54.601168044077127</v>
      </c>
      <c r="S209">
        <f t="shared" si="46"/>
        <v>48.466115702479307</v>
      </c>
      <c r="T209" s="20">
        <f t="shared" si="44"/>
        <v>0.1265843621399183</v>
      </c>
      <c r="U209" s="20">
        <f t="shared" si="47"/>
        <v>-2.8451319933361984E-2</v>
      </c>
    </row>
    <row r="210" spans="1:21" x14ac:dyDescent="0.2">
      <c r="A210" s="8">
        <f t="shared" si="36"/>
        <v>33694</v>
      </c>
      <c r="B210" s="17">
        <f t="shared" si="37"/>
        <v>1992</v>
      </c>
      <c r="C210" s="17">
        <f t="shared" si="38"/>
        <v>3</v>
      </c>
      <c r="J210">
        <v>56.858931129476574</v>
      </c>
      <c r="K210" s="6">
        <f t="shared" si="39"/>
        <v>0</v>
      </c>
      <c r="L210" s="15">
        <f t="shared" si="40"/>
        <v>4.0405733077604893</v>
      </c>
      <c r="M210" s="16">
        <f t="shared" si="41"/>
        <v>4.0518032489786471E-2</v>
      </c>
      <c r="N210" s="8">
        <f t="array" ref="N210">MAX(IF($B$4:$B$507=B210,$A$4:$A$507))</f>
        <v>33969</v>
      </c>
      <c r="O210" s="8">
        <f t="array" ref="O210">MIN(IF($B$4:$B$507=B210,$A$4:$A$507))</f>
        <v>33634</v>
      </c>
      <c r="P210" s="8">
        <f t="shared" si="42"/>
        <v>33328</v>
      </c>
      <c r="Q210" s="8">
        <f t="shared" si="43"/>
        <v>33694</v>
      </c>
      <c r="R210">
        <f t="shared" si="45"/>
        <v>56.858931129476574</v>
      </c>
      <c r="S210">
        <f t="shared" si="46"/>
        <v>53.428407713498586</v>
      </c>
      <c r="T210" s="20">
        <f t="shared" si="44"/>
        <v>6.4207854263103492E-2</v>
      </c>
      <c r="U210" s="20">
        <f t="shared" si="47"/>
        <v>-2.8451319933361984E-2</v>
      </c>
    </row>
    <row r="211" spans="1:21" x14ac:dyDescent="0.2">
      <c r="A211" s="8">
        <f t="shared" si="36"/>
        <v>33724</v>
      </c>
      <c r="B211" s="17">
        <f t="shared" si="37"/>
        <v>1992</v>
      </c>
      <c r="C211" s="17">
        <f t="shared" si="38"/>
        <v>4</v>
      </c>
      <c r="J211">
        <v>56.045179063360877</v>
      </c>
      <c r="K211" s="6">
        <f t="shared" si="39"/>
        <v>0</v>
      </c>
      <c r="L211" s="15">
        <f t="shared" si="40"/>
        <v>4.0261581344605659</v>
      </c>
      <c r="M211" s="16">
        <f t="shared" si="41"/>
        <v>-1.4415173299923367E-2</v>
      </c>
      <c r="N211" s="8">
        <f t="array" ref="N211">MAX(IF($B$4:$B$507=B211,$A$4:$A$507))</f>
        <v>33969</v>
      </c>
      <c r="O211" s="8">
        <f t="array" ref="O211">MIN(IF($B$4:$B$507=B211,$A$4:$A$507))</f>
        <v>33634</v>
      </c>
      <c r="P211" s="8">
        <f t="shared" si="42"/>
        <v>33358</v>
      </c>
      <c r="Q211" s="8">
        <f t="shared" si="43"/>
        <v>33724</v>
      </c>
      <c r="R211">
        <f t="shared" si="45"/>
        <v>56.045179063360877</v>
      </c>
      <c r="S211">
        <f t="shared" si="46"/>
        <v>60.88780165289252</v>
      </c>
      <c r="T211" s="20">
        <f t="shared" si="44"/>
        <v>-7.9533542976938598E-2</v>
      </c>
      <c r="U211" s="20">
        <f t="shared" si="47"/>
        <v>-2.8451319933361984E-2</v>
      </c>
    </row>
    <row r="212" spans="1:21" x14ac:dyDescent="0.2">
      <c r="A212" s="8">
        <f t="shared" si="36"/>
        <v>33755</v>
      </c>
      <c r="B212" s="17">
        <f t="shared" si="37"/>
        <v>1992</v>
      </c>
      <c r="C212" s="17">
        <f t="shared" si="38"/>
        <v>5</v>
      </c>
      <c r="J212">
        <v>58.294964187327814</v>
      </c>
      <c r="K212" s="6">
        <f t="shared" si="39"/>
        <v>0</v>
      </c>
      <c r="L212" s="15">
        <f t="shared" si="40"/>
        <v>4.0655157120498364</v>
      </c>
      <c r="M212" s="16">
        <f t="shared" si="41"/>
        <v>3.9357577589270498E-2</v>
      </c>
      <c r="N212" s="8">
        <f t="array" ref="N212">MAX(IF($B$4:$B$507=B212,$A$4:$A$507))</f>
        <v>33969</v>
      </c>
      <c r="O212" s="8">
        <f t="array" ref="O212">MIN(IF($B$4:$B$507=B212,$A$4:$A$507))</f>
        <v>33634</v>
      </c>
      <c r="P212" s="8">
        <f t="shared" si="42"/>
        <v>33389</v>
      </c>
      <c r="Q212" s="8">
        <f t="shared" si="43"/>
        <v>33755</v>
      </c>
      <c r="R212">
        <f t="shared" si="45"/>
        <v>58.294964187327814</v>
      </c>
      <c r="S212">
        <f t="shared" si="46"/>
        <v>64.461928374655614</v>
      </c>
      <c r="T212" s="20">
        <f t="shared" si="44"/>
        <v>-9.5668316831682865E-2</v>
      </c>
      <c r="U212" s="20">
        <f t="shared" si="47"/>
        <v>-2.8451319933361984E-2</v>
      </c>
    </row>
    <row r="213" spans="1:21" x14ac:dyDescent="0.2">
      <c r="A213" s="8">
        <f t="shared" si="36"/>
        <v>33785</v>
      </c>
      <c r="B213" s="17">
        <f t="shared" si="37"/>
        <v>1992</v>
      </c>
      <c r="C213" s="17">
        <f t="shared" si="38"/>
        <v>6</v>
      </c>
      <c r="J213">
        <v>61.318611570247924</v>
      </c>
      <c r="K213" s="6">
        <f t="shared" si="39"/>
        <v>0</v>
      </c>
      <c r="L213" s="15">
        <f t="shared" si="40"/>
        <v>4.1160834113834079</v>
      </c>
      <c r="M213" s="16">
        <f t="shared" si="41"/>
        <v>5.0567699333571525E-2</v>
      </c>
      <c r="N213" s="8">
        <f t="array" ref="N213">MAX(IF($B$4:$B$507=B213,$A$4:$A$507))</f>
        <v>33969</v>
      </c>
      <c r="O213" s="8">
        <f t="array" ref="O213">MIN(IF($B$4:$B$507=B213,$A$4:$A$507))</f>
        <v>33634</v>
      </c>
      <c r="P213" s="8">
        <f t="shared" si="42"/>
        <v>33419</v>
      </c>
      <c r="Q213" s="8">
        <f t="shared" si="43"/>
        <v>33785</v>
      </c>
      <c r="R213">
        <f t="shared" si="45"/>
        <v>61.318611570247924</v>
      </c>
      <c r="S213">
        <f t="shared" si="46"/>
        <v>65.028363636363608</v>
      </c>
      <c r="T213" s="20">
        <f t="shared" si="44"/>
        <v>-5.7048214942951536E-2</v>
      </c>
      <c r="U213" s="20">
        <f t="shared" si="47"/>
        <v>-2.8451319933361984E-2</v>
      </c>
    </row>
    <row r="214" spans="1:21" x14ac:dyDescent="0.2">
      <c r="A214" s="8">
        <f t="shared" si="36"/>
        <v>33816</v>
      </c>
      <c r="B214" s="17">
        <f t="shared" si="37"/>
        <v>1992</v>
      </c>
      <c r="C214" s="17">
        <f t="shared" si="38"/>
        <v>7</v>
      </c>
      <c r="J214">
        <v>64.270457300275481</v>
      </c>
      <c r="K214" s="6">
        <f t="shared" si="39"/>
        <v>0</v>
      </c>
      <c r="L214" s="15">
        <f t="shared" si="40"/>
        <v>4.1631000746570175</v>
      </c>
      <c r="M214" s="16">
        <f t="shared" si="41"/>
        <v>4.7016663273609538E-2</v>
      </c>
      <c r="N214" s="8">
        <f t="array" ref="N214">MAX(IF($B$4:$B$507=B214,$A$4:$A$507))</f>
        <v>33969</v>
      </c>
      <c r="O214" s="8">
        <f t="array" ref="O214">MIN(IF($B$4:$B$507=B214,$A$4:$A$507))</f>
        <v>33634</v>
      </c>
      <c r="P214" s="8">
        <f t="shared" si="42"/>
        <v>33450</v>
      </c>
      <c r="Q214" s="8">
        <f t="shared" si="43"/>
        <v>33816</v>
      </c>
      <c r="R214">
        <f t="shared" si="45"/>
        <v>64.270457300275481</v>
      </c>
      <c r="S214">
        <f t="shared" si="46"/>
        <v>71.55433608815423</v>
      </c>
      <c r="T214" s="20">
        <f t="shared" si="44"/>
        <v>-0.1017950719143712</v>
      </c>
      <c r="U214" s="20">
        <f t="shared" si="47"/>
        <v>-2.8451319933361984E-2</v>
      </c>
    </row>
    <row r="215" spans="1:21" x14ac:dyDescent="0.2">
      <c r="A215" s="8">
        <f t="shared" si="36"/>
        <v>33847</v>
      </c>
      <c r="B215" s="17">
        <f t="shared" si="37"/>
        <v>1992</v>
      </c>
      <c r="C215" s="17">
        <f t="shared" si="38"/>
        <v>8</v>
      </c>
      <c r="J215">
        <v>62.978027548209361</v>
      </c>
      <c r="K215" s="6">
        <f t="shared" si="39"/>
        <v>0</v>
      </c>
      <c r="L215" s="15">
        <f t="shared" si="40"/>
        <v>4.1427858964814117</v>
      </c>
      <c r="M215" s="16">
        <f t="shared" si="41"/>
        <v>-2.0314178175605768E-2</v>
      </c>
      <c r="N215" s="8">
        <f t="array" ref="N215">MAX(IF($B$4:$B$507=B215,$A$4:$A$507))</f>
        <v>33969</v>
      </c>
      <c r="O215" s="8">
        <f t="array" ref="O215">MIN(IF($B$4:$B$507=B215,$A$4:$A$507))</f>
        <v>33634</v>
      </c>
      <c r="P215" s="8">
        <f t="shared" si="42"/>
        <v>33481</v>
      </c>
      <c r="Q215" s="8">
        <f t="shared" si="43"/>
        <v>33847</v>
      </c>
      <c r="R215">
        <f t="shared" si="45"/>
        <v>62.978027548209361</v>
      </c>
      <c r="S215">
        <f t="shared" si="46"/>
        <v>72.136727272727242</v>
      </c>
      <c r="T215" s="20">
        <f t="shared" si="44"/>
        <v>-0.12696306126963031</v>
      </c>
      <c r="U215" s="20">
        <f t="shared" si="47"/>
        <v>-2.8451319933361984E-2</v>
      </c>
    </row>
    <row r="216" spans="1:21" x14ac:dyDescent="0.2">
      <c r="A216" s="8">
        <f t="shared" si="36"/>
        <v>33877</v>
      </c>
      <c r="B216" s="17">
        <f t="shared" si="37"/>
        <v>1992</v>
      </c>
      <c r="C216" s="17">
        <f t="shared" si="38"/>
        <v>9</v>
      </c>
      <c r="J216">
        <v>62.754644628099172</v>
      </c>
      <c r="K216" s="6">
        <f t="shared" si="39"/>
        <v>0</v>
      </c>
      <c r="L216" s="15">
        <f t="shared" si="40"/>
        <v>4.139232593250374</v>
      </c>
      <c r="M216" s="16">
        <f t="shared" si="41"/>
        <v>-3.5533032310377521E-3</v>
      </c>
      <c r="N216" s="8">
        <f t="array" ref="N216">MAX(IF($B$4:$B$507=B216,$A$4:$A$507))</f>
        <v>33969</v>
      </c>
      <c r="O216" s="8">
        <f t="array" ref="O216">MIN(IF($B$4:$B$507=B216,$A$4:$A$507))</f>
        <v>33634</v>
      </c>
      <c r="P216" s="8">
        <f t="shared" si="42"/>
        <v>33511</v>
      </c>
      <c r="Q216" s="8">
        <f t="shared" si="43"/>
        <v>33877</v>
      </c>
      <c r="R216">
        <f t="shared" si="45"/>
        <v>62.754644628099172</v>
      </c>
      <c r="S216">
        <f t="shared" si="46"/>
        <v>65.7064903581267</v>
      </c>
      <c r="T216" s="20">
        <f t="shared" si="44"/>
        <v>-4.4924720738222179E-2</v>
      </c>
      <c r="U216" s="20">
        <f t="shared" si="47"/>
        <v>-2.8451319933361984E-2</v>
      </c>
    </row>
    <row r="217" spans="1:21" x14ac:dyDescent="0.2">
      <c r="A217" s="8">
        <f t="shared" si="36"/>
        <v>33908</v>
      </c>
      <c r="B217" s="17">
        <f t="shared" si="37"/>
        <v>1992</v>
      </c>
      <c r="C217" s="17">
        <f t="shared" si="38"/>
        <v>10</v>
      </c>
      <c r="J217">
        <v>63.959316804407706</v>
      </c>
      <c r="K217" s="6">
        <f t="shared" si="39"/>
        <v>0</v>
      </c>
      <c r="L217" s="15">
        <f t="shared" si="40"/>
        <v>4.1582472063015707</v>
      </c>
      <c r="M217" s="16">
        <f t="shared" si="41"/>
        <v>1.9014613051196783E-2</v>
      </c>
      <c r="N217" s="8">
        <f t="array" ref="N217">MAX(IF($B$4:$B$507=B217,$A$4:$A$507))</f>
        <v>33969</v>
      </c>
      <c r="O217" s="8">
        <f t="array" ref="O217">MIN(IF($B$4:$B$507=B217,$A$4:$A$507))</f>
        <v>33634</v>
      </c>
      <c r="P217" s="8">
        <f t="shared" si="42"/>
        <v>33542</v>
      </c>
      <c r="Q217" s="8">
        <f t="shared" si="43"/>
        <v>33908</v>
      </c>
      <c r="R217">
        <f t="shared" si="45"/>
        <v>63.959316804407706</v>
      </c>
      <c r="S217">
        <f t="shared" si="46"/>
        <v>69.990655647382908</v>
      </c>
      <c r="T217" s="20">
        <f t="shared" si="44"/>
        <v>-8.6173486834606128E-2</v>
      </c>
      <c r="U217" s="20">
        <f t="shared" si="47"/>
        <v>-2.8451319933361984E-2</v>
      </c>
    </row>
    <row r="218" spans="1:21" x14ac:dyDescent="0.2">
      <c r="A218" s="8">
        <f t="shared" si="36"/>
        <v>33938</v>
      </c>
      <c r="B218" s="17">
        <f t="shared" si="37"/>
        <v>1992</v>
      </c>
      <c r="C218" s="17">
        <f t="shared" si="38"/>
        <v>11</v>
      </c>
      <c r="J218">
        <v>61.924936639118449</v>
      </c>
      <c r="K218" s="6">
        <f t="shared" si="39"/>
        <v>0</v>
      </c>
      <c r="L218" s="15">
        <f t="shared" si="40"/>
        <v>4.1259229521874703</v>
      </c>
      <c r="M218" s="16">
        <f t="shared" si="41"/>
        <v>-3.2324254114100448E-2</v>
      </c>
      <c r="N218" s="8">
        <f t="array" ref="N218">MAX(IF($B$4:$B$507=B218,$A$4:$A$507))</f>
        <v>33969</v>
      </c>
      <c r="O218" s="8">
        <f t="array" ref="O218">MIN(IF($B$4:$B$507=B218,$A$4:$A$507))</f>
        <v>33634</v>
      </c>
      <c r="P218" s="8">
        <f t="shared" si="42"/>
        <v>33572</v>
      </c>
      <c r="Q218" s="8">
        <f t="shared" si="43"/>
        <v>33938</v>
      </c>
      <c r="R218">
        <f t="shared" si="45"/>
        <v>61.924936639118449</v>
      </c>
      <c r="S218">
        <f t="shared" si="46"/>
        <v>61.853134986225882</v>
      </c>
      <c r="T218" s="20">
        <f t="shared" si="44"/>
        <v>1.160840964787857E-3</v>
      </c>
      <c r="U218" s="20">
        <f t="shared" si="47"/>
        <v>-2.8451319933361984E-2</v>
      </c>
    </row>
    <row r="219" spans="1:21" x14ac:dyDescent="0.2">
      <c r="A219" s="8">
        <f t="shared" si="36"/>
        <v>33969</v>
      </c>
      <c r="B219" s="17">
        <f t="shared" si="37"/>
        <v>1992</v>
      </c>
      <c r="C219" s="17">
        <f t="shared" si="38"/>
        <v>12</v>
      </c>
      <c r="J219">
        <v>55.008044077134983</v>
      </c>
      <c r="K219" s="6">
        <f t="shared" si="39"/>
        <v>0</v>
      </c>
      <c r="L219" s="15">
        <f t="shared" si="40"/>
        <v>4.0074794304860211</v>
      </c>
      <c r="M219" s="16">
        <f t="shared" si="41"/>
        <v>-0.11844352170144923</v>
      </c>
      <c r="N219" s="8">
        <f t="array" ref="N219">MAX(IF($B$4:$B$507=B219,$A$4:$A$507))</f>
        <v>33969</v>
      </c>
      <c r="O219" s="8">
        <f t="array" ref="O219">MIN(IF($B$4:$B$507=B219,$A$4:$A$507))</f>
        <v>33634</v>
      </c>
      <c r="P219" s="8">
        <f t="shared" si="42"/>
        <v>33603</v>
      </c>
      <c r="Q219" s="8">
        <f t="shared" si="43"/>
        <v>33969</v>
      </c>
      <c r="R219">
        <f t="shared" si="45"/>
        <v>55.008044077134983</v>
      </c>
      <c r="S219">
        <f t="shared" si="46"/>
        <v>51.074909090909081</v>
      </c>
      <c r="T219" s="20">
        <f t="shared" si="44"/>
        <v>7.7007185254608146E-2</v>
      </c>
      <c r="U219" s="20">
        <f t="shared" si="47"/>
        <v>-2.8451319933361984E-2</v>
      </c>
    </row>
    <row r="220" spans="1:21" x14ac:dyDescent="0.2">
      <c r="A220" s="8">
        <f t="shared" si="36"/>
        <v>34000</v>
      </c>
      <c r="B220" s="17">
        <f t="shared" si="37"/>
        <v>1993</v>
      </c>
      <c r="C220" s="17">
        <f t="shared" si="38"/>
        <v>1</v>
      </c>
      <c r="J220">
        <v>54.018776859504122</v>
      </c>
      <c r="K220" s="6">
        <f t="shared" si="39"/>
        <v>0</v>
      </c>
      <c r="L220" s="15">
        <f t="shared" si="40"/>
        <v>3.9893317057442643</v>
      </c>
      <c r="M220" s="16">
        <f t="shared" si="41"/>
        <v>-1.8147724741756743E-2</v>
      </c>
      <c r="N220" s="8">
        <f t="array" ref="N220">MAX(IF($B$4:$B$507=B220,$A$4:$A$507))</f>
        <v>34334</v>
      </c>
      <c r="O220" s="8">
        <f t="array" ref="O220">MIN(IF($B$4:$B$507=B220,$A$4:$A$507))</f>
        <v>34000</v>
      </c>
      <c r="P220" s="8">
        <f t="shared" si="42"/>
        <v>33634</v>
      </c>
      <c r="Q220" s="8">
        <f t="shared" si="43"/>
        <v>34000</v>
      </c>
      <c r="R220">
        <f t="shared" si="45"/>
        <v>54.018776859504122</v>
      </c>
      <c r="S220">
        <f t="shared" si="46"/>
        <v>51.872705234159767</v>
      </c>
      <c r="T220" s="20">
        <f t="shared" si="44"/>
        <v>4.1371885573669775E-2</v>
      </c>
      <c r="U220" s="20">
        <f t="shared" si="47"/>
        <v>7.4603129469335241E-2</v>
      </c>
    </row>
    <row r="221" spans="1:21" x14ac:dyDescent="0.2">
      <c r="A221" s="8">
        <f t="shared" si="36"/>
        <v>34028</v>
      </c>
      <c r="B221" s="17">
        <f t="shared" si="37"/>
        <v>1993</v>
      </c>
      <c r="C221" s="17">
        <f t="shared" si="38"/>
        <v>2</v>
      </c>
      <c r="J221">
        <v>53.907085399449024</v>
      </c>
      <c r="K221" s="6">
        <f t="shared" si="39"/>
        <v>0</v>
      </c>
      <c r="L221" s="15">
        <f t="shared" si="40"/>
        <v>3.9872619238107934</v>
      </c>
      <c r="M221" s="16">
        <f t="shared" si="41"/>
        <v>-2.06978193347096E-3</v>
      </c>
      <c r="N221" s="8">
        <f t="array" ref="N221">MAX(IF($B$4:$B$507=B221,$A$4:$A$507))</f>
        <v>34334</v>
      </c>
      <c r="O221" s="8">
        <f t="array" ref="O221">MIN(IF($B$4:$B$507=B221,$A$4:$A$507))</f>
        <v>34000</v>
      </c>
      <c r="P221" s="8">
        <f t="shared" si="42"/>
        <v>33663</v>
      </c>
      <c r="Q221" s="8">
        <f t="shared" si="43"/>
        <v>34028</v>
      </c>
      <c r="R221">
        <f t="shared" si="45"/>
        <v>53.907085399449024</v>
      </c>
      <c r="S221">
        <f t="shared" si="46"/>
        <v>54.601168044077127</v>
      </c>
      <c r="T221" s="20">
        <f t="shared" si="44"/>
        <v>-1.2711864406779738E-2</v>
      </c>
      <c r="U221" s="20">
        <f t="shared" si="47"/>
        <v>7.4603129469335241E-2</v>
      </c>
    </row>
    <row r="222" spans="1:21" x14ac:dyDescent="0.2">
      <c r="A222" s="8">
        <f t="shared" si="36"/>
        <v>34059</v>
      </c>
      <c r="B222" s="17">
        <f t="shared" si="37"/>
        <v>1993</v>
      </c>
      <c r="C222" s="17">
        <f t="shared" si="38"/>
        <v>3</v>
      </c>
      <c r="J222">
        <v>64.262479338842965</v>
      </c>
      <c r="K222" s="6">
        <f t="shared" si="39"/>
        <v>0</v>
      </c>
      <c r="L222" s="15">
        <f t="shared" si="40"/>
        <v>4.1629759358696941</v>
      </c>
      <c r="M222" s="16">
        <f t="shared" si="41"/>
        <v>0.17571401205890069</v>
      </c>
      <c r="N222" s="8">
        <f t="array" ref="N222">MAX(IF($B$4:$B$507=B222,$A$4:$A$507))</f>
        <v>34334</v>
      </c>
      <c r="O222" s="8">
        <f t="array" ref="O222">MIN(IF($B$4:$B$507=B222,$A$4:$A$507))</f>
        <v>34000</v>
      </c>
      <c r="P222" s="8">
        <f t="shared" si="42"/>
        <v>33694</v>
      </c>
      <c r="Q222" s="8">
        <f t="shared" si="43"/>
        <v>34059</v>
      </c>
      <c r="R222">
        <f t="shared" si="45"/>
        <v>64.262479338842965</v>
      </c>
      <c r="S222">
        <f t="shared" si="46"/>
        <v>56.858931129476574</v>
      </c>
      <c r="T222" s="20">
        <f t="shared" si="44"/>
        <v>0.13020906412235167</v>
      </c>
      <c r="U222" s="20">
        <f t="shared" si="47"/>
        <v>7.4603129469335241E-2</v>
      </c>
    </row>
    <row r="223" spans="1:21" x14ac:dyDescent="0.2">
      <c r="A223" s="8">
        <f t="shared" si="36"/>
        <v>34089</v>
      </c>
      <c r="B223" s="17">
        <f t="shared" si="37"/>
        <v>1993</v>
      </c>
      <c r="C223" s="17">
        <f t="shared" si="38"/>
        <v>4</v>
      </c>
      <c r="J223">
        <v>60.728242424242424</v>
      </c>
      <c r="K223" s="6">
        <f t="shared" si="39"/>
        <v>0</v>
      </c>
      <c r="L223" s="15">
        <f t="shared" si="40"/>
        <v>4.1064088686746594</v>
      </c>
      <c r="M223" s="16">
        <f t="shared" si="41"/>
        <v>-5.6567067195034682E-2</v>
      </c>
      <c r="N223" s="8">
        <f t="array" ref="N223">MAX(IF($B$4:$B$507=B223,$A$4:$A$507))</f>
        <v>34334</v>
      </c>
      <c r="O223" s="8">
        <f t="array" ref="O223">MIN(IF($B$4:$B$507=B223,$A$4:$A$507))</f>
        <v>34000</v>
      </c>
      <c r="P223" s="8">
        <f t="shared" si="42"/>
        <v>33724</v>
      </c>
      <c r="Q223" s="8">
        <f t="shared" si="43"/>
        <v>34089</v>
      </c>
      <c r="R223">
        <f t="shared" si="45"/>
        <v>60.728242424242424</v>
      </c>
      <c r="S223">
        <f t="shared" si="46"/>
        <v>56.045179063360877</v>
      </c>
      <c r="T223" s="20">
        <f t="shared" si="44"/>
        <v>8.3558718861210135E-2</v>
      </c>
      <c r="U223" s="20">
        <f t="shared" si="47"/>
        <v>7.4603129469335241E-2</v>
      </c>
    </row>
    <row r="224" spans="1:21" x14ac:dyDescent="0.2">
      <c r="A224" s="8">
        <f t="shared" si="36"/>
        <v>34120</v>
      </c>
      <c r="B224" s="17">
        <f t="shared" si="37"/>
        <v>1993</v>
      </c>
      <c r="C224" s="17">
        <f t="shared" si="38"/>
        <v>5</v>
      </c>
      <c r="J224">
        <v>65.594798898071616</v>
      </c>
      <c r="K224" s="6">
        <f t="shared" si="39"/>
        <v>0</v>
      </c>
      <c r="L224" s="15">
        <f t="shared" si="40"/>
        <v>4.1834964077164427</v>
      </c>
      <c r="M224" s="16">
        <f t="shared" si="41"/>
        <v>7.7087539041783337E-2</v>
      </c>
      <c r="N224" s="8">
        <f t="array" ref="N224">MAX(IF($B$4:$B$507=B224,$A$4:$A$507))</f>
        <v>34334</v>
      </c>
      <c r="O224" s="8">
        <f t="array" ref="O224">MIN(IF($B$4:$B$507=B224,$A$4:$A$507))</f>
        <v>34000</v>
      </c>
      <c r="P224" s="8">
        <f t="shared" si="42"/>
        <v>33755</v>
      </c>
      <c r="Q224" s="8">
        <f t="shared" si="43"/>
        <v>34120</v>
      </c>
      <c r="R224">
        <f t="shared" si="45"/>
        <v>65.594798898071616</v>
      </c>
      <c r="S224">
        <f t="shared" si="46"/>
        <v>58.294964187327814</v>
      </c>
      <c r="T224" s="20">
        <f t="shared" si="44"/>
        <v>0.12522238948953057</v>
      </c>
      <c r="U224" s="20">
        <f t="shared" si="47"/>
        <v>7.4603129469335241E-2</v>
      </c>
    </row>
    <row r="225" spans="1:25" x14ac:dyDescent="0.2">
      <c r="A225" s="8">
        <f t="shared" si="36"/>
        <v>34150</v>
      </c>
      <c r="B225" s="17">
        <f t="shared" si="37"/>
        <v>1993</v>
      </c>
      <c r="C225" s="17">
        <f t="shared" si="38"/>
        <v>6</v>
      </c>
      <c r="J225">
        <v>66.073476584022032</v>
      </c>
      <c r="K225" s="6">
        <f t="shared" si="39"/>
        <v>0</v>
      </c>
      <c r="L225" s="15">
        <f t="shared" si="40"/>
        <v>4.1907674043641316</v>
      </c>
      <c r="M225" s="16">
        <f t="shared" si="41"/>
        <v>7.2709966476889321E-3</v>
      </c>
      <c r="N225" s="8">
        <f t="array" ref="N225">MAX(IF($B$4:$B$507=B225,$A$4:$A$507))</f>
        <v>34334</v>
      </c>
      <c r="O225" s="8">
        <f t="array" ref="O225">MIN(IF($B$4:$B$507=B225,$A$4:$A$507))</f>
        <v>34000</v>
      </c>
      <c r="P225" s="8">
        <f t="shared" si="42"/>
        <v>33785</v>
      </c>
      <c r="Q225" s="8">
        <f t="shared" si="43"/>
        <v>34150</v>
      </c>
      <c r="R225">
        <f t="shared" si="45"/>
        <v>66.073476584022032</v>
      </c>
      <c r="S225">
        <f t="shared" si="46"/>
        <v>61.318611570247924</v>
      </c>
      <c r="T225" s="20">
        <f t="shared" si="44"/>
        <v>7.7543585740307064E-2</v>
      </c>
      <c r="U225" s="20">
        <f t="shared" si="47"/>
        <v>7.4603129469335241E-2</v>
      </c>
    </row>
    <row r="226" spans="1:25" x14ac:dyDescent="0.2">
      <c r="A226" s="8">
        <f t="shared" si="36"/>
        <v>34181</v>
      </c>
      <c r="B226" s="17">
        <f t="shared" si="37"/>
        <v>1993</v>
      </c>
      <c r="C226" s="17">
        <f t="shared" si="38"/>
        <v>7</v>
      </c>
      <c r="J226">
        <v>69.105101928374651</v>
      </c>
      <c r="K226" s="6">
        <f t="shared" si="39"/>
        <v>0</v>
      </c>
      <c r="L226" s="15">
        <f t="shared" si="40"/>
        <v>4.2356285620331908</v>
      </c>
      <c r="M226" s="16">
        <f t="shared" si="41"/>
        <v>4.4861157669059182E-2</v>
      </c>
      <c r="N226" s="8">
        <f t="array" ref="N226">MAX(IF($B$4:$B$507=B226,$A$4:$A$507))</f>
        <v>34334</v>
      </c>
      <c r="O226" s="8">
        <f t="array" ref="O226">MIN(IF($B$4:$B$507=B226,$A$4:$A$507))</f>
        <v>34000</v>
      </c>
      <c r="P226" s="8">
        <f t="shared" si="42"/>
        <v>33816</v>
      </c>
      <c r="Q226" s="8">
        <f t="shared" si="43"/>
        <v>34181</v>
      </c>
      <c r="R226">
        <f t="shared" si="45"/>
        <v>69.105101928374651</v>
      </c>
      <c r="S226">
        <f t="shared" si="46"/>
        <v>64.270457300275481</v>
      </c>
      <c r="T226" s="20">
        <f t="shared" si="44"/>
        <v>7.522343594836145E-2</v>
      </c>
      <c r="U226" s="20">
        <f t="shared" si="47"/>
        <v>7.4603129469335241E-2</v>
      </c>
    </row>
    <row r="227" spans="1:25" x14ac:dyDescent="0.2">
      <c r="A227" s="8">
        <f t="shared" si="36"/>
        <v>34212</v>
      </c>
      <c r="B227" s="17">
        <f t="shared" si="37"/>
        <v>1993</v>
      </c>
      <c r="C227" s="17">
        <f t="shared" si="38"/>
        <v>8</v>
      </c>
      <c r="J227">
        <v>69.496022038567475</v>
      </c>
      <c r="K227" s="6">
        <f t="shared" si="39"/>
        <v>0</v>
      </c>
      <c r="L227" s="15">
        <f t="shared" si="40"/>
        <v>4.2412695140775112</v>
      </c>
      <c r="M227" s="16">
        <f t="shared" si="41"/>
        <v>5.6409520443203576E-3</v>
      </c>
      <c r="N227" s="8">
        <f t="array" ref="N227">MAX(IF($B$4:$B$507=B227,$A$4:$A$507))</f>
        <v>34334</v>
      </c>
      <c r="O227" s="8">
        <f t="array" ref="O227">MIN(IF($B$4:$B$507=B227,$A$4:$A$507))</f>
        <v>34000</v>
      </c>
      <c r="P227" s="8">
        <f t="shared" si="42"/>
        <v>33847</v>
      </c>
      <c r="Q227" s="8">
        <f t="shared" si="43"/>
        <v>34212</v>
      </c>
      <c r="R227">
        <f t="shared" si="45"/>
        <v>69.496022038567475</v>
      </c>
      <c r="S227">
        <f t="shared" si="46"/>
        <v>62.978027548209361</v>
      </c>
      <c r="T227" s="20">
        <f t="shared" si="44"/>
        <v>0.10349632632379002</v>
      </c>
      <c r="U227" s="20">
        <f t="shared" si="47"/>
        <v>7.4603129469335241E-2</v>
      </c>
    </row>
    <row r="228" spans="1:25" x14ac:dyDescent="0.2">
      <c r="A228" s="8">
        <f t="shared" si="36"/>
        <v>34242</v>
      </c>
      <c r="B228" s="17">
        <f t="shared" si="37"/>
        <v>1993</v>
      </c>
      <c r="C228" s="17">
        <f t="shared" si="38"/>
        <v>9</v>
      </c>
      <c r="J228">
        <v>66.887228650137729</v>
      </c>
      <c r="K228" s="6">
        <f t="shared" si="39"/>
        <v>0</v>
      </c>
      <c r="L228" s="15">
        <f t="shared" si="40"/>
        <v>4.2030080468194422</v>
      </c>
      <c r="M228" s="16">
        <f t="shared" si="41"/>
        <v>-3.8261467258069004E-2</v>
      </c>
      <c r="N228" s="8">
        <f t="array" ref="N228">MAX(IF($B$4:$B$507=B228,$A$4:$A$507))</f>
        <v>34334</v>
      </c>
      <c r="O228" s="8">
        <f t="array" ref="O228">MIN(IF($B$4:$B$507=B228,$A$4:$A$507))</f>
        <v>34000</v>
      </c>
      <c r="P228" s="8">
        <f t="shared" si="42"/>
        <v>33877</v>
      </c>
      <c r="Q228" s="8">
        <f t="shared" si="43"/>
        <v>34242</v>
      </c>
      <c r="R228">
        <f t="shared" si="45"/>
        <v>66.887228650137729</v>
      </c>
      <c r="S228">
        <f t="shared" si="46"/>
        <v>62.754644628099172</v>
      </c>
      <c r="T228" s="20">
        <f t="shared" si="44"/>
        <v>6.5853038393083985E-2</v>
      </c>
      <c r="U228" s="20">
        <f t="shared" si="47"/>
        <v>7.4603129469335241E-2</v>
      </c>
    </row>
    <row r="229" spans="1:25" x14ac:dyDescent="0.2">
      <c r="A229" s="8">
        <f t="shared" si="36"/>
        <v>34273</v>
      </c>
      <c r="B229" s="17">
        <f t="shared" si="37"/>
        <v>1993</v>
      </c>
      <c r="C229" s="17">
        <f t="shared" si="38"/>
        <v>10</v>
      </c>
      <c r="J229">
        <v>67.206347107437992</v>
      </c>
      <c r="K229" s="6">
        <f t="shared" si="39"/>
        <v>0</v>
      </c>
      <c r="L229" s="15">
        <f t="shared" si="40"/>
        <v>4.2077676940724302</v>
      </c>
      <c r="M229" s="16">
        <f t="shared" si="41"/>
        <v>4.7596472529880529E-3</v>
      </c>
      <c r="N229" s="8">
        <f t="array" ref="N229">MAX(IF($B$4:$B$507=B229,$A$4:$A$507))</f>
        <v>34334</v>
      </c>
      <c r="O229" s="8">
        <f t="array" ref="O229">MIN(IF($B$4:$B$507=B229,$A$4:$A$507))</f>
        <v>34000</v>
      </c>
      <c r="P229" s="8">
        <f t="shared" si="42"/>
        <v>33908</v>
      </c>
      <c r="Q229" s="8">
        <f t="shared" si="43"/>
        <v>34273</v>
      </c>
      <c r="R229">
        <f t="shared" si="45"/>
        <v>67.206347107437992</v>
      </c>
      <c r="S229">
        <f t="shared" si="46"/>
        <v>63.959316804407706</v>
      </c>
      <c r="T229" s="20">
        <f t="shared" si="44"/>
        <v>5.076711987027549E-2</v>
      </c>
      <c r="U229" s="20">
        <f t="shared" si="47"/>
        <v>7.4603129469335241E-2</v>
      </c>
    </row>
    <row r="230" spans="1:25" x14ac:dyDescent="0.2">
      <c r="A230" s="8">
        <f t="shared" si="36"/>
        <v>34303</v>
      </c>
      <c r="B230" s="17">
        <f t="shared" si="37"/>
        <v>1993</v>
      </c>
      <c r="C230" s="17">
        <f t="shared" si="38"/>
        <v>11</v>
      </c>
      <c r="J230">
        <v>66.233035812672156</v>
      </c>
      <c r="K230" s="6">
        <f t="shared" si="39"/>
        <v>0</v>
      </c>
      <c r="L230" s="15">
        <f t="shared" si="40"/>
        <v>4.1931793688716033</v>
      </c>
      <c r="M230" s="16">
        <f t="shared" si="41"/>
        <v>-1.4588325200826979E-2</v>
      </c>
      <c r="N230" s="8">
        <f t="array" ref="N230">MAX(IF($B$4:$B$507=B230,$A$4:$A$507))</f>
        <v>34334</v>
      </c>
      <c r="O230" s="8">
        <f t="array" ref="O230">MIN(IF($B$4:$B$507=B230,$A$4:$A$507))</f>
        <v>34000</v>
      </c>
      <c r="P230" s="8">
        <f t="shared" si="42"/>
        <v>33938</v>
      </c>
      <c r="Q230" s="8">
        <f t="shared" si="43"/>
        <v>34303</v>
      </c>
      <c r="R230">
        <f t="shared" si="45"/>
        <v>66.233035812672156</v>
      </c>
      <c r="S230">
        <f t="shared" si="46"/>
        <v>61.924936639118449</v>
      </c>
      <c r="T230" s="20">
        <f t="shared" si="44"/>
        <v>6.9569698531306123E-2</v>
      </c>
      <c r="U230" s="20">
        <f t="shared" si="47"/>
        <v>7.4603129469335241E-2</v>
      </c>
    </row>
    <row r="231" spans="1:25" x14ac:dyDescent="0.2">
      <c r="A231" s="8">
        <f t="shared" si="36"/>
        <v>34334</v>
      </c>
      <c r="B231" s="17">
        <f t="shared" si="37"/>
        <v>1993</v>
      </c>
      <c r="C231" s="17">
        <f t="shared" si="38"/>
        <v>12</v>
      </c>
      <c r="J231">
        <v>59.691107438016509</v>
      </c>
      <c r="K231" s="6">
        <f t="shared" si="39"/>
        <v>0</v>
      </c>
      <c r="L231" s="15">
        <f t="shared" si="40"/>
        <v>4.0891830551667105</v>
      </c>
      <c r="M231" s="16">
        <f t="shared" si="41"/>
        <v>-0.10399631370489271</v>
      </c>
      <c r="N231" s="8">
        <f t="array" ref="N231">MAX(IF($B$4:$B$507=B231,$A$4:$A$507))</f>
        <v>34334</v>
      </c>
      <c r="O231" s="8">
        <f t="array" ref="O231">MIN(IF($B$4:$B$507=B231,$A$4:$A$507))</f>
        <v>34000</v>
      </c>
      <c r="P231" s="8">
        <f t="shared" si="42"/>
        <v>33969</v>
      </c>
      <c r="Q231" s="8">
        <f t="shared" si="43"/>
        <v>34334</v>
      </c>
      <c r="R231">
        <f t="shared" si="45"/>
        <v>59.691107438016509</v>
      </c>
      <c r="S231">
        <f t="shared" si="46"/>
        <v>55.008044077134983</v>
      </c>
      <c r="T231" s="20">
        <f t="shared" si="44"/>
        <v>8.5134155184916294E-2</v>
      </c>
      <c r="U231" s="20">
        <f t="shared" si="47"/>
        <v>7.4603129469335241E-2</v>
      </c>
    </row>
    <row r="232" spans="1:25" x14ac:dyDescent="0.2">
      <c r="A232" s="8">
        <f t="shared" ref="A232:A243" si="48">EOMONTH(A233,-1)</f>
        <v>34365</v>
      </c>
      <c r="B232" s="17">
        <f t="shared" ref="B232:B279" si="49">YEAR(A232)</f>
        <v>1994</v>
      </c>
      <c r="C232" s="17">
        <f t="shared" ref="C232:C279" si="50">MONTH(A232)</f>
        <v>1</v>
      </c>
      <c r="F232" s="8"/>
      <c r="J232">
        <v>58.701840220385655</v>
      </c>
      <c r="K232" s="6">
        <f t="shared" si="39"/>
        <v>0</v>
      </c>
      <c r="L232" s="15">
        <f t="shared" si="40"/>
        <v>4.0724710759233389</v>
      </c>
      <c r="M232" s="16">
        <f t="shared" si="41"/>
        <v>-1.6711979243371644E-2</v>
      </c>
      <c r="N232" s="8">
        <f t="array" ref="N232">MAX(IF($B$4:$B$507=B232,$A$4:$A$507))</f>
        <v>34699</v>
      </c>
      <c r="O232" s="8">
        <f t="array" ref="O232">MIN(IF($B$4:$B$507=B232,$A$4:$A$507))</f>
        <v>34365</v>
      </c>
      <c r="P232" s="8">
        <f t="shared" ref="P232:P279" si="51">EOMONTH(Q232,-12)</f>
        <v>34000</v>
      </c>
      <c r="Q232" s="8">
        <f t="shared" ref="Q232:Q279" si="52">A232</f>
        <v>34365</v>
      </c>
      <c r="R232">
        <f t="shared" si="45"/>
        <v>58.701840220385655</v>
      </c>
      <c r="S232">
        <f t="shared" si="46"/>
        <v>54.018776859504122</v>
      </c>
      <c r="T232" s="20">
        <f t="shared" si="44"/>
        <v>8.6693250627676743E-2</v>
      </c>
      <c r="U232" s="20">
        <f t="shared" si="47"/>
        <v>7.5917620314110812E-2</v>
      </c>
      <c r="V232" s="18">
        <f>SUMIF($B$232:$B$507,B232,$K$232:$K$507)</f>
        <v>0</v>
      </c>
      <c r="W232">
        <f>SUMIF($B$232:$B$507,B232,$J$232:$J$507)</f>
        <v>821.2353939393937</v>
      </c>
      <c r="Y232">
        <f>SUMIF($B$4:$B$507,B232,$J$4:$J$507)</f>
        <v>821.2353939393937</v>
      </c>
    </row>
    <row r="233" spans="1:25" x14ac:dyDescent="0.2">
      <c r="A233" s="8">
        <f t="shared" si="48"/>
        <v>34393</v>
      </c>
      <c r="B233" s="17">
        <f t="shared" si="49"/>
        <v>1994</v>
      </c>
      <c r="C233" s="17">
        <f t="shared" si="50"/>
        <v>2</v>
      </c>
      <c r="F233" s="8"/>
      <c r="J233">
        <v>55.89359779614324</v>
      </c>
      <c r="K233" s="6">
        <f t="shared" ref="K233:K296" si="53">IF(AND(ISNUMBER(D233),ISNUMBER(E233)),D233-E233,IF(AND(ISNUMBER(F233),ISNUMBER(G233)),F233-G233,H233-I233))</f>
        <v>0</v>
      </c>
      <c r="L233" s="15">
        <f t="shared" ref="L233:L295" si="54">LN(J233)</f>
        <v>4.0234498440160511</v>
      </c>
      <c r="M233" s="16">
        <f t="shared" ref="M233:M296" si="55">L233-L232</f>
        <v>-4.9021231907287799E-2</v>
      </c>
      <c r="N233" s="8">
        <f t="array" ref="N233">MAX(IF($B$4:$B$507=B233,$A$4:$A$507))</f>
        <v>34699</v>
      </c>
      <c r="O233" s="8">
        <f t="array" ref="O233">MIN(IF($B$4:$B$507=B233,$A$4:$A$507))</f>
        <v>34365</v>
      </c>
      <c r="P233" s="8">
        <f t="shared" si="51"/>
        <v>34028</v>
      </c>
      <c r="Q233" s="8">
        <f t="shared" si="52"/>
        <v>34393</v>
      </c>
      <c r="R233">
        <f t="shared" ref="R233:R296" si="56">VLOOKUP(Q233,$A$232:$L$507,$J$1,FALSE)</f>
        <v>55.89359779614324</v>
      </c>
      <c r="S233">
        <f t="shared" si="46"/>
        <v>53.907085399449024</v>
      </c>
      <c r="T233" s="20">
        <f t="shared" ref="T233:T291" si="57">R233/S233-1</f>
        <v>3.6850673375758536E-2</v>
      </c>
      <c r="U233" s="20">
        <f t="shared" si="47"/>
        <v>7.5917620314110812E-2</v>
      </c>
      <c r="V233" s="18">
        <f t="shared" ref="V233:V296" si="58">SUMIF($B$232:$B$507,B233,$K$232:$K$507)</f>
        <v>0</v>
      </c>
      <c r="W233">
        <f t="shared" ref="W233:W296" si="59">SUMIF($B$232:$B$507,B233,$J$232:$J$507)</f>
        <v>821.2353939393937</v>
      </c>
      <c r="Y233">
        <f t="shared" ref="Y233:Y296" si="60">SUMIF($B$4:$B$507,B233,$J$4:$J$507)</f>
        <v>821.2353939393937</v>
      </c>
    </row>
    <row r="234" spans="1:25" x14ac:dyDescent="0.2">
      <c r="A234" s="8">
        <f t="shared" si="48"/>
        <v>34424</v>
      </c>
      <c r="B234" s="17">
        <f t="shared" si="49"/>
        <v>1994</v>
      </c>
      <c r="C234" s="17">
        <f t="shared" si="50"/>
        <v>3</v>
      </c>
      <c r="F234" s="8"/>
      <c r="J234">
        <v>67.421752066115687</v>
      </c>
      <c r="K234" s="6">
        <f t="shared" si="53"/>
        <v>0</v>
      </c>
      <c r="L234" s="15">
        <f t="shared" si="54"/>
        <v>4.2109676968031016</v>
      </c>
      <c r="M234" s="16">
        <f t="shared" si="55"/>
        <v>0.18751785278705047</v>
      </c>
      <c r="N234" s="8">
        <f t="array" ref="N234">MAX(IF($B$4:$B$507=B234,$A$4:$A$507))</f>
        <v>34699</v>
      </c>
      <c r="O234" s="8">
        <f t="array" ref="O234">MIN(IF($B$4:$B$507=B234,$A$4:$A$507))</f>
        <v>34365</v>
      </c>
      <c r="P234" s="8">
        <f t="shared" si="51"/>
        <v>34059</v>
      </c>
      <c r="Q234" s="8">
        <f t="shared" si="52"/>
        <v>34424</v>
      </c>
      <c r="R234">
        <f t="shared" si="56"/>
        <v>67.421752066115687</v>
      </c>
      <c r="S234">
        <f t="shared" si="46"/>
        <v>64.262479338842965</v>
      </c>
      <c r="T234" s="20">
        <f t="shared" si="57"/>
        <v>4.9162011173184306E-2</v>
      </c>
      <c r="U234" s="20">
        <f t="shared" si="47"/>
        <v>7.5917620314110812E-2</v>
      </c>
      <c r="V234" s="18">
        <f t="shared" si="58"/>
        <v>0</v>
      </c>
      <c r="W234">
        <f t="shared" si="59"/>
        <v>821.2353939393937</v>
      </c>
      <c r="Y234">
        <f t="shared" si="60"/>
        <v>821.2353939393937</v>
      </c>
    </row>
    <row r="235" spans="1:25" x14ac:dyDescent="0.2">
      <c r="A235" s="8">
        <f t="shared" si="48"/>
        <v>34454</v>
      </c>
      <c r="B235" s="17">
        <f t="shared" si="49"/>
        <v>1994</v>
      </c>
      <c r="C235" s="17">
        <f t="shared" si="50"/>
        <v>4</v>
      </c>
      <c r="F235" s="8"/>
      <c r="J235">
        <v>61.390413223140477</v>
      </c>
      <c r="K235" s="6">
        <f t="shared" si="53"/>
        <v>0</v>
      </c>
      <c r="L235" s="15">
        <f t="shared" si="54"/>
        <v>4.1172536865315985</v>
      </c>
      <c r="M235" s="16">
        <f t="shared" si="55"/>
        <v>-9.3714010271503057E-2</v>
      </c>
      <c r="N235" s="8">
        <f t="array" ref="N235">MAX(IF($B$4:$B$507=B235,$A$4:$A$507))</f>
        <v>34699</v>
      </c>
      <c r="O235" s="8">
        <f t="array" ref="O235">MIN(IF($B$4:$B$507=B235,$A$4:$A$507))</f>
        <v>34365</v>
      </c>
      <c r="P235" s="8">
        <f t="shared" si="51"/>
        <v>34089</v>
      </c>
      <c r="Q235" s="8">
        <f t="shared" si="52"/>
        <v>34454</v>
      </c>
      <c r="R235">
        <f t="shared" si="56"/>
        <v>61.390413223140477</v>
      </c>
      <c r="S235">
        <f t="shared" si="46"/>
        <v>60.728242424242424</v>
      </c>
      <c r="T235" s="20">
        <f t="shared" si="57"/>
        <v>1.090383604834444E-2</v>
      </c>
      <c r="U235" s="20">
        <f t="shared" si="47"/>
        <v>7.5917620314110812E-2</v>
      </c>
      <c r="V235" s="18">
        <f t="shared" si="58"/>
        <v>0</v>
      </c>
      <c r="W235">
        <f t="shared" si="59"/>
        <v>821.2353939393937</v>
      </c>
      <c r="Y235">
        <f t="shared" si="60"/>
        <v>821.2353939393937</v>
      </c>
    </row>
    <row r="236" spans="1:25" x14ac:dyDescent="0.2">
      <c r="A236" s="8">
        <f t="shared" si="48"/>
        <v>34485</v>
      </c>
      <c r="B236" s="17">
        <f t="shared" si="49"/>
        <v>1994</v>
      </c>
      <c r="C236" s="17">
        <f t="shared" si="50"/>
        <v>5</v>
      </c>
      <c r="F236" s="8"/>
      <c r="J236">
        <v>68.865763085399422</v>
      </c>
      <c r="K236" s="6">
        <f t="shared" si="53"/>
        <v>0</v>
      </c>
      <c r="L236" s="15">
        <f t="shared" si="54"/>
        <v>4.2321591471965894</v>
      </c>
      <c r="M236" s="16">
        <f t="shared" si="55"/>
        <v>0.11490546066499085</v>
      </c>
      <c r="N236" s="8">
        <f t="array" ref="N236">MAX(IF($B$4:$B$507=B236,$A$4:$A$507))</f>
        <v>34699</v>
      </c>
      <c r="O236" s="8">
        <f t="array" ref="O236">MIN(IF($B$4:$B$507=B236,$A$4:$A$507))</f>
        <v>34365</v>
      </c>
      <c r="P236" s="8">
        <f t="shared" si="51"/>
        <v>34120</v>
      </c>
      <c r="Q236" s="8">
        <f t="shared" si="52"/>
        <v>34485</v>
      </c>
      <c r="R236">
        <f t="shared" si="56"/>
        <v>68.865763085399422</v>
      </c>
      <c r="S236">
        <f t="shared" si="46"/>
        <v>65.594798898071616</v>
      </c>
      <c r="T236" s="20">
        <f t="shared" si="57"/>
        <v>4.9866212600340187E-2</v>
      </c>
      <c r="U236" s="20">
        <f t="shared" si="47"/>
        <v>7.5917620314110812E-2</v>
      </c>
      <c r="V236" s="18">
        <f t="shared" si="58"/>
        <v>0</v>
      </c>
      <c r="W236">
        <f t="shared" si="59"/>
        <v>821.2353939393937</v>
      </c>
      <c r="Y236">
        <f t="shared" si="60"/>
        <v>821.2353939393937</v>
      </c>
    </row>
    <row r="237" spans="1:25" x14ac:dyDescent="0.2">
      <c r="A237" s="8">
        <f t="shared" si="48"/>
        <v>34515</v>
      </c>
      <c r="B237" s="17">
        <f t="shared" si="49"/>
        <v>1994</v>
      </c>
      <c r="C237" s="17">
        <f t="shared" si="50"/>
        <v>6</v>
      </c>
      <c r="F237" s="8"/>
      <c r="J237">
        <v>68.754071625344338</v>
      </c>
      <c r="K237" s="6">
        <f t="shared" si="53"/>
        <v>0</v>
      </c>
      <c r="L237" s="15">
        <f t="shared" si="54"/>
        <v>4.2305359584344027</v>
      </c>
      <c r="M237" s="16">
        <f t="shared" si="55"/>
        <v>-1.6231887621867003E-3</v>
      </c>
      <c r="N237" s="8">
        <f t="array" ref="N237">MAX(IF($B$4:$B$507=B237,$A$4:$A$507))</f>
        <v>34699</v>
      </c>
      <c r="O237" s="8">
        <f t="array" ref="O237">MIN(IF($B$4:$B$507=B237,$A$4:$A$507))</f>
        <v>34365</v>
      </c>
      <c r="P237" s="8">
        <f t="shared" si="51"/>
        <v>34150</v>
      </c>
      <c r="Q237" s="8">
        <f t="shared" si="52"/>
        <v>34515</v>
      </c>
      <c r="R237">
        <f t="shared" si="56"/>
        <v>68.754071625344338</v>
      </c>
      <c r="S237">
        <f t="shared" si="46"/>
        <v>66.073476584022032</v>
      </c>
      <c r="T237" s="20">
        <f t="shared" si="57"/>
        <v>4.056991064960136E-2</v>
      </c>
      <c r="U237" s="20">
        <f t="shared" si="47"/>
        <v>7.5917620314110812E-2</v>
      </c>
      <c r="V237" s="18">
        <f t="shared" si="58"/>
        <v>0</v>
      </c>
      <c r="W237">
        <f t="shared" si="59"/>
        <v>821.2353939393937</v>
      </c>
      <c r="Y237">
        <f t="shared" si="60"/>
        <v>821.2353939393937</v>
      </c>
    </row>
    <row r="238" spans="1:25" x14ac:dyDescent="0.2">
      <c r="A238" s="8">
        <f t="shared" si="48"/>
        <v>34546</v>
      </c>
      <c r="B238" s="17">
        <f t="shared" si="49"/>
        <v>1994</v>
      </c>
      <c r="C238" s="17">
        <f t="shared" si="50"/>
        <v>7</v>
      </c>
      <c r="F238" s="8"/>
      <c r="J238">
        <v>70.222016528925593</v>
      </c>
      <c r="K238" s="6">
        <f t="shared" si="53"/>
        <v>0</v>
      </c>
      <c r="L238" s="15">
        <f t="shared" si="54"/>
        <v>4.2516618876296555</v>
      </c>
      <c r="M238" s="16">
        <f t="shared" si="55"/>
        <v>2.1125929195252802E-2</v>
      </c>
      <c r="N238" s="8">
        <f t="array" ref="N238">MAX(IF($B$4:$B$507=B238,$A$4:$A$507))</f>
        <v>34699</v>
      </c>
      <c r="O238" s="8">
        <f t="array" ref="O238">MIN(IF($B$4:$B$507=B238,$A$4:$A$507))</f>
        <v>34365</v>
      </c>
      <c r="P238" s="8">
        <f t="shared" si="51"/>
        <v>34181</v>
      </c>
      <c r="Q238" s="8">
        <f t="shared" si="52"/>
        <v>34546</v>
      </c>
      <c r="R238">
        <f t="shared" si="56"/>
        <v>70.222016528925593</v>
      </c>
      <c r="S238">
        <f t="shared" si="46"/>
        <v>69.105101928374651</v>
      </c>
      <c r="T238" s="20">
        <f t="shared" si="57"/>
        <v>1.6162549064880682E-2</v>
      </c>
      <c r="U238" s="20">
        <f t="shared" si="47"/>
        <v>7.5917620314110812E-2</v>
      </c>
      <c r="V238" s="18">
        <f t="shared" si="58"/>
        <v>0</v>
      </c>
      <c r="W238">
        <f t="shared" si="59"/>
        <v>821.2353939393937</v>
      </c>
      <c r="Y238">
        <f t="shared" si="60"/>
        <v>821.2353939393937</v>
      </c>
    </row>
    <row r="239" spans="1:25" x14ac:dyDescent="0.2">
      <c r="A239" s="8">
        <f t="shared" si="48"/>
        <v>34577</v>
      </c>
      <c r="B239" s="17">
        <f t="shared" si="49"/>
        <v>1994</v>
      </c>
      <c r="C239" s="17">
        <f t="shared" si="50"/>
        <v>8</v>
      </c>
      <c r="F239" s="8"/>
      <c r="J239">
        <v>76.636297520661131</v>
      </c>
      <c r="K239" s="6">
        <f t="shared" si="53"/>
        <v>0</v>
      </c>
      <c r="L239" s="15">
        <f t="shared" si="54"/>
        <v>4.3390708224833885</v>
      </c>
      <c r="M239" s="16">
        <f t="shared" si="55"/>
        <v>8.7408934853733022E-2</v>
      </c>
      <c r="N239" s="8">
        <f t="array" ref="N239">MAX(IF($B$4:$B$507=B239,$A$4:$A$507))</f>
        <v>34699</v>
      </c>
      <c r="O239" s="8">
        <f t="array" ref="O239">MIN(IF($B$4:$B$507=B239,$A$4:$A$507))</f>
        <v>34365</v>
      </c>
      <c r="P239" s="8">
        <f t="shared" si="51"/>
        <v>34212</v>
      </c>
      <c r="Q239" s="8">
        <f t="shared" si="52"/>
        <v>34577</v>
      </c>
      <c r="R239">
        <f t="shared" si="56"/>
        <v>76.636297520661131</v>
      </c>
      <c r="S239">
        <f t="shared" si="46"/>
        <v>69.496022038567475</v>
      </c>
      <c r="T239" s="20">
        <f t="shared" si="57"/>
        <v>0.10274365744461011</v>
      </c>
      <c r="U239" s="20">
        <f t="shared" si="47"/>
        <v>7.5917620314110812E-2</v>
      </c>
      <c r="V239" s="18">
        <f t="shared" si="58"/>
        <v>0</v>
      </c>
      <c r="W239">
        <f t="shared" si="59"/>
        <v>821.2353939393937</v>
      </c>
      <c r="Y239">
        <f t="shared" si="60"/>
        <v>821.2353939393937</v>
      </c>
    </row>
    <row r="240" spans="1:25" x14ac:dyDescent="0.2">
      <c r="A240" s="8">
        <f t="shared" si="48"/>
        <v>34607</v>
      </c>
      <c r="B240" s="17">
        <f t="shared" si="49"/>
        <v>1994</v>
      </c>
      <c r="C240" s="17">
        <f t="shared" si="50"/>
        <v>9</v>
      </c>
      <c r="F240" s="8"/>
      <c r="J240">
        <v>74.522137741046805</v>
      </c>
      <c r="K240" s="6">
        <f t="shared" si="53"/>
        <v>0</v>
      </c>
      <c r="L240" s="15">
        <f t="shared" si="54"/>
        <v>4.3110962321314679</v>
      </c>
      <c r="M240" s="16">
        <f t="shared" si="55"/>
        <v>-2.7974590351920625E-2</v>
      </c>
      <c r="N240" s="8">
        <f t="array" ref="N240">MAX(IF($B$4:$B$507=B240,$A$4:$A$507))</f>
        <v>34699</v>
      </c>
      <c r="O240" s="8">
        <f t="array" ref="O240">MIN(IF($B$4:$B$507=B240,$A$4:$A$507))</f>
        <v>34365</v>
      </c>
      <c r="P240" s="8">
        <f t="shared" si="51"/>
        <v>34242</v>
      </c>
      <c r="Q240" s="8">
        <f t="shared" si="52"/>
        <v>34607</v>
      </c>
      <c r="R240">
        <f t="shared" si="56"/>
        <v>74.522137741046805</v>
      </c>
      <c r="S240">
        <f t="shared" si="46"/>
        <v>66.887228650137729</v>
      </c>
      <c r="T240" s="20">
        <f t="shared" si="57"/>
        <v>0.1141459923664121</v>
      </c>
      <c r="U240" s="20">
        <f t="shared" si="47"/>
        <v>7.5917620314110812E-2</v>
      </c>
      <c r="V240" s="18">
        <f t="shared" si="58"/>
        <v>0</v>
      </c>
      <c r="W240">
        <f t="shared" si="59"/>
        <v>821.2353939393937</v>
      </c>
      <c r="Y240">
        <f t="shared" si="60"/>
        <v>821.2353939393937</v>
      </c>
    </row>
    <row r="241" spans="1:29" x14ac:dyDescent="0.2">
      <c r="A241" s="8">
        <f t="shared" si="48"/>
        <v>34638</v>
      </c>
      <c r="B241" s="17">
        <f t="shared" si="49"/>
        <v>1994</v>
      </c>
      <c r="C241" s="17">
        <f t="shared" si="50"/>
        <v>10</v>
      </c>
      <c r="F241" s="8"/>
      <c r="J241">
        <v>74.266842975206586</v>
      </c>
      <c r="K241" s="6">
        <f t="shared" si="53"/>
        <v>0</v>
      </c>
      <c r="L241" s="15">
        <f t="shared" si="54"/>
        <v>4.307664593375109</v>
      </c>
      <c r="M241" s="16">
        <f t="shared" si="55"/>
        <v>-3.431638756358879E-3</v>
      </c>
      <c r="N241" s="8">
        <f t="array" ref="N241">MAX(IF($B$4:$B$507=B241,$A$4:$A$507))</f>
        <v>34699</v>
      </c>
      <c r="O241" s="8">
        <f t="array" ref="O241">MIN(IF($B$4:$B$507=B241,$A$4:$A$507))</f>
        <v>34365</v>
      </c>
      <c r="P241" s="8">
        <f t="shared" si="51"/>
        <v>34273</v>
      </c>
      <c r="Q241" s="8">
        <f t="shared" si="52"/>
        <v>34638</v>
      </c>
      <c r="R241">
        <f t="shared" si="56"/>
        <v>74.266842975206586</v>
      </c>
      <c r="S241">
        <f t="shared" si="46"/>
        <v>67.206347107437992</v>
      </c>
      <c r="T241" s="20">
        <f t="shared" si="57"/>
        <v>0.10505698005698005</v>
      </c>
      <c r="U241" s="20">
        <f t="shared" si="47"/>
        <v>7.5917620314110812E-2</v>
      </c>
      <c r="V241" s="18">
        <f t="shared" si="58"/>
        <v>0</v>
      </c>
      <c r="W241">
        <f t="shared" si="59"/>
        <v>821.2353939393937</v>
      </c>
      <c r="Y241">
        <f t="shared" si="60"/>
        <v>821.2353939393937</v>
      </c>
    </row>
    <row r="242" spans="1:29" x14ac:dyDescent="0.2">
      <c r="A242" s="8">
        <f t="shared" si="48"/>
        <v>34668</v>
      </c>
      <c r="B242" s="17">
        <f t="shared" si="49"/>
        <v>1994</v>
      </c>
      <c r="C242" s="17">
        <f t="shared" si="50"/>
        <v>11</v>
      </c>
      <c r="F242" s="8"/>
      <c r="J242">
        <v>74.306732782369124</v>
      </c>
      <c r="K242" s="6">
        <f t="shared" si="53"/>
        <v>0</v>
      </c>
      <c r="L242" s="15">
        <f t="shared" si="54"/>
        <v>4.3082015638009414</v>
      </c>
      <c r="M242" s="16">
        <f t="shared" si="55"/>
        <v>5.3697042583245036E-4</v>
      </c>
      <c r="N242" s="8">
        <f t="array" ref="N242">MAX(IF($B$4:$B$507=B242,$A$4:$A$507))</f>
        <v>34699</v>
      </c>
      <c r="O242" s="8">
        <f t="array" ref="O242">MIN(IF($B$4:$B$507=B242,$A$4:$A$507))</f>
        <v>34365</v>
      </c>
      <c r="P242" s="8">
        <f t="shared" si="51"/>
        <v>34303</v>
      </c>
      <c r="Q242" s="8">
        <f t="shared" si="52"/>
        <v>34668</v>
      </c>
      <c r="R242">
        <f t="shared" si="56"/>
        <v>74.306732782369124</v>
      </c>
      <c r="S242">
        <f t="shared" si="46"/>
        <v>66.233035812672156</v>
      </c>
      <c r="T242" s="20">
        <f t="shared" si="57"/>
        <v>0.12189833774993986</v>
      </c>
      <c r="U242" s="20">
        <f t="shared" si="47"/>
        <v>7.5917620314110812E-2</v>
      </c>
      <c r="V242" s="18">
        <f t="shared" si="58"/>
        <v>0</v>
      </c>
      <c r="W242">
        <f t="shared" si="59"/>
        <v>821.2353939393937</v>
      </c>
      <c r="Y242">
        <f t="shared" si="60"/>
        <v>821.2353939393937</v>
      </c>
    </row>
    <row r="243" spans="1:29" x14ac:dyDescent="0.2">
      <c r="A243" s="8">
        <f t="shared" si="48"/>
        <v>34699</v>
      </c>
      <c r="B243" s="17">
        <f t="shared" si="49"/>
        <v>1994</v>
      </c>
      <c r="C243" s="17">
        <f t="shared" si="50"/>
        <v>12</v>
      </c>
      <c r="F243" s="8"/>
      <c r="J243">
        <v>70.253928374655629</v>
      </c>
      <c r="K243" s="6">
        <f t="shared" si="53"/>
        <v>0</v>
      </c>
      <c r="L243" s="15">
        <f t="shared" si="54"/>
        <v>4.2521162265743184</v>
      </c>
      <c r="M243" s="16">
        <f t="shared" si="55"/>
        <v>-5.6085337226623011E-2</v>
      </c>
      <c r="N243" s="8">
        <f t="array" ref="N243">MAX(IF($B$4:$B$507=B243,$A$4:$A$507))</f>
        <v>34699</v>
      </c>
      <c r="O243" s="8">
        <f t="array" ref="O243">MIN(IF($B$4:$B$507=B243,$A$4:$A$507))</f>
        <v>34365</v>
      </c>
      <c r="P243" s="8">
        <f t="shared" si="51"/>
        <v>34334</v>
      </c>
      <c r="Q243" s="8">
        <f t="shared" si="52"/>
        <v>34699</v>
      </c>
      <c r="R243">
        <f t="shared" si="56"/>
        <v>70.253928374655629</v>
      </c>
      <c r="S243">
        <f t="shared" si="46"/>
        <v>59.691107438016509</v>
      </c>
      <c r="T243" s="20">
        <f t="shared" si="57"/>
        <v>0.17695803261160137</v>
      </c>
      <c r="U243" s="20">
        <f t="shared" si="47"/>
        <v>7.5917620314110812E-2</v>
      </c>
      <c r="V243" s="18">
        <f t="shared" si="58"/>
        <v>0</v>
      </c>
      <c r="W243">
        <f t="shared" si="59"/>
        <v>821.2353939393937</v>
      </c>
      <c r="Y243">
        <f t="shared" si="60"/>
        <v>821.2353939393937</v>
      </c>
    </row>
    <row r="244" spans="1:29" x14ac:dyDescent="0.2">
      <c r="A244" s="8">
        <f t="shared" ref="A244:A247" si="61">EOMONTH(A245,-1)</f>
        <v>34730</v>
      </c>
      <c r="B244" s="17">
        <f t="shared" si="49"/>
        <v>1995</v>
      </c>
      <c r="C244" s="17">
        <f t="shared" si="50"/>
        <v>1</v>
      </c>
      <c r="F244" s="8"/>
      <c r="H244">
        <v>759389</v>
      </c>
      <c r="I244">
        <v>781822</v>
      </c>
      <c r="J244">
        <v>68.650358126721741</v>
      </c>
      <c r="K244" s="6">
        <f t="shared" si="53"/>
        <v>-22433</v>
      </c>
      <c r="L244" s="15">
        <f t="shared" si="54"/>
        <v>4.2290263489042585</v>
      </c>
      <c r="M244" s="16">
        <f t="shared" si="55"/>
        <v>-2.3089877670059877E-2</v>
      </c>
      <c r="N244" s="8">
        <f t="array" ref="N244">MAX(IF($B$4:$B$507=B244,$A$4:$A$507))</f>
        <v>35064</v>
      </c>
      <c r="O244" s="8">
        <f t="array" ref="O244">MIN(IF($B$4:$B$507=B244,$A$4:$A$507))</f>
        <v>34730</v>
      </c>
      <c r="P244" s="8">
        <f t="shared" si="51"/>
        <v>34365</v>
      </c>
      <c r="Q244" s="8">
        <f t="shared" si="52"/>
        <v>34730</v>
      </c>
      <c r="R244">
        <f t="shared" si="56"/>
        <v>68.650358126721741</v>
      </c>
      <c r="S244">
        <f t="shared" si="46"/>
        <v>58.701840220385655</v>
      </c>
      <c r="T244" s="20">
        <f t="shared" si="57"/>
        <v>0.16947540092416413</v>
      </c>
      <c r="U244" s="20">
        <f t="shared" si="47"/>
        <v>2.5854015006464042E-2</v>
      </c>
      <c r="V244" s="18">
        <f t="shared" si="58"/>
        <v>-200246</v>
      </c>
      <c r="W244">
        <f t="shared" si="59"/>
        <v>836.2738512396694</v>
      </c>
      <c r="Y244">
        <f t="shared" si="60"/>
        <v>836.2738512396694</v>
      </c>
      <c r="AA244" s="27">
        <f>YEAR(A244)</f>
        <v>1995</v>
      </c>
      <c r="AB244" s="26">
        <f>Y244/Y232-1</f>
        <v>1.8311993627232237E-2</v>
      </c>
      <c r="AC244" s="7">
        <f>V244</f>
        <v>-200246</v>
      </c>
    </row>
    <row r="245" spans="1:29" x14ac:dyDescent="0.2">
      <c r="A245" s="8">
        <f t="shared" si="61"/>
        <v>34758</v>
      </c>
      <c r="B245" s="17">
        <f t="shared" si="49"/>
        <v>1995</v>
      </c>
      <c r="C245" s="17">
        <f t="shared" si="50"/>
        <v>2</v>
      </c>
      <c r="F245" s="8"/>
      <c r="H245">
        <v>842884</v>
      </c>
      <c r="I245">
        <v>782686</v>
      </c>
      <c r="J245">
        <v>65.435239669421463</v>
      </c>
      <c r="K245" s="6">
        <f t="shared" si="53"/>
        <v>60198</v>
      </c>
      <c r="L245" s="15">
        <f t="shared" si="54"/>
        <v>4.1810609462106232</v>
      </c>
      <c r="M245" s="16">
        <f t="shared" si="55"/>
        <v>-4.7965402693635362E-2</v>
      </c>
      <c r="N245" s="8">
        <f t="array" ref="N245">MAX(IF($B$4:$B$507=B245,$A$4:$A$507))</f>
        <v>35064</v>
      </c>
      <c r="O245" s="8">
        <f t="array" ref="O245">MIN(IF($B$4:$B$507=B245,$A$4:$A$507))</f>
        <v>34730</v>
      </c>
      <c r="P245" s="8">
        <f t="shared" si="51"/>
        <v>34393</v>
      </c>
      <c r="Q245" s="8">
        <f t="shared" si="52"/>
        <v>34758</v>
      </c>
      <c r="R245">
        <f t="shared" si="56"/>
        <v>65.435239669421463</v>
      </c>
      <c r="S245">
        <f t="shared" si="46"/>
        <v>55.89359779614324</v>
      </c>
      <c r="T245" s="20">
        <f t="shared" si="57"/>
        <v>0.17071081929774468</v>
      </c>
      <c r="U245" s="20">
        <f t="shared" si="47"/>
        <v>2.5854015006464042E-2</v>
      </c>
      <c r="V245" s="18">
        <f t="shared" si="58"/>
        <v>-200246</v>
      </c>
      <c r="W245">
        <f t="shared" si="59"/>
        <v>836.2738512396694</v>
      </c>
      <c r="Y245">
        <f t="shared" si="60"/>
        <v>836.2738512396694</v>
      </c>
      <c r="AA245" s="27">
        <f t="shared" ref="AA245:AA308" si="62">YEAR(A245)</f>
        <v>1995</v>
      </c>
      <c r="AB245" s="26">
        <f t="shared" ref="AB245:AB308" si="63">Y245/Y233-1</f>
        <v>1.8311993627232237E-2</v>
      </c>
      <c r="AC245" s="7">
        <f t="shared" ref="AC245:AC308" si="64">V245</f>
        <v>-200246</v>
      </c>
    </row>
    <row r="246" spans="1:29" x14ac:dyDescent="0.2">
      <c r="A246" s="8">
        <f t="shared" si="61"/>
        <v>34789</v>
      </c>
      <c r="B246" s="17">
        <f t="shared" si="49"/>
        <v>1995</v>
      </c>
      <c r="C246" s="17">
        <f t="shared" si="50"/>
        <v>3</v>
      </c>
      <c r="F246" s="8"/>
      <c r="H246">
        <v>906380</v>
      </c>
      <c r="I246">
        <v>885187</v>
      </c>
      <c r="J246">
        <v>76.34909090909089</v>
      </c>
      <c r="K246" s="6">
        <f t="shared" si="53"/>
        <v>21193</v>
      </c>
      <c r="L246" s="15">
        <f t="shared" si="54"/>
        <v>4.3353161247056189</v>
      </c>
      <c r="M246" s="16">
        <f t="shared" si="55"/>
        <v>0.1542551784949957</v>
      </c>
      <c r="N246" s="8">
        <f t="array" ref="N246">MAX(IF($B$4:$B$507=B246,$A$4:$A$507))</f>
        <v>35064</v>
      </c>
      <c r="O246" s="8">
        <f t="array" ref="O246">MIN(IF($B$4:$B$507=B246,$A$4:$A$507))</f>
        <v>34730</v>
      </c>
      <c r="P246" s="8">
        <f t="shared" si="51"/>
        <v>34424</v>
      </c>
      <c r="Q246" s="8">
        <f t="shared" si="52"/>
        <v>34789</v>
      </c>
      <c r="R246">
        <f t="shared" si="56"/>
        <v>76.34909090909089</v>
      </c>
      <c r="S246">
        <f t="shared" si="46"/>
        <v>67.421752066115687</v>
      </c>
      <c r="T246" s="20">
        <f t="shared" si="57"/>
        <v>0.13241036563720265</v>
      </c>
      <c r="U246" s="20">
        <f t="shared" si="47"/>
        <v>2.5854015006464042E-2</v>
      </c>
      <c r="V246" s="18">
        <f t="shared" si="58"/>
        <v>-200246</v>
      </c>
      <c r="W246">
        <f t="shared" si="59"/>
        <v>836.2738512396694</v>
      </c>
      <c r="Y246">
        <f t="shared" si="60"/>
        <v>836.2738512396694</v>
      </c>
      <c r="AA246" s="27">
        <f t="shared" si="62"/>
        <v>1995</v>
      </c>
      <c r="AB246" s="26">
        <f t="shared" si="63"/>
        <v>1.8311993627232237E-2</v>
      </c>
      <c r="AC246" s="7">
        <f t="shared" si="64"/>
        <v>-200246</v>
      </c>
    </row>
    <row r="247" spans="1:29" x14ac:dyDescent="0.2">
      <c r="A247" s="8">
        <f t="shared" si="61"/>
        <v>34819</v>
      </c>
      <c r="B247" s="17">
        <f t="shared" si="49"/>
        <v>1995</v>
      </c>
      <c r="C247" s="17">
        <f t="shared" si="50"/>
        <v>4</v>
      </c>
      <c r="F247" s="8"/>
      <c r="H247">
        <v>817428</v>
      </c>
      <c r="I247">
        <v>737642</v>
      </c>
      <c r="J247">
        <v>68.546644628099159</v>
      </c>
      <c r="K247" s="6">
        <f t="shared" si="53"/>
        <v>79786</v>
      </c>
      <c r="L247" s="15">
        <f t="shared" si="54"/>
        <v>4.2275144570072651</v>
      </c>
      <c r="M247" s="16">
        <f t="shared" si="55"/>
        <v>-0.10780166769835375</v>
      </c>
      <c r="N247" s="8">
        <f t="array" ref="N247">MAX(IF($B$4:$B$507=B247,$A$4:$A$507))</f>
        <v>35064</v>
      </c>
      <c r="O247" s="8">
        <f t="array" ref="O247">MIN(IF($B$4:$B$507=B247,$A$4:$A$507))</f>
        <v>34730</v>
      </c>
      <c r="P247" s="8">
        <f t="shared" si="51"/>
        <v>34454</v>
      </c>
      <c r="Q247" s="8">
        <f t="shared" si="52"/>
        <v>34819</v>
      </c>
      <c r="R247">
        <f t="shared" si="56"/>
        <v>68.546644628099159</v>
      </c>
      <c r="S247">
        <f t="shared" si="46"/>
        <v>61.390413223140477</v>
      </c>
      <c r="T247" s="20">
        <f t="shared" si="57"/>
        <v>0.11656920077972721</v>
      </c>
      <c r="U247" s="20">
        <f t="shared" si="47"/>
        <v>2.5854015006464042E-2</v>
      </c>
      <c r="V247" s="18">
        <f t="shared" si="58"/>
        <v>-200246</v>
      </c>
      <c r="W247">
        <f t="shared" si="59"/>
        <v>836.2738512396694</v>
      </c>
      <c r="Y247">
        <f t="shared" si="60"/>
        <v>836.2738512396694</v>
      </c>
      <c r="AA247" s="27">
        <f t="shared" si="62"/>
        <v>1995</v>
      </c>
      <c r="AB247" s="26">
        <f t="shared" si="63"/>
        <v>1.8311993627232237E-2</v>
      </c>
      <c r="AC247" s="7">
        <f t="shared" si="64"/>
        <v>-200246</v>
      </c>
    </row>
    <row r="248" spans="1:29" x14ac:dyDescent="0.2">
      <c r="A248" s="8">
        <f t="shared" ref="A248:A278" si="65">EOMONTH(A249,-1)</f>
        <v>34850</v>
      </c>
      <c r="B248" s="17">
        <f t="shared" si="49"/>
        <v>1995</v>
      </c>
      <c r="C248" s="17">
        <f t="shared" si="50"/>
        <v>5</v>
      </c>
      <c r="F248" s="8"/>
      <c r="H248">
        <v>892872</v>
      </c>
      <c r="I248">
        <v>809819</v>
      </c>
      <c r="J248">
        <v>67.956275482093659</v>
      </c>
      <c r="K248" s="6">
        <f t="shared" si="53"/>
        <v>83053</v>
      </c>
      <c r="L248" s="15">
        <f t="shared" si="54"/>
        <v>4.2188644907417778</v>
      </c>
      <c r="M248" s="16">
        <f t="shared" si="55"/>
        <v>-8.6499662654873077E-3</v>
      </c>
      <c r="N248" s="8">
        <f t="array" ref="N248">MAX(IF($B$4:$B$507=B248,$A$4:$A$507))</f>
        <v>35064</v>
      </c>
      <c r="O248" s="8">
        <f t="array" ref="O248">MIN(IF($B$4:$B$507=B248,$A$4:$A$507))</f>
        <v>34730</v>
      </c>
      <c r="P248" s="8">
        <f t="shared" si="51"/>
        <v>34485</v>
      </c>
      <c r="Q248" s="8">
        <f t="shared" si="52"/>
        <v>34850</v>
      </c>
      <c r="R248">
        <f t="shared" si="56"/>
        <v>67.956275482093659</v>
      </c>
      <c r="S248">
        <f t="shared" si="46"/>
        <v>68.865763085399422</v>
      </c>
      <c r="T248" s="20">
        <f t="shared" si="57"/>
        <v>-1.3206672845226697E-2</v>
      </c>
      <c r="U248" s="20">
        <f t="shared" si="47"/>
        <v>2.5854015006464042E-2</v>
      </c>
      <c r="V248" s="18">
        <f t="shared" si="58"/>
        <v>-200246</v>
      </c>
      <c r="W248">
        <f t="shared" si="59"/>
        <v>836.2738512396694</v>
      </c>
      <c r="Y248">
        <f t="shared" si="60"/>
        <v>836.2738512396694</v>
      </c>
      <c r="AA248" s="27">
        <f t="shared" si="62"/>
        <v>1995</v>
      </c>
      <c r="AB248" s="26">
        <f t="shared" si="63"/>
        <v>1.8311993627232237E-2</v>
      </c>
      <c r="AC248" s="7">
        <f t="shared" si="64"/>
        <v>-200246</v>
      </c>
    </row>
    <row r="249" spans="1:29" x14ac:dyDescent="0.2">
      <c r="A249" s="8">
        <f t="shared" si="65"/>
        <v>34880</v>
      </c>
      <c r="B249" s="17">
        <f t="shared" si="49"/>
        <v>1995</v>
      </c>
      <c r="C249" s="17">
        <f t="shared" si="50"/>
        <v>6</v>
      </c>
      <c r="F249" s="8"/>
      <c r="H249">
        <v>787262</v>
      </c>
      <c r="I249">
        <v>786155</v>
      </c>
      <c r="J249">
        <v>71.322975206611559</v>
      </c>
      <c r="K249" s="6">
        <f t="shared" si="53"/>
        <v>1107</v>
      </c>
      <c r="L249" s="15">
        <f t="shared" si="54"/>
        <v>4.2672185084261791</v>
      </c>
      <c r="M249" s="16">
        <f t="shared" si="55"/>
        <v>4.8354017684401285E-2</v>
      </c>
      <c r="N249" s="8">
        <f t="array" ref="N249">MAX(IF($B$4:$B$507=B249,$A$4:$A$507))</f>
        <v>35064</v>
      </c>
      <c r="O249" s="8">
        <f t="array" ref="O249">MIN(IF($B$4:$B$507=B249,$A$4:$A$507))</f>
        <v>34730</v>
      </c>
      <c r="P249" s="8">
        <f t="shared" si="51"/>
        <v>34515</v>
      </c>
      <c r="Q249" s="8">
        <f t="shared" si="52"/>
        <v>34880</v>
      </c>
      <c r="R249">
        <f t="shared" si="56"/>
        <v>71.322975206611559</v>
      </c>
      <c r="S249">
        <f t="shared" si="46"/>
        <v>68.754071625344338</v>
      </c>
      <c r="T249" s="20">
        <f t="shared" si="57"/>
        <v>3.7363657461128019E-2</v>
      </c>
      <c r="U249" s="20">
        <f t="shared" si="47"/>
        <v>2.5854015006464042E-2</v>
      </c>
      <c r="V249" s="18">
        <f t="shared" si="58"/>
        <v>-200246</v>
      </c>
      <c r="W249">
        <f t="shared" si="59"/>
        <v>836.2738512396694</v>
      </c>
      <c r="Y249">
        <f t="shared" si="60"/>
        <v>836.2738512396694</v>
      </c>
      <c r="AA249" s="27">
        <f t="shared" si="62"/>
        <v>1995</v>
      </c>
      <c r="AB249" s="26">
        <f t="shared" si="63"/>
        <v>1.8311993627232237E-2</v>
      </c>
      <c r="AC249" s="7">
        <f t="shared" si="64"/>
        <v>-200246</v>
      </c>
    </row>
    <row r="250" spans="1:29" x14ac:dyDescent="0.2">
      <c r="A250" s="8">
        <f t="shared" si="65"/>
        <v>34911</v>
      </c>
      <c r="B250" s="17">
        <f t="shared" si="49"/>
        <v>1995</v>
      </c>
      <c r="C250" s="17">
        <f t="shared" si="50"/>
        <v>7</v>
      </c>
      <c r="F250" s="8"/>
      <c r="H250">
        <v>722661</v>
      </c>
      <c r="I250">
        <v>793589</v>
      </c>
      <c r="J250">
        <v>70.604958677685943</v>
      </c>
      <c r="K250" s="6">
        <f t="shared" si="53"/>
        <v>-70928</v>
      </c>
      <c r="L250" s="15">
        <f t="shared" si="54"/>
        <v>4.2571003782605938</v>
      </c>
      <c r="M250" s="16">
        <f t="shared" si="55"/>
        <v>-1.0118130165585271E-2</v>
      </c>
      <c r="N250" s="8">
        <f t="array" ref="N250">MAX(IF($B$4:$B$507=B250,$A$4:$A$507))</f>
        <v>35064</v>
      </c>
      <c r="O250" s="8">
        <f t="array" ref="O250">MIN(IF($B$4:$B$507=B250,$A$4:$A$507))</f>
        <v>34730</v>
      </c>
      <c r="P250" s="8">
        <f t="shared" si="51"/>
        <v>34546</v>
      </c>
      <c r="Q250" s="8">
        <f t="shared" si="52"/>
        <v>34911</v>
      </c>
      <c r="R250">
        <f t="shared" si="56"/>
        <v>70.604958677685943</v>
      </c>
      <c r="S250">
        <f t="shared" si="46"/>
        <v>70.222016528925593</v>
      </c>
      <c r="T250" s="20">
        <f t="shared" si="57"/>
        <v>5.4533060668031652E-3</v>
      </c>
      <c r="U250" s="20">
        <f t="shared" si="47"/>
        <v>2.5854015006464042E-2</v>
      </c>
      <c r="V250" s="18">
        <f t="shared" si="58"/>
        <v>-200246</v>
      </c>
      <c r="W250">
        <f t="shared" si="59"/>
        <v>836.2738512396694</v>
      </c>
      <c r="Y250">
        <f t="shared" si="60"/>
        <v>836.2738512396694</v>
      </c>
      <c r="AA250" s="27">
        <f t="shared" si="62"/>
        <v>1995</v>
      </c>
      <c r="AB250" s="26">
        <f t="shared" si="63"/>
        <v>1.8311993627232237E-2</v>
      </c>
      <c r="AC250" s="7">
        <f t="shared" si="64"/>
        <v>-200246</v>
      </c>
    </row>
    <row r="251" spans="1:29" x14ac:dyDescent="0.2">
      <c r="A251" s="8">
        <f t="shared" si="65"/>
        <v>34942</v>
      </c>
      <c r="B251" s="17">
        <f t="shared" si="49"/>
        <v>1995</v>
      </c>
      <c r="C251" s="17">
        <f t="shared" si="50"/>
        <v>8</v>
      </c>
      <c r="F251" s="8"/>
      <c r="H251">
        <v>758026</v>
      </c>
      <c r="I251">
        <v>881354</v>
      </c>
      <c r="J251">
        <v>72.647316804407708</v>
      </c>
      <c r="K251" s="6">
        <f t="shared" si="53"/>
        <v>-123328</v>
      </c>
      <c r="L251" s="15">
        <f t="shared" si="54"/>
        <v>4.2856164561533463</v>
      </c>
      <c r="M251" s="16">
        <f t="shared" si="55"/>
        <v>2.8516077892752456E-2</v>
      </c>
      <c r="N251" s="8">
        <f t="array" ref="N251">MAX(IF($B$4:$B$507=B251,$A$4:$A$507))</f>
        <v>35064</v>
      </c>
      <c r="O251" s="8">
        <f t="array" ref="O251">MIN(IF($B$4:$B$507=B251,$A$4:$A$507))</f>
        <v>34730</v>
      </c>
      <c r="P251" s="8">
        <f t="shared" si="51"/>
        <v>34577</v>
      </c>
      <c r="Q251" s="8">
        <f t="shared" si="52"/>
        <v>34942</v>
      </c>
      <c r="R251">
        <f t="shared" si="56"/>
        <v>72.647316804407708</v>
      </c>
      <c r="S251">
        <f t="shared" si="46"/>
        <v>76.636297520661131</v>
      </c>
      <c r="T251" s="20">
        <f t="shared" si="57"/>
        <v>-5.2050801582344097E-2</v>
      </c>
      <c r="U251" s="20">
        <f t="shared" si="47"/>
        <v>2.5854015006464042E-2</v>
      </c>
      <c r="V251" s="18">
        <f t="shared" si="58"/>
        <v>-200246</v>
      </c>
      <c r="W251">
        <f t="shared" si="59"/>
        <v>836.2738512396694</v>
      </c>
      <c r="Y251">
        <f t="shared" si="60"/>
        <v>836.2738512396694</v>
      </c>
      <c r="AA251" s="27">
        <f t="shared" si="62"/>
        <v>1995</v>
      </c>
      <c r="AB251" s="26">
        <f t="shared" si="63"/>
        <v>1.8311993627232237E-2</v>
      </c>
      <c r="AC251" s="7">
        <f t="shared" si="64"/>
        <v>-200246</v>
      </c>
    </row>
    <row r="252" spans="1:29" x14ac:dyDescent="0.2">
      <c r="A252" s="8">
        <f t="shared" si="65"/>
        <v>34972</v>
      </c>
      <c r="B252" s="17">
        <f t="shared" si="49"/>
        <v>1995</v>
      </c>
      <c r="C252" s="17">
        <f t="shared" si="50"/>
        <v>9</v>
      </c>
      <c r="F252" s="8"/>
      <c r="H252">
        <v>684304</v>
      </c>
      <c r="I252">
        <v>756662</v>
      </c>
      <c r="J252">
        <v>69.527933884297511</v>
      </c>
      <c r="K252" s="6">
        <f t="shared" si="53"/>
        <v>-72358</v>
      </c>
      <c r="L252" s="15">
        <f t="shared" si="54"/>
        <v>4.24172859821274</v>
      </c>
      <c r="M252" s="16">
        <f t="shared" si="55"/>
        <v>-4.3887857940606345E-2</v>
      </c>
      <c r="N252" s="8">
        <f t="array" ref="N252">MAX(IF($B$4:$B$507=B252,$A$4:$A$507))</f>
        <v>35064</v>
      </c>
      <c r="O252" s="8">
        <f t="array" ref="O252">MIN(IF($B$4:$B$507=B252,$A$4:$A$507))</f>
        <v>34730</v>
      </c>
      <c r="P252" s="8">
        <f t="shared" si="51"/>
        <v>34607</v>
      </c>
      <c r="Q252" s="8">
        <f t="shared" si="52"/>
        <v>34972</v>
      </c>
      <c r="R252">
        <f t="shared" si="56"/>
        <v>69.527933884297511</v>
      </c>
      <c r="S252">
        <f t="shared" si="46"/>
        <v>74.522137741046805</v>
      </c>
      <c r="T252" s="20">
        <f t="shared" si="57"/>
        <v>-6.7016379402633386E-2</v>
      </c>
      <c r="U252" s="20">
        <f t="shared" si="47"/>
        <v>2.5854015006464042E-2</v>
      </c>
      <c r="V252" s="18">
        <f t="shared" si="58"/>
        <v>-200246</v>
      </c>
      <c r="W252">
        <f t="shared" si="59"/>
        <v>836.2738512396694</v>
      </c>
      <c r="Y252">
        <f t="shared" si="60"/>
        <v>836.2738512396694</v>
      </c>
      <c r="AA252" s="27">
        <f t="shared" si="62"/>
        <v>1995</v>
      </c>
      <c r="AB252" s="26">
        <f t="shared" si="63"/>
        <v>1.8311993627232237E-2</v>
      </c>
      <c r="AC252" s="7">
        <f t="shared" si="64"/>
        <v>-200246</v>
      </c>
    </row>
    <row r="253" spans="1:29" x14ac:dyDescent="0.2">
      <c r="A253" s="8">
        <f t="shared" si="65"/>
        <v>35003</v>
      </c>
      <c r="B253" s="17">
        <f t="shared" si="49"/>
        <v>1995</v>
      </c>
      <c r="C253" s="17">
        <f t="shared" si="50"/>
        <v>10</v>
      </c>
      <c r="F253" s="8"/>
      <c r="H253">
        <v>667271</v>
      </c>
      <c r="I253">
        <v>715932</v>
      </c>
      <c r="J253">
        <v>72.447867768595032</v>
      </c>
      <c r="K253" s="6">
        <f t="shared" si="53"/>
        <v>-48661</v>
      </c>
      <c r="L253" s="15">
        <f t="shared" si="54"/>
        <v>4.2828672379484471</v>
      </c>
      <c r="M253" s="16">
        <f t="shared" si="55"/>
        <v>4.1138639735707194E-2</v>
      </c>
      <c r="N253" s="8">
        <f t="array" ref="N253">MAX(IF($B$4:$B$507=B253,$A$4:$A$507))</f>
        <v>35064</v>
      </c>
      <c r="O253" s="8">
        <f t="array" ref="O253">MIN(IF($B$4:$B$507=B253,$A$4:$A$507))</f>
        <v>34730</v>
      </c>
      <c r="P253" s="8">
        <f t="shared" si="51"/>
        <v>34638</v>
      </c>
      <c r="Q253" s="8">
        <f t="shared" si="52"/>
        <v>35003</v>
      </c>
      <c r="R253">
        <f t="shared" si="56"/>
        <v>72.447867768595032</v>
      </c>
      <c r="S253">
        <f t="shared" si="46"/>
        <v>74.266842975206586</v>
      </c>
      <c r="T253" s="20">
        <f t="shared" si="57"/>
        <v>-2.4492426683854096E-2</v>
      </c>
      <c r="U253" s="20">
        <f t="shared" si="47"/>
        <v>2.5854015006464042E-2</v>
      </c>
      <c r="V253" s="18">
        <f t="shared" si="58"/>
        <v>-200246</v>
      </c>
      <c r="W253">
        <f t="shared" si="59"/>
        <v>836.2738512396694</v>
      </c>
      <c r="Y253">
        <f t="shared" si="60"/>
        <v>836.2738512396694</v>
      </c>
      <c r="AA253" s="27">
        <f t="shared" si="62"/>
        <v>1995</v>
      </c>
      <c r="AB253" s="26">
        <f t="shared" si="63"/>
        <v>1.8311993627232237E-2</v>
      </c>
      <c r="AC253" s="7">
        <f t="shared" si="64"/>
        <v>-200246</v>
      </c>
    </row>
    <row r="254" spans="1:29" x14ac:dyDescent="0.2">
      <c r="A254" s="8">
        <f t="shared" si="65"/>
        <v>35033</v>
      </c>
      <c r="B254" s="17">
        <f t="shared" si="49"/>
        <v>1995</v>
      </c>
      <c r="C254" s="17">
        <f t="shared" si="50"/>
        <v>11</v>
      </c>
      <c r="F254" s="8"/>
      <c r="H254">
        <v>629843</v>
      </c>
      <c r="I254">
        <v>706894</v>
      </c>
      <c r="J254">
        <v>70.9001432506887</v>
      </c>
      <c r="K254" s="6">
        <f t="shared" si="53"/>
        <v>-77051</v>
      </c>
      <c r="L254" s="15">
        <f t="shared" si="54"/>
        <v>4.2612724539970941</v>
      </c>
      <c r="M254" s="16">
        <f t="shared" si="55"/>
        <v>-2.1594783951353058E-2</v>
      </c>
      <c r="N254" s="8">
        <f t="array" ref="N254">MAX(IF($B$4:$B$507=B254,$A$4:$A$507))</f>
        <v>35064</v>
      </c>
      <c r="O254" s="8">
        <f t="array" ref="O254">MIN(IF($B$4:$B$507=B254,$A$4:$A$507))</f>
        <v>34730</v>
      </c>
      <c r="P254" s="8">
        <f t="shared" si="51"/>
        <v>34668</v>
      </c>
      <c r="Q254" s="8">
        <f t="shared" si="52"/>
        <v>35033</v>
      </c>
      <c r="R254">
        <f t="shared" si="56"/>
        <v>70.9001432506887</v>
      </c>
      <c r="S254">
        <f t="shared" si="46"/>
        <v>74.306732782369124</v>
      </c>
      <c r="T254" s="20">
        <f t="shared" si="57"/>
        <v>-4.5844964569465074E-2</v>
      </c>
      <c r="U254" s="20">
        <f t="shared" si="47"/>
        <v>2.5854015006464042E-2</v>
      </c>
      <c r="V254" s="18">
        <f t="shared" si="58"/>
        <v>-200246</v>
      </c>
      <c r="W254">
        <f t="shared" si="59"/>
        <v>836.2738512396694</v>
      </c>
      <c r="Y254">
        <f t="shared" si="60"/>
        <v>836.2738512396694</v>
      </c>
      <c r="AA254" s="27">
        <f t="shared" si="62"/>
        <v>1995</v>
      </c>
      <c r="AB254" s="26">
        <f t="shared" si="63"/>
        <v>1.8311993627232237E-2</v>
      </c>
      <c r="AC254" s="7">
        <f t="shared" si="64"/>
        <v>-200246</v>
      </c>
    </row>
    <row r="255" spans="1:29" x14ac:dyDescent="0.2">
      <c r="A255" s="8">
        <f t="shared" si="65"/>
        <v>35064</v>
      </c>
      <c r="B255" s="17">
        <f t="shared" si="49"/>
        <v>1995</v>
      </c>
      <c r="C255" s="17">
        <f t="shared" si="50"/>
        <v>12</v>
      </c>
      <c r="F255" s="8"/>
      <c r="H255">
        <v>833532</v>
      </c>
      <c r="I255">
        <v>864356</v>
      </c>
      <c r="J255">
        <v>61.885046831955904</v>
      </c>
      <c r="K255" s="6">
        <f t="shared" si="53"/>
        <v>-30824</v>
      </c>
      <c r="L255" s="15">
        <f t="shared" si="54"/>
        <v>4.1252785807494901</v>
      </c>
      <c r="M255" s="16">
        <f t="shared" si="55"/>
        <v>-0.13599387324760404</v>
      </c>
      <c r="N255" s="8">
        <f t="array" ref="N255">MAX(IF($B$4:$B$507=B255,$A$4:$A$507))</f>
        <v>35064</v>
      </c>
      <c r="O255" s="8">
        <f t="array" ref="O255">MIN(IF($B$4:$B$507=B255,$A$4:$A$507))</f>
        <v>34730</v>
      </c>
      <c r="P255" s="8">
        <f t="shared" si="51"/>
        <v>34699</v>
      </c>
      <c r="Q255" s="8">
        <f t="shared" si="52"/>
        <v>35064</v>
      </c>
      <c r="R255">
        <f t="shared" si="56"/>
        <v>61.885046831955904</v>
      </c>
      <c r="S255">
        <f t="shared" si="46"/>
        <v>70.253928374655629</v>
      </c>
      <c r="T255" s="20">
        <f t="shared" si="57"/>
        <v>-0.11912332500567802</v>
      </c>
      <c r="U255" s="20">
        <f t="shared" si="47"/>
        <v>2.5854015006464042E-2</v>
      </c>
      <c r="V255" s="18">
        <f t="shared" si="58"/>
        <v>-200246</v>
      </c>
      <c r="W255">
        <f t="shared" si="59"/>
        <v>836.2738512396694</v>
      </c>
      <c r="Y255">
        <f t="shared" si="60"/>
        <v>836.2738512396694</v>
      </c>
      <c r="AA255" s="27">
        <f t="shared" si="62"/>
        <v>1995</v>
      </c>
      <c r="AB255" s="26">
        <f t="shared" si="63"/>
        <v>1.8311993627232237E-2</v>
      </c>
      <c r="AC255" s="7">
        <f t="shared" si="64"/>
        <v>-200246</v>
      </c>
    </row>
    <row r="256" spans="1:29" x14ac:dyDescent="0.2">
      <c r="A256" s="8">
        <f t="shared" si="65"/>
        <v>35095</v>
      </c>
      <c r="B256" s="17">
        <f t="shared" si="49"/>
        <v>1996</v>
      </c>
      <c r="C256" s="17">
        <f t="shared" si="50"/>
        <v>1</v>
      </c>
      <c r="F256" s="8"/>
      <c r="H256">
        <v>703355</v>
      </c>
      <c r="I256">
        <v>765466</v>
      </c>
      <c r="J256">
        <v>62.587107438016524</v>
      </c>
      <c r="K256" s="6">
        <f t="shared" si="53"/>
        <v>-62111</v>
      </c>
      <c r="L256" s="15">
        <f t="shared" si="54"/>
        <v>4.1365593054257523</v>
      </c>
      <c r="M256" s="16">
        <f t="shared" si="55"/>
        <v>1.1280724676262288E-2</v>
      </c>
      <c r="N256" s="8">
        <f t="array" ref="N256">MAX(IF($B$4:$B$507=B256,$A$4:$A$507))</f>
        <v>35430</v>
      </c>
      <c r="O256" s="8">
        <f t="array" ref="O256">MIN(IF($B$4:$B$507=B256,$A$4:$A$507))</f>
        <v>35095</v>
      </c>
      <c r="P256" s="8">
        <f t="shared" si="51"/>
        <v>34730</v>
      </c>
      <c r="Q256" s="8">
        <f t="shared" si="52"/>
        <v>35095</v>
      </c>
      <c r="R256">
        <f t="shared" si="56"/>
        <v>62.587107438016524</v>
      </c>
      <c r="S256">
        <f t="shared" si="46"/>
        <v>68.650358126721741</v>
      </c>
      <c r="T256" s="20">
        <f t="shared" si="57"/>
        <v>-8.8320743753631414E-2</v>
      </c>
      <c r="U256" s="20">
        <f t="shared" si="47"/>
        <v>1.8044521750152864E-2</v>
      </c>
      <c r="V256" s="18">
        <f t="shared" si="58"/>
        <v>-271226</v>
      </c>
      <c r="W256">
        <f t="shared" si="59"/>
        <v>850.74587327823679</v>
      </c>
      <c r="Y256">
        <f t="shared" si="60"/>
        <v>850.74587327823679</v>
      </c>
      <c r="AA256" s="27">
        <f t="shared" si="62"/>
        <v>1996</v>
      </c>
      <c r="AB256" s="26">
        <f t="shared" si="63"/>
        <v>1.7305362372761479E-2</v>
      </c>
      <c r="AC256" s="7">
        <f t="shared" si="64"/>
        <v>-271226</v>
      </c>
    </row>
    <row r="257" spans="1:29" x14ac:dyDescent="0.2">
      <c r="A257" s="8">
        <f t="shared" si="65"/>
        <v>35124</v>
      </c>
      <c r="B257" s="17">
        <f t="shared" si="49"/>
        <v>1996</v>
      </c>
      <c r="C257" s="17">
        <f t="shared" si="50"/>
        <v>2</v>
      </c>
      <c r="F257" s="8"/>
      <c r="H257">
        <v>678551</v>
      </c>
      <c r="I257">
        <v>706040</v>
      </c>
      <c r="J257">
        <v>61.334567493112935</v>
      </c>
      <c r="K257" s="6">
        <f t="shared" si="53"/>
        <v>-27489</v>
      </c>
      <c r="L257" s="15">
        <f t="shared" si="54"/>
        <v>4.1163435909087474</v>
      </c>
      <c r="M257" s="16">
        <f t="shared" si="55"/>
        <v>-2.021571451700499E-2</v>
      </c>
      <c r="N257" s="8">
        <f t="array" ref="N257">MAX(IF($B$4:$B$507=B257,$A$4:$A$507))</f>
        <v>35430</v>
      </c>
      <c r="O257" s="8">
        <f t="array" ref="O257">MIN(IF($B$4:$B$507=B257,$A$4:$A$507))</f>
        <v>35095</v>
      </c>
      <c r="P257" s="8">
        <f t="shared" si="51"/>
        <v>34758</v>
      </c>
      <c r="Q257" s="8">
        <f t="shared" si="52"/>
        <v>35124</v>
      </c>
      <c r="R257">
        <f t="shared" si="56"/>
        <v>61.334567493112935</v>
      </c>
      <c r="S257">
        <f t="shared" si="46"/>
        <v>65.435239669421463</v>
      </c>
      <c r="T257" s="20">
        <f t="shared" si="57"/>
        <v>-6.2667642038527038E-2</v>
      </c>
      <c r="U257" s="20">
        <f t="shared" si="47"/>
        <v>1.8044521750152864E-2</v>
      </c>
      <c r="V257" s="18">
        <f t="shared" si="58"/>
        <v>-271226</v>
      </c>
      <c r="W257">
        <f t="shared" si="59"/>
        <v>850.74587327823679</v>
      </c>
      <c r="Y257">
        <f t="shared" si="60"/>
        <v>850.74587327823679</v>
      </c>
      <c r="AA257" s="27">
        <f t="shared" si="62"/>
        <v>1996</v>
      </c>
      <c r="AB257" s="26">
        <f t="shared" si="63"/>
        <v>1.7305362372761479E-2</v>
      </c>
      <c r="AC257" s="7">
        <f t="shared" si="64"/>
        <v>-271226</v>
      </c>
    </row>
    <row r="258" spans="1:29" x14ac:dyDescent="0.2">
      <c r="A258" s="8">
        <f t="shared" si="65"/>
        <v>35155</v>
      </c>
      <c r="B258" s="17">
        <f t="shared" si="49"/>
        <v>1996</v>
      </c>
      <c r="C258" s="17">
        <f t="shared" si="50"/>
        <v>3</v>
      </c>
      <c r="F258" s="8"/>
      <c r="H258">
        <v>742422</v>
      </c>
      <c r="I258">
        <v>778335</v>
      </c>
      <c r="J258">
        <v>67.429730027548203</v>
      </c>
      <c r="K258" s="6">
        <f t="shared" si="53"/>
        <v>-35913</v>
      </c>
      <c r="L258" s="15">
        <f t="shared" si="54"/>
        <v>4.2110860189945667</v>
      </c>
      <c r="M258" s="16">
        <f t="shared" si="55"/>
        <v>9.4742428085819341E-2</v>
      </c>
      <c r="N258" s="8">
        <f t="array" ref="N258">MAX(IF($B$4:$B$507=B258,$A$4:$A$507))</f>
        <v>35430</v>
      </c>
      <c r="O258" s="8">
        <f t="array" ref="O258">MIN(IF($B$4:$B$507=B258,$A$4:$A$507))</f>
        <v>35095</v>
      </c>
      <c r="P258" s="8">
        <f t="shared" si="51"/>
        <v>34789</v>
      </c>
      <c r="Q258" s="8">
        <f t="shared" si="52"/>
        <v>35155</v>
      </c>
      <c r="R258">
        <f t="shared" si="56"/>
        <v>67.429730027548203</v>
      </c>
      <c r="S258">
        <f t="shared" si="46"/>
        <v>76.34909090909089</v>
      </c>
      <c r="T258" s="20">
        <f t="shared" si="57"/>
        <v>-0.11682340647857881</v>
      </c>
      <c r="U258" s="20">
        <f t="shared" si="47"/>
        <v>1.8044521750152864E-2</v>
      </c>
      <c r="V258" s="18">
        <f t="shared" si="58"/>
        <v>-271226</v>
      </c>
      <c r="W258">
        <f t="shared" si="59"/>
        <v>850.74587327823679</v>
      </c>
      <c r="Y258">
        <f t="shared" si="60"/>
        <v>850.74587327823679</v>
      </c>
      <c r="AA258" s="27">
        <f t="shared" si="62"/>
        <v>1996</v>
      </c>
      <c r="AB258" s="26">
        <f t="shared" si="63"/>
        <v>1.7305362372761479E-2</v>
      </c>
      <c r="AC258" s="7">
        <f t="shared" si="64"/>
        <v>-271226</v>
      </c>
    </row>
    <row r="259" spans="1:29" x14ac:dyDescent="0.2">
      <c r="A259" s="8">
        <f t="shared" si="65"/>
        <v>35185</v>
      </c>
      <c r="B259" s="17">
        <f t="shared" si="49"/>
        <v>1996</v>
      </c>
      <c r="C259" s="17">
        <f t="shared" si="50"/>
        <v>4</v>
      </c>
      <c r="F259" s="8"/>
      <c r="H259">
        <v>779477</v>
      </c>
      <c r="I259">
        <v>718430</v>
      </c>
      <c r="J259">
        <v>66.919140495867765</v>
      </c>
      <c r="K259" s="6">
        <f t="shared" si="53"/>
        <v>61047</v>
      </c>
      <c r="L259" s="15">
        <f t="shared" si="54"/>
        <v>4.2034850322804296</v>
      </c>
      <c r="M259" s="16">
        <f t="shared" si="55"/>
        <v>-7.6009867141371146E-3</v>
      </c>
      <c r="N259" s="8">
        <f t="array" ref="N259">MAX(IF($B$4:$B$507=B259,$A$4:$A$507))</f>
        <v>35430</v>
      </c>
      <c r="O259" s="8">
        <f t="array" ref="O259">MIN(IF($B$4:$B$507=B259,$A$4:$A$507))</f>
        <v>35095</v>
      </c>
      <c r="P259" s="8">
        <f t="shared" si="51"/>
        <v>34819</v>
      </c>
      <c r="Q259" s="8">
        <f t="shared" si="52"/>
        <v>35185</v>
      </c>
      <c r="R259">
        <f t="shared" si="56"/>
        <v>66.919140495867765</v>
      </c>
      <c r="S259">
        <f t="shared" si="46"/>
        <v>68.546644628099159</v>
      </c>
      <c r="T259" s="20">
        <f t="shared" si="57"/>
        <v>-2.3743016759776414E-2</v>
      </c>
      <c r="U259" s="20">
        <f t="shared" si="47"/>
        <v>1.8044521750152864E-2</v>
      </c>
      <c r="V259" s="18">
        <f t="shared" si="58"/>
        <v>-271226</v>
      </c>
      <c r="W259">
        <f t="shared" si="59"/>
        <v>850.74587327823679</v>
      </c>
      <c r="Y259">
        <f t="shared" si="60"/>
        <v>850.74587327823679</v>
      </c>
      <c r="AA259" s="27">
        <f t="shared" si="62"/>
        <v>1996</v>
      </c>
      <c r="AB259" s="26">
        <f t="shared" si="63"/>
        <v>1.7305362372761479E-2</v>
      </c>
      <c r="AC259" s="7">
        <f t="shared" si="64"/>
        <v>-271226</v>
      </c>
    </row>
    <row r="260" spans="1:29" x14ac:dyDescent="0.2">
      <c r="A260" s="8">
        <f t="shared" si="65"/>
        <v>35216</v>
      </c>
      <c r="B260" s="17">
        <f t="shared" si="49"/>
        <v>1996</v>
      </c>
      <c r="C260" s="17">
        <f t="shared" si="50"/>
        <v>5</v>
      </c>
      <c r="F260" s="8"/>
      <c r="H260">
        <v>807661</v>
      </c>
      <c r="I260">
        <v>700421</v>
      </c>
      <c r="J260">
        <v>72.407977961432508</v>
      </c>
      <c r="K260" s="6">
        <f t="shared" si="53"/>
        <v>107240</v>
      </c>
      <c r="L260" s="15">
        <f t="shared" si="54"/>
        <v>4.2823164861583516</v>
      </c>
      <c r="M260" s="16">
        <f t="shared" si="55"/>
        <v>7.8831453877922009E-2</v>
      </c>
      <c r="N260" s="8">
        <f t="array" ref="N260">MAX(IF($B$4:$B$507=B260,$A$4:$A$507))</f>
        <v>35430</v>
      </c>
      <c r="O260" s="8">
        <f t="array" ref="O260">MIN(IF($B$4:$B$507=B260,$A$4:$A$507))</f>
        <v>35095</v>
      </c>
      <c r="P260" s="8">
        <f t="shared" si="51"/>
        <v>34850</v>
      </c>
      <c r="Q260" s="8">
        <f t="shared" si="52"/>
        <v>35216</v>
      </c>
      <c r="R260">
        <f t="shared" si="56"/>
        <v>72.407977961432508</v>
      </c>
      <c r="S260">
        <f t="shared" si="46"/>
        <v>67.956275482093659</v>
      </c>
      <c r="T260" s="20">
        <f t="shared" si="57"/>
        <v>6.5508335289974351E-2</v>
      </c>
      <c r="U260" s="20">
        <f t="shared" si="47"/>
        <v>1.8044521750152864E-2</v>
      </c>
      <c r="V260" s="18">
        <f t="shared" si="58"/>
        <v>-271226</v>
      </c>
      <c r="W260">
        <f t="shared" si="59"/>
        <v>850.74587327823679</v>
      </c>
      <c r="Y260">
        <f t="shared" si="60"/>
        <v>850.74587327823679</v>
      </c>
      <c r="AA260" s="27">
        <f t="shared" si="62"/>
        <v>1996</v>
      </c>
      <c r="AB260" s="26">
        <f t="shared" si="63"/>
        <v>1.7305362372761479E-2</v>
      </c>
      <c r="AC260" s="7">
        <f t="shared" si="64"/>
        <v>-271226</v>
      </c>
    </row>
    <row r="261" spans="1:29" x14ac:dyDescent="0.2">
      <c r="A261" s="8">
        <f t="shared" si="65"/>
        <v>35246</v>
      </c>
      <c r="B261" s="17">
        <f t="shared" si="49"/>
        <v>1996</v>
      </c>
      <c r="C261" s="17">
        <f t="shared" si="50"/>
        <v>6</v>
      </c>
      <c r="F261" s="8"/>
      <c r="H261">
        <v>703267</v>
      </c>
      <c r="I261">
        <v>650250</v>
      </c>
      <c r="J261">
        <v>68.74609366391185</v>
      </c>
      <c r="K261" s="6">
        <f t="shared" si="53"/>
        <v>53017</v>
      </c>
      <c r="L261" s="15">
        <f t="shared" si="54"/>
        <v>4.2304199154983859</v>
      </c>
      <c r="M261" s="16">
        <f t="shared" si="55"/>
        <v>-5.1896570659965668E-2</v>
      </c>
      <c r="N261" s="8">
        <f t="array" ref="N261">MAX(IF($B$4:$B$507=B261,$A$4:$A$507))</f>
        <v>35430</v>
      </c>
      <c r="O261" s="8">
        <f t="array" ref="O261">MIN(IF($B$4:$B$507=B261,$A$4:$A$507))</f>
        <v>35095</v>
      </c>
      <c r="P261" s="8">
        <f t="shared" si="51"/>
        <v>34880</v>
      </c>
      <c r="Q261" s="8">
        <f t="shared" si="52"/>
        <v>35246</v>
      </c>
      <c r="R261">
        <f t="shared" si="56"/>
        <v>68.74609366391185</v>
      </c>
      <c r="S261">
        <f t="shared" ref="S261:S324" si="66">VLOOKUP(P261,$A$4:$L$507,$J$1,FALSE)</f>
        <v>71.322975206611559</v>
      </c>
      <c r="T261" s="20">
        <f t="shared" si="57"/>
        <v>-3.6129753914988627E-2</v>
      </c>
      <c r="U261" s="20">
        <f t="shared" ref="U261:U324" si="67">AVERAGEIF($B$4:$B$507,B261,$T$4:$T$507)</f>
        <v>1.8044521750152864E-2</v>
      </c>
      <c r="V261" s="18">
        <f t="shared" si="58"/>
        <v>-271226</v>
      </c>
      <c r="W261">
        <f t="shared" si="59"/>
        <v>850.74587327823679</v>
      </c>
      <c r="Y261">
        <f t="shared" si="60"/>
        <v>850.74587327823679</v>
      </c>
      <c r="AA261" s="27">
        <f t="shared" si="62"/>
        <v>1996</v>
      </c>
      <c r="AB261" s="26">
        <f t="shared" si="63"/>
        <v>1.7305362372761479E-2</v>
      </c>
      <c r="AC261" s="7">
        <f t="shared" si="64"/>
        <v>-271226</v>
      </c>
    </row>
    <row r="262" spans="1:29" x14ac:dyDescent="0.2">
      <c r="A262" s="8">
        <f t="shared" si="65"/>
        <v>35277</v>
      </c>
      <c r="B262" s="17">
        <f t="shared" si="49"/>
        <v>1996</v>
      </c>
      <c r="C262" s="17">
        <f t="shared" si="50"/>
        <v>7</v>
      </c>
      <c r="F262" s="8"/>
      <c r="H262">
        <v>708235</v>
      </c>
      <c r="I262">
        <v>699125</v>
      </c>
      <c r="J262">
        <v>77.697366391184573</v>
      </c>
      <c r="K262" s="6">
        <f t="shared" si="53"/>
        <v>9110</v>
      </c>
      <c r="L262" s="15">
        <f t="shared" si="54"/>
        <v>4.3528213622198182</v>
      </c>
      <c r="M262" s="16">
        <f t="shared" si="55"/>
        <v>0.12240144672143227</v>
      </c>
      <c r="N262" s="8">
        <f t="array" ref="N262">MAX(IF($B$4:$B$507=B262,$A$4:$A$507))</f>
        <v>35430</v>
      </c>
      <c r="O262" s="8">
        <f t="array" ref="O262">MIN(IF($B$4:$B$507=B262,$A$4:$A$507))</f>
        <v>35095</v>
      </c>
      <c r="P262" s="8">
        <f t="shared" si="51"/>
        <v>34911</v>
      </c>
      <c r="Q262" s="8">
        <f t="shared" si="52"/>
        <v>35277</v>
      </c>
      <c r="R262">
        <f t="shared" si="56"/>
        <v>77.697366391184573</v>
      </c>
      <c r="S262">
        <f t="shared" si="66"/>
        <v>70.604958677685943</v>
      </c>
      <c r="T262" s="20">
        <f t="shared" si="57"/>
        <v>0.1004519774011301</v>
      </c>
      <c r="U262" s="20">
        <f t="shared" si="67"/>
        <v>1.8044521750152864E-2</v>
      </c>
      <c r="V262" s="18">
        <f t="shared" si="58"/>
        <v>-271226</v>
      </c>
      <c r="W262">
        <f t="shared" si="59"/>
        <v>850.74587327823679</v>
      </c>
      <c r="Y262">
        <f t="shared" si="60"/>
        <v>850.74587327823679</v>
      </c>
      <c r="AA262" s="27">
        <f t="shared" si="62"/>
        <v>1996</v>
      </c>
      <c r="AB262" s="26">
        <f t="shared" si="63"/>
        <v>1.7305362372761479E-2</v>
      </c>
      <c r="AC262" s="7">
        <f t="shared" si="64"/>
        <v>-271226</v>
      </c>
    </row>
    <row r="263" spans="1:29" x14ac:dyDescent="0.2">
      <c r="A263" s="8">
        <f t="shared" si="65"/>
        <v>35308</v>
      </c>
      <c r="B263" s="17">
        <f t="shared" si="49"/>
        <v>1996</v>
      </c>
      <c r="C263" s="17">
        <f t="shared" si="50"/>
        <v>8</v>
      </c>
      <c r="F263" s="8"/>
      <c r="H263">
        <v>699324</v>
      </c>
      <c r="I263">
        <v>711499</v>
      </c>
      <c r="J263">
        <v>77.186776859504135</v>
      </c>
      <c r="K263" s="6">
        <f t="shared" si="53"/>
        <v>-12175</v>
      </c>
      <c r="L263" s="15">
        <f t="shared" si="54"/>
        <v>4.3462281581566016</v>
      </c>
      <c r="M263" s="16">
        <f t="shared" si="55"/>
        <v>-6.5932040632166178E-3</v>
      </c>
      <c r="N263" s="8">
        <f t="array" ref="N263">MAX(IF($B$4:$B$507=B263,$A$4:$A$507))</f>
        <v>35430</v>
      </c>
      <c r="O263" s="8">
        <f t="array" ref="O263">MIN(IF($B$4:$B$507=B263,$A$4:$A$507))</f>
        <v>35095</v>
      </c>
      <c r="P263" s="8">
        <f t="shared" si="51"/>
        <v>34942</v>
      </c>
      <c r="Q263" s="8">
        <f t="shared" si="52"/>
        <v>35308</v>
      </c>
      <c r="R263">
        <f t="shared" si="56"/>
        <v>77.186776859504135</v>
      </c>
      <c r="S263">
        <f t="shared" si="66"/>
        <v>72.647316804407708</v>
      </c>
      <c r="T263" s="20">
        <f t="shared" si="57"/>
        <v>6.2486272787173336E-2</v>
      </c>
      <c r="U263" s="20">
        <f t="shared" si="67"/>
        <v>1.8044521750152864E-2</v>
      </c>
      <c r="V263" s="18">
        <f t="shared" si="58"/>
        <v>-271226</v>
      </c>
      <c r="W263">
        <f t="shared" si="59"/>
        <v>850.74587327823679</v>
      </c>
      <c r="Y263">
        <f t="shared" si="60"/>
        <v>850.74587327823679</v>
      </c>
      <c r="AA263" s="27">
        <f t="shared" si="62"/>
        <v>1996</v>
      </c>
      <c r="AB263" s="26">
        <f t="shared" si="63"/>
        <v>1.7305362372761479E-2</v>
      </c>
      <c r="AC263" s="7">
        <f t="shared" si="64"/>
        <v>-271226</v>
      </c>
    </row>
    <row r="264" spans="1:29" x14ac:dyDescent="0.2">
      <c r="A264" s="8">
        <f t="shared" si="65"/>
        <v>35338</v>
      </c>
      <c r="B264" s="17">
        <f t="shared" si="49"/>
        <v>1996</v>
      </c>
      <c r="C264" s="17">
        <f t="shared" si="50"/>
        <v>9</v>
      </c>
      <c r="F264" s="8"/>
      <c r="H264">
        <v>674518</v>
      </c>
      <c r="I264">
        <v>653165</v>
      </c>
      <c r="J264">
        <v>75.431625344352625</v>
      </c>
      <c r="K264" s="6">
        <f t="shared" si="53"/>
        <v>21353</v>
      </c>
      <c r="L264" s="15">
        <f t="shared" si="54"/>
        <v>4.3232266213511767</v>
      </c>
      <c r="M264" s="16">
        <f t="shared" si="55"/>
        <v>-2.3001536805424827E-2</v>
      </c>
      <c r="N264" s="8">
        <f t="array" ref="N264">MAX(IF($B$4:$B$507=B264,$A$4:$A$507))</f>
        <v>35430</v>
      </c>
      <c r="O264" s="8">
        <f t="array" ref="O264">MIN(IF($B$4:$B$507=B264,$A$4:$A$507))</f>
        <v>35095</v>
      </c>
      <c r="P264" s="8">
        <f t="shared" si="51"/>
        <v>34972</v>
      </c>
      <c r="Q264" s="8">
        <f t="shared" si="52"/>
        <v>35338</v>
      </c>
      <c r="R264">
        <f t="shared" si="56"/>
        <v>75.431625344352625</v>
      </c>
      <c r="S264">
        <f t="shared" si="66"/>
        <v>69.527933884297511</v>
      </c>
      <c r="T264" s="20">
        <f t="shared" si="57"/>
        <v>8.4911072862880355E-2</v>
      </c>
      <c r="U264" s="20">
        <f t="shared" si="67"/>
        <v>1.8044521750152864E-2</v>
      </c>
      <c r="V264" s="18">
        <f t="shared" si="58"/>
        <v>-271226</v>
      </c>
      <c r="W264">
        <f t="shared" si="59"/>
        <v>850.74587327823679</v>
      </c>
      <c r="Y264">
        <f t="shared" si="60"/>
        <v>850.74587327823679</v>
      </c>
      <c r="AA264" s="27">
        <f t="shared" si="62"/>
        <v>1996</v>
      </c>
      <c r="AB264" s="26">
        <f t="shared" si="63"/>
        <v>1.7305362372761479E-2</v>
      </c>
      <c r="AC264" s="7">
        <f t="shared" si="64"/>
        <v>-271226</v>
      </c>
    </row>
    <row r="265" spans="1:29" x14ac:dyDescent="0.2">
      <c r="A265" s="8">
        <f t="shared" si="65"/>
        <v>35369</v>
      </c>
      <c r="B265" s="17">
        <f t="shared" si="49"/>
        <v>1996</v>
      </c>
      <c r="C265" s="17">
        <f t="shared" si="50"/>
        <v>10</v>
      </c>
      <c r="F265" s="8"/>
      <c r="H265">
        <v>660463</v>
      </c>
      <c r="I265">
        <v>700218</v>
      </c>
      <c r="J265">
        <v>78.838214876033064</v>
      </c>
      <c r="K265" s="6">
        <f t="shared" si="53"/>
        <v>-39755</v>
      </c>
      <c r="L265" s="15">
        <f t="shared" si="54"/>
        <v>4.3673978396643145</v>
      </c>
      <c r="M265" s="16">
        <f t="shared" si="55"/>
        <v>4.417121831313775E-2</v>
      </c>
      <c r="N265" s="8">
        <f t="array" ref="N265">MAX(IF($B$4:$B$507=B265,$A$4:$A$507))</f>
        <v>35430</v>
      </c>
      <c r="O265" s="8">
        <f t="array" ref="O265">MIN(IF($B$4:$B$507=B265,$A$4:$A$507))</f>
        <v>35095</v>
      </c>
      <c r="P265" s="8">
        <f t="shared" si="51"/>
        <v>35003</v>
      </c>
      <c r="Q265" s="8">
        <f t="shared" si="52"/>
        <v>35369</v>
      </c>
      <c r="R265">
        <f t="shared" si="56"/>
        <v>78.838214876033064</v>
      </c>
      <c r="S265">
        <f t="shared" si="66"/>
        <v>72.447867768595032</v>
      </c>
      <c r="T265" s="20">
        <f t="shared" si="57"/>
        <v>8.8206144697720701E-2</v>
      </c>
      <c r="U265" s="20">
        <f t="shared" si="67"/>
        <v>1.8044521750152864E-2</v>
      </c>
      <c r="V265" s="18">
        <f t="shared" si="58"/>
        <v>-271226</v>
      </c>
      <c r="W265">
        <f t="shared" si="59"/>
        <v>850.74587327823679</v>
      </c>
      <c r="Y265">
        <f t="shared" si="60"/>
        <v>850.74587327823679</v>
      </c>
      <c r="AA265" s="27">
        <f t="shared" si="62"/>
        <v>1996</v>
      </c>
      <c r="AB265" s="26">
        <f t="shared" si="63"/>
        <v>1.7305362372761479E-2</v>
      </c>
      <c r="AC265" s="7">
        <f t="shared" si="64"/>
        <v>-271226</v>
      </c>
    </row>
    <row r="266" spans="1:29" x14ac:dyDescent="0.2">
      <c r="A266" s="8">
        <f t="shared" si="65"/>
        <v>35399</v>
      </c>
      <c r="B266" s="17">
        <f t="shared" si="49"/>
        <v>1996</v>
      </c>
      <c r="C266" s="17">
        <f t="shared" si="50"/>
        <v>11</v>
      </c>
      <c r="F266" s="8"/>
      <c r="H266">
        <v>619050</v>
      </c>
      <c r="I266">
        <v>684387</v>
      </c>
      <c r="J266">
        <v>75.256110192837468</v>
      </c>
      <c r="K266" s="6">
        <f t="shared" si="53"/>
        <v>-65337</v>
      </c>
      <c r="L266" s="15">
        <f t="shared" si="54"/>
        <v>4.3208970989084721</v>
      </c>
      <c r="M266" s="16">
        <f t="shared" si="55"/>
        <v>-4.6500740755842429E-2</v>
      </c>
      <c r="N266" s="8">
        <f t="array" ref="N266">MAX(IF($B$4:$B$507=B266,$A$4:$A$507))</f>
        <v>35430</v>
      </c>
      <c r="O266" s="8">
        <f t="array" ref="O266">MIN(IF($B$4:$B$507=B266,$A$4:$A$507))</f>
        <v>35095</v>
      </c>
      <c r="P266" s="8">
        <f t="shared" si="51"/>
        <v>35033</v>
      </c>
      <c r="Q266" s="8">
        <f t="shared" si="52"/>
        <v>35399</v>
      </c>
      <c r="R266">
        <f t="shared" si="56"/>
        <v>75.256110192837468</v>
      </c>
      <c r="S266">
        <f t="shared" si="66"/>
        <v>70.9001432506887</v>
      </c>
      <c r="T266" s="20">
        <f t="shared" si="57"/>
        <v>6.1438055586812368E-2</v>
      </c>
      <c r="U266" s="20">
        <f t="shared" si="67"/>
        <v>1.8044521750152864E-2</v>
      </c>
      <c r="V266" s="18">
        <f t="shared" si="58"/>
        <v>-271226</v>
      </c>
      <c r="W266">
        <f t="shared" si="59"/>
        <v>850.74587327823679</v>
      </c>
      <c r="Y266">
        <f t="shared" si="60"/>
        <v>850.74587327823679</v>
      </c>
      <c r="AA266" s="27">
        <f t="shared" si="62"/>
        <v>1996</v>
      </c>
      <c r="AB266" s="26">
        <f t="shared" si="63"/>
        <v>1.7305362372761479E-2</v>
      </c>
      <c r="AC266" s="7">
        <f t="shared" si="64"/>
        <v>-271226</v>
      </c>
    </row>
    <row r="267" spans="1:29" x14ac:dyDescent="0.2">
      <c r="A267" s="8">
        <f t="shared" si="65"/>
        <v>35430</v>
      </c>
      <c r="B267" s="17">
        <f t="shared" si="49"/>
        <v>1996</v>
      </c>
      <c r="C267" s="17">
        <f t="shared" si="50"/>
        <v>12</v>
      </c>
      <c r="F267" s="8"/>
      <c r="H267">
        <v>488795</v>
      </c>
      <c r="I267">
        <v>769008</v>
      </c>
      <c r="J267">
        <v>66.911162534435277</v>
      </c>
      <c r="K267" s="6">
        <f t="shared" si="53"/>
        <v>-280213</v>
      </c>
      <c r="L267" s="15">
        <f t="shared" si="54"/>
        <v>4.2033658072430313</v>
      </c>
      <c r="M267" s="16">
        <f t="shared" si="55"/>
        <v>-0.11753129166544074</v>
      </c>
      <c r="N267" s="8">
        <f t="array" ref="N267">MAX(IF($B$4:$B$507=B267,$A$4:$A$507))</f>
        <v>35430</v>
      </c>
      <c r="O267" s="8">
        <f t="array" ref="O267">MIN(IF($B$4:$B$507=B267,$A$4:$A$507))</f>
        <v>35095</v>
      </c>
      <c r="P267" s="8">
        <f t="shared" si="51"/>
        <v>35064</v>
      </c>
      <c r="Q267" s="8">
        <f t="shared" si="52"/>
        <v>35430</v>
      </c>
      <c r="R267">
        <f t="shared" si="56"/>
        <v>66.911162534435277</v>
      </c>
      <c r="S267">
        <f t="shared" si="66"/>
        <v>61.885046831955904</v>
      </c>
      <c r="T267" s="20">
        <f t="shared" si="57"/>
        <v>8.1216965321645462E-2</v>
      </c>
      <c r="U267" s="20">
        <f t="shared" si="67"/>
        <v>1.8044521750152864E-2</v>
      </c>
      <c r="V267" s="18">
        <f t="shared" si="58"/>
        <v>-271226</v>
      </c>
      <c r="W267">
        <f t="shared" si="59"/>
        <v>850.74587327823679</v>
      </c>
      <c r="Y267">
        <f t="shared" si="60"/>
        <v>850.74587327823679</v>
      </c>
      <c r="AA267" s="27">
        <f t="shared" si="62"/>
        <v>1996</v>
      </c>
      <c r="AB267" s="26">
        <f t="shared" si="63"/>
        <v>1.7305362372761479E-2</v>
      </c>
      <c r="AC267" s="7">
        <f t="shared" si="64"/>
        <v>-271226</v>
      </c>
    </row>
    <row r="268" spans="1:29" x14ac:dyDescent="0.2">
      <c r="A268" s="8">
        <f t="shared" si="65"/>
        <v>35461</v>
      </c>
      <c r="B268" s="17">
        <f t="shared" si="49"/>
        <v>1997</v>
      </c>
      <c r="C268" s="17">
        <f t="shared" si="50"/>
        <v>1</v>
      </c>
      <c r="F268" s="8"/>
      <c r="H268">
        <v>699873</v>
      </c>
      <c r="I268">
        <v>742988</v>
      </c>
      <c r="J268">
        <v>66.919140495867765</v>
      </c>
      <c r="K268" s="6">
        <f t="shared" si="53"/>
        <v>-43115</v>
      </c>
      <c r="L268" s="15">
        <f t="shared" si="54"/>
        <v>4.2034850322804296</v>
      </c>
      <c r="M268" s="16">
        <f t="shared" si="55"/>
        <v>1.1922503739825174E-4</v>
      </c>
      <c r="N268" s="8">
        <f t="array" ref="N268">MAX(IF($B$4:$B$507=B268,$A$4:$A$507))</f>
        <v>35795</v>
      </c>
      <c r="O268" s="8">
        <f t="array" ref="O268">MIN(IF($B$4:$B$507=B268,$A$4:$A$507))</f>
        <v>35461</v>
      </c>
      <c r="P268" s="8">
        <f t="shared" si="51"/>
        <v>35095</v>
      </c>
      <c r="Q268" s="8">
        <f t="shared" si="52"/>
        <v>35461</v>
      </c>
      <c r="R268">
        <f t="shared" si="56"/>
        <v>66.919140495867765</v>
      </c>
      <c r="S268">
        <f t="shared" si="66"/>
        <v>62.587107438016524</v>
      </c>
      <c r="T268" s="20">
        <f t="shared" si="57"/>
        <v>6.9216061185468414E-2</v>
      </c>
      <c r="U268" s="20">
        <f t="shared" si="67"/>
        <v>3.9574538220679828E-2</v>
      </c>
      <c r="V268" s="18">
        <f t="shared" si="58"/>
        <v>-35735</v>
      </c>
      <c r="W268">
        <f t="shared" si="59"/>
        <v>883.82250137741062</v>
      </c>
      <c r="Y268">
        <f t="shared" si="60"/>
        <v>883.82250137741062</v>
      </c>
      <c r="AA268" s="27">
        <f t="shared" si="62"/>
        <v>1997</v>
      </c>
      <c r="AB268" s="26">
        <f t="shared" si="63"/>
        <v>3.8879563378565019E-2</v>
      </c>
      <c r="AC268" s="7">
        <f t="shared" si="64"/>
        <v>-35735</v>
      </c>
    </row>
    <row r="269" spans="1:29" x14ac:dyDescent="0.2">
      <c r="A269" s="8">
        <f t="shared" si="65"/>
        <v>35489</v>
      </c>
      <c r="B269" s="17">
        <f t="shared" si="49"/>
        <v>1997</v>
      </c>
      <c r="C269" s="17">
        <f t="shared" si="50"/>
        <v>2</v>
      </c>
      <c r="F269" s="8"/>
      <c r="H269">
        <v>678706</v>
      </c>
      <c r="I269">
        <v>672345</v>
      </c>
      <c r="J269">
        <v>63.424793388429755</v>
      </c>
      <c r="K269" s="6">
        <f t="shared" si="53"/>
        <v>6361</v>
      </c>
      <c r="L269" s="15">
        <f t="shared" si="54"/>
        <v>4.1498548479069965</v>
      </c>
      <c r="M269" s="16">
        <f t="shared" si="55"/>
        <v>-5.3630184373433032E-2</v>
      </c>
      <c r="N269" s="8">
        <f t="array" ref="N269">MAX(IF($B$4:$B$507=B269,$A$4:$A$507))</f>
        <v>35795</v>
      </c>
      <c r="O269" s="8">
        <f t="array" ref="O269">MIN(IF($B$4:$B$507=B269,$A$4:$A$507))</f>
        <v>35461</v>
      </c>
      <c r="P269" s="8">
        <f t="shared" si="51"/>
        <v>35124</v>
      </c>
      <c r="Q269" s="8">
        <f t="shared" si="52"/>
        <v>35489</v>
      </c>
      <c r="R269">
        <f t="shared" si="56"/>
        <v>63.424793388429755</v>
      </c>
      <c r="S269">
        <f t="shared" si="66"/>
        <v>61.334567493112935</v>
      </c>
      <c r="T269" s="20">
        <f t="shared" si="57"/>
        <v>3.4079084287201189E-2</v>
      </c>
      <c r="U269" s="20">
        <f t="shared" si="67"/>
        <v>3.9574538220679828E-2</v>
      </c>
      <c r="V269" s="18">
        <f t="shared" si="58"/>
        <v>-35735</v>
      </c>
      <c r="W269">
        <f t="shared" si="59"/>
        <v>883.82250137741062</v>
      </c>
      <c r="Y269">
        <f t="shared" si="60"/>
        <v>883.82250137741062</v>
      </c>
      <c r="AA269" s="27">
        <f t="shared" si="62"/>
        <v>1997</v>
      </c>
      <c r="AB269" s="26">
        <f t="shared" si="63"/>
        <v>3.8879563378565019E-2</v>
      </c>
      <c r="AC269" s="7">
        <f t="shared" si="64"/>
        <v>-35735</v>
      </c>
    </row>
    <row r="270" spans="1:29" x14ac:dyDescent="0.2">
      <c r="A270" s="8">
        <f t="shared" si="65"/>
        <v>35520</v>
      </c>
      <c r="B270" s="17">
        <f t="shared" si="49"/>
        <v>1997</v>
      </c>
      <c r="C270" s="17">
        <f t="shared" si="50"/>
        <v>3</v>
      </c>
      <c r="F270" s="8"/>
      <c r="H270">
        <v>753207</v>
      </c>
      <c r="I270">
        <v>694326</v>
      </c>
      <c r="J270">
        <v>70.876209366391194</v>
      </c>
      <c r="K270" s="6">
        <f t="shared" si="53"/>
        <v>58881</v>
      </c>
      <c r="L270" s="15">
        <f t="shared" si="54"/>
        <v>4.2609348252729378</v>
      </c>
      <c r="M270" s="16">
        <f t="shared" si="55"/>
        <v>0.11107997736594122</v>
      </c>
      <c r="N270" s="8">
        <f t="array" ref="N270">MAX(IF($B$4:$B$507=B270,$A$4:$A$507))</f>
        <v>35795</v>
      </c>
      <c r="O270" s="8">
        <f t="array" ref="O270">MIN(IF($B$4:$B$507=B270,$A$4:$A$507))</f>
        <v>35461</v>
      </c>
      <c r="P270" s="8">
        <f t="shared" si="51"/>
        <v>35155</v>
      </c>
      <c r="Q270" s="8">
        <f t="shared" si="52"/>
        <v>35520</v>
      </c>
      <c r="R270">
        <f t="shared" si="56"/>
        <v>70.876209366391194</v>
      </c>
      <c r="S270">
        <f t="shared" si="66"/>
        <v>67.429730027548203</v>
      </c>
      <c r="T270" s="20">
        <f t="shared" si="57"/>
        <v>5.1112162801703942E-2</v>
      </c>
      <c r="U270" s="20">
        <f t="shared" si="67"/>
        <v>3.9574538220679828E-2</v>
      </c>
      <c r="V270" s="18">
        <f t="shared" si="58"/>
        <v>-35735</v>
      </c>
      <c r="W270">
        <f t="shared" si="59"/>
        <v>883.82250137741062</v>
      </c>
      <c r="Y270">
        <f t="shared" si="60"/>
        <v>883.82250137741062</v>
      </c>
      <c r="AA270" s="27">
        <f t="shared" si="62"/>
        <v>1997</v>
      </c>
      <c r="AB270" s="26">
        <f t="shared" si="63"/>
        <v>3.8879563378565019E-2</v>
      </c>
      <c r="AC270" s="7">
        <f t="shared" si="64"/>
        <v>-35735</v>
      </c>
    </row>
    <row r="271" spans="1:29" x14ac:dyDescent="0.2">
      <c r="A271" s="8">
        <f t="shared" si="65"/>
        <v>35550</v>
      </c>
      <c r="B271" s="17">
        <f t="shared" si="49"/>
        <v>1997</v>
      </c>
      <c r="C271" s="17">
        <f t="shared" si="50"/>
        <v>4</v>
      </c>
      <c r="F271" s="8"/>
      <c r="H271">
        <v>791693</v>
      </c>
      <c r="I271">
        <v>700534</v>
      </c>
      <c r="J271">
        <v>72.607426997245184</v>
      </c>
      <c r="K271" s="6">
        <f t="shared" si="53"/>
        <v>91159</v>
      </c>
      <c r="L271" s="15">
        <f t="shared" si="54"/>
        <v>4.2850672168359747</v>
      </c>
      <c r="M271" s="16">
        <f t="shared" si="55"/>
        <v>2.4132391563036926E-2</v>
      </c>
      <c r="N271" s="8">
        <f t="array" ref="N271">MAX(IF($B$4:$B$507=B271,$A$4:$A$507))</f>
        <v>35795</v>
      </c>
      <c r="O271" s="8">
        <f t="array" ref="O271">MIN(IF($B$4:$B$507=B271,$A$4:$A$507))</f>
        <v>35461</v>
      </c>
      <c r="P271" s="8">
        <f t="shared" si="51"/>
        <v>35185</v>
      </c>
      <c r="Q271" s="8">
        <f t="shared" si="52"/>
        <v>35550</v>
      </c>
      <c r="R271">
        <f t="shared" si="56"/>
        <v>72.607426997245184</v>
      </c>
      <c r="S271">
        <f t="shared" si="66"/>
        <v>66.919140495867765</v>
      </c>
      <c r="T271" s="20">
        <f t="shared" si="57"/>
        <v>8.500238435860763E-2</v>
      </c>
      <c r="U271" s="20">
        <f t="shared" si="67"/>
        <v>3.9574538220679828E-2</v>
      </c>
      <c r="V271" s="18">
        <f t="shared" si="58"/>
        <v>-35735</v>
      </c>
      <c r="W271">
        <f t="shared" si="59"/>
        <v>883.82250137741062</v>
      </c>
      <c r="Y271">
        <f t="shared" si="60"/>
        <v>883.82250137741062</v>
      </c>
      <c r="AA271" s="27">
        <f t="shared" si="62"/>
        <v>1997</v>
      </c>
      <c r="AB271" s="26">
        <f t="shared" si="63"/>
        <v>3.8879563378565019E-2</v>
      </c>
      <c r="AC271" s="7">
        <f t="shared" si="64"/>
        <v>-35735</v>
      </c>
    </row>
    <row r="272" spans="1:29" x14ac:dyDescent="0.2">
      <c r="A272" s="8">
        <f t="shared" si="65"/>
        <v>35581</v>
      </c>
      <c r="B272" s="17">
        <f t="shared" si="49"/>
        <v>1997</v>
      </c>
      <c r="C272" s="17">
        <f t="shared" si="50"/>
        <v>5</v>
      </c>
      <c r="F272" s="8"/>
      <c r="H272">
        <v>808452</v>
      </c>
      <c r="I272">
        <v>679500</v>
      </c>
      <c r="J272">
        <v>74.53011570247935</v>
      </c>
      <c r="K272" s="6">
        <f t="shared" si="53"/>
        <v>128952</v>
      </c>
      <c r="L272" s="15">
        <f t="shared" si="54"/>
        <v>4.3112032813206724</v>
      </c>
      <c r="M272" s="16">
        <f t="shared" si="55"/>
        <v>2.6136064484697741E-2</v>
      </c>
      <c r="N272" s="8">
        <f t="array" ref="N272">MAX(IF($B$4:$B$507=B272,$A$4:$A$507))</f>
        <v>35795</v>
      </c>
      <c r="O272" s="8">
        <f t="array" ref="O272">MIN(IF($B$4:$B$507=B272,$A$4:$A$507))</f>
        <v>35461</v>
      </c>
      <c r="P272" s="8">
        <f t="shared" si="51"/>
        <v>35216</v>
      </c>
      <c r="Q272" s="8">
        <f t="shared" si="52"/>
        <v>35581</v>
      </c>
      <c r="R272">
        <f t="shared" si="56"/>
        <v>74.53011570247935</v>
      </c>
      <c r="S272">
        <f t="shared" si="66"/>
        <v>72.407977961432508</v>
      </c>
      <c r="T272" s="20">
        <f t="shared" si="57"/>
        <v>2.930806522697238E-2</v>
      </c>
      <c r="U272" s="20">
        <f t="shared" si="67"/>
        <v>3.9574538220679828E-2</v>
      </c>
      <c r="V272" s="18">
        <f t="shared" si="58"/>
        <v>-35735</v>
      </c>
      <c r="W272">
        <f t="shared" si="59"/>
        <v>883.82250137741062</v>
      </c>
      <c r="Y272">
        <f t="shared" si="60"/>
        <v>883.82250137741062</v>
      </c>
      <c r="AA272" s="27">
        <f t="shared" si="62"/>
        <v>1997</v>
      </c>
      <c r="AB272" s="26">
        <f t="shared" si="63"/>
        <v>3.8879563378565019E-2</v>
      </c>
      <c r="AC272" s="7">
        <f t="shared" si="64"/>
        <v>-35735</v>
      </c>
    </row>
    <row r="273" spans="1:29" x14ac:dyDescent="0.2">
      <c r="A273" s="8">
        <f t="shared" si="65"/>
        <v>35611</v>
      </c>
      <c r="B273" s="17">
        <f t="shared" si="49"/>
        <v>1997</v>
      </c>
      <c r="C273" s="17">
        <f t="shared" si="50"/>
        <v>6</v>
      </c>
      <c r="F273" s="8"/>
      <c r="H273">
        <v>761096</v>
      </c>
      <c r="I273">
        <v>681166</v>
      </c>
      <c r="J273">
        <v>75.631074380165302</v>
      </c>
      <c r="K273" s="6">
        <f t="shared" si="53"/>
        <v>79930</v>
      </c>
      <c r="L273" s="15">
        <f t="shared" si="54"/>
        <v>4.3258672355076868</v>
      </c>
      <c r="M273" s="16">
        <f t="shared" si="55"/>
        <v>1.4663954187014383E-2</v>
      </c>
      <c r="N273" s="8">
        <f t="array" ref="N273">MAX(IF($B$4:$B$507=B273,$A$4:$A$507))</f>
        <v>35795</v>
      </c>
      <c r="O273" s="8">
        <f t="array" ref="O273">MIN(IF($B$4:$B$507=B273,$A$4:$A$507))</f>
        <v>35461</v>
      </c>
      <c r="P273" s="8">
        <f t="shared" si="51"/>
        <v>35246</v>
      </c>
      <c r="Q273" s="8">
        <f t="shared" si="52"/>
        <v>35611</v>
      </c>
      <c r="R273">
        <f t="shared" si="56"/>
        <v>75.631074380165302</v>
      </c>
      <c r="S273">
        <f t="shared" si="66"/>
        <v>68.74609366391185</v>
      </c>
      <c r="T273" s="20">
        <f t="shared" si="57"/>
        <v>0.10015086457003619</v>
      </c>
      <c r="U273" s="20">
        <f t="shared" si="67"/>
        <v>3.9574538220679828E-2</v>
      </c>
      <c r="V273" s="18">
        <f t="shared" si="58"/>
        <v>-35735</v>
      </c>
      <c r="W273">
        <f t="shared" si="59"/>
        <v>883.82250137741062</v>
      </c>
      <c r="Y273">
        <f t="shared" si="60"/>
        <v>883.82250137741062</v>
      </c>
      <c r="AA273" s="27">
        <f t="shared" si="62"/>
        <v>1997</v>
      </c>
      <c r="AB273" s="26">
        <f t="shared" si="63"/>
        <v>3.8879563378565019E-2</v>
      </c>
      <c r="AC273" s="7">
        <f t="shared" si="64"/>
        <v>-35735</v>
      </c>
    </row>
    <row r="274" spans="1:29" x14ac:dyDescent="0.2">
      <c r="A274" s="8">
        <f t="shared" si="65"/>
        <v>35642</v>
      </c>
      <c r="B274" s="17">
        <f t="shared" si="49"/>
        <v>1997</v>
      </c>
      <c r="C274" s="17">
        <f t="shared" si="50"/>
        <v>7</v>
      </c>
      <c r="F274" s="8"/>
      <c r="H274">
        <v>734196</v>
      </c>
      <c r="I274">
        <v>741698</v>
      </c>
      <c r="J274">
        <v>78.806303030303056</v>
      </c>
      <c r="K274" s="6">
        <f t="shared" si="53"/>
        <v>-7502</v>
      </c>
      <c r="L274" s="15">
        <f t="shared" si="54"/>
        <v>4.3669929813591892</v>
      </c>
      <c r="M274" s="16">
        <f t="shared" si="55"/>
        <v>4.1125745851502415E-2</v>
      </c>
      <c r="N274" s="8">
        <f t="array" ref="N274">MAX(IF($B$4:$B$507=B274,$A$4:$A$507))</f>
        <v>35795</v>
      </c>
      <c r="O274" s="8">
        <f t="array" ref="O274">MIN(IF($B$4:$B$507=B274,$A$4:$A$507))</f>
        <v>35461</v>
      </c>
      <c r="P274" s="8">
        <f t="shared" si="51"/>
        <v>35277</v>
      </c>
      <c r="Q274" s="8">
        <f t="shared" si="52"/>
        <v>35642</v>
      </c>
      <c r="R274">
        <f t="shared" si="56"/>
        <v>78.806303030303056</v>
      </c>
      <c r="S274">
        <f t="shared" si="66"/>
        <v>77.697366391184573</v>
      </c>
      <c r="T274" s="20">
        <f t="shared" si="57"/>
        <v>1.4272512578293872E-2</v>
      </c>
      <c r="U274" s="20">
        <f t="shared" si="67"/>
        <v>3.9574538220679828E-2</v>
      </c>
      <c r="V274" s="18">
        <f t="shared" si="58"/>
        <v>-35735</v>
      </c>
      <c r="W274">
        <f t="shared" si="59"/>
        <v>883.82250137741062</v>
      </c>
      <c r="Y274">
        <f t="shared" si="60"/>
        <v>883.82250137741062</v>
      </c>
      <c r="AA274" s="27">
        <f t="shared" si="62"/>
        <v>1997</v>
      </c>
      <c r="AB274" s="26">
        <f t="shared" si="63"/>
        <v>3.8879563378565019E-2</v>
      </c>
      <c r="AC274" s="7">
        <f t="shared" si="64"/>
        <v>-35735</v>
      </c>
    </row>
    <row r="275" spans="1:29" x14ac:dyDescent="0.2">
      <c r="A275" s="8">
        <f t="shared" si="65"/>
        <v>35673</v>
      </c>
      <c r="B275" s="17">
        <f t="shared" si="49"/>
        <v>1997</v>
      </c>
      <c r="C275" s="17">
        <f t="shared" si="50"/>
        <v>8</v>
      </c>
      <c r="F275" s="8"/>
      <c r="H275">
        <v>747617</v>
      </c>
      <c r="I275">
        <v>743869</v>
      </c>
      <c r="J275">
        <v>78.886082644628118</v>
      </c>
      <c r="K275" s="6">
        <f t="shared" si="53"/>
        <v>3748</v>
      </c>
      <c r="L275" s="15">
        <f t="shared" si="54"/>
        <v>4.3680048199560915</v>
      </c>
      <c r="M275" s="16">
        <f t="shared" si="55"/>
        <v>1.011838596902237E-3</v>
      </c>
      <c r="N275" s="8">
        <f t="array" ref="N275">MAX(IF($B$4:$B$507=B275,$A$4:$A$507))</f>
        <v>35795</v>
      </c>
      <c r="O275" s="8">
        <f t="array" ref="O275">MIN(IF($B$4:$B$507=B275,$A$4:$A$507))</f>
        <v>35461</v>
      </c>
      <c r="P275" s="8">
        <f t="shared" si="51"/>
        <v>35308</v>
      </c>
      <c r="Q275" s="8">
        <f t="shared" si="52"/>
        <v>35673</v>
      </c>
      <c r="R275">
        <f t="shared" si="56"/>
        <v>78.886082644628118</v>
      </c>
      <c r="S275">
        <f t="shared" si="66"/>
        <v>77.186776859504135</v>
      </c>
      <c r="T275" s="20">
        <f t="shared" si="57"/>
        <v>2.2015503875969289E-2</v>
      </c>
      <c r="U275" s="20">
        <f t="shared" si="67"/>
        <v>3.9574538220679828E-2</v>
      </c>
      <c r="V275" s="18">
        <f t="shared" si="58"/>
        <v>-35735</v>
      </c>
      <c r="W275">
        <f t="shared" si="59"/>
        <v>883.82250137741062</v>
      </c>
      <c r="Y275">
        <f t="shared" si="60"/>
        <v>883.82250137741062</v>
      </c>
      <c r="AA275" s="27">
        <f t="shared" si="62"/>
        <v>1997</v>
      </c>
      <c r="AB275" s="26">
        <f t="shared" si="63"/>
        <v>3.8879563378565019E-2</v>
      </c>
      <c r="AC275" s="7">
        <f t="shared" si="64"/>
        <v>-35735</v>
      </c>
    </row>
    <row r="276" spans="1:29" x14ac:dyDescent="0.2">
      <c r="A276" s="8">
        <f t="shared" si="65"/>
        <v>35703</v>
      </c>
      <c r="B276" s="17">
        <f t="shared" si="49"/>
        <v>1997</v>
      </c>
      <c r="C276" s="17">
        <f t="shared" si="50"/>
        <v>9</v>
      </c>
      <c r="F276" s="8"/>
      <c r="H276">
        <v>725649</v>
      </c>
      <c r="I276">
        <v>686478</v>
      </c>
      <c r="J276">
        <v>80.609322314049621</v>
      </c>
      <c r="K276" s="6">
        <f t="shared" si="53"/>
        <v>39171</v>
      </c>
      <c r="L276" s="15">
        <f t="shared" si="54"/>
        <v>4.3896143042889468</v>
      </c>
      <c r="M276" s="16">
        <f t="shared" si="55"/>
        <v>2.1609484332855367E-2</v>
      </c>
      <c r="N276" s="8">
        <f t="array" ref="N276">MAX(IF($B$4:$B$507=B276,$A$4:$A$507))</f>
        <v>35795</v>
      </c>
      <c r="O276" s="8">
        <f t="array" ref="O276">MIN(IF($B$4:$B$507=B276,$A$4:$A$507))</f>
        <v>35461</v>
      </c>
      <c r="P276" s="8">
        <f t="shared" si="51"/>
        <v>35338</v>
      </c>
      <c r="Q276" s="8">
        <f t="shared" si="52"/>
        <v>35703</v>
      </c>
      <c r="R276">
        <f t="shared" si="56"/>
        <v>80.609322314049621</v>
      </c>
      <c r="S276">
        <f t="shared" si="66"/>
        <v>75.431625344352625</v>
      </c>
      <c r="T276" s="20">
        <f t="shared" si="57"/>
        <v>6.8640930724484628E-2</v>
      </c>
      <c r="U276" s="20">
        <f t="shared" si="67"/>
        <v>3.9574538220679828E-2</v>
      </c>
      <c r="V276" s="18">
        <f t="shared" si="58"/>
        <v>-35735</v>
      </c>
      <c r="W276">
        <f t="shared" si="59"/>
        <v>883.82250137741062</v>
      </c>
      <c r="Y276">
        <f t="shared" si="60"/>
        <v>883.82250137741062</v>
      </c>
      <c r="AA276" s="27">
        <f t="shared" si="62"/>
        <v>1997</v>
      </c>
      <c r="AB276" s="26">
        <f t="shared" si="63"/>
        <v>3.8879563378565019E-2</v>
      </c>
      <c r="AC276" s="7">
        <f t="shared" si="64"/>
        <v>-35735</v>
      </c>
    </row>
    <row r="277" spans="1:29" x14ac:dyDescent="0.2">
      <c r="A277" s="8">
        <f t="shared" si="65"/>
        <v>35734</v>
      </c>
      <c r="B277" s="17">
        <f t="shared" si="49"/>
        <v>1997</v>
      </c>
      <c r="C277" s="17">
        <f t="shared" si="50"/>
        <v>10</v>
      </c>
      <c r="F277" s="8"/>
      <c r="H277">
        <v>690185</v>
      </c>
      <c r="I277">
        <v>682215</v>
      </c>
      <c r="J277">
        <v>82.675614325068892</v>
      </c>
      <c r="K277" s="6">
        <f t="shared" si="53"/>
        <v>7970</v>
      </c>
      <c r="L277" s="15">
        <f t="shared" si="54"/>
        <v>4.4149246894428371</v>
      </c>
      <c r="M277" s="16">
        <f t="shared" si="55"/>
        <v>2.531038515389028E-2</v>
      </c>
      <c r="N277" s="8">
        <f t="array" ref="N277">MAX(IF($B$4:$B$507=B277,$A$4:$A$507))</f>
        <v>35795</v>
      </c>
      <c r="O277" s="8">
        <f t="array" ref="O277">MIN(IF($B$4:$B$507=B277,$A$4:$A$507))</f>
        <v>35461</v>
      </c>
      <c r="P277" s="8">
        <f t="shared" si="51"/>
        <v>35369</v>
      </c>
      <c r="Q277" s="8">
        <f t="shared" si="52"/>
        <v>35734</v>
      </c>
      <c r="R277">
        <f t="shared" si="56"/>
        <v>82.675614325068892</v>
      </c>
      <c r="S277">
        <f t="shared" si="66"/>
        <v>78.838214876033064</v>
      </c>
      <c r="T277" s="20">
        <f t="shared" si="57"/>
        <v>4.8674357417527014E-2</v>
      </c>
      <c r="U277" s="20">
        <f t="shared" si="67"/>
        <v>3.9574538220679828E-2</v>
      </c>
      <c r="V277" s="18">
        <f t="shared" si="58"/>
        <v>-35735</v>
      </c>
      <c r="W277">
        <f t="shared" si="59"/>
        <v>883.82250137741062</v>
      </c>
      <c r="Y277">
        <f t="shared" si="60"/>
        <v>883.82250137741062</v>
      </c>
      <c r="AA277" s="27">
        <f t="shared" si="62"/>
        <v>1997</v>
      </c>
      <c r="AB277" s="26">
        <f t="shared" si="63"/>
        <v>3.8879563378565019E-2</v>
      </c>
      <c r="AC277" s="7">
        <f t="shared" si="64"/>
        <v>-35735</v>
      </c>
    </row>
    <row r="278" spans="1:29" x14ac:dyDescent="0.2">
      <c r="A278" s="8">
        <f t="shared" si="65"/>
        <v>35764</v>
      </c>
      <c r="B278" s="17">
        <f t="shared" si="49"/>
        <v>1997</v>
      </c>
      <c r="C278" s="17">
        <f t="shared" si="50"/>
        <v>11</v>
      </c>
      <c r="F278" s="8"/>
      <c r="H278">
        <v>596566</v>
      </c>
      <c r="I278">
        <v>662212</v>
      </c>
      <c r="J278">
        <v>74.107283746556504</v>
      </c>
      <c r="K278" s="6">
        <f t="shared" si="53"/>
        <v>-65646</v>
      </c>
      <c r="L278" s="15">
        <f t="shared" si="54"/>
        <v>4.3055138236461401</v>
      </c>
      <c r="M278" s="16">
        <f t="shared" si="55"/>
        <v>-0.10941086579669701</v>
      </c>
      <c r="N278" s="8">
        <f t="array" ref="N278">MAX(IF($B$4:$B$507=B278,$A$4:$A$507))</f>
        <v>35795</v>
      </c>
      <c r="O278" s="8">
        <f t="array" ref="O278">MIN(IF($B$4:$B$507=B278,$A$4:$A$507))</f>
        <v>35461</v>
      </c>
      <c r="P278" s="8">
        <f t="shared" si="51"/>
        <v>35399</v>
      </c>
      <c r="Q278" s="8">
        <f t="shared" si="52"/>
        <v>35764</v>
      </c>
      <c r="R278">
        <f t="shared" si="56"/>
        <v>74.107283746556504</v>
      </c>
      <c r="S278">
        <f t="shared" si="66"/>
        <v>75.256110192837468</v>
      </c>
      <c r="T278" s="20">
        <f t="shared" si="57"/>
        <v>-1.5265557086822534E-2</v>
      </c>
      <c r="U278" s="20">
        <f t="shared" si="67"/>
        <v>3.9574538220679828E-2</v>
      </c>
      <c r="V278" s="18">
        <f t="shared" si="58"/>
        <v>-35735</v>
      </c>
      <c r="W278">
        <f t="shared" si="59"/>
        <v>883.82250137741062</v>
      </c>
      <c r="Y278">
        <f t="shared" si="60"/>
        <v>883.82250137741062</v>
      </c>
      <c r="AA278" s="27">
        <f t="shared" si="62"/>
        <v>1997</v>
      </c>
      <c r="AB278" s="26">
        <f t="shared" si="63"/>
        <v>3.8879563378565019E-2</v>
      </c>
      <c r="AC278" s="7">
        <f t="shared" si="64"/>
        <v>-35735</v>
      </c>
    </row>
    <row r="279" spans="1:29" x14ac:dyDescent="0.2">
      <c r="A279" s="8">
        <f t="shared" ref="A279:A294" si="68">EOMONTH(A280,-1)</f>
        <v>35795</v>
      </c>
      <c r="B279" s="17">
        <f t="shared" si="49"/>
        <v>1997</v>
      </c>
      <c r="C279" s="17">
        <f t="shared" si="50"/>
        <v>12</v>
      </c>
      <c r="F279" s="8"/>
      <c r="H279">
        <v>434747</v>
      </c>
      <c r="I279">
        <v>770391</v>
      </c>
      <c r="J279">
        <v>64.749134986225911</v>
      </c>
      <c r="K279" s="6">
        <f t="shared" si="53"/>
        <v>-335644</v>
      </c>
      <c r="L279" s="15">
        <f t="shared" si="54"/>
        <v>4.170520341204325</v>
      </c>
      <c r="M279" s="16">
        <f t="shared" si="55"/>
        <v>-0.13499348244181508</v>
      </c>
      <c r="N279" s="8">
        <f t="array" ref="N279">MAX(IF($B$4:$B$507=B279,$A$4:$A$507))</f>
        <v>35795</v>
      </c>
      <c r="O279" s="8">
        <f t="array" ref="O279">MIN(IF($B$4:$B$507=B279,$A$4:$A$507))</f>
        <v>35461</v>
      </c>
      <c r="P279" s="8">
        <f t="shared" si="51"/>
        <v>35430</v>
      </c>
      <c r="Q279" s="8">
        <f t="shared" si="52"/>
        <v>35795</v>
      </c>
      <c r="R279">
        <f t="shared" si="56"/>
        <v>64.749134986225911</v>
      </c>
      <c r="S279">
        <f t="shared" si="66"/>
        <v>66.911162534435277</v>
      </c>
      <c r="T279" s="20">
        <f t="shared" si="57"/>
        <v>-3.2311911291284079E-2</v>
      </c>
      <c r="U279" s="20">
        <f t="shared" si="67"/>
        <v>3.9574538220679828E-2</v>
      </c>
      <c r="V279" s="18">
        <f t="shared" si="58"/>
        <v>-35735</v>
      </c>
      <c r="W279">
        <f t="shared" si="59"/>
        <v>883.82250137741062</v>
      </c>
      <c r="Y279">
        <f t="shared" si="60"/>
        <v>883.82250137741062</v>
      </c>
      <c r="AA279" s="27">
        <f t="shared" si="62"/>
        <v>1997</v>
      </c>
      <c r="AB279" s="26">
        <f t="shared" si="63"/>
        <v>3.8879563378565019E-2</v>
      </c>
      <c r="AC279" s="7">
        <f t="shared" si="64"/>
        <v>-35735</v>
      </c>
    </row>
    <row r="280" spans="1:29" x14ac:dyDescent="0.2">
      <c r="A280" s="8">
        <f t="shared" si="68"/>
        <v>35826</v>
      </c>
      <c r="B280" s="17">
        <f t="shared" ref="B280:B295" si="69">YEAR(A280)</f>
        <v>1998</v>
      </c>
      <c r="C280" s="17">
        <f t="shared" ref="C280:C295" si="70">MONTH(A280)</f>
        <v>1</v>
      </c>
      <c r="F280" s="8"/>
      <c r="H280">
        <v>656092</v>
      </c>
      <c r="I280">
        <v>741412</v>
      </c>
      <c r="J280" s="19">
        <v>64.477884297520674</v>
      </c>
      <c r="K280" s="6">
        <f t="shared" si="53"/>
        <v>-85320</v>
      </c>
      <c r="L280" s="15">
        <f t="shared" si="54"/>
        <v>4.1663222858970386</v>
      </c>
      <c r="M280" s="16">
        <f t="shared" si="55"/>
        <v>-4.1980553072864524E-3</v>
      </c>
      <c r="N280" s="8">
        <f t="array" ref="N280">MAX(IF($B$4:$B$507=B280,$A$4:$A$507))</f>
        <v>36160</v>
      </c>
      <c r="O280" s="8">
        <f t="array" ref="O280">MIN(IF($B$4:$B$507=B280,$A$4:$A$507))</f>
        <v>35826</v>
      </c>
      <c r="P280" s="8">
        <f>EOMONTH(Q280,-12)</f>
        <v>35461</v>
      </c>
      <c r="Q280" s="8">
        <f>A280</f>
        <v>35826</v>
      </c>
      <c r="R280">
        <f t="shared" si="56"/>
        <v>64.477884297520674</v>
      </c>
      <c r="S280">
        <f t="shared" si="66"/>
        <v>66.919140495867765</v>
      </c>
      <c r="T280" s="20">
        <f t="shared" si="57"/>
        <v>-3.6480686695278708E-2</v>
      </c>
      <c r="U280" s="20">
        <f t="shared" si="67"/>
        <v>-1.9428258626988631E-2</v>
      </c>
      <c r="V280" s="18">
        <f t="shared" si="58"/>
        <v>-581745</v>
      </c>
      <c r="W280">
        <f t="shared" si="59"/>
        <v>865.91197796143263</v>
      </c>
      <c r="Y280">
        <f t="shared" si="60"/>
        <v>865.91197796143263</v>
      </c>
      <c r="AA280" s="27">
        <f t="shared" si="62"/>
        <v>1998</v>
      </c>
      <c r="AB280" s="26">
        <f t="shared" si="63"/>
        <v>-2.0264842078658307E-2</v>
      </c>
      <c r="AC280" s="7">
        <f t="shared" si="64"/>
        <v>-581745</v>
      </c>
    </row>
    <row r="281" spans="1:29" x14ac:dyDescent="0.2">
      <c r="A281" s="8">
        <f t="shared" si="68"/>
        <v>35854</v>
      </c>
      <c r="B281" s="17">
        <f t="shared" si="69"/>
        <v>1998</v>
      </c>
      <c r="C281" s="17">
        <f t="shared" si="70"/>
        <v>2</v>
      </c>
      <c r="F281" s="8"/>
      <c r="H281">
        <v>651834</v>
      </c>
      <c r="I281">
        <v>673962</v>
      </c>
      <c r="J281" s="19">
        <v>62.818468319559244</v>
      </c>
      <c r="K281" s="6">
        <f t="shared" si="53"/>
        <v>-22128</v>
      </c>
      <c r="L281" s="15">
        <f t="shared" si="54"/>
        <v>4.1402491117623024</v>
      </c>
      <c r="M281" s="16">
        <f t="shared" si="55"/>
        <v>-2.6073174134736199E-2</v>
      </c>
      <c r="N281" s="8">
        <f t="array" ref="N281">MAX(IF($B$4:$B$507=B281,$A$4:$A$507))</f>
        <v>36160</v>
      </c>
      <c r="O281" s="8">
        <f t="array" ref="O281">MIN(IF($B$4:$B$507=B281,$A$4:$A$507))</f>
        <v>35826</v>
      </c>
      <c r="P281" s="8">
        <f t="shared" ref="P281:P344" si="71">EOMONTH(Q281,-12)</f>
        <v>35489</v>
      </c>
      <c r="Q281" s="8">
        <f t="shared" ref="Q281:Q344" si="72">A281</f>
        <v>35854</v>
      </c>
      <c r="R281">
        <f t="shared" si="56"/>
        <v>62.818468319559244</v>
      </c>
      <c r="S281">
        <f t="shared" si="66"/>
        <v>63.424793388429755</v>
      </c>
      <c r="T281" s="20">
        <f t="shared" si="57"/>
        <v>-9.5597484276727096E-3</v>
      </c>
      <c r="U281" s="20">
        <f t="shared" si="67"/>
        <v>-1.9428258626988631E-2</v>
      </c>
      <c r="V281" s="18">
        <f t="shared" si="58"/>
        <v>-581745</v>
      </c>
      <c r="W281">
        <f t="shared" si="59"/>
        <v>865.91197796143263</v>
      </c>
      <c r="Y281">
        <f t="shared" si="60"/>
        <v>865.91197796143263</v>
      </c>
      <c r="AA281" s="27">
        <f t="shared" si="62"/>
        <v>1998</v>
      </c>
      <c r="AB281" s="26">
        <f t="shared" si="63"/>
        <v>-2.0264842078658307E-2</v>
      </c>
      <c r="AC281" s="7">
        <f t="shared" si="64"/>
        <v>-581745</v>
      </c>
    </row>
    <row r="282" spans="1:29" x14ac:dyDescent="0.2">
      <c r="A282" s="8">
        <f t="shared" si="68"/>
        <v>35885</v>
      </c>
      <c r="B282" s="17">
        <f t="shared" si="69"/>
        <v>1998</v>
      </c>
      <c r="C282" s="17">
        <f t="shared" si="70"/>
        <v>3</v>
      </c>
      <c r="F282" s="8"/>
      <c r="H282">
        <v>729367</v>
      </c>
      <c r="I282">
        <v>740072</v>
      </c>
      <c r="J282" s="19">
        <v>73.133972451790655</v>
      </c>
      <c r="K282" s="6">
        <f t="shared" si="53"/>
        <v>-10705</v>
      </c>
      <c r="L282" s="15">
        <f t="shared" si="54"/>
        <v>4.292292998220395</v>
      </c>
      <c r="M282" s="16">
        <f t="shared" si="55"/>
        <v>0.15204388645809264</v>
      </c>
      <c r="N282" s="8">
        <f t="array" ref="N282">MAX(IF($B$4:$B$507=B282,$A$4:$A$507))</f>
        <v>36160</v>
      </c>
      <c r="O282" s="8">
        <f t="array" ref="O282">MIN(IF($B$4:$B$507=B282,$A$4:$A$507))</f>
        <v>35826</v>
      </c>
      <c r="P282" s="8">
        <f t="shared" si="71"/>
        <v>35520</v>
      </c>
      <c r="Q282" s="8">
        <f t="shared" si="72"/>
        <v>35885</v>
      </c>
      <c r="R282">
        <f t="shared" si="56"/>
        <v>73.133972451790655</v>
      </c>
      <c r="S282">
        <f t="shared" si="66"/>
        <v>70.876209366391194</v>
      </c>
      <c r="T282" s="20">
        <f t="shared" si="57"/>
        <v>3.185502026114384E-2</v>
      </c>
      <c r="U282" s="20">
        <f t="shared" si="67"/>
        <v>-1.9428258626988631E-2</v>
      </c>
      <c r="V282" s="18">
        <f t="shared" si="58"/>
        <v>-581745</v>
      </c>
      <c r="W282">
        <f t="shared" si="59"/>
        <v>865.91197796143263</v>
      </c>
      <c r="Y282">
        <f t="shared" si="60"/>
        <v>865.91197796143263</v>
      </c>
      <c r="AA282" s="27">
        <f t="shared" si="62"/>
        <v>1998</v>
      </c>
      <c r="AB282" s="26">
        <f t="shared" si="63"/>
        <v>-2.0264842078658307E-2</v>
      </c>
      <c r="AC282" s="7">
        <f t="shared" si="64"/>
        <v>-581745</v>
      </c>
    </row>
    <row r="283" spans="1:29" x14ac:dyDescent="0.2">
      <c r="A283" s="8">
        <f t="shared" si="68"/>
        <v>35915</v>
      </c>
      <c r="B283" s="17">
        <f t="shared" si="69"/>
        <v>1998</v>
      </c>
      <c r="C283" s="17">
        <f t="shared" si="70"/>
        <v>4</v>
      </c>
      <c r="F283" s="8"/>
      <c r="H283">
        <v>746948</v>
      </c>
      <c r="I283">
        <v>671302</v>
      </c>
      <c r="J283" s="19">
        <v>70.357641873278254</v>
      </c>
      <c r="K283" s="6">
        <f t="shared" si="53"/>
        <v>75646</v>
      </c>
      <c r="L283" s="15">
        <f t="shared" si="54"/>
        <v>4.2535914041468006</v>
      </c>
      <c r="M283" s="16">
        <f t="shared" si="55"/>
        <v>-3.8701594073594414E-2</v>
      </c>
      <c r="N283" s="8">
        <f t="array" ref="N283">MAX(IF($B$4:$B$507=B283,$A$4:$A$507))</f>
        <v>36160</v>
      </c>
      <c r="O283" s="8">
        <f t="array" ref="O283">MIN(IF($B$4:$B$507=B283,$A$4:$A$507))</f>
        <v>35826</v>
      </c>
      <c r="P283" s="8">
        <f t="shared" si="71"/>
        <v>35550</v>
      </c>
      <c r="Q283" s="8">
        <f t="shared" si="72"/>
        <v>35915</v>
      </c>
      <c r="R283">
        <f t="shared" si="56"/>
        <v>70.357641873278254</v>
      </c>
      <c r="S283">
        <f t="shared" si="66"/>
        <v>72.607426997245184</v>
      </c>
      <c r="T283" s="20">
        <f t="shared" si="57"/>
        <v>-3.0985605977364994E-2</v>
      </c>
      <c r="U283" s="20">
        <f t="shared" si="67"/>
        <v>-1.9428258626988631E-2</v>
      </c>
      <c r="V283" s="18">
        <f t="shared" si="58"/>
        <v>-581745</v>
      </c>
      <c r="W283">
        <f t="shared" si="59"/>
        <v>865.91197796143263</v>
      </c>
      <c r="Y283">
        <f t="shared" si="60"/>
        <v>865.91197796143263</v>
      </c>
      <c r="AA283" s="27">
        <f t="shared" si="62"/>
        <v>1998</v>
      </c>
      <c r="AB283" s="26">
        <f t="shared" si="63"/>
        <v>-2.0264842078658307E-2</v>
      </c>
      <c r="AC283" s="7">
        <f t="shared" si="64"/>
        <v>-581745</v>
      </c>
    </row>
    <row r="284" spans="1:29" x14ac:dyDescent="0.2">
      <c r="A284" s="8">
        <f t="shared" si="68"/>
        <v>35946</v>
      </c>
      <c r="B284" s="17">
        <f t="shared" si="69"/>
        <v>1998</v>
      </c>
      <c r="C284" s="17">
        <f t="shared" si="70"/>
        <v>5</v>
      </c>
      <c r="F284" s="8"/>
      <c r="H284">
        <v>739220</v>
      </c>
      <c r="I284">
        <v>653849</v>
      </c>
      <c r="J284" s="19">
        <v>75.519382920110203</v>
      </c>
      <c r="K284" s="6">
        <f t="shared" si="53"/>
        <v>85371</v>
      </c>
      <c r="L284" s="15">
        <f t="shared" si="54"/>
        <v>4.3243893507248128</v>
      </c>
      <c r="M284" s="16">
        <f t="shared" si="55"/>
        <v>7.0797946578012194E-2</v>
      </c>
      <c r="N284" s="8">
        <f t="array" ref="N284">MAX(IF($B$4:$B$507=B284,$A$4:$A$507))</f>
        <v>36160</v>
      </c>
      <c r="O284" s="8">
        <f t="array" ref="O284">MIN(IF($B$4:$B$507=B284,$A$4:$A$507))</f>
        <v>35826</v>
      </c>
      <c r="P284" s="8">
        <f t="shared" si="71"/>
        <v>35581</v>
      </c>
      <c r="Q284" s="8">
        <f t="shared" si="72"/>
        <v>35946</v>
      </c>
      <c r="R284">
        <f t="shared" si="56"/>
        <v>75.519382920110203</v>
      </c>
      <c r="S284">
        <f t="shared" si="66"/>
        <v>74.53011570247935</v>
      </c>
      <c r="T284" s="20">
        <f t="shared" si="57"/>
        <v>1.3273388995932445E-2</v>
      </c>
      <c r="U284" s="20">
        <f t="shared" si="67"/>
        <v>-1.9428258626988631E-2</v>
      </c>
      <c r="V284" s="18">
        <f t="shared" si="58"/>
        <v>-581745</v>
      </c>
      <c r="W284">
        <f t="shared" si="59"/>
        <v>865.91197796143263</v>
      </c>
      <c r="Y284">
        <f t="shared" si="60"/>
        <v>865.91197796143263</v>
      </c>
      <c r="AA284" s="27">
        <f t="shared" si="62"/>
        <v>1998</v>
      </c>
      <c r="AB284" s="26">
        <f t="shared" si="63"/>
        <v>-2.0264842078658307E-2</v>
      </c>
      <c r="AC284" s="7">
        <f t="shared" si="64"/>
        <v>-581745</v>
      </c>
    </row>
    <row r="285" spans="1:29" x14ac:dyDescent="0.2">
      <c r="A285" s="8">
        <f t="shared" si="68"/>
        <v>35976</v>
      </c>
      <c r="B285" s="17">
        <f t="shared" si="69"/>
        <v>1998</v>
      </c>
      <c r="C285" s="17">
        <f t="shared" si="70"/>
        <v>6</v>
      </c>
      <c r="F285" s="8"/>
      <c r="H285">
        <v>703475</v>
      </c>
      <c r="I285">
        <v>685378</v>
      </c>
      <c r="J285" s="19">
        <v>75.511404958677701</v>
      </c>
      <c r="K285" s="6">
        <f t="shared" si="53"/>
        <v>18097</v>
      </c>
      <c r="L285" s="15">
        <f t="shared" si="54"/>
        <v>4.3242837039020428</v>
      </c>
      <c r="M285" s="16">
        <f t="shared" si="55"/>
        <v>-1.0564682277003357E-4</v>
      </c>
      <c r="N285" s="8">
        <f t="array" ref="N285">MAX(IF($B$4:$B$507=B285,$A$4:$A$507))</f>
        <v>36160</v>
      </c>
      <c r="O285" s="8">
        <f t="array" ref="O285">MIN(IF($B$4:$B$507=B285,$A$4:$A$507))</f>
        <v>35826</v>
      </c>
      <c r="P285" s="8">
        <f t="shared" si="71"/>
        <v>35611</v>
      </c>
      <c r="Q285" s="8">
        <f t="shared" si="72"/>
        <v>35976</v>
      </c>
      <c r="R285">
        <f t="shared" si="56"/>
        <v>75.511404958677701</v>
      </c>
      <c r="S285">
        <f t="shared" si="66"/>
        <v>75.631074380165302</v>
      </c>
      <c r="T285" s="20">
        <f t="shared" si="57"/>
        <v>-1.5822784810126667E-3</v>
      </c>
      <c r="U285" s="20">
        <f t="shared" si="67"/>
        <v>-1.9428258626988631E-2</v>
      </c>
      <c r="V285" s="18">
        <f t="shared" si="58"/>
        <v>-581745</v>
      </c>
      <c r="W285">
        <f t="shared" si="59"/>
        <v>865.91197796143263</v>
      </c>
      <c r="Y285">
        <f t="shared" si="60"/>
        <v>865.91197796143263</v>
      </c>
      <c r="AA285" s="27">
        <f t="shared" si="62"/>
        <v>1998</v>
      </c>
      <c r="AB285" s="26">
        <f t="shared" si="63"/>
        <v>-2.0264842078658307E-2</v>
      </c>
      <c r="AC285" s="7">
        <f t="shared" si="64"/>
        <v>-581745</v>
      </c>
    </row>
    <row r="286" spans="1:29" x14ac:dyDescent="0.2">
      <c r="A286" s="8">
        <f t="shared" si="68"/>
        <v>36007</v>
      </c>
      <c r="B286" s="17">
        <f t="shared" si="69"/>
        <v>1998</v>
      </c>
      <c r="C286" s="17">
        <f t="shared" si="70"/>
        <v>7</v>
      </c>
      <c r="F286" s="8"/>
      <c r="H286">
        <v>711682</v>
      </c>
      <c r="I286">
        <v>733136</v>
      </c>
      <c r="J286" s="19">
        <v>78.8701267217631</v>
      </c>
      <c r="K286" s="6">
        <f t="shared" si="53"/>
        <v>-21454</v>
      </c>
      <c r="L286" s="15">
        <f t="shared" si="54"/>
        <v>4.3678025341255236</v>
      </c>
      <c r="M286" s="16">
        <f t="shared" si="55"/>
        <v>4.3518830223480798E-2</v>
      </c>
      <c r="N286" s="8">
        <f t="array" ref="N286">MAX(IF($B$4:$B$507=B286,$A$4:$A$507))</f>
        <v>36160</v>
      </c>
      <c r="O286" s="8">
        <f t="array" ref="O286">MIN(IF($B$4:$B$507=B286,$A$4:$A$507))</f>
        <v>35826</v>
      </c>
      <c r="P286" s="8">
        <f t="shared" si="71"/>
        <v>35642</v>
      </c>
      <c r="Q286" s="8">
        <f t="shared" si="72"/>
        <v>36007</v>
      </c>
      <c r="R286">
        <f t="shared" si="56"/>
        <v>78.8701267217631</v>
      </c>
      <c r="S286">
        <f t="shared" si="66"/>
        <v>78.806303030303056</v>
      </c>
      <c r="T286" s="20">
        <f t="shared" si="57"/>
        <v>8.098805426197675E-4</v>
      </c>
      <c r="U286" s="20">
        <f t="shared" si="67"/>
        <v>-1.9428258626988631E-2</v>
      </c>
      <c r="V286" s="18">
        <f t="shared" si="58"/>
        <v>-581745</v>
      </c>
      <c r="W286">
        <f t="shared" si="59"/>
        <v>865.91197796143263</v>
      </c>
      <c r="Y286">
        <f t="shared" si="60"/>
        <v>865.91197796143263</v>
      </c>
      <c r="AA286" s="27">
        <f t="shared" si="62"/>
        <v>1998</v>
      </c>
      <c r="AB286" s="26">
        <f t="shared" si="63"/>
        <v>-2.0264842078658307E-2</v>
      </c>
      <c r="AC286" s="7">
        <f t="shared" si="64"/>
        <v>-581745</v>
      </c>
    </row>
    <row r="287" spans="1:29" x14ac:dyDescent="0.2">
      <c r="A287" s="8">
        <f t="shared" si="68"/>
        <v>36038</v>
      </c>
      <c r="B287" s="17">
        <f t="shared" si="69"/>
        <v>1998</v>
      </c>
      <c r="C287" s="17">
        <f t="shared" si="70"/>
        <v>8</v>
      </c>
      <c r="F287" s="8"/>
      <c r="H287">
        <v>746374</v>
      </c>
      <c r="I287">
        <v>724161</v>
      </c>
      <c r="J287" s="19">
        <v>77.338358126721772</v>
      </c>
      <c r="K287" s="6">
        <f t="shared" si="53"/>
        <v>22213</v>
      </c>
      <c r="L287" s="15">
        <f t="shared" si="54"/>
        <v>4.3481900566639409</v>
      </c>
      <c r="M287" s="16">
        <f t="shared" si="55"/>
        <v>-1.9612477461582678E-2</v>
      </c>
      <c r="N287" s="8">
        <f t="array" ref="N287">MAX(IF($B$4:$B$507=B287,$A$4:$A$507))</f>
        <v>36160</v>
      </c>
      <c r="O287" s="8">
        <f t="array" ref="O287">MIN(IF($B$4:$B$507=B287,$A$4:$A$507))</f>
        <v>35826</v>
      </c>
      <c r="P287" s="8">
        <f t="shared" si="71"/>
        <v>35673</v>
      </c>
      <c r="Q287" s="8">
        <f t="shared" si="72"/>
        <v>36038</v>
      </c>
      <c r="R287">
        <f t="shared" si="56"/>
        <v>77.338358126721772</v>
      </c>
      <c r="S287">
        <f t="shared" si="66"/>
        <v>78.886082644628118</v>
      </c>
      <c r="T287" s="20">
        <f t="shared" si="57"/>
        <v>-1.9619741100323718E-2</v>
      </c>
      <c r="U287" s="20">
        <f t="shared" si="67"/>
        <v>-1.9428258626988631E-2</v>
      </c>
      <c r="V287" s="18">
        <f t="shared" si="58"/>
        <v>-581745</v>
      </c>
      <c r="W287">
        <f t="shared" si="59"/>
        <v>865.91197796143263</v>
      </c>
      <c r="Y287">
        <f t="shared" si="60"/>
        <v>865.91197796143263</v>
      </c>
      <c r="AA287" s="27">
        <f t="shared" si="62"/>
        <v>1998</v>
      </c>
      <c r="AB287" s="26">
        <f t="shared" si="63"/>
        <v>-2.0264842078658307E-2</v>
      </c>
      <c r="AC287" s="7">
        <f t="shared" si="64"/>
        <v>-581745</v>
      </c>
    </row>
    <row r="288" spans="1:29" x14ac:dyDescent="0.2">
      <c r="A288" s="8">
        <f t="shared" si="68"/>
        <v>36068</v>
      </c>
      <c r="B288" s="17">
        <f t="shared" si="69"/>
        <v>1998</v>
      </c>
      <c r="C288" s="17">
        <f t="shared" si="70"/>
        <v>9</v>
      </c>
      <c r="F288" s="8"/>
      <c r="H288">
        <v>696430</v>
      </c>
      <c r="I288">
        <v>719632</v>
      </c>
      <c r="J288" s="19">
        <v>76.301223140495878</v>
      </c>
      <c r="K288" s="6">
        <f t="shared" si="53"/>
        <v>-23202</v>
      </c>
      <c r="L288" s="15">
        <f t="shared" si="54"/>
        <v>4.3346889688368346</v>
      </c>
      <c r="M288" s="16">
        <f t="shared" si="55"/>
        <v>-1.350108782710624E-2</v>
      </c>
      <c r="N288" s="8">
        <f t="array" ref="N288">MAX(IF($B$4:$B$507=B288,$A$4:$A$507))</f>
        <v>36160</v>
      </c>
      <c r="O288" s="8">
        <f t="array" ref="O288">MIN(IF($B$4:$B$507=B288,$A$4:$A$507))</f>
        <v>35826</v>
      </c>
      <c r="P288" s="8">
        <f t="shared" si="71"/>
        <v>35703</v>
      </c>
      <c r="Q288" s="8">
        <f t="shared" si="72"/>
        <v>36068</v>
      </c>
      <c r="R288">
        <f t="shared" si="56"/>
        <v>76.301223140495878</v>
      </c>
      <c r="S288">
        <f t="shared" si="66"/>
        <v>80.609322314049621</v>
      </c>
      <c r="T288" s="20">
        <f t="shared" si="57"/>
        <v>-5.344418052256561E-2</v>
      </c>
      <c r="U288" s="20">
        <f t="shared" si="67"/>
        <v>-1.9428258626988631E-2</v>
      </c>
      <c r="V288" s="18">
        <f t="shared" si="58"/>
        <v>-581745</v>
      </c>
      <c r="W288">
        <f t="shared" si="59"/>
        <v>865.91197796143263</v>
      </c>
      <c r="Y288">
        <f t="shared" si="60"/>
        <v>865.91197796143263</v>
      </c>
      <c r="AA288" s="27">
        <f t="shared" si="62"/>
        <v>1998</v>
      </c>
      <c r="AB288" s="26">
        <f t="shared" si="63"/>
        <v>-2.0264842078658307E-2</v>
      </c>
      <c r="AC288" s="7">
        <f t="shared" si="64"/>
        <v>-581745</v>
      </c>
    </row>
    <row r="289" spans="1:29" x14ac:dyDescent="0.2">
      <c r="A289" s="8">
        <f t="shared" si="68"/>
        <v>36099</v>
      </c>
      <c r="B289" s="17">
        <f t="shared" si="69"/>
        <v>1998</v>
      </c>
      <c r="C289" s="17">
        <f t="shared" si="70"/>
        <v>10</v>
      </c>
      <c r="F289" s="8"/>
      <c r="H289">
        <v>646545</v>
      </c>
      <c r="I289">
        <v>710638</v>
      </c>
      <c r="J289" s="19">
        <v>75.670964187327826</v>
      </c>
      <c r="K289" s="6">
        <f t="shared" si="53"/>
        <v>-64093</v>
      </c>
      <c r="L289" s="15">
        <f t="shared" si="54"/>
        <v>4.3263945226277336</v>
      </c>
      <c r="M289" s="16">
        <f t="shared" si="55"/>
        <v>-8.2944462091010251E-3</v>
      </c>
      <c r="N289" s="8">
        <f t="array" ref="N289">MAX(IF($B$4:$B$507=B289,$A$4:$A$507))</f>
        <v>36160</v>
      </c>
      <c r="O289" s="8">
        <f t="array" ref="O289">MIN(IF($B$4:$B$507=B289,$A$4:$A$507))</f>
        <v>35826</v>
      </c>
      <c r="P289" s="8">
        <f t="shared" si="71"/>
        <v>35734</v>
      </c>
      <c r="Q289" s="8">
        <f t="shared" si="72"/>
        <v>36099</v>
      </c>
      <c r="R289">
        <f t="shared" si="56"/>
        <v>75.670964187327826</v>
      </c>
      <c r="S289">
        <f t="shared" si="66"/>
        <v>82.675614325068892</v>
      </c>
      <c r="T289" s="20">
        <f t="shared" si="57"/>
        <v>-8.4724500627231691E-2</v>
      </c>
      <c r="U289" s="20">
        <f t="shared" si="67"/>
        <v>-1.9428258626988631E-2</v>
      </c>
      <c r="V289" s="18">
        <f t="shared" si="58"/>
        <v>-581745</v>
      </c>
      <c r="W289">
        <f t="shared" si="59"/>
        <v>865.91197796143263</v>
      </c>
      <c r="Y289">
        <f t="shared" si="60"/>
        <v>865.91197796143263</v>
      </c>
      <c r="AA289" s="27">
        <f t="shared" si="62"/>
        <v>1998</v>
      </c>
      <c r="AB289" s="26">
        <f t="shared" si="63"/>
        <v>-2.0264842078658307E-2</v>
      </c>
      <c r="AC289" s="7">
        <f t="shared" si="64"/>
        <v>-581745</v>
      </c>
    </row>
    <row r="290" spans="1:29" x14ac:dyDescent="0.2">
      <c r="A290" s="8">
        <f t="shared" si="68"/>
        <v>36129</v>
      </c>
      <c r="B290" s="17">
        <f t="shared" si="69"/>
        <v>1998</v>
      </c>
      <c r="C290" s="17">
        <f t="shared" si="70"/>
        <v>11</v>
      </c>
      <c r="F290" s="8"/>
      <c r="H290">
        <v>587825</v>
      </c>
      <c r="I290">
        <v>706237</v>
      </c>
      <c r="J290" s="19">
        <v>72.679228650137745</v>
      </c>
      <c r="K290" s="6">
        <f t="shared" si="53"/>
        <v>-118412</v>
      </c>
      <c r="L290" s="15">
        <f t="shared" si="54"/>
        <v>4.2860556305126236</v>
      </c>
      <c r="M290" s="16">
        <f t="shared" si="55"/>
        <v>-4.0338892115109992E-2</v>
      </c>
      <c r="N290" s="8">
        <f t="array" ref="N290">MAX(IF($B$4:$B$507=B290,$A$4:$A$507))</f>
        <v>36160</v>
      </c>
      <c r="O290" s="8">
        <f t="array" ref="O290">MIN(IF($B$4:$B$507=B290,$A$4:$A$507))</f>
        <v>35826</v>
      </c>
      <c r="P290" s="8">
        <f t="shared" si="71"/>
        <v>35764</v>
      </c>
      <c r="Q290" s="8">
        <f t="shared" si="72"/>
        <v>36129</v>
      </c>
      <c r="R290">
        <f t="shared" si="56"/>
        <v>72.679228650137745</v>
      </c>
      <c r="S290">
        <f t="shared" si="66"/>
        <v>74.107283746556504</v>
      </c>
      <c r="T290" s="20">
        <f t="shared" si="57"/>
        <v>-1.9270104424588541E-2</v>
      </c>
      <c r="U290" s="20">
        <f t="shared" si="67"/>
        <v>-1.9428258626988631E-2</v>
      </c>
      <c r="V290" s="18">
        <f t="shared" si="58"/>
        <v>-581745</v>
      </c>
      <c r="W290">
        <f t="shared" si="59"/>
        <v>865.91197796143263</v>
      </c>
      <c r="Y290">
        <f t="shared" si="60"/>
        <v>865.91197796143263</v>
      </c>
      <c r="AA290" s="27">
        <f t="shared" si="62"/>
        <v>1998</v>
      </c>
      <c r="AB290" s="26">
        <f t="shared" si="63"/>
        <v>-2.0264842078658307E-2</v>
      </c>
      <c r="AC290" s="7">
        <f t="shared" si="64"/>
        <v>-581745</v>
      </c>
    </row>
    <row r="291" spans="1:29" x14ac:dyDescent="0.2">
      <c r="A291" s="8">
        <f t="shared" si="68"/>
        <v>36160</v>
      </c>
      <c r="B291" s="17">
        <f t="shared" si="69"/>
        <v>1998</v>
      </c>
      <c r="C291" s="17">
        <f t="shared" si="70"/>
        <v>12</v>
      </c>
      <c r="F291" s="8"/>
      <c r="H291">
        <v>451597</v>
      </c>
      <c r="I291">
        <v>889355</v>
      </c>
      <c r="J291" s="19">
        <v>63.233322314049602</v>
      </c>
      <c r="K291" s="6">
        <f t="shared" si="53"/>
        <v>-437758</v>
      </c>
      <c r="L291" s="15">
        <f t="shared" si="54"/>
        <v>4.1468314140090001</v>
      </c>
      <c r="M291" s="16">
        <f t="shared" si="55"/>
        <v>-0.13922421650362349</v>
      </c>
      <c r="N291" s="8">
        <f t="array" ref="N291">MAX(IF($B$4:$B$507=B291,$A$4:$A$507))</f>
        <v>36160</v>
      </c>
      <c r="O291" s="8">
        <f t="array" ref="O291">MIN(IF($B$4:$B$507=B291,$A$4:$A$507))</f>
        <v>35826</v>
      </c>
      <c r="P291" s="8">
        <f t="shared" si="71"/>
        <v>35795</v>
      </c>
      <c r="Q291" s="8">
        <f t="shared" si="72"/>
        <v>36160</v>
      </c>
      <c r="R291">
        <f t="shared" si="56"/>
        <v>63.233322314049602</v>
      </c>
      <c r="S291">
        <f t="shared" si="66"/>
        <v>64.749134986225911</v>
      </c>
      <c r="T291" s="20">
        <f t="shared" si="57"/>
        <v>-2.3410547067520993E-2</v>
      </c>
      <c r="U291" s="20">
        <f t="shared" si="67"/>
        <v>-1.9428258626988631E-2</v>
      </c>
      <c r="V291" s="18">
        <f t="shared" si="58"/>
        <v>-581745</v>
      </c>
      <c r="W291">
        <f t="shared" si="59"/>
        <v>865.91197796143263</v>
      </c>
      <c r="Y291">
        <f t="shared" si="60"/>
        <v>865.91197796143263</v>
      </c>
      <c r="AA291" s="27">
        <f t="shared" si="62"/>
        <v>1998</v>
      </c>
      <c r="AB291" s="26">
        <f t="shared" si="63"/>
        <v>-2.0264842078658307E-2</v>
      </c>
      <c r="AC291" s="7">
        <f t="shared" si="64"/>
        <v>-581745</v>
      </c>
    </row>
    <row r="292" spans="1:29" x14ac:dyDescent="0.2">
      <c r="A292" s="8">
        <f t="shared" si="68"/>
        <v>36191</v>
      </c>
      <c r="B292" s="17">
        <f t="shared" si="69"/>
        <v>1999</v>
      </c>
      <c r="C292" s="17">
        <f t="shared" si="70"/>
        <v>1</v>
      </c>
      <c r="F292" s="8"/>
      <c r="H292">
        <v>637284</v>
      </c>
      <c r="I292">
        <v>678495</v>
      </c>
      <c r="J292" s="19">
        <v>62.283944903581272</v>
      </c>
      <c r="K292" s="6">
        <f t="shared" si="53"/>
        <v>-41211</v>
      </c>
      <c r="L292" s="15">
        <f t="shared" si="54"/>
        <v>4.1317036863789101</v>
      </c>
      <c r="M292" s="16">
        <f t="shared" si="55"/>
        <v>-1.5127727630090071E-2</v>
      </c>
      <c r="N292" s="8">
        <f t="array" ref="N292">MAX(IF($B$4:$B$507=B292,$A$4:$A$507))</f>
        <v>36525</v>
      </c>
      <c r="O292" s="8">
        <f t="array" ref="O292">MIN(IF($B$4:$B$507=B292,$A$4:$A$507))</f>
        <v>36191</v>
      </c>
      <c r="P292" s="8">
        <f t="shared" si="71"/>
        <v>35826</v>
      </c>
      <c r="Q292" s="8">
        <f t="shared" si="72"/>
        <v>36191</v>
      </c>
      <c r="R292">
        <f t="shared" si="56"/>
        <v>62.283944903581272</v>
      </c>
      <c r="S292">
        <f t="shared" si="66"/>
        <v>64.477884297520674</v>
      </c>
      <c r="T292" s="20">
        <f>R292/S292-1</f>
        <v>-3.4026231130908302E-2</v>
      </c>
      <c r="U292" s="20">
        <f t="shared" si="67"/>
        <v>-6.0710871066181242E-3</v>
      </c>
      <c r="V292" s="18">
        <f t="shared" si="58"/>
        <v>-222346</v>
      </c>
      <c r="W292">
        <f t="shared" si="59"/>
        <v>860.25560330578514</v>
      </c>
      <c r="Y292">
        <f t="shared" si="60"/>
        <v>860.25560330578514</v>
      </c>
      <c r="AA292" s="27">
        <f t="shared" si="62"/>
        <v>1999</v>
      </c>
      <c r="AB292" s="26">
        <f t="shared" si="63"/>
        <v>-6.5322744108055053E-3</v>
      </c>
      <c r="AC292" s="7">
        <f t="shared" si="64"/>
        <v>-222346</v>
      </c>
    </row>
    <row r="293" spans="1:29" x14ac:dyDescent="0.2">
      <c r="A293" s="8">
        <f t="shared" si="68"/>
        <v>36219</v>
      </c>
      <c r="B293" s="17">
        <f t="shared" si="69"/>
        <v>1999</v>
      </c>
      <c r="C293" s="17">
        <f t="shared" si="70"/>
        <v>2</v>
      </c>
      <c r="H293">
        <v>626611</v>
      </c>
      <c r="I293">
        <v>704641</v>
      </c>
      <c r="J293" s="19">
        <v>59.730997245179076</v>
      </c>
      <c r="K293" s="6">
        <f t="shared" si="53"/>
        <v>-78030</v>
      </c>
      <c r="L293" s="15">
        <f t="shared" si="54"/>
        <v>4.0898511024893045</v>
      </c>
      <c r="M293" s="16">
        <f t="shared" si="55"/>
        <v>-4.1852583889605555E-2</v>
      </c>
      <c r="N293" s="8">
        <f t="array" ref="N293">MAX(IF($B$4:$B$507=B293,$A$4:$A$507))</f>
        <v>36525</v>
      </c>
      <c r="O293" s="8">
        <f t="array" ref="O293">MIN(IF($B$4:$B$507=B293,$A$4:$A$507))</f>
        <v>36191</v>
      </c>
      <c r="P293" s="8">
        <f t="shared" si="71"/>
        <v>35854</v>
      </c>
      <c r="Q293" s="8">
        <f t="shared" si="72"/>
        <v>36219</v>
      </c>
      <c r="R293">
        <f t="shared" si="56"/>
        <v>59.730997245179076</v>
      </c>
      <c r="S293">
        <f t="shared" si="66"/>
        <v>62.818468319559244</v>
      </c>
      <c r="T293" s="20">
        <f t="shared" ref="T293:T356" si="73">R293/S293-1</f>
        <v>-4.9149098298196581E-2</v>
      </c>
      <c r="U293" s="20">
        <f t="shared" si="67"/>
        <v>-6.0710871066181242E-3</v>
      </c>
      <c r="V293" s="18">
        <f t="shared" si="58"/>
        <v>-222346</v>
      </c>
      <c r="W293">
        <f t="shared" si="59"/>
        <v>860.25560330578514</v>
      </c>
      <c r="Y293">
        <f t="shared" si="60"/>
        <v>860.25560330578514</v>
      </c>
      <c r="AA293" s="27">
        <f t="shared" si="62"/>
        <v>1999</v>
      </c>
      <c r="AB293" s="26">
        <f t="shared" si="63"/>
        <v>-6.5322744108055053E-3</v>
      </c>
      <c r="AC293" s="7">
        <f t="shared" si="64"/>
        <v>-222346</v>
      </c>
    </row>
    <row r="294" spans="1:29" x14ac:dyDescent="0.2">
      <c r="A294" s="8">
        <f t="shared" si="68"/>
        <v>36250</v>
      </c>
      <c r="B294" s="17">
        <f t="shared" si="69"/>
        <v>1999</v>
      </c>
      <c r="C294" s="17">
        <f t="shared" si="70"/>
        <v>3</v>
      </c>
      <c r="D294" s="8"/>
      <c r="H294">
        <v>729891</v>
      </c>
      <c r="I294">
        <v>806203</v>
      </c>
      <c r="J294" s="19">
        <v>71.147460055096431</v>
      </c>
      <c r="K294" s="6">
        <f t="shared" si="53"/>
        <v>-76312</v>
      </c>
      <c r="L294" s="15">
        <f t="shared" si="54"/>
        <v>4.2647546254460416</v>
      </c>
      <c r="M294" s="16">
        <f t="shared" si="55"/>
        <v>0.17490352295673706</v>
      </c>
      <c r="N294" s="8">
        <f t="array" ref="N294">MAX(IF($B$4:$B$507=B294,$A$4:$A$507))</f>
        <v>36525</v>
      </c>
      <c r="O294" s="8">
        <f t="array" ref="O294">MIN(IF($B$4:$B$507=B294,$A$4:$A$507))</f>
        <v>36191</v>
      </c>
      <c r="P294" s="8">
        <f t="shared" si="71"/>
        <v>35885</v>
      </c>
      <c r="Q294" s="8">
        <f t="shared" si="72"/>
        <v>36250</v>
      </c>
      <c r="R294">
        <f t="shared" si="56"/>
        <v>71.147460055096431</v>
      </c>
      <c r="S294">
        <f t="shared" si="66"/>
        <v>73.133972451790655</v>
      </c>
      <c r="T294" s="20">
        <f t="shared" si="73"/>
        <v>-2.7162648630958963E-2</v>
      </c>
      <c r="U294" s="20">
        <f t="shared" si="67"/>
        <v>-6.0710871066181242E-3</v>
      </c>
      <c r="V294" s="18">
        <f t="shared" si="58"/>
        <v>-222346</v>
      </c>
      <c r="W294">
        <f t="shared" si="59"/>
        <v>860.25560330578514</v>
      </c>
      <c r="Y294">
        <f t="shared" si="60"/>
        <v>860.25560330578514</v>
      </c>
      <c r="AA294" s="27">
        <f t="shared" si="62"/>
        <v>1999</v>
      </c>
      <c r="AB294" s="26">
        <f t="shared" si="63"/>
        <v>-6.5322744108055053E-3</v>
      </c>
      <c r="AC294" s="7">
        <f t="shared" si="64"/>
        <v>-222346</v>
      </c>
    </row>
    <row r="295" spans="1:29" x14ac:dyDescent="0.2">
      <c r="A295" s="8">
        <f>EOMONTH(A296,-1)</f>
        <v>36280</v>
      </c>
      <c r="B295" s="17">
        <f t="shared" si="69"/>
        <v>1999</v>
      </c>
      <c r="C295" s="17">
        <f t="shared" si="70"/>
        <v>4</v>
      </c>
      <c r="D295" s="8"/>
      <c r="F295" s="7">
        <v>732704</v>
      </c>
      <c r="G295" s="7">
        <v>635522</v>
      </c>
      <c r="H295">
        <v>726800</v>
      </c>
      <c r="I295">
        <v>669257</v>
      </c>
      <c r="J295" s="19">
        <v>68.570578512396693</v>
      </c>
      <c r="K295" s="6">
        <f t="shared" si="53"/>
        <v>97182</v>
      </c>
      <c r="L295" s="15">
        <f t="shared" si="54"/>
        <v>4.227863558075569</v>
      </c>
      <c r="M295" s="16">
        <f t="shared" si="55"/>
        <v>-3.6891067370472541E-2</v>
      </c>
      <c r="N295" s="8">
        <f t="array" ref="N295">MAX(IF($B$4:$B$507=B295,$A$4:$A$507))</f>
        <v>36525</v>
      </c>
      <c r="O295" s="8">
        <f t="array" ref="O295">MIN(IF($B$4:$B$507=B295,$A$4:$A$507))</f>
        <v>36191</v>
      </c>
      <c r="P295" s="8">
        <f t="shared" si="71"/>
        <v>35915</v>
      </c>
      <c r="Q295" s="8">
        <f t="shared" si="72"/>
        <v>36280</v>
      </c>
      <c r="R295">
        <f t="shared" si="56"/>
        <v>68.570578512396693</v>
      </c>
      <c r="S295">
        <f t="shared" si="66"/>
        <v>70.357641873278254</v>
      </c>
      <c r="T295" s="20">
        <f t="shared" si="73"/>
        <v>-2.5399705181993637E-2</v>
      </c>
      <c r="U295" s="20">
        <f t="shared" si="67"/>
        <v>-6.0710871066181242E-3</v>
      </c>
      <c r="V295" s="18">
        <f t="shared" si="58"/>
        <v>-222346</v>
      </c>
      <c r="W295">
        <f t="shared" si="59"/>
        <v>860.25560330578514</v>
      </c>
      <c r="Y295">
        <f t="shared" si="60"/>
        <v>860.25560330578514</v>
      </c>
      <c r="AA295" s="27">
        <f t="shared" si="62"/>
        <v>1999</v>
      </c>
      <c r="AB295" s="26">
        <f t="shared" si="63"/>
        <v>-6.5322744108055053E-3</v>
      </c>
      <c r="AC295" s="7">
        <f t="shared" si="64"/>
        <v>-222346</v>
      </c>
    </row>
    <row r="296" spans="1:29" x14ac:dyDescent="0.2">
      <c r="A296" s="8">
        <v>36311</v>
      </c>
      <c r="B296" s="17">
        <f>YEAR(A296)</f>
        <v>1999</v>
      </c>
      <c r="C296" s="17">
        <f>MONTH(A296)</f>
        <v>5</v>
      </c>
      <c r="D296" s="8"/>
      <c r="F296" s="7">
        <v>731238</v>
      </c>
      <c r="G296" s="7">
        <v>673129</v>
      </c>
      <c r="H296" s="7">
        <v>732704</v>
      </c>
      <c r="I296">
        <v>635522</v>
      </c>
      <c r="J296" s="19">
        <v>73.237685950413223</v>
      </c>
      <c r="K296" s="6">
        <f t="shared" si="53"/>
        <v>58109</v>
      </c>
      <c r="L296" s="15">
        <f>LN(J296)</f>
        <v>4.2937101238731552</v>
      </c>
      <c r="M296" s="16">
        <f t="shared" si="55"/>
        <v>6.5846565797586187E-2</v>
      </c>
      <c r="N296" s="8">
        <f t="array" ref="N296">MAX(IF($B$4:$B$507=B296,$A$4:$A$507))</f>
        <v>36525</v>
      </c>
      <c r="O296" s="8">
        <f t="array" ref="O296">MIN(IF($B$4:$B$507=B296,$A$4:$A$507))</f>
        <v>36191</v>
      </c>
      <c r="P296" s="8">
        <f t="shared" si="71"/>
        <v>35946</v>
      </c>
      <c r="Q296" s="8">
        <f t="shared" si="72"/>
        <v>36311</v>
      </c>
      <c r="R296">
        <f t="shared" si="56"/>
        <v>73.237685950413223</v>
      </c>
      <c r="S296">
        <f t="shared" si="66"/>
        <v>75.519382920110203</v>
      </c>
      <c r="T296" s="20">
        <f t="shared" si="73"/>
        <v>-3.0213395309528934E-2</v>
      </c>
      <c r="U296" s="20">
        <f t="shared" si="67"/>
        <v>-6.0710871066181242E-3</v>
      </c>
      <c r="V296" s="18">
        <f t="shared" si="58"/>
        <v>-222346</v>
      </c>
      <c r="W296">
        <f t="shared" si="59"/>
        <v>860.25560330578514</v>
      </c>
      <c r="Y296">
        <f t="shared" si="60"/>
        <v>860.25560330578514</v>
      </c>
      <c r="AA296" s="27">
        <f t="shared" si="62"/>
        <v>1999</v>
      </c>
      <c r="AB296" s="26">
        <f t="shared" si="63"/>
        <v>-6.5322744108055053E-3</v>
      </c>
      <c r="AC296" s="7">
        <f t="shared" si="64"/>
        <v>-222346</v>
      </c>
    </row>
    <row r="297" spans="1:29" x14ac:dyDescent="0.2">
      <c r="A297" s="8">
        <f>EOMONTH(A296,1)</f>
        <v>36341</v>
      </c>
      <c r="B297" s="17">
        <f t="shared" ref="B297:B360" si="74">YEAR(A297)</f>
        <v>1999</v>
      </c>
      <c r="C297" s="17">
        <f t="shared" ref="C297:C360" si="75">MONTH(A297)</f>
        <v>6</v>
      </c>
      <c r="D297" s="8"/>
      <c r="F297" s="7">
        <v>685905</v>
      </c>
      <c r="G297" s="7">
        <v>677848</v>
      </c>
      <c r="H297" s="7">
        <v>731238</v>
      </c>
      <c r="I297">
        <v>673129</v>
      </c>
      <c r="J297" s="19">
        <v>73.221730027548219</v>
      </c>
      <c r="K297" s="6">
        <f t="shared" ref="K297:K360" si="76">IF(AND(ISNUMBER(D297),ISNUMBER(E297)),D297-E297,IF(AND(ISNUMBER(F297),ISNUMBER(G297)),F297-G297,H297-I297))</f>
        <v>8057</v>
      </c>
      <c r="L297" s="15">
        <f t="shared" ref="L297:L360" si="77">LN(J297)</f>
        <v>4.2934922352133977</v>
      </c>
      <c r="M297" s="16">
        <f t="shared" ref="M297" si="78">L297-L296</f>
        <v>-2.1788865975747029E-4</v>
      </c>
      <c r="N297" s="8">
        <f t="array" ref="N297">MAX(IF($B$4:$B$507=B297,$A$4:$A$507))</f>
        <v>36525</v>
      </c>
      <c r="O297" s="8">
        <f t="array" ref="O297">MIN(IF($B$4:$B$507=B297,$A$4:$A$507))</f>
        <v>36191</v>
      </c>
      <c r="P297" s="8">
        <f t="shared" si="71"/>
        <v>35976</v>
      </c>
      <c r="Q297" s="8">
        <f t="shared" si="72"/>
        <v>36341</v>
      </c>
      <c r="R297">
        <f t="shared" ref="R297:R360" si="79">VLOOKUP(Q297,$A$232:$L$507,$J$1,FALSE)</f>
        <v>73.221730027548219</v>
      </c>
      <c r="S297">
        <f t="shared" si="66"/>
        <v>75.511404958677701</v>
      </c>
      <c r="T297" s="20">
        <f t="shared" si="73"/>
        <v>-3.0322239830956277E-2</v>
      </c>
      <c r="U297" s="20">
        <f t="shared" si="67"/>
        <v>-6.0710871066181242E-3</v>
      </c>
      <c r="V297" s="18">
        <f t="shared" ref="V297:V360" si="80">SUMIF($B$232:$B$507,B297,$K$232:$K$507)</f>
        <v>-222346</v>
      </c>
      <c r="W297">
        <f t="shared" ref="W297:W360" si="81">SUMIF($B$232:$B$507,B297,$J$232:$J$507)</f>
        <v>860.25560330578514</v>
      </c>
      <c r="Y297">
        <f t="shared" ref="Y297:Y360" si="82">SUMIF($B$4:$B$507,B297,$J$4:$J$507)</f>
        <v>860.25560330578514</v>
      </c>
      <c r="AA297" s="27">
        <f t="shared" si="62"/>
        <v>1999</v>
      </c>
      <c r="AB297" s="26">
        <f t="shared" si="63"/>
        <v>-6.5322744108055053E-3</v>
      </c>
      <c r="AC297" s="7">
        <f t="shared" si="64"/>
        <v>-222346</v>
      </c>
    </row>
    <row r="298" spans="1:29" x14ac:dyDescent="0.2">
      <c r="A298" s="8">
        <f t="shared" ref="A298:A361" si="83">EOMONTH(A297,1)</f>
        <v>36372</v>
      </c>
      <c r="B298" s="17">
        <f t="shared" si="74"/>
        <v>1999</v>
      </c>
      <c r="C298" s="17">
        <f t="shared" si="75"/>
        <v>7</v>
      </c>
      <c r="D298" s="8"/>
      <c r="F298" s="7">
        <v>690144</v>
      </c>
      <c r="G298" s="7">
        <v>676838</v>
      </c>
      <c r="H298" s="7">
        <v>685905</v>
      </c>
      <c r="I298">
        <v>677848</v>
      </c>
      <c r="J298" s="19">
        <v>74.857212121212115</v>
      </c>
      <c r="K298" s="6">
        <f t="shared" si="76"/>
        <v>13306</v>
      </c>
      <c r="L298" s="15">
        <f t="shared" si="77"/>
        <v>4.3155824605486686</v>
      </c>
      <c r="M298" s="16">
        <f t="shared" ref="M298:M361" si="84">L298-L297</f>
        <v>2.209022533527083E-2</v>
      </c>
      <c r="N298" s="8">
        <f t="array" ref="N298">MAX(IF($B$4:$B$507=B298,$A$4:$A$507))</f>
        <v>36525</v>
      </c>
      <c r="O298" s="8">
        <f t="array" ref="O298">MIN(IF($B$4:$B$507=B298,$A$4:$A$507))</f>
        <v>36191</v>
      </c>
      <c r="P298" s="8">
        <f t="shared" si="71"/>
        <v>36007</v>
      </c>
      <c r="Q298" s="8">
        <f t="shared" si="72"/>
        <v>36372</v>
      </c>
      <c r="R298">
        <f t="shared" si="79"/>
        <v>74.857212121212115</v>
      </c>
      <c r="S298">
        <f t="shared" si="66"/>
        <v>78.8701267217631</v>
      </c>
      <c r="T298" s="20">
        <f t="shared" si="73"/>
        <v>-5.0880032369006956E-2</v>
      </c>
      <c r="U298" s="20">
        <f t="shared" si="67"/>
        <v>-6.0710871066181242E-3</v>
      </c>
      <c r="V298" s="18">
        <f t="shared" si="80"/>
        <v>-222346</v>
      </c>
      <c r="W298">
        <f t="shared" si="81"/>
        <v>860.25560330578514</v>
      </c>
      <c r="Y298">
        <f t="shared" si="82"/>
        <v>860.25560330578514</v>
      </c>
      <c r="AA298" s="27">
        <f t="shared" si="62"/>
        <v>1999</v>
      </c>
      <c r="AB298" s="26">
        <f t="shared" si="63"/>
        <v>-6.5322744108055053E-3</v>
      </c>
      <c r="AC298" s="7">
        <f t="shared" si="64"/>
        <v>-222346</v>
      </c>
    </row>
    <row r="299" spans="1:29" x14ac:dyDescent="0.2">
      <c r="A299" s="8">
        <f t="shared" si="83"/>
        <v>36403</v>
      </c>
      <c r="B299" s="17">
        <f t="shared" si="74"/>
        <v>1999</v>
      </c>
      <c r="C299" s="17">
        <f t="shared" si="75"/>
        <v>8</v>
      </c>
      <c r="D299" s="8"/>
      <c r="F299" s="7">
        <v>698632</v>
      </c>
      <c r="G299" s="7">
        <v>691425</v>
      </c>
      <c r="H299" s="7">
        <v>690144</v>
      </c>
      <c r="I299">
        <v>676838</v>
      </c>
      <c r="J299" s="19">
        <v>77.529829201101933</v>
      </c>
      <c r="K299" s="6">
        <f t="shared" si="76"/>
        <v>7207</v>
      </c>
      <c r="L299" s="15">
        <f t="shared" si="77"/>
        <v>4.3506627552244677</v>
      </c>
      <c r="M299" s="16">
        <f t="shared" si="84"/>
        <v>3.5080294675799095E-2</v>
      </c>
      <c r="N299" s="8">
        <f t="array" ref="N299">MAX(IF($B$4:$B$507=B299,$A$4:$A$507))</f>
        <v>36525</v>
      </c>
      <c r="O299" s="8">
        <f t="array" ref="O299">MIN(IF($B$4:$B$507=B299,$A$4:$A$507))</f>
        <v>36191</v>
      </c>
      <c r="P299" s="8">
        <f t="shared" si="71"/>
        <v>36038</v>
      </c>
      <c r="Q299" s="8">
        <f t="shared" si="72"/>
        <v>36403</v>
      </c>
      <c r="R299">
        <f t="shared" si="79"/>
        <v>77.529829201101933</v>
      </c>
      <c r="S299">
        <f t="shared" si="66"/>
        <v>77.338358126721772</v>
      </c>
      <c r="T299" s="20">
        <f t="shared" si="73"/>
        <v>2.4757582009489187E-3</v>
      </c>
      <c r="U299" s="20">
        <f t="shared" si="67"/>
        <v>-6.0710871066181242E-3</v>
      </c>
      <c r="V299" s="18">
        <f t="shared" si="80"/>
        <v>-222346</v>
      </c>
      <c r="W299">
        <f t="shared" si="81"/>
        <v>860.25560330578514</v>
      </c>
      <c r="Y299">
        <f t="shared" si="82"/>
        <v>860.25560330578514</v>
      </c>
      <c r="AA299" s="27">
        <f t="shared" si="62"/>
        <v>1999</v>
      </c>
      <c r="AB299" s="26">
        <f t="shared" si="63"/>
        <v>-6.5322744108055053E-3</v>
      </c>
      <c r="AC299" s="7">
        <f t="shared" si="64"/>
        <v>-222346</v>
      </c>
    </row>
    <row r="300" spans="1:29" x14ac:dyDescent="0.2">
      <c r="A300" s="8">
        <f t="shared" si="83"/>
        <v>36433</v>
      </c>
      <c r="B300" s="17">
        <f t="shared" si="74"/>
        <v>1999</v>
      </c>
      <c r="C300" s="17">
        <f t="shared" si="75"/>
        <v>9</v>
      </c>
      <c r="D300" s="8"/>
      <c r="F300" s="7">
        <v>687788</v>
      </c>
      <c r="G300" s="7">
        <v>670349</v>
      </c>
      <c r="H300" s="7">
        <v>698632</v>
      </c>
      <c r="I300">
        <v>691425</v>
      </c>
      <c r="J300" s="19">
        <v>76.6841652892562</v>
      </c>
      <c r="K300" s="6">
        <f t="shared" si="76"/>
        <v>17439</v>
      </c>
      <c r="L300" s="15">
        <f t="shared" si="77"/>
        <v>4.3396952371149791</v>
      </c>
      <c r="M300" s="16">
        <f t="shared" si="84"/>
        <v>-1.0967518109488594E-2</v>
      </c>
      <c r="N300" s="8">
        <f t="array" ref="N300">MAX(IF($B$4:$B$507=B300,$A$4:$A$507))</f>
        <v>36525</v>
      </c>
      <c r="O300" s="8">
        <f t="array" ref="O300">MIN(IF($B$4:$B$507=B300,$A$4:$A$507))</f>
        <v>36191</v>
      </c>
      <c r="P300" s="8">
        <f t="shared" si="71"/>
        <v>36068</v>
      </c>
      <c r="Q300" s="8">
        <f t="shared" si="72"/>
        <v>36433</v>
      </c>
      <c r="R300">
        <f t="shared" si="79"/>
        <v>76.6841652892562</v>
      </c>
      <c r="S300">
        <f t="shared" si="66"/>
        <v>76.301223140495878</v>
      </c>
      <c r="T300" s="20">
        <f t="shared" si="73"/>
        <v>5.0188205771641847E-3</v>
      </c>
      <c r="U300" s="20">
        <f t="shared" si="67"/>
        <v>-6.0710871066181242E-3</v>
      </c>
      <c r="V300" s="18">
        <f t="shared" si="80"/>
        <v>-222346</v>
      </c>
      <c r="W300">
        <f t="shared" si="81"/>
        <v>860.25560330578514</v>
      </c>
      <c r="Y300">
        <f t="shared" si="82"/>
        <v>860.25560330578514</v>
      </c>
      <c r="AA300" s="27">
        <f t="shared" si="62"/>
        <v>1999</v>
      </c>
      <c r="AB300" s="26">
        <f t="shared" si="63"/>
        <v>-6.5322744108055053E-3</v>
      </c>
      <c r="AC300" s="7">
        <f t="shared" si="64"/>
        <v>-222346</v>
      </c>
    </row>
    <row r="301" spans="1:29" x14ac:dyDescent="0.2">
      <c r="A301" s="8">
        <f t="shared" si="83"/>
        <v>36464</v>
      </c>
      <c r="B301" s="17">
        <f t="shared" si="74"/>
        <v>1999</v>
      </c>
      <c r="C301" s="17">
        <f t="shared" si="75"/>
        <v>10</v>
      </c>
      <c r="D301" s="8"/>
      <c r="F301" s="7">
        <v>686902</v>
      </c>
      <c r="G301" s="7">
        <v>703072</v>
      </c>
      <c r="H301" s="7">
        <v>687788</v>
      </c>
      <c r="I301">
        <v>670349</v>
      </c>
      <c r="J301" s="19">
        <v>78.088286501377411</v>
      </c>
      <c r="K301" s="6">
        <f t="shared" si="76"/>
        <v>-16170</v>
      </c>
      <c r="L301" s="15">
        <f t="shared" si="77"/>
        <v>4.3578400648211817</v>
      </c>
      <c r="M301" s="16">
        <f t="shared" si="84"/>
        <v>1.8144827706202626E-2</v>
      </c>
      <c r="N301" s="8">
        <f t="array" ref="N301">MAX(IF($B$4:$B$507=B301,$A$4:$A$507))</f>
        <v>36525</v>
      </c>
      <c r="O301" s="8">
        <f t="array" ref="O301">MIN(IF($B$4:$B$507=B301,$A$4:$A$507))</f>
        <v>36191</v>
      </c>
      <c r="P301" s="8">
        <f t="shared" si="71"/>
        <v>36099</v>
      </c>
      <c r="Q301" s="8">
        <f t="shared" si="72"/>
        <v>36464</v>
      </c>
      <c r="R301">
        <f t="shared" si="79"/>
        <v>78.088286501377411</v>
      </c>
      <c r="S301">
        <f t="shared" si="66"/>
        <v>75.670964187327826</v>
      </c>
      <c r="T301" s="20">
        <f t="shared" si="73"/>
        <v>3.1945176594623037E-2</v>
      </c>
      <c r="U301" s="20">
        <f t="shared" si="67"/>
        <v>-6.0710871066181242E-3</v>
      </c>
      <c r="V301" s="18">
        <f t="shared" si="80"/>
        <v>-222346</v>
      </c>
      <c r="W301">
        <f t="shared" si="81"/>
        <v>860.25560330578514</v>
      </c>
      <c r="Y301">
        <f t="shared" si="82"/>
        <v>860.25560330578514</v>
      </c>
      <c r="AA301" s="27">
        <f t="shared" si="62"/>
        <v>1999</v>
      </c>
      <c r="AB301" s="26">
        <f t="shared" si="63"/>
        <v>-6.5322744108055053E-3</v>
      </c>
      <c r="AC301" s="7">
        <f t="shared" si="64"/>
        <v>-222346</v>
      </c>
    </row>
    <row r="302" spans="1:29" x14ac:dyDescent="0.2">
      <c r="A302" s="8">
        <f t="shared" si="83"/>
        <v>36494</v>
      </c>
      <c r="B302" s="17">
        <f t="shared" si="74"/>
        <v>1999</v>
      </c>
      <c r="C302" s="17">
        <f t="shared" si="75"/>
        <v>11</v>
      </c>
      <c r="D302" s="8"/>
      <c r="F302" s="7">
        <v>547526</v>
      </c>
      <c r="G302" s="7">
        <v>790647</v>
      </c>
      <c r="H302" s="7">
        <v>686902</v>
      </c>
      <c r="I302">
        <v>703072</v>
      </c>
      <c r="J302" s="19">
        <v>76.245377410468322</v>
      </c>
      <c r="K302" s="6">
        <f t="shared" si="76"/>
        <v>-243121</v>
      </c>
      <c r="L302" s="15">
        <f t="shared" si="77"/>
        <v>4.333956789524799</v>
      </c>
      <c r="M302" s="16">
        <f t="shared" si="84"/>
        <v>-2.3883275296382678E-2</v>
      </c>
      <c r="N302" s="8">
        <f t="array" ref="N302">MAX(IF($B$4:$B$507=B302,$A$4:$A$507))</f>
        <v>36525</v>
      </c>
      <c r="O302" s="8">
        <f t="array" ref="O302">MIN(IF($B$4:$B$507=B302,$A$4:$A$507))</f>
        <v>36191</v>
      </c>
      <c r="P302" s="8">
        <f t="shared" si="71"/>
        <v>36129</v>
      </c>
      <c r="Q302" s="8">
        <f t="shared" si="72"/>
        <v>36494</v>
      </c>
      <c r="R302">
        <f t="shared" si="79"/>
        <v>76.245377410468322</v>
      </c>
      <c r="S302">
        <f t="shared" si="66"/>
        <v>72.679228650137745</v>
      </c>
      <c r="T302" s="20">
        <f t="shared" si="73"/>
        <v>4.906695938529082E-2</v>
      </c>
      <c r="U302" s="20">
        <f t="shared" si="67"/>
        <v>-6.0710871066181242E-3</v>
      </c>
      <c r="V302" s="18">
        <f t="shared" si="80"/>
        <v>-222346</v>
      </c>
      <c r="W302">
        <f t="shared" si="81"/>
        <v>860.25560330578514</v>
      </c>
      <c r="Y302">
        <f t="shared" si="82"/>
        <v>860.25560330578514</v>
      </c>
      <c r="AA302" s="27">
        <f t="shared" si="62"/>
        <v>1999</v>
      </c>
      <c r="AB302" s="26">
        <f t="shared" si="63"/>
        <v>-6.5322744108055053E-3</v>
      </c>
      <c r="AC302" s="7">
        <f t="shared" si="64"/>
        <v>-222346</v>
      </c>
    </row>
    <row r="303" spans="1:29" x14ac:dyDescent="0.2">
      <c r="A303" s="8">
        <f t="shared" si="83"/>
        <v>36525</v>
      </c>
      <c r="B303" s="17">
        <f t="shared" si="74"/>
        <v>1999</v>
      </c>
      <c r="C303" s="17">
        <f t="shared" si="75"/>
        <v>12</v>
      </c>
      <c r="D303" s="8"/>
      <c r="F303" s="7">
        <v>757207</v>
      </c>
      <c r="G303" s="7">
        <v>726009</v>
      </c>
      <c r="H303" s="7">
        <v>547526</v>
      </c>
      <c r="I303">
        <v>790647</v>
      </c>
      <c r="J303" s="19">
        <v>68.658336088154272</v>
      </c>
      <c r="K303" s="6">
        <f t="shared" si="76"/>
        <v>31198</v>
      </c>
      <c r="L303" s="15">
        <f t="shared" si="77"/>
        <v>4.2291425536571641</v>
      </c>
      <c r="M303" s="16">
        <f t="shared" si="84"/>
        <v>-0.10481423586763494</v>
      </c>
      <c r="N303" s="8">
        <f t="array" ref="N303">MAX(IF($B$4:$B$507=B303,$A$4:$A$507))</f>
        <v>36525</v>
      </c>
      <c r="O303" s="8">
        <f t="array" ref="O303">MIN(IF($B$4:$B$507=B303,$A$4:$A$507))</f>
        <v>36191</v>
      </c>
      <c r="P303" s="8">
        <f t="shared" si="71"/>
        <v>36160</v>
      </c>
      <c r="Q303" s="8">
        <f t="shared" si="72"/>
        <v>36525</v>
      </c>
      <c r="R303">
        <f t="shared" si="79"/>
        <v>68.658336088154272</v>
      </c>
      <c r="S303">
        <f t="shared" si="66"/>
        <v>63.233322314049602</v>
      </c>
      <c r="T303" s="20">
        <f t="shared" si="73"/>
        <v>8.5793590714105195E-2</v>
      </c>
      <c r="U303" s="20">
        <f t="shared" si="67"/>
        <v>-6.0710871066181242E-3</v>
      </c>
      <c r="V303" s="18">
        <f t="shared" si="80"/>
        <v>-222346</v>
      </c>
      <c r="W303">
        <f t="shared" si="81"/>
        <v>860.25560330578514</v>
      </c>
      <c r="Y303">
        <f t="shared" si="82"/>
        <v>860.25560330578514</v>
      </c>
      <c r="AA303" s="27">
        <f t="shared" si="62"/>
        <v>1999</v>
      </c>
      <c r="AB303" s="26">
        <f t="shared" si="63"/>
        <v>-6.5322744108055053E-3</v>
      </c>
      <c r="AC303" s="7">
        <f t="shared" si="64"/>
        <v>-222346</v>
      </c>
    </row>
    <row r="304" spans="1:29" x14ac:dyDescent="0.2">
      <c r="A304" s="8">
        <f t="shared" si="83"/>
        <v>36556</v>
      </c>
      <c r="B304" s="17">
        <f t="shared" si="74"/>
        <v>2000</v>
      </c>
      <c r="C304" s="17">
        <f t="shared" si="75"/>
        <v>1</v>
      </c>
      <c r="D304" s="8"/>
      <c r="F304" s="7">
        <v>804926</v>
      </c>
      <c r="G304" s="7">
        <v>716751</v>
      </c>
      <c r="H304" s="7">
        <v>757207</v>
      </c>
      <c r="I304">
        <v>726009</v>
      </c>
      <c r="J304" s="19">
        <v>65.331526170798895</v>
      </c>
      <c r="K304" s="6">
        <f t="shared" si="76"/>
        <v>88175</v>
      </c>
      <c r="L304" s="15">
        <f t="shared" si="77"/>
        <v>4.1794747095288072</v>
      </c>
      <c r="M304" s="16">
        <f t="shared" si="84"/>
        <v>-4.9667844128356897E-2</v>
      </c>
      <c r="N304" s="8">
        <f t="array" ref="N304">MAX(IF($B$4:$B$507=B304,$A$4:$A$507))</f>
        <v>36891</v>
      </c>
      <c r="O304" s="8">
        <f t="array" ref="O304">MIN(IF($B$4:$B$507=B304,$A$4:$A$507))</f>
        <v>36556</v>
      </c>
      <c r="P304" s="8">
        <f t="shared" si="71"/>
        <v>36191</v>
      </c>
      <c r="Q304" s="8">
        <f t="shared" si="72"/>
        <v>36556</v>
      </c>
      <c r="R304">
        <f t="shared" si="79"/>
        <v>65.331526170798895</v>
      </c>
      <c r="S304">
        <f t="shared" si="66"/>
        <v>62.283944903581272</v>
      </c>
      <c r="T304" s="20">
        <f t="shared" si="73"/>
        <v>4.8930447034712277E-2</v>
      </c>
      <c r="U304" s="20">
        <f t="shared" si="67"/>
        <v>6.7490971959408966E-2</v>
      </c>
      <c r="V304" s="18">
        <f t="shared" si="80"/>
        <v>675194</v>
      </c>
      <c r="W304">
        <f t="shared" si="81"/>
        <v>917.37780716253451</v>
      </c>
      <c r="Y304">
        <f t="shared" si="82"/>
        <v>917.37780716253451</v>
      </c>
      <c r="AA304" s="27">
        <f t="shared" si="62"/>
        <v>2000</v>
      </c>
      <c r="AB304" s="26">
        <f t="shared" si="63"/>
        <v>6.640143189679959E-2</v>
      </c>
      <c r="AC304" s="7">
        <f t="shared" si="64"/>
        <v>675194</v>
      </c>
    </row>
    <row r="305" spans="1:29" x14ac:dyDescent="0.2">
      <c r="A305" s="8">
        <f t="shared" si="83"/>
        <v>36585</v>
      </c>
      <c r="B305" s="17">
        <f t="shared" si="74"/>
        <v>2000</v>
      </c>
      <c r="C305" s="17">
        <f t="shared" si="75"/>
        <v>2</v>
      </c>
      <c r="D305" s="8"/>
      <c r="F305" s="7">
        <v>799441</v>
      </c>
      <c r="G305" s="7">
        <v>759494</v>
      </c>
      <c r="H305" s="7">
        <v>804926</v>
      </c>
      <c r="I305">
        <v>716751</v>
      </c>
      <c r="J305" s="19">
        <v>69.248705234159772</v>
      </c>
      <c r="K305" s="6">
        <f t="shared" si="76"/>
        <v>39947</v>
      </c>
      <c r="L305" s="15">
        <f t="shared" si="77"/>
        <v>4.237704447913015</v>
      </c>
      <c r="M305" s="16">
        <f t="shared" si="84"/>
        <v>5.8229738384207863E-2</v>
      </c>
      <c r="N305" s="8">
        <f t="array" ref="N305">MAX(IF($B$4:$B$507=B305,$A$4:$A$507))</f>
        <v>36891</v>
      </c>
      <c r="O305" s="8">
        <f t="array" ref="O305">MIN(IF($B$4:$B$507=B305,$A$4:$A$507))</f>
        <v>36556</v>
      </c>
      <c r="P305" s="8">
        <f t="shared" si="71"/>
        <v>36219</v>
      </c>
      <c r="Q305" s="8">
        <f t="shared" si="72"/>
        <v>36585</v>
      </c>
      <c r="R305">
        <f t="shared" si="79"/>
        <v>69.248705234159772</v>
      </c>
      <c r="S305">
        <f t="shared" si="66"/>
        <v>59.730997245179076</v>
      </c>
      <c r="T305" s="20">
        <f t="shared" si="73"/>
        <v>0.1593428609589953</v>
      </c>
      <c r="U305" s="20">
        <f t="shared" si="67"/>
        <v>6.7490971959408966E-2</v>
      </c>
      <c r="V305" s="18">
        <f t="shared" si="80"/>
        <v>675194</v>
      </c>
      <c r="W305">
        <f t="shared" si="81"/>
        <v>917.37780716253451</v>
      </c>
      <c r="Y305">
        <f t="shared" si="82"/>
        <v>917.37780716253451</v>
      </c>
      <c r="AA305" s="27">
        <f t="shared" si="62"/>
        <v>2000</v>
      </c>
      <c r="AB305" s="26">
        <f t="shared" si="63"/>
        <v>6.640143189679959E-2</v>
      </c>
      <c r="AC305" s="7">
        <f t="shared" si="64"/>
        <v>675194</v>
      </c>
    </row>
    <row r="306" spans="1:29" x14ac:dyDescent="0.2">
      <c r="A306" s="8">
        <f t="shared" si="83"/>
        <v>36616</v>
      </c>
      <c r="B306" s="17">
        <f t="shared" si="74"/>
        <v>2000</v>
      </c>
      <c r="C306" s="17">
        <f t="shared" si="75"/>
        <v>3</v>
      </c>
      <c r="D306" s="8"/>
      <c r="F306" s="7">
        <v>784055</v>
      </c>
      <c r="G306" s="7">
        <v>658984</v>
      </c>
      <c r="H306" s="7">
        <v>799441</v>
      </c>
      <c r="I306">
        <v>759494</v>
      </c>
      <c r="J306" s="19">
        <v>73.987614325068861</v>
      </c>
      <c r="K306" s="6">
        <f t="shared" si="76"/>
        <v>125071</v>
      </c>
      <c r="L306" s="15">
        <f t="shared" si="77"/>
        <v>4.3038977052100256</v>
      </c>
      <c r="M306" s="16">
        <f t="shared" si="84"/>
        <v>6.6193257297010533E-2</v>
      </c>
      <c r="N306" s="8">
        <f t="array" ref="N306">MAX(IF($B$4:$B$507=B306,$A$4:$A$507))</f>
        <v>36891</v>
      </c>
      <c r="O306" s="8">
        <f t="array" ref="O306">MIN(IF($B$4:$B$507=B306,$A$4:$A$507))</f>
        <v>36556</v>
      </c>
      <c r="P306" s="8">
        <f t="shared" si="71"/>
        <v>36250</v>
      </c>
      <c r="Q306" s="8">
        <f t="shared" si="72"/>
        <v>36616</v>
      </c>
      <c r="R306">
        <f t="shared" si="79"/>
        <v>73.987614325068861</v>
      </c>
      <c r="S306">
        <f t="shared" si="66"/>
        <v>71.147460055096431</v>
      </c>
      <c r="T306" s="20">
        <f t="shared" si="73"/>
        <v>3.9919264409060018E-2</v>
      </c>
      <c r="U306" s="20">
        <f t="shared" si="67"/>
        <v>6.7490971959408966E-2</v>
      </c>
      <c r="V306" s="18">
        <f t="shared" si="80"/>
        <v>675194</v>
      </c>
      <c r="W306">
        <f t="shared" si="81"/>
        <v>917.37780716253451</v>
      </c>
      <c r="Y306">
        <f t="shared" si="82"/>
        <v>917.37780716253451</v>
      </c>
      <c r="AA306" s="27">
        <f t="shared" si="62"/>
        <v>2000</v>
      </c>
      <c r="AB306" s="26">
        <f t="shared" si="63"/>
        <v>6.640143189679959E-2</v>
      </c>
      <c r="AC306" s="7">
        <f t="shared" si="64"/>
        <v>675194</v>
      </c>
    </row>
    <row r="307" spans="1:29" x14ac:dyDescent="0.2">
      <c r="A307" s="8">
        <f t="shared" si="83"/>
        <v>36646</v>
      </c>
      <c r="B307" s="17">
        <f t="shared" si="74"/>
        <v>2000</v>
      </c>
      <c r="C307" s="17">
        <f t="shared" si="75"/>
        <v>4</v>
      </c>
      <c r="D307" s="8"/>
      <c r="F307" s="7">
        <v>923681</v>
      </c>
      <c r="G307" s="7">
        <v>760844</v>
      </c>
      <c r="H307" s="7">
        <v>784055</v>
      </c>
      <c r="I307">
        <v>658984</v>
      </c>
      <c r="J307" s="19">
        <v>70.932055096418722</v>
      </c>
      <c r="K307" s="6">
        <f t="shared" si="76"/>
        <v>162837</v>
      </c>
      <c r="L307" s="15">
        <f t="shared" si="77"/>
        <v>4.261722448379758</v>
      </c>
      <c r="M307" s="16">
        <f t="shared" si="84"/>
        <v>-4.2175256830267571E-2</v>
      </c>
      <c r="N307" s="8">
        <f t="array" ref="N307">MAX(IF($B$4:$B$507=B307,$A$4:$A$507))</f>
        <v>36891</v>
      </c>
      <c r="O307" s="8">
        <f t="array" ref="O307">MIN(IF($B$4:$B$507=B307,$A$4:$A$507))</f>
        <v>36556</v>
      </c>
      <c r="P307" s="8">
        <f t="shared" si="71"/>
        <v>36280</v>
      </c>
      <c r="Q307" s="8">
        <f t="shared" si="72"/>
        <v>36646</v>
      </c>
      <c r="R307">
        <f t="shared" si="79"/>
        <v>70.932055096418722</v>
      </c>
      <c r="S307">
        <f t="shared" si="66"/>
        <v>68.570578512396693</v>
      </c>
      <c r="T307" s="20">
        <f t="shared" si="73"/>
        <v>3.4438627108783981E-2</v>
      </c>
      <c r="U307" s="20">
        <f t="shared" si="67"/>
        <v>6.7490971959408966E-2</v>
      </c>
      <c r="V307" s="18">
        <f t="shared" si="80"/>
        <v>675194</v>
      </c>
      <c r="W307">
        <f t="shared" si="81"/>
        <v>917.37780716253451</v>
      </c>
      <c r="Y307">
        <f t="shared" si="82"/>
        <v>917.37780716253451</v>
      </c>
      <c r="AA307" s="27">
        <f t="shared" si="62"/>
        <v>2000</v>
      </c>
      <c r="AB307" s="26">
        <f t="shared" si="63"/>
        <v>6.640143189679959E-2</v>
      </c>
      <c r="AC307" s="7">
        <f t="shared" si="64"/>
        <v>675194</v>
      </c>
    </row>
    <row r="308" spans="1:29" x14ac:dyDescent="0.2">
      <c r="A308" s="8">
        <f t="shared" si="83"/>
        <v>36677</v>
      </c>
      <c r="B308" s="17">
        <f t="shared" si="74"/>
        <v>2000</v>
      </c>
      <c r="C308" s="17">
        <f t="shared" si="75"/>
        <v>5</v>
      </c>
      <c r="D308" s="8"/>
      <c r="F308" s="7">
        <v>861260</v>
      </c>
      <c r="G308" s="7">
        <v>718376</v>
      </c>
      <c r="H308" s="7">
        <v>923681</v>
      </c>
      <c r="I308" s="7">
        <v>760844</v>
      </c>
      <c r="J308" s="19">
        <v>77.952661157024778</v>
      </c>
      <c r="K308" s="6">
        <f t="shared" si="76"/>
        <v>142884</v>
      </c>
      <c r="L308" s="15">
        <f t="shared" si="77"/>
        <v>4.3561017342029622</v>
      </c>
      <c r="M308" s="16">
        <f t="shared" si="84"/>
        <v>9.4379285823204206E-2</v>
      </c>
      <c r="N308" s="8">
        <f t="array" ref="N308">MAX(IF($B$4:$B$507=B308,$A$4:$A$507))</f>
        <v>36891</v>
      </c>
      <c r="O308" s="8">
        <f t="array" ref="O308">MIN(IF($B$4:$B$507=B308,$A$4:$A$507))</f>
        <v>36556</v>
      </c>
      <c r="P308" s="8">
        <f t="shared" si="71"/>
        <v>36311</v>
      </c>
      <c r="Q308" s="8">
        <f t="shared" si="72"/>
        <v>36677</v>
      </c>
      <c r="R308">
        <f t="shared" si="79"/>
        <v>77.952661157024778</v>
      </c>
      <c r="S308">
        <f t="shared" si="66"/>
        <v>73.237685950413223</v>
      </c>
      <c r="T308" s="20">
        <f t="shared" si="73"/>
        <v>6.4379084967320033E-2</v>
      </c>
      <c r="U308" s="20">
        <f t="shared" si="67"/>
        <v>6.7490971959408966E-2</v>
      </c>
      <c r="V308" s="18">
        <f t="shared" si="80"/>
        <v>675194</v>
      </c>
      <c r="W308">
        <f t="shared" si="81"/>
        <v>917.37780716253451</v>
      </c>
      <c r="Y308">
        <f t="shared" si="82"/>
        <v>917.37780716253451</v>
      </c>
      <c r="AA308" s="27">
        <f t="shared" si="62"/>
        <v>2000</v>
      </c>
      <c r="AB308" s="26">
        <f t="shared" si="63"/>
        <v>6.640143189679959E-2</v>
      </c>
      <c r="AC308" s="7">
        <f t="shared" si="64"/>
        <v>675194</v>
      </c>
    </row>
    <row r="309" spans="1:29" x14ac:dyDescent="0.2">
      <c r="A309" s="8">
        <f t="shared" si="83"/>
        <v>36707</v>
      </c>
      <c r="B309" s="17">
        <f t="shared" si="74"/>
        <v>2000</v>
      </c>
      <c r="C309" s="17">
        <f t="shared" si="75"/>
        <v>6</v>
      </c>
      <c r="D309" s="8"/>
      <c r="F309" s="7">
        <v>839196</v>
      </c>
      <c r="G309" s="7">
        <v>733354</v>
      </c>
      <c r="H309" s="7">
        <v>861260</v>
      </c>
      <c r="I309" s="7">
        <v>718376</v>
      </c>
      <c r="J309" s="19">
        <v>78.686633608815413</v>
      </c>
      <c r="K309" s="6">
        <f t="shared" si="76"/>
        <v>105842</v>
      </c>
      <c r="L309" s="15">
        <f t="shared" si="77"/>
        <v>4.3654733012126128</v>
      </c>
      <c r="M309" s="16">
        <f t="shared" si="84"/>
        <v>9.3715670096505832E-3</v>
      </c>
      <c r="N309" s="8">
        <f t="array" ref="N309">MAX(IF($B$4:$B$507=B309,$A$4:$A$507))</f>
        <v>36891</v>
      </c>
      <c r="O309" s="8">
        <f t="array" ref="O309">MIN(IF($B$4:$B$507=B309,$A$4:$A$507))</f>
        <v>36556</v>
      </c>
      <c r="P309" s="8">
        <f t="shared" si="71"/>
        <v>36341</v>
      </c>
      <c r="Q309" s="8">
        <f t="shared" si="72"/>
        <v>36707</v>
      </c>
      <c r="R309">
        <f t="shared" si="79"/>
        <v>78.686633608815413</v>
      </c>
      <c r="S309">
        <f t="shared" si="66"/>
        <v>73.221730027548219</v>
      </c>
      <c r="T309" s="20">
        <f t="shared" si="73"/>
        <v>7.4634996731313574E-2</v>
      </c>
      <c r="U309" s="20">
        <f t="shared" si="67"/>
        <v>6.7490971959408966E-2</v>
      </c>
      <c r="V309" s="18">
        <f t="shared" si="80"/>
        <v>675194</v>
      </c>
      <c r="W309">
        <f t="shared" si="81"/>
        <v>917.37780716253451</v>
      </c>
      <c r="Y309">
        <f t="shared" si="82"/>
        <v>917.37780716253451</v>
      </c>
      <c r="AA309" s="27">
        <f t="shared" ref="AA309:AA372" si="85">YEAR(A309)</f>
        <v>2000</v>
      </c>
      <c r="AB309" s="26">
        <f t="shared" ref="AB309:AB372" si="86">Y309/Y297-1</f>
        <v>6.640143189679959E-2</v>
      </c>
      <c r="AC309" s="7">
        <f t="shared" ref="AC309:AC372" si="87">V309</f>
        <v>675194</v>
      </c>
    </row>
    <row r="310" spans="1:29" x14ac:dyDescent="0.2">
      <c r="A310" s="8">
        <f t="shared" si="83"/>
        <v>36738</v>
      </c>
      <c r="B310" s="17">
        <f t="shared" si="74"/>
        <v>2000</v>
      </c>
      <c r="C310" s="17">
        <f t="shared" si="75"/>
        <v>7</v>
      </c>
      <c r="D310" s="8"/>
      <c r="F310" s="7">
        <v>866852</v>
      </c>
      <c r="G310" s="7">
        <v>788007</v>
      </c>
      <c r="H310" s="7">
        <v>839196</v>
      </c>
      <c r="I310" s="7">
        <v>733354</v>
      </c>
      <c r="J310" s="19">
        <v>80.114688705234144</v>
      </c>
      <c r="K310" s="6">
        <f t="shared" si="76"/>
        <v>78845</v>
      </c>
      <c r="L310" s="15">
        <f t="shared" si="77"/>
        <v>4.3834592168532698</v>
      </c>
      <c r="M310" s="16">
        <f t="shared" si="84"/>
        <v>1.7985915640656991E-2</v>
      </c>
      <c r="N310" s="8">
        <f t="array" ref="N310">MAX(IF($B$4:$B$507=B310,$A$4:$A$507))</f>
        <v>36891</v>
      </c>
      <c r="O310" s="8">
        <f t="array" ref="O310">MIN(IF($B$4:$B$507=B310,$A$4:$A$507))</f>
        <v>36556</v>
      </c>
      <c r="P310" s="8">
        <f t="shared" si="71"/>
        <v>36372</v>
      </c>
      <c r="Q310" s="8">
        <f t="shared" si="72"/>
        <v>36738</v>
      </c>
      <c r="R310">
        <f t="shared" si="79"/>
        <v>80.114688705234144</v>
      </c>
      <c r="S310">
        <f t="shared" si="66"/>
        <v>74.857212121212115</v>
      </c>
      <c r="T310" s="20">
        <f t="shared" si="73"/>
        <v>7.0233400831290593E-2</v>
      </c>
      <c r="U310" s="20">
        <f t="shared" si="67"/>
        <v>6.7490971959408966E-2</v>
      </c>
      <c r="V310" s="18">
        <f t="shared" si="80"/>
        <v>675194</v>
      </c>
      <c r="W310">
        <f t="shared" si="81"/>
        <v>917.37780716253451</v>
      </c>
      <c r="Y310">
        <f t="shared" si="82"/>
        <v>917.37780716253451</v>
      </c>
      <c r="AA310" s="27">
        <f t="shared" si="85"/>
        <v>2000</v>
      </c>
      <c r="AB310" s="26">
        <f t="shared" si="86"/>
        <v>6.640143189679959E-2</v>
      </c>
      <c r="AC310" s="7">
        <f t="shared" si="87"/>
        <v>675194</v>
      </c>
    </row>
    <row r="311" spans="1:29" x14ac:dyDescent="0.2">
      <c r="A311" s="8">
        <f t="shared" si="83"/>
        <v>36769</v>
      </c>
      <c r="B311" s="17">
        <f t="shared" si="74"/>
        <v>2000</v>
      </c>
      <c r="C311" s="17">
        <f t="shared" si="75"/>
        <v>8</v>
      </c>
      <c r="D311" s="8"/>
      <c r="F311" s="7">
        <v>815219</v>
      </c>
      <c r="G311" s="7">
        <v>722541</v>
      </c>
      <c r="H311" s="7">
        <v>866852</v>
      </c>
      <c r="I311" s="7">
        <v>788007</v>
      </c>
      <c r="J311" s="19">
        <v>83.752639118457296</v>
      </c>
      <c r="K311" s="6">
        <f t="shared" si="76"/>
        <v>92678</v>
      </c>
      <c r="L311" s="15">
        <f t="shared" si="77"/>
        <v>4.4278676820708638</v>
      </c>
      <c r="M311" s="16">
        <f t="shared" si="84"/>
        <v>4.4408465217594006E-2</v>
      </c>
      <c r="N311" s="8">
        <f t="array" ref="N311">MAX(IF($B$4:$B$507=B311,$A$4:$A$507))</f>
        <v>36891</v>
      </c>
      <c r="O311" s="8">
        <f t="array" ref="O311">MIN(IF($B$4:$B$507=B311,$A$4:$A$507))</f>
        <v>36556</v>
      </c>
      <c r="P311" s="8">
        <f t="shared" si="71"/>
        <v>36403</v>
      </c>
      <c r="Q311" s="8">
        <f t="shared" si="72"/>
        <v>36769</v>
      </c>
      <c r="R311">
        <f t="shared" si="79"/>
        <v>83.752639118457296</v>
      </c>
      <c r="S311">
        <f t="shared" si="66"/>
        <v>77.529829201101933</v>
      </c>
      <c r="T311" s="20">
        <f t="shared" si="73"/>
        <v>8.0263428689030469E-2</v>
      </c>
      <c r="U311" s="20">
        <f t="shared" si="67"/>
        <v>6.7490971959408966E-2</v>
      </c>
      <c r="V311" s="18">
        <f t="shared" si="80"/>
        <v>675194</v>
      </c>
      <c r="W311">
        <f t="shared" si="81"/>
        <v>917.37780716253451</v>
      </c>
      <c r="Y311">
        <f t="shared" si="82"/>
        <v>917.37780716253451</v>
      </c>
      <c r="AA311" s="27">
        <f t="shared" si="85"/>
        <v>2000</v>
      </c>
      <c r="AB311" s="26">
        <f t="shared" si="86"/>
        <v>6.640143189679959E-2</v>
      </c>
      <c r="AC311" s="7">
        <f t="shared" si="87"/>
        <v>675194</v>
      </c>
    </row>
    <row r="312" spans="1:29" x14ac:dyDescent="0.2">
      <c r="A312" s="8">
        <f t="shared" si="83"/>
        <v>36799</v>
      </c>
      <c r="B312" s="17">
        <f t="shared" si="74"/>
        <v>2000</v>
      </c>
      <c r="C312" s="17">
        <f t="shared" si="75"/>
        <v>9</v>
      </c>
      <c r="D312" s="8"/>
      <c r="F312" s="7">
        <v>824921</v>
      </c>
      <c r="G312" s="7">
        <v>809479</v>
      </c>
      <c r="H312" s="7">
        <v>815219</v>
      </c>
      <c r="I312" s="7">
        <v>722541</v>
      </c>
      <c r="J312" s="19">
        <v>79.41262809917356</v>
      </c>
      <c r="K312" s="6">
        <f t="shared" si="76"/>
        <v>15442</v>
      </c>
      <c r="L312" s="15">
        <f t="shared" si="77"/>
        <v>4.374657399677119</v>
      </c>
      <c r="M312" s="16">
        <f t="shared" si="84"/>
        <v>-5.3210282393744812E-2</v>
      </c>
      <c r="N312" s="8">
        <f t="array" ref="N312">MAX(IF($B$4:$B$507=B312,$A$4:$A$507))</f>
        <v>36891</v>
      </c>
      <c r="O312" s="8">
        <f t="array" ref="O312">MIN(IF($B$4:$B$507=B312,$A$4:$A$507))</f>
        <v>36556</v>
      </c>
      <c r="P312" s="8">
        <f t="shared" si="71"/>
        <v>36433</v>
      </c>
      <c r="Q312" s="8">
        <f t="shared" si="72"/>
        <v>36799</v>
      </c>
      <c r="R312">
        <f t="shared" si="79"/>
        <v>79.41262809917356</v>
      </c>
      <c r="S312">
        <f t="shared" si="66"/>
        <v>76.6841652892562</v>
      </c>
      <c r="T312" s="20">
        <f t="shared" si="73"/>
        <v>3.5580524344569264E-2</v>
      </c>
      <c r="U312" s="20">
        <f t="shared" si="67"/>
        <v>6.7490971959408966E-2</v>
      </c>
      <c r="V312" s="18">
        <f t="shared" si="80"/>
        <v>675194</v>
      </c>
      <c r="W312">
        <f t="shared" si="81"/>
        <v>917.37780716253451</v>
      </c>
      <c r="Y312">
        <f t="shared" si="82"/>
        <v>917.37780716253451</v>
      </c>
      <c r="AA312" s="27">
        <f t="shared" si="85"/>
        <v>2000</v>
      </c>
      <c r="AB312" s="26">
        <f t="shared" si="86"/>
        <v>6.640143189679959E-2</v>
      </c>
      <c r="AC312" s="7">
        <f t="shared" si="87"/>
        <v>675194</v>
      </c>
    </row>
    <row r="313" spans="1:29" x14ac:dyDescent="0.2">
      <c r="A313" s="8">
        <f t="shared" si="83"/>
        <v>36830</v>
      </c>
      <c r="B313" s="17">
        <f t="shared" si="74"/>
        <v>2000</v>
      </c>
      <c r="C313" s="17">
        <f t="shared" si="75"/>
        <v>10</v>
      </c>
      <c r="D313" s="8"/>
      <c r="F313" s="7">
        <v>760345</v>
      </c>
      <c r="G313" s="7">
        <v>759879</v>
      </c>
      <c r="H313" s="7">
        <v>824921</v>
      </c>
      <c r="I313" s="7">
        <v>809479</v>
      </c>
      <c r="J313" s="19">
        <v>83.768595041322314</v>
      </c>
      <c r="K313" s="6">
        <f t="shared" si="76"/>
        <v>466</v>
      </c>
      <c r="L313" s="15">
        <f t="shared" si="77"/>
        <v>4.4280581764042335</v>
      </c>
      <c r="M313" s="16">
        <f t="shared" si="84"/>
        <v>5.3400776727114518E-2</v>
      </c>
      <c r="N313" s="8">
        <f t="array" ref="N313">MAX(IF($B$4:$B$507=B313,$A$4:$A$507))</f>
        <v>36891</v>
      </c>
      <c r="O313" s="8">
        <f t="array" ref="O313">MIN(IF($B$4:$B$507=B313,$A$4:$A$507))</f>
        <v>36556</v>
      </c>
      <c r="P313" s="8">
        <f t="shared" si="71"/>
        <v>36464</v>
      </c>
      <c r="Q313" s="8">
        <f t="shared" si="72"/>
        <v>36830</v>
      </c>
      <c r="R313">
        <f t="shared" si="79"/>
        <v>83.768595041322314</v>
      </c>
      <c r="S313">
        <f t="shared" si="66"/>
        <v>78.088286501377411</v>
      </c>
      <c r="T313" s="20">
        <f t="shared" si="73"/>
        <v>7.2742133224356298E-2</v>
      </c>
      <c r="U313" s="20">
        <f t="shared" si="67"/>
        <v>6.7490971959408966E-2</v>
      </c>
      <c r="V313" s="18">
        <f t="shared" si="80"/>
        <v>675194</v>
      </c>
      <c r="W313">
        <f t="shared" si="81"/>
        <v>917.37780716253451</v>
      </c>
      <c r="Y313">
        <f t="shared" si="82"/>
        <v>917.37780716253451</v>
      </c>
      <c r="AA313" s="27">
        <f t="shared" si="85"/>
        <v>2000</v>
      </c>
      <c r="AB313" s="26">
        <f t="shared" si="86"/>
        <v>6.640143189679959E-2</v>
      </c>
      <c r="AC313" s="7">
        <f t="shared" si="87"/>
        <v>675194</v>
      </c>
    </row>
    <row r="314" spans="1:29" x14ac:dyDescent="0.2">
      <c r="A314" s="8">
        <f t="shared" si="83"/>
        <v>36860</v>
      </c>
      <c r="B314" s="17">
        <f t="shared" si="74"/>
        <v>2000</v>
      </c>
      <c r="C314" s="17">
        <f t="shared" si="75"/>
        <v>11</v>
      </c>
      <c r="D314" s="8"/>
      <c r="F314" s="7">
        <v>631029</v>
      </c>
      <c r="G314" s="7">
        <v>856818</v>
      </c>
      <c r="H314" s="7">
        <v>760345</v>
      </c>
      <c r="I314" s="7">
        <v>759879</v>
      </c>
      <c r="J314" s="19">
        <v>80.266269972451781</v>
      </c>
      <c r="K314" s="6">
        <f t="shared" si="76"/>
        <v>-225789</v>
      </c>
      <c r="L314" s="15">
        <f t="shared" si="77"/>
        <v>4.3853494825506694</v>
      </c>
      <c r="M314" s="16">
        <f t="shared" si="84"/>
        <v>-4.2708693853564128E-2</v>
      </c>
      <c r="N314" s="8">
        <f t="array" ref="N314">MAX(IF($B$4:$B$507=B314,$A$4:$A$507))</f>
        <v>36891</v>
      </c>
      <c r="O314" s="8">
        <f t="array" ref="O314">MIN(IF($B$4:$B$507=B314,$A$4:$A$507))</f>
        <v>36556</v>
      </c>
      <c r="P314" s="8">
        <f t="shared" si="71"/>
        <v>36494</v>
      </c>
      <c r="Q314" s="8">
        <f t="shared" si="72"/>
        <v>36860</v>
      </c>
      <c r="R314">
        <f t="shared" si="79"/>
        <v>80.266269972451781</v>
      </c>
      <c r="S314">
        <f t="shared" si="66"/>
        <v>76.245377410468322</v>
      </c>
      <c r="T314" s="20">
        <f t="shared" si="73"/>
        <v>5.2736214293187977E-2</v>
      </c>
      <c r="U314" s="20">
        <f t="shared" si="67"/>
        <v>6.7490971959408966E-2</v>
      </c>
      <c r="V314" s="18">
        <f t="shared" si="80"/>
        <v>675194</v>
      </c>
      <c r="W314">
        <f t="shared" si="81"/>
        <v>917.37780716253451</v>
      </c>
      <c r="Y314">
        <f t="shared" si="82"/>
        <v>917.37780716253451</v>
      </c>
      <c r="AA314" s="27">
        <f t="shared" si="85"/>
        <v>2000</v>
      </c>
      <c r="AB314" s="26">
        <f t="shared" si="86"/>
        <v>6.640143189679959E-2</v>
      </c>
      <c r="AC314" s="7">
        <f t="shared" si="87"/>
        <v>675194</v>
      </c>
    </row>
    <row r="315" spans="1:29" x14ac:dyDescent="0.2">
      <c r="A315" s="8">
        <f t="shared" si="83"/>
        <v>36891</v>
      </c>
      <c r="B315" s="17">
        <f t="shared" si="74"/>
        <v>2000</v>
      </c>
      <c r="C315" s="17">
        <f t="shared" si="75"/>
        <v>12</v>
      </c>
      <c r="D315" s="8"/>
      <c r="F315" s="7">
        <v>909984</v>
      </c>
      <c r="G315" s="7">
        <v>861188</v>
      </c>
      <c r="H315" s="7">
        <v>631029</v>
      </c>
      <c r="I315" s="7">
        <v>856818</v>
      </c>
      <c r="J315" s="19">
        <v>73.923790633608803</v>
      </c>
      <c r="K315" s="6">
        <f t="shared" si="76"/>
        <v>48796</v>
      </c>
      <c r="L315" s="15">
        <f t="shared" si="77"/>
        <v>4.3030347062352128</v>
      </c>
      <c r="M315" s="16">
        <f t="shared" si="84"/>
        <v>-8.2314776315456584E-2</v>
      </c>
      <c r="N315" s="8">
        <f t="array" ref="N315">MAX(IF($B$4:$B$507=B315,$A$4:$A$507))</f>
        <v>36891</v>
      </c>
      <c r="O315" s="8">
        <f t="array" ref="O315">MIN(IF($B$4:$B$507=B315,$A$4:$A$507))</f>
        <v>36556</v>
      </c>
      <c r="P315" s="8">
        <f t="shared" si="71"/>
        <v>36525</v>
      </c>
      <c r="Q315" s="8">
        <f t="shared" si="72"/>
        <v>36891</v>
      </c>
      <c r="R315">
        <f t="shared" si="79"/>
        <v>73.923790633608803</v>
      </c>
      <c r="S315">
        <f t="shared" si="66"/>
        <v>68.658336088154272</v>
      </c>
      <c r="T315" s="20">
        <f t="shared" si="73"/>
        <v>7.6690680920287857E-2</v>
      </c>
      <c r="U315" s="20">
        <f t="shared" si="67"/>
        <v>6.7490971959408966E-2</v>
      </c>
      <c r="V315" s="18">
        <f t="shared" si="80"/>
        <v>675194</v>
      </c>
      <c r="W315">
        <f t="shared" si="81"/>
        <v>917.37780716253451</v>
      </c>
      <c r="Y315">
        <f t="shared" si="82"/>
        <v>917.37780716253451</v>
      </c>
      <c r="AA315" s="27">
        <f t="shared" si="85"/>
        <v>2000</v>
      </c>
      <c r="AB315" s="26">
        <f t="shared" si="86"/>
        <v>6.640143189679959E-2</v>
      </c>
      <c r="AC315" s="7">
        <f t="shared" si="87"/>
        <v>675194</v>
      </c>
    </row>
    <row r="316" spans="1:29" x14ac:dyDescent="0.2">
      <c r="A316" s="8">
        <f t="shared" si="83"/>
        <v>36922</v>
      </c>
      <c r="B316" s="17">
        <f t="shared" si="74"/>
        <v>2001</v>
      </c>
      <c r="C316" s="17">
        <f t="shared" si="75"/>
        <v>1</v>
      </c>
      <c r="D316" s="8"/>
      <c r="F316" s="7">
        <v>851610</v>
      </c>
      <c r="G316" s="7">
        <v>771367</v>
      </c>
      <c r="H316" s="7">
        <v>909984</v>
      </c>
      <c r="I316" s="7">
        <v>861188</v>
      </c>
      <c r="J316" s="19">
        <v>73.261619834710729</v>
      </c>
      <c r="K316" s="6">
        <f t="shared" si="76"/>
        <v>80243</v>
      </c>
      <c r="L316" s="15">
        <f t="shared" si="77"/>
        <v>4.2940368678721414</v>
      </c>
      <c r="M316" s="16">
        <f t="shared" si="84"/>
        <v>-8.997838363071331E-3</v>
      </c>
      <c r="N316" s="8">
        <f t="array" ref="N316">MAX(IF($B$4:$B$507=B316,$A$4:$A$507))</f>
        <v>37256</v>
      </c>
      <c r="O316" s="8">
        <f t="array" ref="O316">MIN(IF($B$4:$B$507=B316,$A$4:$A$507))</f>
        <v>36922</v>
      </c>
      <c r="P316" s="8">
        <f t="shared" si="71"/>
        <v>36556</v>
      </c>
      <c r="Q316" s="8">
        <f t="shared" si="72"/>
        <v>36922</v>
      </c>
      <c r="R316">
        <f t="shared" si="79"/>
        <v>73.261619834710729</v>
      </c>
      <c r="S316">
        <f t="shared" si="66"/>
        <v>65.331526170798895</v>
      </c>
      <c r="T316" s="20">
        <f t="shared" si="73"/>
        <v>0.12138234216632049</v>
      </c>
      <c r="U316" s="20">
        <f t="shared" si="67"/>
        <v>1.8069759808308956E-2</v>
      </c>
      <c r="V316" s="18">
        <f t="shared" si="80"/>
        <v>586511</v>
      </c>
      <c r="W316">
        <f t="shared" si="81"/>
        <v>931.84982920110178</v>
      </c>
      <c r="Y316">
        <f t="shared" si="82"/>
        <v>931.84982920110178</v>
      </c>
      <c r="AA316" s="27">
        <f t="shared" si="85"/>
        <v>2001</v>
      </c>
      <c r="AB316" s="26">
        <f t="shared" si="86"/>
        <v>1.5775421996886418E-2</v>
      </c>
      <c r="AC316" s="7">
        <f t="shared" si="87"/>
        <v>586511</v>
      </c>
    </row>
    <row r="317" spans="1:29" x14ac:dyDescent="0.2">
      <c r="A317" s="8">
        <f t="shared" si="83"/>
        <v>36950</v>
      </c>
      <c r="B317" s="17">
        <f t="shared" si="74"/>
        <v>2001</v>
      </c>
      <c r="C317" s="17">
        <f t="shared" si="75"/>
        <v>2</v>
      </c>
      <c r="D317" s="8"/>
      <c r="F317" s="7">
        <v>923525</v>
      </c>
      <c r="G317" s="7">
        <v>889041</v>
      </c>
      <c r="H317" s="7">
        <v>851610</v>
      </c>
      <c r="I317" s="7">
        <v>771367</v>
      </c>
      <c r="J317" s="19">
        <v>70.684738292011005</v>
      </c>
      <c r="K317" s="6">
        <f t="shared" si="76"/>
        <v>34484</v>
      </c>
      <c r="L317" s="15">
        <f t="shared" si="77"/>
        <v>4.2582296838577456</v>
      </c>
      <c r="M317" s="16">
        <f t="shared" si="84"/>
        <v>-3.5807184014395865E-2</v>
      </c>
      <c r="N317" s="8">
        <f t="array" ref="N317">MAX(IF($B$4:$B$507=B317,$A$4:$A$507))</f>
        <v>37256</v>
      </c>
      <c r="O317" s="8">
        <f t="array" ref="O317">MIN(IF($B$4:$B$507=B317,$A$4:$A$507))</f>
        <v>36922</v>
      </c>
      <c r="P317" s="8">
        <f t="shared" si="71"/>
        <v>36585</v>
      </c>
      <c r="Q317" s="8">
        <f t="shared" si="72"/>
        <v>36950</v>
      </c>
      <c r="R317">
        <f t="shared" si="79"/>
        <v>70.684738292011005</v>
      </c>
      <c r="S317">
        <f t="shared" si="66"/>
        <v>69.248705234159772</v>
      </c>
      <c r="T317" s="20">
        <f t="shared" si="73"/>
        <v>2.0737327188939947E-2</v>
      </c>
      <c r="U317" s="20">
        <f t="shared" si="67"/>
        <v>1.8069759808308956E-2</v>
      </c>
      <c r="V317" s="18">
        <f t="shared" si="80"/>
        <v>586511</v>
      </c>
      <c r="W317">
        <f t="shared" si="81"/>
        <v>931.84982920110178</v>
      </c>
      <c r="Y317">
        <f t="shared" si="82"/>
        <v>931.84982920110178</v>
      </c>
      <c r="AA317" s="27">
        <f t="shared" si="85"/>
        <v>2001</v>
      </c>
      <c r="AB317" s="26">
        <f t="shared" si="86"/>
        <v>1.5775421996886418E-2</v>
      </c>
      <c r="AC317" s="7">
        <f t="shared" si="87"/>
        <v>586511</v>
      </c>
    </row>
    <row r="318" spans="1:29" x14ac:dyDescent="0.2">
      <c r="A318" s="8">
        <f t="shared" si="83"/>
        <v>36981</v>
      </c>
      <c r="B318" s="17">
        <f t="shared" si="74"/>
        <v>2001</v>
      </c>
      <c r="C318" s="17">
        <f t="shared" si="75"/>
        <v>3</v>
      </c>
      <c r="D318" s="8"/>
      <c r="F318" s="7">
        <v>880234</v>
      </c>
      <c r="G318" s="7">
        <v>740237</v>
      </c>
      <c r="H318" s="7">
        <v>923525</v>
      </c>
      <c r="I318" s="7">
        <v>889041</v>
      </c>
      <c r="J318" s="19">
        <v>80.186490358126719</v>
      </c>
      <c r="K318" s="6">
        <f t="shared" si="76"/>
        <v>139997</v>
      </c>
      <c r="L318" s="15">
        <f t="shared" si="77"/>
        <v>4.3843550512833591</v>
      </c>
      <c r="M318" s="16">
        <f t="shared" si="84"/>
        <v>0.12612536742561353</v>
      </c>
      <c r="N318" s="8">
        <f t="array" ref="N318">MAX(IF($B$4:$B$507=B318,$A$4:$A$507))</f>
        <v>37256</v>
      </c>
      <c r="O318" s="8">
        <f t="array" ref="O318">MIN(IF($B$4:$B$507=B318,$A$4:$A$507))</f>
        <v>36922</v>
      </c>
      <c r="P318" s="8">
        <f t="shared" si="71"/>
        <v>36616</v>
      </c>
      <c r="Q318" s="8">
        <f t="shared" si="72"/>
        <v>36981</v>
      </c>
      <c r="R318">
        <f t="shared" si="79"/>
        <v>80.186490358126719</v>
      </c>
      <c r="S318">
        <f t="shared" si="66"/>
        <v>73.987614325068861</v>
      </c>
      <c r="T318" s="20">
        <f t="shared" si="73"/>
        <v>8.3782618072029358E-2</v>
      </c>
      <c r="U318" s="20">
        <f t="shared" si="67"/>
        <v>1.8069759808308956E-2</v>
      </c>
      <c r="V318" s="18">
        <f t="shared" si="80"/>
        <v>586511</v>
      </c>
      <c r="W318">
        <f t="shared" si="81"/>
        <v>931.84982920110178</v>
      </c>
      <c r="Y318">
        <f t="shared" si="82"/>
        <v>931.84982920110178</v>
      </c>
      <c r="AA318" s="27">
        <f t="shared" si="85"/>
        <v>2001</v>
      </c>
      <c r="AB318" s="26">
        <f t="shared" si="86"/>
        <v>1.5775421996886418E-2</v>
      </c>
      <c r="AC318" s="7">
        <f t="shared" si="87"/>
        <v>586511</v>
      </c>
    </row>
    <row r="319" spans="1:29" x14ac:dyDescent="0.2">
      <c r="A319" s="8">
        <f t="shared" si="83"/>
        <v>37011</v>
      </c>
      <c r="B319" s="17">
        <f t="shared" si="74"/>
        <v>2001</v>
      </c>
      <c r="C319" s="17">
        <f t="shared" si="75"/>
        <v>4</v>
      </c>
      <c r="D319" s="8"/>
      <c r="F319" s="7">
        <v>1003027</v>
      </c>
      <c r="G319" s="7">
        <v>841129</v>
      </c>
      <c r="H319" s="7">
        <v>880234</v>
      </c>
      <c r="I319" s="7">
        <v>740237</v>
      </c>
      <c r="J319" s="19">
        <v>75.33588980716253</v>
      </c>
      <c r="K319" s="6">
        <f t="shared" si="76"/>
        <v>161898</v>
      </c>
      <c r="L319" s="15">
        <f t="shared" si="77"/>
        <v>4.3219566455216887</v>
      </c>
      <c r="M319" s="16">
        <f t="shared" si="84"/>
        <v>-6.2398405761670439E-2</v>
      </c>
      <c r="N319" s="8">
        <f t="array" ref="N319">MAX(IF($B$4:$B$507=B319,$A$4:$A$507))</f>
        <v>37256</v>
      </c>
      <c r="O319" s="8">
        <f t="array" ref="O319">MIN(IF($B$4:$B$507=B319,$A$4:$A$507))</f>
        <v>36922</v>
      </c>
      <c r="P319" s="8">
        <f t="shared" si="71"/>
        <v>36646</v>
      </c>
      <c r="Q319" s="8">
        <f t="shared" si="72"/>
        <v>37011</v>
      </c>
      <c r="R319">
        <f t="shared" si="79"/>
        <v>75.33588980716253</v>
      </c>
      <c r="S319">
        <f t="shared" si="66"/>
        <v>70.932055096418722</v>
      </c>
      <c r="T319" s="20">
        <f t="shared" si="73"/>
        <v>6.2085254751996555E-2</v>
      </c>
      <c r="U319" s="20">
        <f t="shared" si="67"/>
        <v>1.8069759808308956E-2</v>
      </c>
      <c r="V319" s="18">
        <f t="shared" si="80"/>
        <v>586511</v>
      </c>
      <c r="W319">
        <f t="shared" si="81"/>
        <v>931.84982920110178</v>
      </c>
      <c r="Y319">
        <f t="shared" si="82"/>
        <v>931.84982920110178</v>
      </c>
      <c r="AA319" s="27">
        <f t="shared" si="85"/>
        <v>2001</v>
      </c>
      <c r="AB319" s="26">
        <f t="shared" si="86"/>
        <v>1.5775421996886418E-2</v>
      </c>
      <c r="AC319" s="7">
        <f t="shared" si="87"/>
        <v>586511</v>
      </c>
    </row>
    <row r="320" spans="1:29" x14ac:dyDescent="0.2">
      <c r="A320" s="8">
        <f t="shared" si="83"/>
        <v>37042</v>
      </c>
      <c r="B320" s="17">
        <f t="shared" si="74"/>
        <v>2001</v>
      </c>
      <c r="C320" s="17">
        <f t="shared" si="75"/>
        <v>5</v>
      </c>
      <c r="D320" s="8"/>
      <c r="F320" s="7">
        <v>889730</v>
      </c>
      <c r="G320" s="7">
        <v>781159</v>
      </c>
      <c r="H320" s="7">
        <v>1003027</v>
      </c>
      <c r="I320" s="7">
        <v>841129</v>
      </c>
      <c r="J320" s="19">
        <v>81.726236914600548</v>
      </c>
      <c r="K320" s="6">
        <f t="shared" si="76"/>
        <v>108571</v>
      </c>
      <c r="L320" s="15">
        <f t="shared" si="77"/>
        <v>4.4033750875780351</v>
      </c>
      <c r="M320" s="16">
        <f t="shared" si="84"/>
        <v>8.1418442056346407E-2</v>
      </c>
      <c r="N320" s="8">
        <f t="array" ref="N320">MAX(IF($B$4:$B$507=B320,$A$4:$A$507))</f>
        <v>37256</v>
      </c>
      <c r="O320" s="8">
        <f t="array" ref="O320">MIN(IF($B$4:$B$507=B320,$A$4:$A$507))</f>
        <v>36922</v>
      </c>
      <c r="P320" s="8">
        <f t="shared" si="71"/>
        <v>36677</v>
      </c>
      <c r="Q320" s="8">
        <f t="shared" si="72"/>
        <v>37042</v>
      </c>
      <c r="R320">
        <f t="shared" si="79"/>
        <v>81.726236914600548</v>
      </c>
      <c r="S320">
        <f t="shared" si="66"/>
        <v>77.952661157024778</v>
      </c>
      <c r="T320" s="20">
        <f t="shared" si="73"/>
        <v>4.8408555930815833E-2</v>
      </c>
      <c r="U320" s="20">
        <f t="shared" si="67"/>
        <v>1.8069759808308956E-2</v>
      </c>
      <c r="V320" s="18">
        <f t="shared" si="80"/>
        <v>586511</v>
      </c>
      <c r="W320">
        <f t="shared" si="81"/>
        <v>931.84982920110178</v>
      </c>
      <c r="Y320">
        <f t="shared" si="82"/>
        <v>931.84982920110178</v>
      </c>
      <c r="AA320" s="27">
        <f t="shared" si="85"/>
        <v>2001</v>
      </c>
      <c r="AB320" s="26">
        <f t="shared" si="86"/>
        <v>1.5775421996886418E-2</v>
      </c>
      <c r="AC320" s="7">
        <f t="shared" si="87"/>
        <v>586511</v>
      </c>
    </row>
    <row r="321" spans="1:29" x14ac:dyDescent="0.2">
      <c r="A321" s="8">
        <f t="shared" si="83"/>
        <v>37072</v>
      </c>
      <c r="B321" s="17">
        <f t="shared" si="74"/>
        <v>2001</v>
      </c>
      <c r="C321" s="17">
        <f t="shared" si="75"/>
        <v>6</v>
      </c>
      <c r="D321" s="8"/>
      <c r="F321" s="7">
        <v>884230</v>
      </c>
      <c r="G321" s="7">
        <v>812844</v>
      </c>
      <c r="H321" s="7">
        <v>889730</v>
      </c>
      <c r="I321" s="7">
        <v>781159</v>
      </c>
      <c r="J321" s="19">
        <v>77.96861707988981</v>
      </c>
      <c r="K321" s="6">
        <f t="shared" si="76"/>
        <v>71386</v>
      </c>
      <c r="L321" s="15">
        <f t="shared" si="77"/>
        <v>4.3563064005974548</v>
      </c>
      <c r="M321" s="16">
        <f t="shared" si="84"/>
        <v>-4.706868698058031E-2</v>
      </c>
      <c r="N321" s="8">
        <f t="array" ref="N321">MAX(IF($B$4:$B$507=B321,$A$4:$A$507))</f>
        <v>37256</v>
      </c>
      <c r="O321" s="8">
        <f t="array" ref="O321">MIN(IF($B$4:$B$507=B321,$A$4:$A$507))</f>
        <v>36922</v>
      </c>
      <c r="P321" s="8">
        <f t="shared" si="71"/>
        <v>36707</v>
      </c>
      <c r="Q321" s="8">
        <f t="shared" si="72"/>
        <v>37072</v>
      </c>
      <c r="R321">
        <f t="shared" si="79"/>
        <v>77.96861707988981</v>
      </c>
      <c r="S321">
        <f t="shared" si="66"/>
        <v>78.686633608815413</v>
      </c>
      <c r="T321" s="20">
        <f t="shared" si="73"/>
        <v>-9.1250126736285297E-3</v>
      </c>
      <c r="U321" s="20">
        <f t="shared" si="67"/>
        <v>1.8069759808308956E-2</v>
      </c>
      <c r="V321" s="18">
        <f t="shared" si="80"/>
        <v>586511</v>
      </c>
      <c r="W321">
        <f t="shared" si="81"/>
        <v>931.84982920110178</v>
      </c>
      <c r="Y321">
        <f t="shared" si="82"/>
        <v>931.84982920110178</v>
      </c>
      <c r="AA321" s="27">
        <f t="shared" si="85"/>
        <v>2001</v>
      </c>
      <c r="AB321" s="26">
        <f t="shared" si="86"/>
        <v>1.5775421996886418E-2</v>
      </c>
      <c r="AC321" s="7">
        <f t="shared" si="87"/>
        <v>586511</v>
      </c>
    </row>
    <row r="322" spans="1:29" x14ac:dyDescent="0.2">
      <c r="A322" s="8">
        <f t="shared" si="83"/>
        <v>37103</v>
      </c>
      <c r="B322" s="17">
        <f t="shared" si="74"/>
        <v>2001</v>
      </c>
      <c r="C322" s="17">
        <f t="shared" si="75"/>
        <v>7</v>
      </c>
      <c r="D322" s="8"/>
      <c r="F322" s="7">
        <v>890652</v>
      </c>
      <c r="G322" s="7">
        <v>843325</v>
      </c>
      <c r="H322" s="7">
        <v>884230</v>
      </c>
      <c r="I322" s="7">
        <v>812844</v>
      </c>
      <c r="J322" s="19">
        <v>81.351272727272729</v>
      </c>
      <c r="K322" s="6">
        <f t="shared" si="76"/>
        <v>47327</v>
      </c>
      <c r="L322" s="15">
        <f t="shared" si="77"/>
        <v>4.3987764786228452</v>
      </c>
      <c r="M322" s="16">
        <f t="shared" si="84"/>
        <v>4.2470078025390379E-2</v>
      </c>
      <c r="N322" s="8">
        <f t="array" ref="N322">MAX(IF($B$4:$B$507=B322,$A$4:$A$507))</f>
        <v>37256</v>
      </c>
      <c r="O322" s="8">
        <f t="array" ref="O322">MIN(IF($B$4:$B$507=B322,$A$4:$A$507))</f>
        <v>36922</v>
      </c>
      <c r="P322" s="8">
        <f t="shared" si="71"/>
        <v>36738</v>
      </c>
      <c r="Q322" s="8">
        <f t="shared" si="72"/>
        <v>37103</v>
      </c>
      <c r="R322">
        <f t="shared" si="79"/>
        <v>81.351272727272729</v>
      </c>
      <c r="S322">
        <f t="shared" si="66"/>
        <v>80.114688705234144</v>
      </c>
      <c r="T322" s="20">
        <f t="shared" si="73"/>
        <v>1.5435172276439202E-2</v>
      </c>
      <c r="U322" s="20">
        <f t="shared" si="67"/>
        <v>1.8069759808308956E-2</v>
      </c>
      <c r="V322" s="18">
        <f t="shared" si="80"/>
        <v>586511</v>
      </c>
      <c r="W322">
        <f t="shared" si="81"/>
        <v>931.84982920110178</v>
      </c>
      <c r="Y322">
        <f t="shared" si="82"/>
        <v>931.84982920110178</v>
      </c>
      <c r="AA322" s="27">
        <f t="shared" si="85"/>
        <v>2001</v>
      </c>
      <c r="AB322" s="26">
        <f t="shared" si="86"/>
        <v>1.5775421996886418E-2</v>
      </c>
      <c r="AC322" s="7">
        <f t="shared" si="87"/>
        <v>586511</v>
      </c>
    </row>
    <row r="323" spans="1:29" x14ac:dyDescent="0.2">
      <c r="A323" s="8">
        <f t="shared" si="83"/>
        <v>37134</v>
      </c>
      <c r="B323" s="17">
        <f t="shared" si="74"/>
        <v>2001</v>
      </c>
      <c r="C323" s="17">
        <f t="shared" si="75"/>
        <v>8</v>
      </c>
      <c r="F323" s="7">
        <v>861183</v>
      </c>
      <c r="G323" s="7">
        <v>781155</v>
      </c>
      <c r="H323" s="7">
        <v>890652</v>
      </c>
      <c r="I323" s="7">
        <v>843325</v>
      </c>
      <c r="J323" s="19">
        <v>83.712749311294772</v>
      </c>
      <c r="K323" s="6">
        <f t="shared" si="76"/>
        <v>80028</v>
      </c>
      <c r="L323" s="15">
        <f t="shared" si="77"/>
        <v>4.4273912874165307</v>
      </c>
      <c r="M323" s="16">
        <f t="shared" si="84"/>
        <v>2.8614808793685498E-2</v>
      </c>
      <c r="N323" s="8">
        <f t="array" ref="N323">MAX(IF($B$4:$B$507=B323,$A$4:$A$507))</f>
        <v>37256</v>
      </c>
      <c r="O323" s="8">
        <f t="array" ref="O323">MIN(IF($B$4:$B$507=B323,$A$4:$A$507))</f>
        <v>36922</v>
      </c>
      <c r="P323" s="8">
        <f t="shared" si="71"/>
        <v>36769</v>
      </c>
      <c r="Q323" s="8">
        <f t="shared" si="72"/>
        <v>37134</v>
      </c>
      <c r="R323">
        <f t="shared" si="79"/>
        <v>83.712749311294772</v>
      </c>
      <c r="S323">
        <f t="shared" si="66"/>
        <v>83.752639118457296</v>
      </c>
      <c r="T323" s="20">
        <f t="shared" si="73"/>
        <v>-4.7628119641829336E-4</v>
      </c>
      <c r="U323" s="20">
        <f t="shared" si="67"/>
        <v>1.8069759808308956E-2</v>
      </c>
      <c r="V323" s="18">
        <f t="shared" si="80"/>
        <v>586511</v>
      </c>
      <c r="W323">
        <f t="shared" si="81"/>
        <v>931.84982920110178</v>
      </c>
      <c r="Y323">
        <f t="shared" si="82"/>
        <v>931.84982920110178</v>
      </c>
      <c r="AA323" s="27">
        <f t="shared" si="85"/>
        <v>2001</v>
      </c>
      <c r="AB323" s="26">
        <f t="shared" si="86"/>
        <v>1.5775421996886418E-2</v>
      </c>
      <c r="AC323" s="7">
        <f t="shared" si="87"/>
        <v>586511</v>
      </c>
    </row>
    <row r="324" spans="1:29" x14ac:dyDescent="0.2">
      <c r="A324" s="8">
        <f t="shared" si="83"/>
        <v>37164</v>
      </c>
      <c r="B324" s="17">
        <f t="shared" si="74"/>
        <v>2001</v>
      </c>
      <c r="C324" s="17">
        <f t="shared" si="75"/>
        <v>9</v>
      </c>
      <c r="F324" s="7">
        <v>852227</v>
      </c>
      <c r="G324" s="7">
        <v>775040</v>
      </c>
      <c r="H324" s="7">
        <v>861183</v>
      </c>
      <c r="I324" s="7">
        <v>781155</v>
      </c>
      <c r="J324" s="19">
        <v>78.279757575757586</v>
      </c>
      <c r="K324" s="6">
        <f t="shared" si="76"/>
        <v>77187</v>
      </c>
      <c r="L324" s="15">
        <f t="shared" si="77"/>
        <v>4.3602890456369989</v>
      </c>
      <c r="M324" s="16">
        <f t="shared" si="84"/>
        <v>-6.7102241779531724E-2</v>
      </c>
      <c r="N324" s="8">
        <f t="array" ref="N324">MAX(IF($B$4:$B$507=B324,$A$4:$A$507))</f>
        <v>37256</v>
      </c>
      <c r="O324" s="8">
        <f t="array" ref="O324">MIN(IF($B$4:$B$507=B324,$A$4:$A$507))</f>
        <v>36922</v>
      </c>
      <c r="P324" s="8">
        <f t="shared" si="71"/>
        <v>36799</v>
      </c>
      <c r="Q324" s="8">
        <f t="shared" si="72"/>
        <v>37164</v>
      </c>
      <c r="R324">
        <f t="shared" si="79"/>
        <v>78.279757575757586</v>
      </c>
      <c r="S324">
        <f t="shared" si="66"/>
        <v>79.41262809917356</v>
      </c>
      <c r="T324" s="20">
        <f t="shared" si="73"/>
        <v>-1.4265621860558575E-2</v>
      </c>
      <c r="U324" s="20">
        <f t="shared" si="67"/>
        <v>1.8069759808308956E-2</v>
      </c>
      <c r="V324" s="18">
        <f t="shared" si="80"/>
        <v>586511</v>
      </c>
      <c r="W324">
        <f t="shared" si="81"/>
        <v>931.84982920110178</v>
      </c>
      <c r="Y324">
        <f t="shared" si="82"/>
        <v>931.84982920110178</v>
      </c>
      <c r="AA324" s="27">
        <f t="shared" si="85"/>
        <v>2001</v>
      </c>
      <c r="AB324" s="26">
        <f t="shared" si="86"/>
        <v>1.5775421996886418E-2</v>
      </c>
      <c r="AC324" s="7">
        <f t="shared" si="87"/>
        <v>586511</v>
      </c>
    </row>
    <row r="325" spans="1:29" x14ac:dyDescent="0.2">
      <c r="A325" s="8">
        <f t="shared" si="83"/>
        <v>37195</v>
      </c>
      <c r="B325" s="17">
        <f t="shared" si="74"/>
        <v>2001</v>
      </c>
      <c r="C325" s="17">
        <f t="shared" si="75"/>
        <v>10</v>
      </c>
      <c r="F325" s="7">
        <v>811245</v>
      </c>
      <c r="G325" s="7">
        <v>816160</v>
      </c>
      <c r="H325" s="7">
        <v>852227</v>
      </c>
      <c r="I325" s="7">
        <v>775040</v>
      </c>
      <c r="J325" s="19">
        <v>81.255537190082649</v>
      </c>
      <c r="K325" s="6">
        <f t="shared" si="76"/>
        <v>-4915</v>
      </c>
      <c r="L325" s="15">
        <f t="shared" si="77"/>
        <v>4.3975989689195254</v>
      </c>
      <c r="M325" s="16">
        <f t="shared" si="84"/>
        <v>3.7309923282526469E-2</v>
      </c>
      <c r="N325" s="8">
        <f t="array" ref="N325">MAX(IF($B$4:$B$507=B325,$A$4:$A$507))</f>
        <v>37256</v>
      </c>
      <c r="O325" s="8">
        <f t="array" ref="O325">MIN(IF($B$4:$B$507=B325,$A$4:$A$507))</f>
        <v>36922</v>
      </c>
      <c r="P325" s="8">
        <f t="shared" si="71"/>
        <v>36830</v>
      </c>
      <c r="Q325" s="8">
        <f t="shared" si="72"/>
        <v>37195</v>
      </c>
      <c r="R325">
        <f t="shared" si="79"/>
        <v>81.255537190082649</v>
      </c>
      <c r="S325">
        <f t="shared" ref="S325:S388" si="88">VLOOKUP(P325,$A$4:$L$507,$J$1,FALSE)</f>
        <v>83.768595041322314</v>
      </c>
      <c r="T325" s="20">
        <f t="shared" si="73"/>
        <v>-2.9999999999999916E-2</v>
      </c>
      <c r="U325" s="20">
        <f t="shared" ref="U325:U388" si="89">AVERAGEIF($B$4:$B$507,B325,$T$4:$T$507)</f>
        <v>1.8069759808308956E-2</v>
      </c>
      <c r="V325" s="18">
        <f t="shared" si="80"/>
        <v>586511</v>
      </c>
      <c r="W325">
        <f t="shared" si="81"/>
        <v>931.84982920110178</v>
      </c>
      <c r="Y325">
        <f t="shared" si="82"/>
        <v>931.84982920110178</v>
      </c>
      <c r="AA325" s="27">
        <f t="shared" si="85"/>
        <v>2001</v>
      </c>
      <c r="AB325" s="26">
        <f t="shared" si="86"/>
        <v>1.5775421996886418E-2</v>
      </c>
      <c r="AC325" s="7">
        <f t="shared" si="87"/>
        <v>586511</v>
      </c>
    </row>
    <row r="326" spans="1:29" x14ac:dyDescent="0.2">
      <c r="A326" s="8">
        <f t="shared" si="83"/>
        <v>37225</v>
      </c>
      <c r="B326" s="17">
        <f t="shared" si="74"/>
        <v>2001</v>
      </c>
      <c r="C326" s="17">
        <f t="shared" si="75"/>
        <v>11</v>
      </c>
      <c r="F326" s="7">
        <v>593996</v>
      </c>
      <c r="G326" s="7">
        <v>847919</v>
      </c>
      <c r="H326" s="7">
        <v>811245</v>
      </c>
      <c r="I326" s="7">
        <v>816160</v>
      </c>
      <c r="J326" s="19">
        <v>78.925972451790642</v>
      </c>
      <c r="K326" s="6">
        <f t="shared" si="76"/>
        <v>-253923</v>
      </c>
      <c r="L326" s="15">
        <f t="shared" si="77"/>
        <v>4.3685103555818419</v>
      </c>
      <c r="M326" s="16">
        <f t="shared" si="84"/>
        <v>-2.9088613337683533E-2</v>
      </c>
      <c r="N326" s="8">
        <f t="array" ref="N326">MAX(IF($B$4:$B$507=B326,$A$4:$A$507))</f>
        <v>37256</v>
      </c>
      <c r="O326" s="8">
        <f t="array" ref="O326">MIN(IF($B$4:$B$507=B326,$A$4:$A$507))</f>
        <v>36922</v>
      </c>
      <c r="P326" s="8">
        <f t="shared" si="71"/>
        <v>36860</v>
      </c>
      <c r="Q326" s="8">
        <f t="shared" si="72"/>
        <v>37225</v>
      </c>
      <c r="R326">
        <f t="shared" si="79"/>
        <v>78.925972451790642</v>
      </c>
      <c r="S326">
        <f t="shared" si="88"/>
        <v>80.266269972451781</v>
      </c>
      <c r="T326" s="20">
        <f t="shared" si="73"/>
        <v>-1.6698141337838979E-2</v>
      </c>
      <c r="U326" s="20">
        <f t="shared" si="89"/>
        <v>1.8069759808308956E-2</v>
      </c>
      <c r="V326" s="18">
        <f t="shared" si="80"/>
        <v>586511</v>
      </c>
      <c r="W326">
        <f t="shared" si="81"/>
        <v>931.84982920110178</v>
      </c>
      <c r="Y326">
        <f t="shared" si="82"/>
        <v>931.84982920110178</v>
      </c>
      <c r="AA326" s="27">
        <f t="shared" si="85"/>
        <v>2001</v>
      </c>
      <c r="AB326" s="26">
        <f t="shared" si="86"/>
        <v>1.5775421996886418E-2</v>
      </c>
      <c r="AC326" s="7">
        <f t="shared" si="87"/>
        <v>586511</v>
      </c>
    </row>
    <row r="327" spans="1:29" x14ac:dyDescent="0.2">
      <c r="A327" s="8">
        <f t="shared" si="83"/>
        <v>37256</v>
      </c>
      <c r="B327" s="17">
        <f t="shared" si="74"/>
        <v>2001</v>
      </c>
      <c r="C327" s="17">
        <f t="shared" si="75"/>
        <v>12</v>
      </c>
      <c r="F327" s="7">
        <v>776512</v>
      </c>
      <c r="G327" s="7">
        <v>732284</v>
      </c>
      <c r="H327" s="7">
        <v>593996</v>
      </c>
      <c r="I327" s="7">
        <v>847919</v>
      </c>
      <c r="J327" s="19">
        <v>69.160947658402208</v>
      </c>
      <c r="K327" s="6">
        <f t="shared" si="76"/>
        <v>44228</v>
      </c>
      <c r="L327" s="15">
        <f t="shared" si="77"/>
        <v>4.2364363631272592</v>
      </c>
      <c r="M327" s="16">
        <f t="shared" si="84"/>
        <v>-0.13207399245458262</v>
      </c>
      <c r="N327" s="8">
        <f t="array" ref="N327">MAX(IF($B$4:$B$507=B327,$A$4:$A$507))</f>
        <v>37256</v>
      </c>
      <c r="O327" s="8">
        <f t="array" ref="O327">MIN(IF($B$4:$B$507=B327,$A$4:$A$507))</f>
        <v>36922</v>
      </c>
      <c r="P327" s="8">
        <f t="shared" si="71"/>
        <v>36891</v>
      </c>
      <c r="Q327" s="8">
        <f t="shared" si="72"/>
        <v>37256</v>
      </c>
      <c r="R327">
        <f t="shared" si="79"/>
        <v>69.160947658402208</v>
      </c>
      <c r="S327">
        <f t="shared" si="88"/>
        <v>73.923790633608803</v>
      </c>
      <c r="T327" s="20">
        <f t="shared" si="73"/>
        <v>-6.4429095618389609E-2</v>
      </c>
      <c r="U327" s="20">
        <f t="shared" si="89"/>
        <v>1.8069759808308956E-2</v>
      </c>
      <c r="V327" s="18">
        <f t="shared" si="80"/>
        <v>586511</v>
      </c>
      <c r="W327">
        <f t="shared" si="81"/>
        <v>931.84982920110178</v>
      </c>
      <c r="Y327">
        <f t="shared" si="82"/>
        <v>931.84982920110178</v>
      </c>
      <c r="AA327" s="27">
        <f t="shared" si="85"/>
        <v>2001</v>
      </c>
      <c r="AB327" s="26">
        <f t="shared" si="86"/>
        <v>1.5775421996886418E-2</v>
      </c>
      <c r="AC327" s="7">
        <f t="shared" si="87"/>
        <v>586511</v>
      </c>
    </row>
    <row r="328" spans="1:29" x14ac:dyDescent="0.2">
      <c r="A328" s="8">
        <f t="shared" si="83"/>
        <v>37287</v>
      </c>
      <c r="B328" s="17">
        <f t="shared" si="74"/>
        <v>2002</v>
      </c>
      <c r="C328" s="17">
        <f t="shared" si="75"/>
        <v>1</v>
      </c>
      <c r="F328" s="7">
        <v>746433</v>
      </c>
      <c r="G328" s="7">
        <v>664420</v>
      </c>
      <c r="H328" s="7">
        <v>776512</v>
      </c>
      <c r="I328" s="7">
        <v>732284</v>
      </c>
      <c r="J328" s="19">
        <v>72.400000000000006</v>
      </c>
      <c r="K328" s="6">
        <f t="shared" si="76"/>
        <v>82013</v>
      </c>
      <c r="L328" s="15">
        <f t="shared" si="77"/>
        <v>4.282206299391671</v>
      </c>
      <c r="M328" s="16">
        <f t="shared" si="84"/>
        <v>4.5769936264411726E-2</v>
      </c>
      <c r="N328" s="8">
        <f t="array" ref="N328">MAX(IF($B$4:$B$507=B328,$A$4:$A$507))</f>
        <v>37621</v>
      </c>
      <c r="O328" s="8">
        <f t="array" ref="O328">MIN(IF($B$4:$B$507=B328,$A$4:$A$507))</f>
        <v>37287</v>
      </c>
      <c r="P328" s="8">
        <f t="shared" si="71"/>
        <v>36922</v>
      </c>
      <c r="Q328" s="8">
        <f t="shared" si="72"/>
        <v>37287</v>
      </c>
      <c r="R328">
        <f t="shared" si="79"/>
        <v>72.400000000000006</v>
      </c>
      <c r="S328">
        <f t="shared" si="88"/>
        <v>73.261619834710729</v>
      </c>
      <c r="T328" s="20">
        <f t="shared" si="73"/>
        <v>-1.1760862463247035E-2</v>
      </c>
      <c r="U328" s="20">
        <f t="shared" si="89"/>
        <v>2.3730583997346465E-2</v>
      </c>
      <c r="V328" s="18">
        <f t="shared" si="80"/>
        <v>468672</v>
      </c>
      <c r="W328">
        <f t="shared" si="81"/>
        <v>953.7</v>
      </c>
      <c r="Y328">
        <f t="shared" si="82"/>
        <v>953.7</v>
      </c>
      <c r="AA328" s="27">
        <f t="shared" si="85"/>
        <v>2002</v>
      </c>
      <c r="AB328" s="26">
        <f t="shared" si="86"/>
        <v>2.3448167413016474E-2</v>
      </c>
      <c r="AC328" s="7">
        <f t="shared" si="87"/>
        <v>468672</v>
      </c>
    </row>
    <row r="329" spans="1:29" x14ac:dyDescent="0.2">
      <c r="A329" s="8">
        <f t="shared" si="83"/>
        <v>37315</v>
      </c>
      <c r="B329" s="17">
        <f t="shared" si="74"/>
        <v>2002</v>
      </c>
      <c r="C329" s="17">
        <f t="shared" si="75"/>
        <v>2</v>
      </c>
      <c r="F329" s="7">
        <v>873579</v>
      </c>
      <c r="G329" s="7">
        <v>783319</v>
      </c>
      <c r="H329" s="7">
        <v>746433</v>
      </c>
      <c r="I329" s="7">
        <v>664420</v>
      </c>
      <c r="J329" s="19">
        <v>69.7</v>
      </c>
      <c r="K329" s="6">
        <f t="shared" si="76"/>
        <v>90260</v>
      </c>
      <c r="L329" s="15">
        <f t="shared" si="77"/>
        <v>4.2442003177664782</v>
      </c>
      <c r="M329" s="16">
        <f t="shared" si="84"/>
        <v>-3.8005981625192753E-2</v>
      </c>
      <c r="N329" s="8">
        <f t="array" ref="N329">MAX(IF($B$4:$B$507=B329,$A$4:$A$507))</f>
        <v>37621</v>
      </c>
      <c r="O329" s="8">
        <f t="array" ref="O329">MIN(IF($B$4:$B$507=B329,$A$4:$A$507))</f>
        <v>37287</v>
      </c>
      <c r="P329" s="8">
        <f t="shared" si="71"/>
        <v>36950</v>
      </c>
      <c r="Q329" s="8">
        <f t="shared" si="72"/>
        <v>37315</v>
      </c>
      <c r="R329">
        <f t="shared" si="79"/>
        <v>69.7</v>
      </c>
      <c r="S329">
        <f t="shared" si="88"/>
        <v>70.684738292011005</v>
      </c>
      <c r="T329" s="20">
        <f t="shared" si="73"/>
        <v>-1.39314131424364E-2</v>
      </c>
      <c r="U329" s="20">
        <f t="shared" si="89"/>
        <v>2.3730583997346465E-2</v>
      </c>
      <c r="V329" s="18">
        <f t="shared" si="80"/>
        <v>468672</v>
      </c>
      <c r="W329">
        <f t="shared" si="81"/>
        <v>953.7</v>
      </c>
      <c r="Y329">
        <f t="shared" si="82"/>
        <v>953.7</v>
      </c>
      <c r="AA329" s="27">
        <f t="shared" si="85"/>
        <v>2002</v>
      </c>
      <c r="AB329" s="26">
        <f t="shared" si="86"/>
        <v>2.3448167413016474E-2</v>
      </c>
      <c r="AC329" s="7">
        <f t="shared" si="87"/>
        <v>468672</v>
      </c>
    </row>
    <row r="330" spans="1:29" x14ac:dyDescent="0.2">
      <c r="A330" s="8">
        <f t="shared" si="83"/>
        <v>37346</v>
      </c>
      <c r="B330" s="17">
        <f t="shared" si="74"/>
        <v>2002</v>
      </c>
      <c r="C330" s="17">
        <f t="shared" si="75"/>
        <v>3</v>
      </c>
      <c r="F330" s="7">
        <v>945874</v>
      </c>
      <c r="G330" s="7">
        <v>770784</v>
      </c>
      <c r="H330" s="7">
        <v>873579</v>
      </c>
      <c r="I330" s="7">
        <v>783319</v>
      </c>
      <c r="J330" s="19">
        <v>77.400000000000006</v>
      </c>
      <c r="K330" s="6">
        <f t="shared" si="76"/>
        <v>175090</v>
      </c>
      <c r="L330" s="15">
        <f t="shared" si="77"/>
        <v>4.3489867805956814</v>
      </c>
      <c r="M330" s="16">
        <f t="shared" si="84"/>
        <v>0.10478646282920323</v>
      </c>
      <c r="N330" s="8">
        <f t="array" ref="N330">MAX(IF($B$4:$B$507=B330,$A$4:$A$507))</f>
        <v>37621</v>
      </c>
      <c r="O330" s="8">
        <f t="array" ref="O330">MIN(IF($B$4:$B$507=B330,$A$4:$A$507))</f>
        <v>37287</v>
      </c>
      <c r="P330" s="8">
        <f t="shared" si="71"/>
        <v>36981</v>
      </c>
      <c r="Q330" s="8">
        <f t="shared" si="72"/>
        <v>37346</v>
      </c>
      <c r="R330">
        <f t="shared" si="79"/>
        <v>77.400000000000006</v>
      </c>
      <c r="S330">
        <f t="shared" si="88"/>
        <v>80.186490358126719</v>
      </c>
      <c r="T330" s="20">
        <f t="shared" si="73"/>
        <v>-3.4750122441844833E-2</v>
      </c>
      <c r="U330" s="20">
        <f t="shared" si="89"/>
        <v>2.3730583997346465E-2</v>
      </c>
      <c r="V330" s="18">
        <f t="shared" si="80"/>
        <v>468672</v>
      </c>
      <c r="W330">
        <f t="shared" si="81"/>
        <v>953.7</v>
      </c>
      <c r="Y330">
        <f t="shared" si="82"/>
        <v>953.7</v>
      </c>
      <c r="AA330" s="27">
        <f t="shared" si="85"/>
        <v>2002</v>
      </c>
      <c r="AB330" s="26">
        <f t="shared" si="86"/>
        <v>2.3448167413016474E-2</v>
      </c>
      <c r="AC330" s="7">
        <f t="shared" si="87"/>
        <v>468672</v>
      </c>
    </row>
    <row r="331" spans="1:29" x14ac:dyDescent="0.2">
      <c r="A331" s="8">
        <f t="shared" si="83"/>
        <v>37376</v>
      </c>
      <c r="B331" s="17">
        <f t="shared" si="74"/>
        <v>2002</v>
      </c>
      <c r="C331" s="17">
        <f t="shared" si="75"/>
        <v>4</v>
      </c>
      <c r="F331" s="7">
        <v>926931</v>
      </c>
      <c r="G331" s="7">
        <v>771118</v>
      </c>
      <c r="H331" s="7">
        <v>945874</v>
      </c>
      <c r="I331" s="7">
        <v>770784</v>
      </c>
      <c r="J331" s="19">
        <v>79.599999999999994</v>
      </c>
      <c r="K331" s="6">
        <f t="shared" si="76"/>
        <v>155813</v>
      </c>
      <c r="L331" s="15">
        <f t="shared" si="77"/>
        <v>4.3770140928503372</v>
      </c>
      <c r="M331" s="16">
        <f t="shared" si="84"/>
        <v>2.8027312254655712E-2</v>
      </c>
      <c r="N331" s="8">
        <f t="array" ref="N331">MAX(IF($B$4:$B$507=B331,$A$4:$A$507))</f>
        <v>37621</v>
      </c>
      <c r="O331" s="8">
        <f t="array" ref="O331">MIN(IF($B$4:$B$507=B331,$A$4:$A$507))</f>
        <v>37287</v>
      </c>
      <c r="P331" s="8">
        <f t="shared" si="71"/>
        <v>37011</v>
      </c>
      <c r="Q331" s="8">
        <f t="shared" si="72"/>
        <v>37376</v>
      </c>
      <c r="R331">
        <f t="shared" si="79"/>
        <v>79.599999999999994</v>
      </c>
      <c r="S331">
        <f t="shared" si="88"/>
        <v>75.33588980716253</v>
      </c>
      <c r="T331" s="20">
        <f t="shared" si="73"/>
        <v>5.6601311854845182E-2</v>
      </c>
      <c r="U331" s="20">
        <f t="shared" si="89"/>
        <v>2.3730583997346465E-2</v>
      </c>
      <c r="V331" s="18">
        <f t="shared" si="80"/>
        <v>468672</v>
      </c>
      <c r="W331">
        <f t="shared" si="81"/>
        <v>953.7</v>
      </c>
      <c r="Y331">
        <f t="shared" si="82"/>
        <v>953.7</v>
      </c>
      <c r="AA331" s="27">
        <f t="shared" si="85"/>
        <v>2002</v>
      </c>
      <c r="AB331" s="26">
        <f t="shared" si="86"/>
        <v>2.3448167413016474E-2</v>
      </c>
      <c r="AC331" s="7">
        <f t="shared" si="87"/>
        <v>468672</v>
      </c>
    </row>
    <row r="332" spans="1:29" x14ac:dyDescent="0.2">
      <c r="A332" s="8">
        <f t="shared" si="83"/>
        <v>37407</v>
      </c>
      <c r="B332" s="17">
        <f t="shared" si="74"/>
        <v>2002</v>
      </c>
      <c r="C332" s="17">
        <f t="shared" si="75"/>
        <v>5</v>
      </c>
      <c r="F332" s="7">
        <v>775351</v>
      </c>
      <c r="G332" s="7">
        <v>642005</v>
      </c>
      <c r="H332" s="7">
        <v>926931</v>
      </c>
      <c r="I332" s="7">
        <v>771118</v>
      </c>
      <c r="J332" s="19">
        <v>80.400000000000006</v>
      </c>
      <c r="K332" s="6">
        <f t="shared" si="76"/>
        <v>133346</v>
      </c>
      <c r="L332" s="15">
        <f t="shared" si="77"/>
        <v>4.3870141761849206</v>
      </c>
      <c r="M332" s="16">
        <f t="shared" si="84"/>
        <v>1.0000083334583465E-2</v>
      </c>
      <c r="N332" s="8">
        <f t="array" ref="N332">MAX(IF($B$4:$B$507=B332,$A$4:$A$507))</f>
        <v>37621</v>
      </c>
      <c r="O332" s="8">
        <f t="array" ref="O332">MIN(IF($B$4:$B$507=B332,$A$4:$A$507))</f>
        <v>37287</v>
      </c>
      <c r="P332" s="8">
        <f t="shared" si="71"/>
        <v>37042</v>
      </c>
      <c r="Q332" s="8">
        <f t="shared" si="72"/>
        <v>37407</v>
      </c>
      <c r="R332">
        <f t="shared" si="79"/>
        <v>80.400000000000006</v>
      </c>
      <c r="S332">
        <f t="shared" si="88"/>
        <v>81.726236914600548</v>
      </c>
      <c r="T332" s="20">
        <f t="shared" si="73"/>
        <v>-1.6227798619755207E-2</v>
      </c>
      <c r="U332" s="20">
        <f t="shared" si="89"/>
        <v>2.3730583997346465E-2</v>
      </c>
      <c r="V332" s="18">
        <f t="shared" si="80"/>
        <v>468672</v>
      </c>
      <c r="W332">
        <f t="shared" si="81"/>
        <v>953.7</v>
      </c>
      <c r="Y332">
        <f t="shared" si="82"/>
        <v>953.7</v>
      </c>
      <c r="AA332" s="27">
        <f t="shared" si="85"/>
        <v>2002</v>
      </c>
      <c r="AB332" s="26">
        <f t="shared" si="86"/>
        <v>2.3448167413016474E-2</v>
      </c>
      <c r="AC332" s="7">
        <f t="shared" si="87"/>
        <v>468672</v>
      </c>
    </row>
    <row r="333" spans="1:29" x14ac:dyDescent="0.2">
      <c r="A333" s="8">
        <f t="shared" si="83"/>
        <v>37437</v>
      </c>
      <c r="B333" s="17">
        <f t="shared" si="74"/>
        <v>2002</v>
      </c>
      <c r="C333" s="17">
        <f t="shared" si="75"/>
        <v>6</v>
      </c>
      <c r="F333" s="7">
        <v>831579</v>
      </c>
      <c r="G333" s="7">
        <v>770352</v>
      </c>
      <c r="H333" s="7">
        <v>775351</v>
      </c>
      <c r="I333" s="7">
        <v>642005</v>
      </c>
      <c r="J333" s="19">
        <v>77.5</v>
      </c>
      <c r="K333" s="6">
        <f t="shared" si="76"/>
        <v>61227</v>
      </c>
      <c r="L333" s="15">
        <f t="shared" si="77"/>
        <v>4.3502779363593014</v>
      </c>
      <c r="M333" s="16">
        <f t="shared" si="84"/>
        <v>-3.6736239825619244E-2</v>
      </c>
      <c r="N333" s="8">
        <f t="array" ref="N333">MAX(IF($B$4:$B$507=B333,$A$4:$A$507))</f>
        <v>37621</v>
      </c>
      <c r="O333" s="8">
        <f t="array" ref="O333">MIN(IF($B$4:$B$507=B333,$A$4:$A$507))</f>
        <v>37287</v>
      </c>
      <c r="P333" s="8">
        <f t="shared" si="71"/>
        <v>37072</v>
      </c>
      <c r="Q333" s="8">
        <f t="shared" si="72"/>
        <v>37437</v>
      </c>
      <c r="R333">
        <f t="shared" si="79"/>
        <v>77.5</v>
      </c>
      <c r="S333">
        <f t="shared" si="88"/>
        <v>77.96861707988981</v>
      </c>
      <c r="T333" s="20">
        <f t="shared" si="73"/>
        <v>-6.0103295074432905E-3</v>
      </c>
      <c r="U333" s="20">
        <f t="shared" si="89"/>
        <v>2.3730583997346465E-2</v>
      </c>
      <c r="V333" s="18">
        <f t="shared" si="80"/>
        <v>468672</v>
      </c>
      <c r="W333">
        <f t="shared" si="81"/>
        <v>953.7</v>
      </c>
      <c r="Y333">
        <f t="shared" si="82"/>
        <v>953.7</v>
      </c>
      <c r="AA333" s="27">
        <f t="shared" si="85"/>
        <v>2002</v>
      </c>
      <c r="AB333" s="26">
        <f t="shared" si="86"/>
        <v>2.3448167413016474E-2</v>
      </c>
      <c r="AC333" s="7">
        <f t="shared" si="87"/>
        <v>468672</v>
      </c>
    </row>
    <row r="334" spans="1:29" x14ac:dyDescent="0.2">
      <c r="A334" s="8">
        <f t="shared" si="83"/>
        <v>37468</v>
      </c>
      <c r="B334" s="17">
        <f t="shared" si="74"/>
        <v>2002</v>
      </c>
      <c r="C334" s="17">
        <f t="shared" si="75"/>
        <v>7</v>
      </c>
      <c r="F334" s="7">
        <v>862934</v>
      </c>
      <c r="G334" s="7">
        <v>784912</v>
      </c>
      <c r="H334" s="7">
        <v>831579</v>
      </c>
      <c r="I334" s="7">
        <v>770352</v>
      </c>
      <c r="J334" s="19">
        <v>83.3</v>
      </c>
      <c r="K334" s="6">
        <f t="shared" si="76"/>
        <v>78022</v>
      </c>
      <c r="L334" s="15">
        <f t="shared" si="77"/>
        <v>4.4224485491727972</v>
      </c>
      <c r="M334" s="16">
        <f t="shared" si="84"/>
        <v>7.2170612813495794E-2</v>
      </c>
      <c r="N334" s="8">
        <f t="array" ref="N334">MAX(IF($B$4:$B$507=B334,$A$4:$A$507))</f>
        <v>37621</v>
      </c>
      <c r="O334" s="8">
        <f t="array" ref="O334">MIN(IF($B$4:$B$507=B334,$A$4:$A$507))</f>
        <v>37287</v>
      </c>
      <c r="P334" s="8">
        <f t="shared" si="71"/>
        <v>37103</v>
      </c>
      <c r="Q334" s="8">
        <f t="shared" si="72"/>
        <v>37468</v>
      </c>
      <c r="R334">
        <f t="shared" si="79"/>
        <v>83.3</v>
      </c>
      <c r="S334">
        <f t="shared" si="88"/>
        <v>81.351272727272729</v>
      </c>
      <c r="T334" s="20">
        <f t="shared" si="73"/>
        <v>2.3954477998891388E-2</v>
      </c>
      <c r="U334" s="20">
        <f t="shared" si="89"/>
        <v>2.3730583997346465E-2</v>
      </c>
      <c r="V334" s="18">
        <f t="shared" si="80"/>
        <v>468672</v>
      </c>
      <c r="W334">
        <f t="shared" si="81"/>
        <v>953.7</v>
      </c>
      <c r="Y334">
        <f t="shared" si="82"/>
        <v>953.7</v>
      </c>
      <c r="AA334" s="27">
        <f t="shared" si="85"/>
        <v>2002</v>
      </c>
      <c r="AB334" s="26">
        <f t="shared" si="86"/>
        <v>2.3448167413016474E-2</v>
      </c>
      <c r="AC334" s="7">
        <f t="shared" si="87"/>
        <v>468672</v>
      </c>
    </row>
    <row r="335" spans="1:29" x14ac:dyDescent="0.2">
      <c r="A335" s="8">
        <f t="shared" si="83"/>
        <v>37499</v>
      </c>
      <c r="B335" s="17">
        <f t="shared" si="74"/>
        <v>2002</v>
      </c>
      <c r="C335" s="17">
        <f t="shared" si="75"/>
        <v>8</v>
      </c>
      <c r="F335" s="7">
        <v>874062</v>
      </c>
      <c r="G335" s="7">
        <v>706750</v>
      </c>
      <c r="H335" s="7">
        <v>862934</v>
      </c>
      <c r="I335" s="7">
        <v>784912</v>
      </c>
      <c r="J335" s="19">
        <v>83.6</v>
      </c>
      <c r="K335" s="6">
        <f t="shared" si="76"/>
        <v>167312</v>
      </c>
      <c r="L335" s="15">
        <f t="shared" si="77"/>
        <v>4.4260435200906558</v>
      </c>
      <c r="M335" s="16">
        <f t="shared" si="84"/>
        <v>3.5949709178586531E-3</v>
      </c>
      <c r="N335" s="8">
        <f t="array" ref="N335">MAX(IF($B$4:$B$507=B335,$A$4:$A$507))</f>
        <v>37621</v>
      </c>
      <c r="O335" s="8">
        <f t="array" ref="O335">MIN(IF($B$4:$B$507=B335,$A$4:$A$507))</f>
        <v>37287</v>
      </c>
      <c r="P335" s="8">
        <f t="shared" si="71"/>
        <v>37134</v>
      </c>
      <c r="Q335" s="8">
        <f t="shared" si="72"/>
        <v>37499</v>
      </c>
      <c r="R335">
        <f t="shared" si="79"/>
        <v>83.6</v>
      </c>
      <c r="S335">
        <f t="shared" si="88"/>
        <v>83.712749311294772</v>
      </c>
      <c r="T335" s="20">
        <f t="shared" si="73"/>
        <v>-1.3468594953859325E-3</v>
      </c>
      <c r="U335" s="20">
        <f t="shared" si="89"/>
        <v>2.3730583997346465E-2</v>
      </c>
      <c r="V335" s="18">
        <f t="shared" si="80"/>
        <v>468672</v>
      </c>
      <c r="W335">
        <f t="shared" si="81"/>
        <v>953.7</v>
      </c>
      <c r="Y335">
        <f t="shared" si="82"/>
        <v>953.7</v>
      </c>
      <c r="AA335" s="27">
        <f t="shared" si="85"/>
        <v>2002</v>
      </c>
      <c r="AB335" s="26">
        <f t="shared" si="86"/>
        <v>2.3448167413016474E-2</v>
      </c>
      <c r="AC335" s="7">
        <f t="shared" si="87"/>
        <v>468672</v>
      </c>
    </row>
    <row r="336" spans="1:29" x14ac:dyDescent="0.2">
      <c r="A336" s="8">
        <f t="shared" si="83"/>
        <v>37529</v>
      </c>
      <c r="B336" s="17">
        <f t="shared" si="74"/>
        <v>2002</v>
      </c>
      <c r="C336" s="17">
        <f t="shared" si="75"/>
        <v>9</v>
      </c>
      <c r="F336" s="7">
        <v>853080</v>
      </c>
      <c r="G336" s="7">
        <v>816712</v>
      </c>
      <c r="H336" s="7">
        <v>874062</v>
      </c>
      <c r="I336" s="7">
        <v>706750</v>
      </c>
      <c r="J336" s="19">
        <v>82.1</v>
      </c>
      <c r="K336" s="6">
        <f t="shared" si="76"/>
        <v>36368</v>
      </c>
      <c r="L336" s="15">
        <f t="shared" si="77"/>
        <v>4.4079380164583828</v>
      </c>
      <c r="M336" s="16">
        <f t="shared" si="84"/>
        <v>-1.8105503632273034E-2</v>
      </c>
      <c r="N336" s="8">
        <f t="array" ref="N336">MAX(IF($B$4:$B$507=B336,$A$4:$A$507))</f>
        <v>37621</v>
      </c>
      <c r="O336" s="8">
        <f t="array" ref="O336">MIN(IF($B$4:$B$507=B336,$A$4:$A$507))</f>
        <v>37287</v>
      </c>
      <c r="P336" s="8">
        <f t="shared" si="71"/>
        <v>37164</v>
      </c>
      <c r="Q336" s="8">
        <f t="shared" si="72"/>
        <v>37529</v>
      </c>
      <c r="R336">
        <f t="shared" si="79"/>
        <v>82.1</v>
      </c>
      <c r="S336">
        <f t="shared" si="88"/>
        <v>78.279757575757586</v>
      </c>
      <c r="T336" s="20">
        <f t="shared" si="73"/>
        <v>4.88024304437229E-2</v>
      </c>
      <c r="U336" s="20">
        <f t="shared" si="89"/>
        <v>2.3730583997346465E-2</v>
      </c>
      <c r="V336" s="18">
        <f t="shared" si="80"/>
        <v>468672</v>
      </c>
      <c r="W336">
        <f t="shared" si="81"/>
        <v>953.7</v>
      </c>
      <c r="Y336">
        <f t="shared" si="82"/>
        <v>953.7</v>
      </c>
      <c r="AA336" s="27">
        <f t="shared" si="85"/>
        <v>2002</v>
      </c>
      <c r="AB336" s="26">
        <f t="shared" si="86"/>
        <v>2.3448167413016474E-2</v>
      </c>
      <c r="AC336" s="7">
        <f t="shared" si="87"/>
        <v>468672</v>
      </c>
    </row>
    <row r="337" spans="1:29" x14ac:dyDescent="0.2">
      <c r="A337" s="8">
        <f t="shared" si="83"/>
        <v>37560</v>
      </c>
      <c r="B337" s="17">
        <f t="shared" si="74"/>
        <v>2002</v>
      </c>
      <c r="C337" s="17">
        <f t="shared" si="75"/>
        <v>10</v>
      </c>
      <c r="F337" s="7">
        <v>775085</v>
      </c>
      <c r="G337" s="7">
        <v>786836</v>
      </c>
      <c r="H337" s="7">
        <v>853080</v>
      </c>
      <c r="I337" s="7">
        <v>816712</v>
      </c>
      <c r="J337" s="19">
        <v>89.2</v>
      </c>
      <c r="K337" s="6">
        <f t="shared" si="76"/>
        <v>-11751</v>
      </c>
      <c r="L337" s="15">
        <f t="shared" si="77"/>
        <v>4.4908810395859637</v>
      </c>
      <c r="M337" s="16">
        <f t="shared" si="84"/>
        <v>8.294302312758095E-2</v>
      </c>
      <c r="N337" s="8">
        <f t="array" ref="N337">MAX(IF($B$4:$B$507=B337,$A$4:$A$507))</f>
        <v>37621</v>
      </c>
      <c r="O337" s="8">
        <f t="array" ref="O337">MIN(IF($B$4:$B$507=B337,$A$4:$A$507))</f>
        <v>37287</v>
      </c>
      <c r="P337" s="8">
        <f t="shared" si="71"/>
        <v>37195</v>
      </c>
      <c r="Q337" s="8">
        <f t="shared" si="72"/>
        <v>37560</v>
      </c>
      <c r="R337">
        <f t="shared" si="79"/>
        <v>89.2</v>
      </c>
      <c r="S337">
        <f t="shared" si="88"/>
        <v>81.255537190082649</v>
      </c>
      <c r="T337" s="20">
        <f t="shared" si="73"/>
        <v>9.7771340694391418E-2</v>
      </c>
      <c r="U337" s="20">
        <f t="shared" si="89"/>
        <v>2.3730583997346465E-2</v>
      </c>
      <c r="V337" s="18">
        <f t="shared" si="80"/>
        <v>468672</v>
      </c>
      <c r="W337">
        <f t="shared" si="81"/>
        <v>953.7</v>
      </c>
      <c r="Y337">
        <f t="shared" si="82"/>
        <v>953.7</v>
      </c>
      <c r="AA337" s="27">
        <f t="shared" si="85"/>
        <v>2002</v>
      </c>
      <c r="AB337" s="26">
        <f t="shared" si="86"/>
        <v>2.3448167413016474E-2</v>
      </c>
      <c r="AC337" s="7">
        <f t="shared" si="87"/>
        <v>468672</v>
      </c>
    </row>
    <row r="338" spans="1:29" x14ac:dyDescent="0.2">
      <c r="A338" s="8">
        <f t="shared" si="83"/>
        <v>37590</v>
      </c>
      <c r="B338" s="17">
        <f t="shared" si="74"/>
        <v>2002</v>
      </c>
      <c r="C338" s="17">
        <f t="shared" si="75"/>
        <v>11</v>
      </c>
      <c r="F338" s="7">
        <v>570959</v>
      </c>
      <c r="G338" s="7">
        <v>820473</v>
      </c>
      <c r="H338" s="7">
        <v>775085</v>
      </c>
      <c r="I338" s="7">
        <v>786836</v>
      </c>
      <c r="J338" s="19">
        <v>83.9</v>
      </c>
      <c r="K338" s="6">
        <f t="shared" si="76"/>
        <v>-249514</v>
      </c>
      <c r="L338" s="15">
        <f t="shared" si="77"/>
        <v>4.4296256134731609</v>
      </c>
      <c r="M338" s="16">
        <f t="shared" si="84"/>
        <v>-6.125542611280288E-2</v>
      </c>
      <c r="N338" s="8">
        <f t="array" ref="N338">MAX(IF($B$4:$B$507=B338,$A$4:$A$507))</f>
        <v>37621</v>
      </c>
      <c r="O338" s="8">
        <f t="array" ref="O338">MIN(IF($B$4:$B$507=B338,$A$4:$A$507))</f>
        <v>37287</v>
      </c>
      <c r="P338" s="8">
        <f t="shared" si="71"/>
        <v>37225</v>
      </c>
      <c r="Q338" s="8">
        <f t="shared" si="72"/>
        <v>37590</v>
      </c>
      <c r="R338">
        <f t="shared" si="79"/>
        <v>83.9</v>
      </c>
      <c r="S338">
        <f t="shared" si="88"/>
        <v>78.925972451790642</v>
      </c>
      <c r="T338" s="20">
        <f t="shared" si="73"/>
        <v>6.3021428734977958E-2</v>
      </c>
      <c r="U338" s="20">
        <f t="shared" si="89"/>
        <v>2.3730583997346465E-2</v>
      </c>
      <c r="V338" s="18">
        <f t="shared" si="80"/>
        <v>468672</v>
      </c>
      <c r="W338">
        <f t="shared" si="81"/>
        <v>953.7</v>
      </c>
      <c r="Y338">
        <f t="shared" si="82"/>
        <v>953.7</v>
      </c>
      <c r="AA338" s="27">
        <f t="shared" si="85"/>
        <v>2002</v>
      </c>
      <c r="AB338" s="26">
        <f t="shared" si="86"/>
        <v>2.3448167413016474E-2</v>
      </c>
      <c r="AC338" s="7">
        <f t="shared" si="87"/>
        <v>468672</v>
      </c>
    </row>
    <row r="339" spans="1:29" x14ac:dyDescent="0.2">
      <c r="A339" s="8">
        <f t="shared" si="83"/>
        <v>37621</v>
      </c>
      <c r="B339" s="17">
        <f t="shared" si="74"/>
        <v>2002</v>
      </c>
      <c r="C339" s="17">
        <f t="shared" si="75"/>
        <v>12</v>
      </c>
      <c r="F339" s="7" t="s">
        <v>404</v>
      </c>
      <c r="G339" s="7" t="s">
        <v>404</v>
      </c>
      <c r="H339" s="7">
        <v>570959</v>
      </c>
      <c r="I339" s="7">
        <v>820473</v>
      </c>
      <c r="J339" s="19">
        <v>74.599999999999994</v>
      </c>
      <c r="K339" s="6">
        <f t="shared" si="76"/>
        <v>-249514</v>
      </c>
      <c r="L339" s="15">
        <f t="shared" si="77"/>
        <v>4.3121405072097154</v>
      </c>
      <c r="M339" s="16">
        <f t="shared" si="84"/>
        <v>-0.11748510626344544</v>
      </c>
      <c r="N339" s="8">
        <f t="array" ref="N339">MAX(IF($B$4:$B$507=B339,$A$4:$A$507))</f>
        <v>37621</v>
      </c>
      <c r="O339" s="8">
        <f t="array" ref="O339">MIN(IF($B$4:$B$507=B339,$A$4:$A$507))</f>
        <v>37287</v>
      </c>
      <c r="P339" s="8">
        <f t="shared" si="71"/>
        <v>37256</v>
      </c>
      <c r="Q339" s="8">
        <f t="shared" si="72"/>
        <v>37621</v>
      </c>
      <c r="R339">
        <f t="shared" si="79"/>
        <v>74.599999999999994</v>
      </c>
      <c r="S339">
        <f t="shared" si="88"/>
        <v>69.160947658402208</v>
      </c>
      <c r="T339" s="20">
        <f t="shared" si="73"/>
        <v>7.8643403911441423E-2</v>
      </c>
      <c r="U339" s="20">
        <f t="shared" si="89"/>
        <v>2.3730583997346465E-2</v>
      </c>
      <c r="V339" s="18">
        <f t="shared" si="80"/>
        <v>468672</v>
      </c>
      <c r="W339">
        <f t="shared" si="81"/>
        <v>953.7</v>
      </c>
      <c r="Y339">
        <f t="shared" si="82"/>
        <v>953.7</v>
      </c>
      <c r="AA339" s="27">
        <f t="shared" si="85"/>
        <v>2002</v>
      </c>
      <c r="AB339" s="26">
        <f t="shared" si="86"/>
        <v>2.3448167413016474E-2</v>
      </c>
      <c r="AC339" s="7">
        <f t="shared" si="87"/>
        <v>468672</v>
      </c>
    </row>
    <row r="340" spans="1:29" x14ac:dyDescent="0.2">
      <c r="A340" s="8">
        <f t="shared" si="83"/>
        <v>37652</v>
      </c>
      <c r="B340" s="17">
        <f t="shared" si="74"/>
        <v>2003</v>
      </c>
      <c r="C340" s="17">
        <f t="shared" si="75"/>
        <v>1</v>
      </c>
      <c r="D340" s="7"/>
      <c r="F340" s="7">
        <v>841125</v>
      </c>
      <c r="G340" s="7">
        <v>757096</v>
      </c>
      <c r="H340" s="7">
        <v>822277</v>
      </c>
      <c r="I340" s="7">
        <v>786792</v>
      </c>
      <c r="J340" s="19">
        <v>74</v>
      </c>
      <c r="K340" s="6">
        <f t="shared" si="76"/>
        <v>84029</v>
      </c>
      <c r="L340" s="15">
        <f t="shared" si="77"/>
        <v>4.3040650932041702</v>
      </c>
      <c r="M340" s="16">
        <f t="shared" si="84"/>
        <v>-8.0754140055452339E-3</v>
      </c>
      <c r="N340" s="8">
        <f t="array" ref="N340">MAX(IF($B$4:$B$507=B340,$A$4:$A$507))</f>
        <v>37986</v>
      </c>
      <c r="O340" s="8">
        <f t="array" ref="O340">MIN(IF($B$4:$B$507=B340,$A$4:$A$507))</f>
        <v>37652</v>
      </c>
      <c r="P340" s="8">
        <f t="shared" si="71"/>
        <v>37287</v>
      </c>
      <c r="Q340" s="8">
        <f t="shared" si="72"/>
        <v>37652</v>
      </c>
      <c r="R340">
        <f t="shared" si="79"/>
        <v>74</v>
      </c>
      <c r="S340">
        <f t="shared" si="88"/>
        <v>72.400000000000006</v>
      </c>
      <c r="T340" s="20">
        <f t="shared" si="73"/>
        <v>2.2099447513812098E-2</v>
      </c>
      <c r="U340" s="20">
        <f t="shared" si="89"/>
        <v>3.8797688781345798E-3</v>
      </c>
      <c r="V340" s="18">
        <f t="shared" si="80"/>
        <v>710054</v>
      </c>
      <c r="W340">
        <f t="shared" si="81"/>
        <v>956.80000000000007</v>
      </c>
      <c r="Y340">
        <f t="shared" si="82"/>
        <v>956.80000000000007</v>
      </c>
      <c r="AA340" s="27">
        <f t="shared" si="85"/>
        <v>2003</v>
      </c>
      <c r="AB340" s="26">
        <f t="shared" si="86"/>
        <v>3.250498060186624E-3</v>
      </c>
      <c r="AC340" s="7">
        <f t="shared" si="87"/>
        <v>710054</v>
      </c>
    </row>
    <row r="341" spans="1:29" x14ac:dyDescent="0.2">
      <c r="A341" s="8">
        <f t="shared" si="83"/>
        <v>37680</v>
      </c>
      <c r="B341" s="17">
        <f t="shared" si="74"/>
        <v>2003</v>
      </c>
      <c r="C341" s="17">
        <f t="shared" si="75"/>
        <v>2</v>
      </c>
      <c r="D341" s="7"/>
      <c r="F341" s="7">
        <v>773659</v>
      </c>
      <c r="G341" s="7">
        <v>752398</v>
      </c>
      <c r="H341" s="7">
        <v>841125</v>
      </c>
      <c r="I341" s="7">
        <v>757096</v>
      </c>
      <c r="J341" s="19">
        <v>71.8</v>
      </c>
      <c r="K341" s="6">
        <f t="shared" si="76"/>
        <v>21261</v>
      </c>
      <c r="L341" s="15">
        <f t="shared" si="77"/>
        <v>4.2738844760541781</v>
      </c>
      <c r="M341" s="16">
        <f t="shared" si="84"/>
        <v>-3.0180617149992095E-2</v>
      </c>
      <c r="N341" s="8">
        <f t="array" ref="N341">MAX(IF($B$4:$B$507=B341,$A$4:$A$507))</f>
        <v>37986</v>
      </c>
      <c r="O341" s="8">
        <f t="array" ref="O341">MIN(IF($B$4:$B$507=B341,$A$4:$A$507))</f>
        <v>37652</v>
      </c>
      <c r="P341" s="8">
        <f t="shared" si="71"/>
        <v>37315</v>
      </c>
      <c r="Q341" s="8">
        <f t="shared" si="72"/>
        <v>37680</v>
      </c>
      <c r="R341">
        <f t="shared" si="79"/>
        <v>71.8</v>
      </c>
      <c r="S341">
        <f t="shared" si="88"/>
        <v>69.7</v>
      </c>
      <c r="T341" s="20">
        <f t="shared" si="73"/>
        <v>3.0129124820659881E-2</v>
      </c>
      <c r="U341" s="20">
        <f t="shared" si="89"/>
        <v>3.8797688781345798E-3</v>
      </c>
      <c r="V341" s="18">
        <f t="shared" si="80"/>
        <v>710054</v>
      </c>
      <c r="W341">
        <f t="shared" si="81"/>
        <v>956.80000000000007</v>
      </c>
      <c r="Y341">
        <f t="shared" si="82"/>
        <v>956.80000000000007</v>
      </c>
      <c r="AA341" s="27">
        <f t="shared" si="85"/>
        <v>2003</v>
      </c>
      <c r="AB341" s="26">
        <f t="shared" si="86"/>
        <v>3.250498060186624E-3</v>
      </c>
      <c r="AC341" s="7">
        <f t="shared" si="87"/>
        <v>710054</v>
      </c>
    </row>
    <row r="342" spans="1:29" x14ac:dyDescent="0.2">
      <c r="A342" s="8">
        <f t="shared" si="83"/>
        <v>37711</v>
      </c>
      <c r="B342" s="17">
        <f t="shared" si="74"/>
        <v>2003</v>
      </c>
      <c r="C342" s="17">
        <f t="shared" si="75"/>
        <v>3</v>
      </c>
      <c r="D342" s="7"/>
      <c r="F342" s="7">
        <v>869453</v>
      </c>
      <c r="G342" s="7">
        <v>715429</v>
      </c>
      <c r="H342" s="7">
        <v>773659</v>
      </c>
      <c r="I342" s="7">
        <v>752398</v>
      </c>
      <c r="J342" s="19">
        <v>77.400000000000006</v>
      </c>
      <c r="K342" s="6">
        <f t="shared" si="76"/>
        <v>154024</v>
      </c>
      <c r="L342" s="15">
        <f t="shared" si="77"/>
        <v>4.3489867805956814</v>
      </c>
      <c r="M342" s="16">
        <f t="shared" si="84"/>
        <v>7.5102304541503351E-2</v>
      </c>
      <c r="N342" s="8">
        <f t="array" ref="N342">MAX(IF($B$4:$B$507=B342,$A$4:$A$507))</f>
        <v>37986</v>
      </c>
      <c r="O342" s="8">
        <f t="array" ref="O342">MIN(IF($B$4:$B$507=B342,$A$4:$A$507))</f>
        <v>37652</v>
      </c>
      <c r="P342" s="8">
        <f t="shared" si="71"/>
        <v>37346</v>
      </c>
      <c r="Q342" s="8">
        <f t="shared" si="72"/>
        <v>37711</v>
      </c>
      <c r="R342">
        <f t="shared" si="79"/>
        <v>77.400000000000006</v>
      </c>
      <c r="S342">
        <f t="shared" si="88"/>
        <v>77.400000000000006</v>
      </c>
      <c r="T342" s="20">
        <f t="shared" si="73"/>
        <v>0</v>
      </c>
      <c r="U342" s="20">
        <f t="shared" si="89"/>
        <v>3.8797688781345798E-3</v>
      </c>
      <c r="V342" s="18">
        <f t="shared" si="80"/>
        <v>710054</v>
      </c>
      <c r="W342">
        <f t="shared" si="81"/>
        <v>956.80000000000007</v>
      </c>
      <c r="Y342">
        <f t="shared" si="82"/>
        <v>956.80000000000007</v>
      </c>
      <c r="AA342" s="27">
        <f t="shared" si="85"/>
        <v>2003</v>
      </c>
      <c r="AB342" s="26">
        <f t="shared" si="86"/>
        <v>3.250498060186624E-3</v>
      </c>
      <c r="AC342" s="7">
        <f t="shared" si="87"/>
        <v>710054</v>
      </c>
    </row>
    <row r="343" spans="1:29" x14ac:dyDescent="0.2">
      <c r="A343" s="8">
        <f t="shared" si="83"/>
        <v>37741</v>
      </c>
      <c r="B343" s="17">
        <f t="shared" si="74"/>
        <v>2003</v>
      </c>
      <c r="C343" s="17">
        <f t="shared" si="75"/>
        <v>4</v>
      </c>
      <c r="F343" s="7">
        <v>904068</v>
      </c>
      <c r="G343" s="7">
        <v>763755</v>
      </c>
      <c r="H343" s="7">
        <v>869453</v>
      </c>
      <c r="I343" s="7">
        <v>715429</v>
      </c>
      <c r="J343" s="19">
        <v>76.5</v>
      </c>
      <c r="K343" s="6">
        <f t="shared" si="76"/>
        <v>140313</v>
      </c>
      <c r="L343" s="15">
        <f t="shared" si="77"/>
        <v>4.3372907408324899</v>
      </c>
      <c r="M343" s="16">
        <f t="shared" si="84"/>
        <v>-1.1696039763191557E-2</v>
      </c>
      <c r="N343" s="8">
        <f t="array" ref="N343">MAX(IF($B$4:$B$507=B343,$A$4:$A$507))</f>
        <v>37986</v>
      </c>
      <c r="O343" s="8">
        <f t="array" ref="O343">MIN(IF($B$4:$B$507=B343,$A$4:$A$507))</f>
        <v>37652</v>
      </c>
      <c r="P343" s="8">
        <f t="shared" si="71"/>
        <v>37376</v>
      </c>
      <c r="Q343" s="8">
        <f t="shared" si="72"/>
        <v>37741</v>
      </c>
      <c r="R343">
        <f t="shared" si="79"/>
        <v>76.5</v>
      </c>
      <c r="S343">
        <f t="shared" si="88"/>
        <v>79.599999999999994</v>
      </c>
      <c r="T343" s="20">
        <f t="shared" si="73"/>
        <v>-3.8944723618090427E-2</v>
      </c>
      <c r="U343" s="20">
        <f t="shared" si="89"/>
        <v>3.8797688781345798E-3</v>
      </c>
      <c r="V343" s="18">
        <f t="shared" si="80"/>
        <v>710054</v>
      </c>
      <c r="W343">
        <f t="shared" si="81"/>
        <v>956.80000000000007</v>
      </c>
      <c r="Y343">
        <f t="shared" si="82"/>
        <v>956.80000000000007</v>
      </c>
      <c r="AA343" s="27">
        <f t="shared" si="85"/>
        <v>2003</v>
      </c>
      <c r="AB343" s="26">
        <f t="shared" si="86"/>
        <v>3.250498060186624E-3</v>
      </c>
      <c r="AC343" s="7">
        <f t="shared" si="87"/>
        <v>710054</v>
      </c>
    </row>
    <row r="344" spans="1:29" x14ac:dyDescent="0.2">
      <c r="A344" s="8">
        <f t="shared" si="83"/>
        <v>37772</v>
      </c>
      <c r="B344" s="17">
        <f t="shared" si="74"/>
        <v>2003</v>
      </c>
      <c r="C344" s="17">
        <f t="shared" si="75"/>
        <v>5</v>
      </c>
      <c r="F344" s="7">
        <v>824879</v>
      </c>
      <c r="G344" s="7">
        <v>699084</v>
      </c>
      <c r="H344" s="7">
        <v>904068</v>
      </c>
      <c r="I344" s="7">
        <v>763755</v>
      </c>
      <c r="J344" s="19">
        <v>79.7</v>
      </c>
      <c r="K344" s="6">
        <f t="shared" si="76"/>
        <v>125795</v>
      </c>
      <c r="L344" s="15">
        <f t="shared" si="77"/>
        <v>4.3782695857961693</v>
      </c>
      <c r="M344" s="16">
        <f t="shared" si="84"/>
        <v>4.0978844963679428E-2</v>
      </c>
      <c r="N344" s="8">
        <f t="array" ref="N344">MAX(IF($B$4:$B$507=B344,$A$4:$A$507))</f>
        <v>37986</v>
      </c>
      <c r="O344" s="8">
        <f t="array" ref="O344">MIN(IF($B$4:$B$507=B344,$A$4:$A$507))</f>
        <v>37652</v>
      </c>
      <c r="P344" s="8">
        <f t="shared" si="71"/>
        <v>37407</v>
      </c>
      <c r="Q344" s="8">
        <f t="shared" si="72"/>
        <v>37772</v>
      </c>
      <c r="R344">
        <f t="shared" si="79"/>
        <v>79.7</v>
      </c>
      <c r="S344">
        <f t="shared" si="88"/>
        <v>80.400000000000006</v>
      </c>
      <c r="T344" s="20">
        <f t="shared" si="73"/>
        <v>-8.7064676616915859E-3</v>
      </c>
      <c r="U344" s="20">
        <f t="shared" si="89"/>
        <v>3.8797688781345798E-3</v>
      </c>
      <c r="V344" s="18">
        <f t="shared" si="80"/>
        <v>710054</v>
      </c>
      <c r="W344">
        <f t="shared" si="81"/>
        <v>956.80000000000007</v>
      </c>
      <c r="Y344">
        <f t="shared" si="82"/>
        <v>956.80000000000007</v>
      </c>
      <c r="AA344" s="27">
        <f t="shared" si="85"/>
        <v>2003</v>
      </c>
      <c r="AB344" s="26">
        <f t="shared" si="86"/>
        <v>3.250498060186624E-3</v>
      </c>
      <c r="AC344" s="7">
        <f t="shared" si="87"/>
        <v>710054</v>
      </c>
    </row>
    <row r="345" spans="1:29" x14ac:dyDescent="0.2">
      <c r="A345" s="8">
        <f t="shared" si="83"/>
        <v>37802</v>
      </c>
      <c r="B345" s="17">
        <f t="shared" si="74"/>
        <v>2003</v>
      </c>
      <c r="C345" s="17">
        <f t="shared" si="75"/>
        <v>6</v>
      </c>
      <c r="F345" s="7">
        <v>812383</v>
      </c>
      <c r="G345" s="7">
        <v>775150</v>
      </c>
      <c r="H345" s="7">
        <v>824879</v>
      </c>
      <c r="I345" s="7">
        <v>699084</v>
      </c>
      <c r="J345" s="19">
        <v>76.3</v>
      </c>
      <c r="K345" s="6">
        <f t="shared" si="76"/>
        <v>37233</v>
      </c>
      <c r="L345" s="15">
        <f t="shared" si="77"/>
        <v>4.334672938290411</v>
      </c>
      <c r="M345" s="16">
        <f t="shared" si="84"/>
        <v>-4.3596647505758312E-2</v>
      </c>
      <c r="N345" s="8">
        <f t="array" ref="N345">MAX(IF($B$4:$B$507=B345,$A$4:$A$507))</f>
        <v>37986</v>
      </c>
      <c r="O345" s="8">
        <f t="array" ref="O345">MIN(IF($B$4:$B$507=B345,$A$4:$A$507))</f>
        <v>37652</v>
      </c>
      <c r="P345" s="8">
        <f t="shared" ref="P345:P408" si="90">EOMONTH(Q345,-12)</f>
        <v>37437</v>
      </c>
      <c r="Q345" s="8">
        <f t="shared" ref="Q345:Q408" si="91">A345</f>
        <v>37802</v>
      </c>
      <c r="R345">
        <f t="shared" si="79"/>
        <v>76.3</v>
      </c>
      <c r="S345">
        <f t="shared" si="88"/>
        <v>77.5</v>
      </c>
      <c r="T345" s="20">
        <f t="shared" si="73"/>
        <v>-1.5483870967741953E-2</v>
      </c>
      <c r="U345" s="20">
        <f t="shared" si="89"/>
        <v>3.8797688781345798E-3</v>
      </c>
      <c r="V345" s="18">
        <f t="shared" si="80"/>
        <v>710054</v>
      </c>
      <c r="W345">
        <f t="shared" si="81"/>
        <v>956.80000000000007</v>
      </c>
      <c r="Y345">
        <f t="shared" si="82"/>
        <v>956.80000000000007</v>
      </c>
      <c r="AA345" s="27">
        <f t="shared" si="85"/>
        <v>2003</v>
      </c>
      <c r="AB345" s="26">
        <f t="shared" si="86"/>
        <v>3.250498060186624E-3</v>
      </c>
      <c r="AC345" s="7">
        <f t="shared" si="87"/>
        <v>710054</v>
      </c>
    </row>
    <row r="346" spans="1:29" x14ac:dyDescent="0.2">
      <c r="A346" s="8">
        <f t="shared" si="83"/>
        <v>37833</v>
      </c>
      <c r="B346" s="17">
        <f t="shared" si="74"/>
        <v>2003</v>
      </c>
      <c r="C346" s="17">
        <f t="shared" si="75"/>
        <v>7</v>
      </c>
      <c r="F346" s="7">
        <v>839474</v>
      </c>
      <c r="G346" s="7">
        <v>759702</v>
      </c>
      <c r="H346" s="7">
        <v>812383</v>
      </c>
      <c r="I346" s="7">
        <v>775150</v>
      </c>
      <c r="J346" s="19">
        <v>81.3</v>
      </c>
      <c r="K346" s="6">
        <f t="shared" si="76"/>
        <v>79772</v>
      </c>
      <c r="L346" s="15">
        <f t="shared" si="77"/>
        <v>4.3981460165537651</v>
      </c>
      <c r="M346" s="16">
        <f t="shared" si="84"/>
        <v>6.3473078263354132E-2</v>
      </c>
      <c r="N346" s="8">
        <f t="array" ref="N346">MAX(IF($B$4:$B$507=B346,$A$4:$A$507))</f>
        <v>37986</v>
      </c>
      <c r="O346" s="8">
        <f t="array" ref="O346">MIN(IF($B$4:$B$507=B346,$A$4:$A$507))</f>
        <v>37652</v>
      </c>
      <c r="P346" s="8">
        <f t="shared" si="90"/>
        <v>37468</v>
      </c>
      <c r="Q346" s="8">
        <f t="shared" si="91"/>
        <v>37833</v>
      </c>
      <c r="R346">
        <f t="shared" si="79"/>
        <v>81.3</v>
      </c>
      <c r="S346">
        <f t="shared" si="88"/>
        <v>83.3</v>
      </c>
      <c r="T346" s="20">
        <f t="shared" si="73"/>
        <v>-2.4009603841536609E-2</v>
      </c>
      <c r="U346" s="20">
        <f t="shared" si="89"/>
        <v>3.8797688781345798E-3</v>
      </c>
      <c r="V346" s="18">
        <f t="shared" si="80"/>
        <v>710054</v>
      </c>
      <c r="W346">
        <f t="shared" si="81"/>
        <v>956.80000000000007</v>
      </c>
      <c r="Y346">
        <f t="shared" si="82"/>
        <v>956.80000000000007</v>
      </c>
      <c r="AA346" s="27">
        <f t="shared" si="85"/>
        <v>2003</v>
      </c>
      <c r="AB346" s="26">
        <f t="shared" si="86"/>
        <v>3.250498060186624E-3</v>
      </c>
      <c r="AC346" s="7">
        <f t="shared" si="87"/>
        <v>710054</v>
      </c>
    </row>
    <row r="347" spans="1:29" x14ac:dyDescent="0.2">
      <c r="A347" s="8">
        <f t="shared" si="83"/>
        <v>37864</v>
      </c>
      <c r="B347" s="17">
        <f t="shared" si="74"/>
        <v>2003</v>
      </c>
      <c r="C347" s="17">
        <f t="shared" si="75"/>
        <v>8</v>
      </c>
      <c r="F347" s="7">
        <v>900082</v>
      </c>
      <c r="G347" s="7">
        <v>738317</v>
      </c>
      <c r="H347" s="7">
        <v>839474</v>
      </c>
      <c r="I347" s="7">
        <v>759702</v>
      </c>
      <c r="J347" s="19">
        <v>81.599999999999994</v>
      </c>
      <c r="K347" s="6">
        <f t="shared" si="76"/>
        <v>161765</v>
      </c>
      <c r="L347" s="15">
        <f t="shared" si="77"/>
        <v>4.401829261970061</v>
      </c>
      <c r="M347" s="16">
        <f t="shared" si="84"/>
        <v>3.6832454162958328E-3</v>
      </c>
      <c r="N347" s="8">
        <f t="array" ref="N347">MAX(IF($B$4:$B$507=B347,$A$4:$A$507))</f>
        <v>37986</v>
      </c>
      <c r="O347" s="8">
        <f t="array" ref="O347">MIN(IF($B$4:$B$507=B347,$A$4:$A$507))</f>
        <v>37652</v>
      </c>
      <c r="P347" s="8">
        <f t="shared" si="90"/>
        <v>37499</v>
      </c>
      <c r="Q347" s="8">
        <f t="shared" si="91"/>
        <v>37864</v>
      </c>
      <c r="R347">
        <f t="shared" si="79"/>
        <v>81.599999999999994</v>
      </c>
      <c r="S347">
        <f t="shared" si="88"/>
        <v>83.6</v>
      </c>
      <c r="T347" s="20">
        <f t="shared" si="73"/>
        <v>-2.3923444976076569E-2</v>
      </c>
      <c r="U347" s="20">
        <f t="shared" si="89"/>
        <v>3.8797688781345798E-3</v>
      </c>
      <c r="V347" s="18">
        <f t="shared" si="80"/>
        <v>710054</v>
      </c>
      <c r="W347">
        <f t="shared" si="81"/>
        <v>956.80000000000007</v>
      </c>
      <c r="Y347">
        <f t="shared" si="82"/>
        <v>956.80000000000007</v>
      </c>
      <c r="AA347" s="27">
        <f t="shared" si="85"/>
        <v>2003</v>
      </c>
      <c r="AB347" s="26">
        <f t="shared" si="86"/>
        <v>3.250498060186624E-3</v>
      </c>
      <c r="AC347" s="7">
        <f t="shared" si="87"/>
        <v>710054</v>
      </c>
    </row>
    <row r="348" spans="1:29" x14ac:dyDescent="0.2">
      <c r="A348" s="8">
        <f t="shared" si="83"/>
        <v>37894</v>
      </c>
      <c r="B348" s="17">
        <f t="shared" si="74"/>
        <v>2003</v>
      </c>
      <c r="C348" s="17">
        <f t="shared" si="75"/>
        <v>9</v>
      </c>
      <c r="F348" s="7">
        <v>851731</v>
      </c>
      <c r="G348" s="7">
        <v>780861</v>
      </c>
      <c r="H348" s="7">
        <v>900082</v>
      </c>
      <c r="I348" s="7">
        <v>738317</v>
      </c>
      <c r="J348" s="19">
        <v>85.7</v>
      </c>
      <c r="K348" s="6">
        <f t="shared" si="76"/>
        <v>70870</v>
      </c>
      <c r="L348" s="15">
        <f t="shared" si="77"/>
        <v>4.4508528256037341</v>
      </c>
      <c r="M348" s="16">
        <f t="shared" si="84"/>
        <v>4.9023563633673106E-2</v>
      </c>
      <c r="N348" s="8">
        <f t="array" ref="N348">MAX(IF($B$4:$B$507=B348,$A$4:$A$507))</f>
        <v>37986</v>
      </c>
      <c r="O348" s="8">
        <f t="array" ref="O348">MIN(IF($B$4:$B$507=B348,$A$4:$A$507))</f>
        <v>37652</v>
      </c>
      <c r="P348" s="8">
        <f t="shared" si="90"/>
        <v>37529</v>
      </c>
      <c r="Q348" s="8">
        <f t="shared" si="91"/>
        <v>37894</v>
      </c>
      <c r="R348">
        <f t="shared" si="79"/>
        <v>85.7</v>
      </c>
      <c r="S348">
        <f t="shared" si="88"/>
        <v>82.1</v>
      </c>
      <c r="T348" s="20">
        <f t="shared" si="73"/>
        <v>4.3848964677223101E-2</v>
      </c>
      <c r="U348" s="20">
        <f t="shared" si="89"/>
        <v>3.8797688781345798E-3</v>
      </c>
      <c r="V348" s="18">
        <f t="shared" si="80"/>
        <v>710054</v>
      </c>
      <c r="W348">
        <f t="shared" si="81"/>
        <v>956.80000000000007</v>
      </c>
      <c r="Y348">
        <f t="shared" si="82"/>
        <v>956.80000000000007</v>
      </c>
      <c r="AA348" s="27">
        <f t="shared" si="85"/>
        <v>2003</v>
      </c>
      <c r="AB348" s="26">
        <f t="shared" si="86"/>
        <v>3.250498060186624E-3</v>
      </c>
      <c r="AC348" s="7">
        <f t="shared" si="87"/>
        <v>710054</v>
      </c>
    </row>
    <row r="349" spans="1:29" x14ac:dyDescent="0.2">
      <c r="A349" s="8">
        <f t="shared" si="83"/>
        <v>37925</v>
      </c>
      <c r="B349" s="17">
        <f t="shared" si="74"/>
        <v>2003</v>
      </c>
      <c r="C349" s="17">
        <f t="shared" si="75"/>
        <v>10</v>
      </c>
      <c r="F349" s="7">
        <v>788649</v>
      </c>
      <c r="G349" s="7">
        <v>753845</v>
      </c>
      <c r="H349" s="7">
        <v>851731</v>
      </c>
      <c r="I349" s="7">
        <v>780861</v>
      </c>
      <c r="J349" s="19">
        <v>90</v>
      </c>
      <c r="K349" s="6">
        <f t="shared" si="76"/>
        <v>34804</v>
      </c>
      <c r="L349" s="15">
        <f t="shared" si="77"/>
        <v>4.499809670330265</v>
      </c>
      <c r="M349" s="16">
        <f t="shared" si="84"/>
        <v>4.8956844726530946E-2</v>
      </c>
      <c r="N349" s="8">
        <f t="array" ref="N349">MAX(IF($B$4:$B$507=B349,$A$4:$A$507))</f>
        <v>37986</v>
      </c>
      <c r="O349" s="8">
        <f t="array" ref="O349">MIN(IF($B$4:$B$507=B349,$A$4:$A$507))</f>
        <v>37652</v>
      </c>
      <c r="P349" s="8">
        <f t="shared" si="90"/>
        <v>37560</v>
      </c>
      <c r="Q349" s="8">
        <f t="shared" si="91"/>
        <v>37925</v>
      </c>
      <c r="R349">
        <f t="shared" si="79"/>
        <v>90</v>
      </c>
      <c r="S349">
        <f t="shared" si="88"/>
        <v>89.2</v>
      </c>
      <c r="T349" s="20">
        <f t="shared" si="73"/>
        <v>8.9686098654708779E-3</v>
      </c>
      <c r="U349" s="20">
        <f t="shared" si="89"/>
        <v>3.8797688781345798E-3</v>
      </c>
      <c r="V349" s="18">
        <f t="shared" si="80"/>
        <v>710054</v>
      </c>
      <c r="W349">
        <f t="shared" si="81"/>
        <v>956.80000000000007</v>
      </c>
      <c r="Y349">
        <f t="shared" si="82"/>
        <v>956.80000000000007</v>
      </c>
      <c r="AA349" s="27">
        <f t="shared" si="85"/>
        <v>2003</v>
      </c>
      <c r="AB349" s="26">
        <f t="shared" si="86"/>
        <v>3.250498060186624E-3</v>
      </c>
      <c r="AC349" s="7">
        <f t="shared" si="87"/>
        <v>710054</v>
      </c>
    </row>
    <row r="350" spans="1:29" x14ac:dyDescent="0.2">
      <c r="A350" s="8">
        <f t="shared" si="83"/>
        <v>37955</v>
      </c>
      <c r="B350" s="17">
        <f t="shared" si="74"/>
        <v>2003</v>
      </c>
      <c r="C350" s="17">
        <f t="shared" si="75"/>
        <v>11</v>
      </c>
      <c r="F350" s="7">
        <v>581563</v>
      </c>
      <c r="G350" s="7">
        <v>881481</v>
      </c>
      <c r="H350" s="7">
        <v>788649</v>
      </c>
      <c r="I350" s="7">
        <v>753845</v>
      </c>
      <c r="J350" s="19">
        <v>84.6</v>
      </c>
      <c r="K350" s="6">
        <f t="shared" si="76"/>
        <v>-299918</v>
      </c>
      <c r="L350" s="15">
        <f t="shared" si="77"/>
        <v>4.4379342666121779</v>
      </c>
      <c r="M350" s="16">
        <f t="shared" si="84"/>
        <v>-6.1875403718087085E-2</v>
      </c>
      <c r="N350" s="8">
        <f t="array" ref="N350">MAX(IF($B$4:$B$507=B350,$A$4:$A$507))</f>
        <v>37986</v>
      </c>
      <c r="O350" s="8">
        <f t="array" ref="O350">MIN(IF($B$4:$B$507=B350,$A$4:$A$507))</f>
        <v>37652</v>
      </c>
      <c r="P350" s="8">
        <f t="shared" si="90"/>
        <v>37590</v>
      </c>
      <c r="Q350" s="8">
        <f t="shared" si="91"/>
        <v>37955</v>
      </c>
      <c r="R350">
        <f t="shared" si="79"/>
        <v>84.6</v>
      </c>
      <c r="S350">
        <f t="shared" si="88"/>
        <v>83.9</v>
      </c>
      <c r="T350" s="20">
        <f t="shared" si="73"/>
        <v>8.3432657926101328E-3</v>
      </c>
      <c r="U350" s="20">
        <f t="shared" si="89"/>
        <v>3.8797688781345798E-3</v>
      </c>
      <c r="V350" s="18">
        <f t="shared" si="80"/>
        <v>710054</v>
      </c>
      <c r="W350">
        <f t="shared" si="81"/>
        <v>956.80000000000007</v>
      </c>
      <c r="Y350">
        <f t="shared" si="82"/>
        <v>956.80000000000007</v>
      </c>
      <c r="AA350" s="27">
        <f t="shared" si="85"/>
        <v>2003</v>
      </c>
      <c r="AB350" s="26">
        <f t="shared" si="86"/>
        <v>3.250498060186624E-3</v>
      </c>
      <c r="AC350" s="7">
        <f t="shared" si="87"/>
        <v>710054</v>
      </c>
    </row>
    <row r="351" spans="1:29" x14ac:dyDescent="0.2">
      <c r="A351" s="8">
        <f t="shared" si="83"/>
        <v>37986</v>
      </c>
      <c r="B351" s="17">
        <f t="shared" si="74"/>
        <v>2003</v>
      </c>
      <c r="C351" s="17">
        <f t="shared" si="75"/>
        <v>12</v>
      </c>
      <c r="F351" s="7">
        <v>850198</v>
      </c>
      <c r="G351" s="7">
        <v>750092</v>
      </c>
      <c r="H351" s="7">
        <v>581563</v>
      </c>
      <c r="I351" s="7">
        <v>881481</v>
      </c>
      <c r="J351" s="19">
        <v>77.900000000000006</v>
      </c>
      <c r="K351" s="6">
        <f t="shared" si="76"/>
        <v>100106</v>
      </c>
      <c r="L351" s="15">
        <f t="shared" si="77"/>
        <v>4.3554259528767023</v>
      </c>
      <c r="M351" s="16">
        <f t="shared" si="84"/>
        <v>-8.2508313735475625E-2</v>
      </c>
      <c r="N351" s="8">
        <f t="array" ref="N351">MAX(IF($B$4:$B$507=B351,$A$4:$A$507))</f>
        <v>37986</v>
      </c>
      <c r="O351" s="8">
        <f t="array" ref="O351">MIN(IF($B$4:$B$507=B351,$A$4:$A$507))</f>
        <v>37652</v>
      </c>
      <c r="P351" s="8">
        <f t="shared" si="90"/>
        <v>37621</v>
      </c>
      <c r="Q351" s="8">
        <f t="shared" si="91"/>
        <v>37986</v>
      </c>
      <c r="R351">
        <f t="shared" si="79"/>
        <v>77.900000000000006</v>
      </c>
      <c r="S351">
        <f t="shared" si="88"/>
        <v>74.599999999999994</v>
      </c>
      <c r="T351" s="20">
        <f t="shared" si="73"/>
        <v>4.4235924932976012E-2</v>
      </c>
      <c r="U351" s="20">
        <f t="shared" si="89"/>
        <v>3.8797688781345798E-3</v>
      </c>
      <c r="V351" s="18">
        <f t="shared" si="80"/>
        <v>710054</v>
      </c>
      <c r="W351">
        <f t="shared" si="81"/>
        <v>956.80000000000007</v>
      </c>
      <c r="Y351">
        <f t="shared" si="82"/>
        <v>956.80000000000007</v>
      </c>
      <c r="AA351" s="27">
        <f t="shared" si="85"/>
        <v>2003</v>
      </c>
      <c r="AB351" s="26">
        <f t="shared" si="86"/>
        <v>3.250498060186624E-3</v>
      </c>
      <c r="AC351" s="7">
        <f t="shared" si="87"/>
        <v>710054</v>
      </c>
    </row>
    <row r="352" spans="1:29" x14ac:dyDescent="0.2">
      <c r="A352" s="8">
        <f t="shared" si="83"/>
        <v>38017</v>
      </c>
      <c r="B352" s="17">
        <f t="shared" si="74"/>
        <v>2004</v>
      </c>
      <c r="C352" s="17">
        <f t="shared" si="75"/>
        <v>1</v>
      </c>
      <c r="D352">
        <v>850198</v>
      </c>
      <c r="E352">
        <v>750092</v>
      </c>
      <c r="F352" s="7">
        <v>872046</v>
      </c>
      <c r="G352" s="7">
        <v>732972</v>
      </c>
      <c r="H352" s="7">
        <v>850198</v>
      </c>
      <c r="I352" s="7">
        <v>750092</v>
      </c>
      <c r="J352" s="19">
        <v>76.8</v>
      </c>
      <c r="K352" s="6">
        <f t="shared" si="76"/>
        <v>100106</v>
      </c>
      <c r="L352" s="15">
        <f t="shared" si="77"/>
        <v>4.3412046401536264</v>
      </c>
      <c r="M352" s="16">
        <f t="shared" si="84"/>
        <v>-1.4221312723075918E-2</v>
      </c>
      <c r="N352" s="8">
        <f t="array" ref="N352">MAX(IF($B$4:$B$507=B352,$A$4:$A$507))</f>
        <v>38352</v>
      </c>
      <c r="O352" s="8">
        <f t="array" ref="O352">MIN(IF($B$4:$B$507=B352,$A$4:$A$507))</f>
        <v>38017</v>
      </c>
      <c r="P352" s="8">
        <f t="shared" si="90"/>
        <v>37652</v>
      </c>
      <c r="Q352" s="8">
        <f t="shared" si="91"/>
        <v>38017</v>
      </c>
      <c r="R352">
        <f t="shared" si="79"/>
        <v>76.8</v>
      </c>
      <c r="S352">
        <f t="shared" si="88"/>
        <v>74</v>
      </c>
      <c r="T352" s="20">
        <f t="shared" si="73"/>
        <v>3.7837837837837895E-2</v>
      </c>
      <c r="U352" s="20">
        <f t="shared" si="89"/>
        <v>8.3321797679050999E-2</v>
      </c>
      <c r="V352" s="18">
        <f t="shared" si="80"/>
        <v>1523276</v>
      </c>
      <c r="W352">
        <f t="shared" si="81"/>
        <v>1036.6000000000001</v>
      </c>
      <c r="Y352">
        <f t="shared" si="82"/>
        <v>1036.6000000000001</v>
      </c>
      <c r="AA352" s="27">
        <f t="shared" si="85"/>
        <v>2004</v>
      </c>
      <c r="AB352" s="26">
        <f t="shared" si="86"/>
        <v>8.3403010033444858E-2</v>
      </c>
      <c r="AC352" s="7">
        <f t="shared" si="87"/>
        <v>1523276</v>
      </c>
    </row>
    <row r="353" spans="1:29" x14ac:dyDescent="0.2">
      <c r="A353" s="8">
        <f t="shared" si="83"/>
        <v>38046</v>
      </c>
      <c r="B353" s="17">
        <f t="shared" si="74"/>
        <v>2004</v>
      </c>
      <c r="C353" s="17">
        <f t="shared" si="75"/>
        <v>2</v>
      </c>
      <c r="D353">
        <v>872046</v>
      </c>
      <c r="E353">
        <v>732972</v>
      </c>
      <c r="F353" s="7">
        <v>998092</v>
      </c>
      <c r="G353" s="7">
        <v>889880</v>
      </c>
      <c r="H353" s="7">
        <v>872046</v>
      </c>
      <c r="I353" s="7">
        <v>732972</v>
      </c>
      <c r="J353" s="19">
        <v>74</v>
      </c>
      <c r="K353" s="6">
        <f t="shared" si="76"/>
        <v>139074</v>
      </c>
      <c r="L353" s="15">
        <f t="shared" si="77"/>
        <v>4.3040650932041702</v>
      </c>
      <c r="M353" s="16">
        <f t="shared" si="84"/>
        <v>-3.7139546949456204E-2</v>
      </c>
      <c r="N353" s="8">
        <f t="array" ref="N353">MAX(IF($B$4:$B$507=B353,$A$4:$A$507))</f>
        <v>38352</v>
      </c>
      <c r="O353" s="8">
        <f t="array" ref="O353">MIN(IF($B$4:$B$507=B353,$A$4:$A$507))</f>
        <v>38017</v>
      </c>
      <c r="P353" s="8">
        <f t="shared" si="90"/>
        <v>37680</v>
      </c>
      <c r="Q353" s="8">
        <f t="shared" si="91"/>
        <v>38046</v>
      </c>
      <c r="R353">
        <f t="shared" si="79"/>
        <v>74</v>
      </c>
      <c r="S353">
        <f t="shared" si="88"/>
        <v>71.8</v>
      </c>
      <c r="T353" s="20">
        <f t="shared" si="73"/>
        <v>3.0640668523676862E-2</v>
      </c>
      <c r="U353" s="20">
        <f t="shared" si="89"/>
        <v>8.3321797679050999E-2</v>
      </c>
      <c r="V353" s="18">
        <f t="shared" si="80"/>
        <v>1523276</v>
      </c>
      <c r="W353">
        <f t="shared" si="81"/>
        <v>1036.6000000000001</v>
      </c>
      <c r="Y353">
        <f t="shared" si="82"/>
        <v>1036.6000000000001</v>
      </c>
      <c r="AA353" s="27">
        <f t="shared" si="85"/>
        <v>2004</v>
      </c>
      <c r="AB353" s="26">
        <f t="shared" si="86"/>
        <v>8.3403010033444858E-2</v>
      </c>
      <c r="AC353" s="7">
        <f t="shared" si="87"/>
        <v>1523276</v>
      </c>
    </row>
    <row r="354" spans="1:29" x14ac:dyDescent="0.2">
      <c r="A354" s="8">
        <f t="shared" si="83"/>
        <v>38077</v>
      </c>
      <c r="B354" s="17">
        <f t="shared" si="74"/>
        <v>2004</v>
      </c>
      <c r="C354" s="17">
        <f t="shared" si="75"/>
        <v>3</v>
      </c>
      <c r="D354">
        <v>998092</v>
      </c>
      <c r="E354">
        <v>889880</v>
      </c>
      <c r="F354" s="7">
        <v>961475</v>
      </c>
      <c r="G354" s="7">
        <v>773928</v>
      </c>
      <c r="H354" s="7">
        <v>998092</v>
      </c>
      <c r="I354" s="7">
        <v>889880</v>
      </c>
      <c r="J354" s="19">
        <v>86.9</v>
      </c>
      <c r="K354" s="6">
        <f t="shared" si="76"/>
        <v>108212</v>
      </c>
      <c r="L354" s="15">
        <f t="shared" si="77"/>
        <v>4.4647580322713463</v>
      </c>
      <c r="M354" s="16">
        <f t="shared" si="84"/>
        <v>0.16069293906717608</v>
      </c>
      <c r="N354" s="8">
        <f t="array" ref="N354">MAX(IF($B$4:$B$507=B354,$A$4:$A$507))</f>
        <v>38352</v>
      </c>
      <c r="O354" s="8">
        <f t="array" ref="O354">MIN(IF($B$4:$B$507=B354,$A$4:$A$507))</f>
        <v>38017</v>
      </c>
      <c r="P354" s="8">
        <f t="shared" si="90"/>
        <v>37711</v>
      </c>
      <c r="Q354" s="8">
        <f t="shared" si="91"/>
        <v>38077</v>
      </c>
      <c r="R354">
        <f t="shared" si="79"/>
        <v>86.9</v>
      </c>
      <c r="S354">
        <f t="shared" si="88"/>
        <v>77.400000000000006</v>
      </c>
      <c r="T354" s="20">
        <f t="shared" si="73"/>
        <v>0.12273901808785537</v>
      </c>
      <c r="U354" s="20">
        <f t="shared" si="89"/>
        <v>8.3321797679050999E-2</v>
      </c>
      <c r="V354" s="18">
        <f t="shared" si="80"/>
        <v>1523276</v>
      </c>
      <c r="W354">
        <f t="shared" si="81"/>
        <v>1036.6000000000001</v>
      </c>
      <c r="Y354">
        <f t="shared" si="82"/>
        <v>1036.6000000000001</v>
      </c>
      <c r="AA354" s="27">
        <f t="shared" si="85"/>
        <v>2004</v>
      </c>
      <c r="AB354" s="26">
        <f t="shared" si="86"/>
        <v>8.3403010033444858E-2</v>
      </c>
      <c r="AC354" s="7">
        <f t="shared" si="87"/>
        <v>1523276</v>
      </c>
    </row>
    <row r="355" spans="1:29" x14ac:dyDescent="0.2">
      <c r="A355" s="8">
        <f t="shared" si="83"/>
        <v>38107</v>
      </c>
      <c r="B355" s="17">
        <f t="shared" si="74"/>
        <v>2004</v>
      </c>
      <c r="C355" s="17">
        <f t="shared" si="75"/>
        <v>4</v>
      </c>
      <c r="D355">
        <v>961475</v>
      </c>
      <c r="E355">
        <v>773928</v>
      </c>
      <c r="F355" s="7">
        <v>1031227</v>
      </c>
      <c r="G355" s="7">
        <v>739405</v>
      </c>
      <c r="H355" s="7">
        <v>961475</v>
      </c>
      <c r="I355" s="7">
        <v>773928</v>
      </c>
      <c r="J355" s="19">
        <v>82.2</v>
      </c>
      <c r="K355" s="6">
        <f t="shared" si="76"/>
        <v>187547</v>
      </c>
      <c r="L355" s="15">
        <f t="shared" si="77"/>
        <v>4.4091553020621346</v>
      </c>
      <c r="M355" s="16">
        <f t="shared" si="84"/>
        <v>-5.5602730209211693E-2</v>
      </c>
      <c r="N355" s="8">
        <f t="array" ref="N355">MAX(IF($B$4:$B$507=B355,$A$4:$A$507))</f>
        <v>38352</v>
      </c>
      <c r="O355" s="8">
        <f t="array" ref="O355">MIN(IF($B$4:$B$507=B355,$A$4:$A$507))</f>
        <v>38017</v>
      </c>
      <c r="P355" s="8">
        <f t="shared" si="90"/>
        <v>37741</v>
      </c>
      <c r="Q355" s="8">
        <f t="shared" si="91"/>
        <v>38107</v>
      </c>
      <c r="R355">
        <f t="shared" si="79"/>
        <v>82.2</v>
      </c>
      <c r="S355">
        <f t="shared" si="88"/>
        <v>76.5</v>
      </c>
      <c r="T355" s="20">
        <f t="shared" si="73"/>
        <v>7.4509803921568585E-2</v>
      </c>
      <c r="U355" s="20">
        <f t="shared" si="89"/>
        <v>8.3321797679050999E-2</v>
      </c>
      <c r="V355" s="18">
        <f t="shared" si="80"/>
        <v>1523276</v>
      </c>
      <c r="W355">
        <f t="shared" si="81"/>
        <v>1036.6000000000001</v>
      </c>
      <c r="Y355">
        <f t="shared" si="82"/>
        <v>1036.6000000000001</v>
      </c>
      <c r="AA355" s="27">
        <f t="shared" si="85"/>
        <v>2004</v>
      </c>
      <c r="AB355" s="26">
        <f t="shared" si="86"/>
        <v>8.3403010033444858E-2</v>
      </c>
      <c r="AC355" s="7">
        <f t="shared" si="87"/>
        <v>1523276</v>
      </c>
    </row>
    <row r="356" spans="1:29" x14ac:dyDescent="0.2">
      <c r="A356" s="8">
        <f t="shared" si="83"/>
        <v>38138</v>
      </c>
      <c r="B356" s="17">
        <f t="shared" si="74"/>
        <v>2004</v>
      </c>
      <c r="C356" s="17">
        <f t="shared" si="75"/>
        <v>5</v>
      </c>
      <c r="D356">
        <v>1031227</v>
      </c>
      <c r="E356">
        <v>739405</v>
      </c>
      <c r="F356" s="7">
        <v>986494</v>
      </c>
      <c r="G356" s="7">
        <v>778599</v>
      </c>
      <c r="H356" s="7">
        <v>1031227</v>
      </c>
      <c r="I356" s="7">
        <v>739405</v>
      </c>
      <c r="J356" s="19">
        <v>86.3</v>
      </c>
      <c r="K356" s="6">
        <f t="shared" si="76"/>
        <v>291822</v>
      </c>
      <c r="L356" s="15">
        <f t="shared" si="77"/>
        <v>4.4578295980893818</v>
      </c>
      <c r="M356" s="16">
        <f t="shared" si="84"/>
        <v>4.8674296027247266E-2</v>
      </c>
      <c r="N356" s="8">
        <f t="array" ref="N356">MAX(IF($B$4:$B$507=B356,$A$4:$A$507))</f>
        <v>38352</v>
      </c>
      <c r="O356" s="8">
        <f t="array" ref="O356">MIN(IF($B$4:$B$507=B356,$A$4:$A$507))</f>
        <v>38017</v>
      </c>
      <c r="P356" s="8">
        <f t="shared" si="90"/>
        <v>37772</v>
      </c>
      <c r="Q356" s="8">
        <f t="shared" si="91"/>
        <v>38138</v>
      </c>
      <c r="R356">
        <f t="shared" si="79"/>
        <v>86.3</v>
      </c>
      <c r="S356">
        <f t="shared" si="88"/>
        <v>79.7</v>
      </c>
      <c r="T356" s="20">
        <f t="shared" si="73"/>
        <v>8.2810539523211935E-2</v>
      </c>
      <c r="U356" s="20">
        <f t="shared" si="89"/>
        <v>8.3321797679050999E-2</v>
      </c>
      <c r="V356" s="18">
        <f t="shared" si="80"/>
        <v>1523276</v>
      </c>
      <c r="W356">
        <f t="shared" si="81"/>
        <v>1036.6000000000001</v>
      </c>
      <c r="Y356">
        <f t="shared" si="82"/>
        <v>1036.6000000000001</v>
      </c>
      <c r="AA356" s="27">
        <f t="shared" si="85"/>
        <v>2004</v>
      </c>
      <c r="AB356" s="26">
        <f t="shared" si="86"/>
        <v>8.3403010033444858E-2</v>
      </c>
      <c r="AC356" s="7">
        <f t="shared" si="87"/>
        <v>1523276</v>
      </c>
    </row>
    <row r="357" spans="1:29" x14ac:dyDescent="0.2">
      <c r="A357" s="8">
        <f t="shared" si="83"/>
        <v>38168</v>
      </c>
      <c r="B357" s="17">
        <f t="shared" si="74"/>
        <v>2004</v>
      </c>
      <c r="C357" s="17">
        <f t="shared" si="75"/>
        <v>6</v>
      </c>
      <c r="D357">
        <v>986494</v>
      </c>
      <c r="E357">
        <v>778599</v>
      </c>
      <c r="F357" s="7">
        <v>982628</v>
      </c>
      <c r="G357" s="7">
        <v>780595</v>
      </c>
      <c r="H357" s="7">
        <v>986494</v>
      </c>
      <c r="I357" s="7">
        <v>778599</v>
      </c>
      <c r="J357" s="19">
        <v>86.1</v>
      </c>
      <c r="K357" s="6">
        <f t="shared" si="76"/>
        <v>207895</v>
      </c>
      <c r="L357" s="15">
        <f t="shared" si="77"/>
        <v>4.4555094114336846</v>
      </c>
      <c r="M357" s="16">
        <f t="shared" si="84"/>
        <v>-2.3201866556972206E-3</v>
      </c>
      <c r="N357" s="8">
        <f t="array" ref="N357">MAX(IF($B$4:$B$507=B357,$A$4:$A$507))</f>
        <v>38352</v>
      </c>
      <c r="O357" s="8">
        <f t="array" ref="O357">MIN(IF($B$4:$B$507=B357,$A$4:$A$507))</f>
        <v>38017</v>
      </c>
      <c r="P357" s="8">
        <f t="shared" si="90"/>
        <v>37802</v>
      </c>
      <c r="Q357" s="8">
        <f t="shared" si="91"/>
        <v>38168</v>
      </c>
      <c r="R357">
        <f t="shared" si="79"/>
        <v>86.1</v>
      </c>
      <c r="S357">
        <f t="shared" si="88"/>
        <v>76.3</v>
      </c>
      <c r="T357" s="20">
        <f t="shared" ref="T357:T420" si="92">R357/S357-1</f>
        <v>0.12844036697247696</v>
      </c>
      <c r="U357" s="20">
        <f t="shared" si="89"/>
        <v>8.3321797679050999E-2</v>
      </c>
      <c r="V357" s="18">
        <f t="shared" si="80"/>
        <v>1523276</v>
      </c>
      <c r="W357">
        <f t="shared" si="81"/>
        <v>1036.6000000000001</v>
      </c>
      <c r="Y357">
        <f t="shared" si="82"/>
        <v>1036.6000000000001</v>
      </c>
      <c r="AA357" s="27">
        <f t="shared" si="85"/>
        <v>2004</v>
      </c>
      <c r="AB357" s="26">
        <f t="shared" si="86"/>
        <v>8.3403010033444858E-2</v>
      </c>
      <c r="AC357" s="7">
        <f t="shared" si="87"/>
        <v>1523276</v>
      </c>
    </row>
    <row r="358" spans="1:29" x14ac:dyDescent="0.2">
      <c r="A358" s="8">
        <f t="shared" si="83"/>
        <v>38199</v>
      </c>
      <c r="B358" s="17">
        <f t="shared" si="74"/>
        <v>2004</v>
      </c>
      <c r="C358" s="17">
        <f t="shared" si="75"/>
        <v>7</v>
      </c>
      <c r="D358">
        <v>982628</v>
      </c>
      <c r="E358">
        <v>780595</v>
      </c>
      <c r="F358" s="7">
        <v>1048597</v>
      </c>
      <c r="G358" s="7">
        <v>818840</v>
      </c>
      <c r="H358" s="7">
        <v>982628</v>
      </c>
      <c r="I358" s="7">
        <v>780595</v>
      </c>
      <c r="J358" s="19">
        <v>90.1</v>
      </c>
      <c r="K358" s="6">
        <f t="shared" si="76"/>
        <v>202033</v>
      </c>
      <c r="L358" s="15">
        <f t="shared" si="77"/>
        <v>4.5009201646142918</v>
      </c>
      <c r="M358" s="16">
        <f t="shared" si="84"/>
        <v>4.5410753180607166E-2</v>
      </c>
      <c r="N358" s="8">
        <f t="array" ref="N358">MAX(IF($B$4:$B$507=B358,$A$4:$A$507))</f>
        <v>38352</v>
      </c>
      <c r="O358" s="8">
        <f t="array" ref="O358">MIN(IF($B$4:$B$507=B358,$A$4:$A$507))</f>
        <v>38017</v>
      </c>
      <c r="P358" s="8">
        <f t="shared" si="90"/>
        <v>37833</v>
      </c>
      <c r="Q358" s="8">
        <f t="shared" si="91"/>
        <v>38199</v>
      </c>
      <c r="R358">
        <f t="shared" si="79"/>
        <v>90.1</v>
      </c>
      <c r="S358">
        <f t="shared" si="88"/>
        <v>81.3</v>
      </c>
      <c r="T358" s="20">
        <f t="shared" si="92"/>
        <v>0.10824108241082397</v>
      </c>
      <c r="U358" s="20">
        <f t="shared" si="89"/>
        <v>8.3321797679050999E-2</v>
      </c>
      <c r="V358" s="18">
        <f t="shared" si="80"/>
        <v>1523276</v>
      </c>
      <c r="W358">
        <f t="shared" si="81"/>
        <v>1036.6000000000001</v>
      </c>
      <c r="Y358">
        <f t="shared" si="82"/>
        <v>1036.6000000000001</v>
      </c>
      <c r="AA358" s="27">
        <f t="shared" si="85"/>
        <v>2004</v>
      </c>
      <c r="AB358" s="26">
        <f t="shared" si="86"/>
        <v>8.3403010033444858E-2</v>
      </c>
      <c r="AC358" s="7">
        <f t="shared" si="87"/>
        <v>1523276</v>
      </c>
    </row>
    <row r="359" spans="1:29" x14ac:dyDescent="0.2">
      <c r="A359" s="8">
        <f t="shared" si="83"/>
        <v>38230</v>
      </c>
      <c r="B359" s="17">
        <f t="shared" si="74"/>
        <v>2004</v>
      </c>
      <c r="C359" s="17">
        <f t="shared" si="75"/>
        <v>8</v>
      </c>
      <c r="D359">
        <v>1048597</v>
      </c>
      <c r="E359">
        <v>818840</v>
      </c>
      <c r="F359" s="7">
        <v>987731</v>
      </c>
      <c r="G359" s="7">
        <v>787989</v>
      </c>
      <c r="H359" s="7">
        <v>1048597</v>
      </c>
      <c r="I359" s="7">
        <v>818840</v>
      </c>
      <c r="J359" s="19">
        <v>92.1</v>
      </c>
      <c r="K359" s="6">
        <f t="shared" si="76"/>
        <v>229757</v>
      </c>
      <c r="L359" s="15">
        <f t="shared" si="77"/>
        <v>4.5228749432612609</v>
      </c>
      <c r="M359" s="16">
        <f t="shared" si="84"/>
        <v>2.1954778646969153E-2</v>
      </c>
      <c r="N359" s="8">
        <f t="array" ref="N359">MAX(IF($B$4:$B$507=B359,$A$4:$A$507))</f>
        <v>38352</v>
      </c>
      <c r="O359" s="8">
        <f t="array" ref="O359">MIN(IF($B$4:$B$507=B359,$A$4:$A$507))</f>
        <v>38017</v>
      </c>
      <c r="P359" s="8">
        <f t="shared" si="90"/>
        <v>37864</v>
      </c>
      <c r="Q359" s="8">
        <f t="shared" si="91"/>
        <v>38230</v>
      </c>
      <c r="R359">
        <f t="shared" si="79"/>
        <v>92.1</v>
      </c>
      <c r="S359">
        <f t="shared" si="88"/>
        <v>81.599999999999994</v>
      </c>
      <c r="T359" s="20">
        <f t="shared" si="92"/>
        <v>0.12867647058823528</v>
      </c>
      <c r="U359" s="20">
        <f t="shared" si="89"/>
        <v>8.3321797679050999E-2</v>
      </c>
      <c r="V359" s="18">
        <f t="shared" si="80"/>
        <v>1523276</v>
      </c>
      <c r="W359">
        <f t="shared" si="81"/>
        <v>1036.6000000000001</v>
      </c>
      <c r="Y359">
        <f t="shared" si="82"/>
        <v>1036.6000000000001</v>
      </c>
      <c r="AA359" s="27">
        <f t="shared" si="85"/>
        <v>2004</v>
      </c>
      <c r="AB359" s="26">
        <f t="shared" si="86"/>
        <v>8.3403010033444858E-2</v>
      </c>
      <c r="AC359" s="7">
        <f t="shared" si="87"/>
        <v>1523276</v>
      </c>
    </row>
    <row r="360" spans="1:29" x14ac:dyDescent="0.2">
      <c r="A360" s="8">
        <f t="shared" si="83"/>
        <v>38260</v>
      </c>
      <c r="B360" s="17">
        <f t="shared" si="74"/>
        <v>2004</v>
      </c>
      <c r="C360" s="17">
        <f t="shared" si="75"/>
        <v>9</v>
      </c>
      <c r="D360">
        <v>987731</v>
      </c>
      <c r="E360">
        <v>787989</v>
      </c>
      <c r="F360" s="7">
        <v>921063</v>
      </c>
      <c r="G360" s="7">
        <v>790904</v>
      </c>
      <c r="H360" s="7">
        <v>987731</v>
      </c>
      <c r="I360" s="7">
        <v>787989</v>
      </c>
      <c r="J360" s="19">
        <v>92.1</v>
      </c>
      <c r="K360" s="6">
        <f t="shared" si="76"/>
        <v>199742</v>
      </c>
      <c r="L360" s="15">
        <f t="shared" si="77"/>
        <v>4.5228749432612609</v>
      </c>
      <c r="M360" s="16">
        <f t="shared" si="84"/>
        <v>0</v>
      </c>
      <c r="N360" s="8">
        <f t="array" ref="N360">MAX(IF($B$4:$B$507=B360,$A$4:$A$507))</f>
        <v>38352</v>
      </c>
      <c r="O360" s="8">
        <f t="array" ref="O360">MIN(IF($B$4:$B$507=B360,$A$4:$A$507))</f>
        <v>38017</v>
      </c>
      <c r="P360" s="8">
        <f t="shared" si="90"/>
        <v>37894</v>
      </c>
      <c r="Q360" s="8">
        <f t="shared" si="91"/>
        <v>38260</v>
      </c>
      <c r="R360">
        <f t="shared" si="79"/>
        <v>92.1</v>
      </c>
      <c r="S360">
        <f t="shared" si="88"/>
        <v>85.7</v>
      </c>
      <c r="T360" s="20">
        <f t="shared" si="92"/>
        <v>7.4679113185530888E-2</v>
      </c>
      <c r="U360" s="20">
        <f t="shared" si="89"/>
        <v>8.3321797679050999E-2</v>
      </c>
      <c r="V360" s="18">
        <f t="shared" si="80"/>
        <v>1523276</v>
      </c>
      <c r="W360">
        <f t="shared" si="81"/>
        <v>1036.6000000000001</v>
      </c>
      <c r="Y360">
        <f t="shared" si="82"/>
        <v>1036.6000000000001</v>
      </c>
      <c r="AA360" s="27">
        <f t="shared" si="85"/>
        <v>2004</v>
      </c>
      <c r="AB360" s="26">
        <f t="shared" si="86"/>
        <v>8.3403010033444858E-2</v>
      </c>
      <c r="AC360" s="7">
        <f t="shared" si="87"/>
        <v>1523276</v>
      </c>
    </row>
    <row r="361" spans="1:29" x14ac:dyDescent="0.2">
      <c r="A361" s="8">
        <f t="shared" si="83"/>
        <v>38291</v>
      </c>
      <c r="B361" s="17">
        <f t="shared" ref="B361:B424" si="93">YEAR(A361)</f>
        <v>2004</v>
      </c>
      <c r="C361" s="17">
        <f t="shared" ref="C361:C424" si="94">MONTH(A361)</f>
        <v>10</v>
      </c>
      <c r="D361">
        <v>921063</v>
      </c>
      <c r="E361">
        <v>790904</v>
      </c>
      <c r="F361" s="7">
        <v>931126</v>
      </c>
      <c r="G361" s="7">
        <v>852104</v>
      </c>
      <c r="H361" s="7">
        <v>921063</v>
      </c>
      <c r="I361" s="7">
        <v>790904</v>
      </c>
      <c r="J361" s="19">
        <v>93.5</v>
      </c>
      <c r="K361" s="6">
        <f t="shared" ref="K361:K424" si="95">IF(AND(ISNUMBER(D361),ISNUMBER(E361)),D361-E361,IF(AND(ISNUMBER(F361),ISNUMBER(G361)),F361-G361,H361-I361))</f>
        <v>130159</v>
      </c>
      <c r="L361" s="15">
        <f t="shared" ref="L361:L424" si="96">LN(J361)</f>
        <v>4.5379614362946414</v>
      </c>
      <c r="M361" s="16">
        <f t="shared" si="84"/>
        <v>1.5086493033380499E-2</v>
      </c>
      <c r="N361" s="8">
        <f t="array" ref="N361">MAX(IF($B$4:$B$507=B361,$A$4:$A$507))</f>
        <v>38352</v>
      </c>
      <c r="O361" s="8">
        <f t="array" ref="O361">MIN(IF($B$4:$B$507=B361,$A$4:$A$507))</f>
        <v>38017</v>
      </c>
      <c r="P361" s="8">
        <f t="shared" si="90"/>
        <v>37925</v>
      </c>
      <c r="Q361" s="8">
        <f t="shared" si="91"/>
        <v>38291</v>
      </c>
      <c r="R361">
        <f t="shared" ref="R361:R424" si="97">VLOOKUP(Q361,$A$232:$L$507,$J$1,FALSE)</f>
        <v>93.5</v>
      </c>
      <c r="S361">
        <f t="shared" si="88"/>
        <v>90</v>
      </c>
      <c r="T361" s="20">
        <f t="shared" si="92"/>
        <v>3.8888888888888973E-2</v>
      </c>
      <c r="U361" s="20">
        <f t="shared" si="89"/>
        <v>8.3321797679050999E-2</v>
      </c>
      <c r="V361" s="18">
        <f t="shared" ref="V361:V424" si="98">SUMIF($B$232:$B$507,B361,$K$232:$K$507)</f>
        <v>1523276</v>
      </c>
      <c r="W361">
        <f t="shared" ref="W361:W424" si="99">SUMIF($B$232:$B$507,B361,$J$232:$J$507)</f>
        <v>1036.6000000000001</v>
      </c>
      <c r="Y361">
        <f t="shared" ref="Y361:Y424" si="100">SUMIF($B$4:$B$507,B361,$J$4:$J$507)</f>
        <v>1036.6000000000001</v>
      </c>
      <c r="AA361" s="27">
        <f t="shared" si="85"/>
        <v>2004</v>
      </c>
      <c r="AB361" s="26">
        <f t="shared" si="86"/>
        <v>8.3403010033444858E-2</v>
      </c>
      <c r="AC361" s="7">
        <f t="shared" si="87"/>
        <v>1523276</v>
      </c>
    </row>
    <row r="362" spans="1:29" x14ac:dyDescent="0.2">
      <c r="A362" s="8">
        <f t="shared" ref="A362:A425" si="101">EOMONTH(A361,1)</f>
        <v>38321</v>
      </c>
      <c r="B362" s="17">
        <f t="shared" si="93"/>
        <v>2004</v>
      </c>
      <c r="C362" s="17">
        <f t="shared" si="94"/>
        <v>11</v>
      </c>
      <c r="D362">
        <v>931126</v>
      </c>
      <c r="E362">
        <v>852104</v>
      </c>
      <c r="F362" s="7">
        <v>725819</v>
      </c>
      <c r="G362" s="7">
        <v>1077912</v>
      </c>
      <c r="H362" s="7">
        <v>931126</v>
      </c>
      <c r="I362" s="7">
        <v>852104</v>
      </c>
      <c r="J362" s="19">
        <v>91.8</v>
      </c>
      <c r="K362" s="6">
        <f t="shared" si="95"/>
        <v>79022</v>
      </c>
      <c r="L362" s="15">
        <f t="shared" si="96"/>
        <v>4.5196122976264448</v>
      </c>
      <c r="M362" s="16">
        <f t="shared" ref="M362:M425" si="102">L362-L361</f>
        <v>-1.8349138668196652E-2</v>
      </c>
      <c r="N362" s="8">
        <f t="array" ref="N362">MAX(IF($B$4:$B$507=B362,$A$4:$A$507))</f>
        <v>38352</v>
      </c>
      <c r="O362" s="8">
        <f t="array" ref="O362">MIN(IF($B$4:$B$507=B362,$A$4:$A$507))</f>
        <v>38017</v>
      </c>
      <c r="P362" s="8">
        <f t="shared" si="90"/>
        <v>37955</v>
      </c>
      <c r="Q362" s="8">
        <f t="shared" si="91"/>
        <v>38321</v>
      </c>
      <c r="R362">
        <f t="shared" si="97"/>
        <v>91.8</v>
      </c>
      <c r="S362">
        <f t="shared" si="88"/>
        <v>84.6</v>
      </c>
      <c r="T362" s="20">
        <f t="shared" si="92"/>
        <v>8.5106382978723527E-2</v>
      </c>
      <c r="U362" s="20">
        <f t="shared" si="89"/>
        <v>8.3321797679050999E-2</v>
      </c>
      <c r="V362" s="18">
        <f t="shared" si="98"/>
        <v>1523276</v>
      </c>
      <c r="W362">
        <f t="shared" si="99"/>
        <v>1036.6000000000001</v>
      </c>
      <c r="Y362">
        <f t="shared" si="100"/>
        <v>1036.6000000000001</v>
      </c>
      <c r="AA362" s="27">
        <f t="shared" si="85"/>
        <v>2004</v>
      </c>
      <c r="AB362" s="26">
        <f t="shared" si="86"/>
        <v>8.3403010033444858E-2</v>
      </c>
      <c r="AC362" s="7">
        <f t="shared" si="87"/>
        <v>1523276</v>
      </c>
    </row>
    <row r="363" spans="1:29" x14ac:dyDescent="0.2">
      <c r="A363" s="8">
        <f t="shared" si="101"/>
        <v>38352</v>
      </c>
      <c r="B363" s="17">
        <f t="shared" si="93"/>
        <v>2004</v>
      </c>
      <c r="C363" s="17">
        <f t="shared" si="94"/>
        <v>12</v>
      </c>
      <c r="D363">
        <v>725819</v>
      </c>
      <c r="E363">
        <v>1077912</v>
      </c>
      <c r="F363" s="7">
        <v>980620</v>
      </c>
      <c r="G363" s="7">
        <v>864648</v>
      </c>
      <c r="H363" s="7">
        <v>725819</v>
      </c>
      <c r="I363" s="7">
        <v>1077912</v>
      </c>
      <c r="J363" s="19">
        <v>84.7</v>
      </c>
      <c r="K363" s="6">
        <f t="shared" si="95"/>
        <v>-352093</v>
      </c>
      <c r="L363" s="15">
        <f t="shared" si="96"/>
        <v>4.4391156016580089</v>
      </c>
      <c r="M363" s="16">
        <f t="shared" si="102"/>
        <v>-8.0496695968435894E-2</v>
      </c>
      <c r="N363" s="8">
        <f t="array" ref="N363">MAX(IF($B$4:$B$507=B363,$A$4:$A$507))</f>
        <v>38352</v>
      </c>
      <c r="O363" s="8">
        <f t="array" ref="O363">MIN(IF($B$4:$B$507=B363,$A$4:$A$507))</f>
        <v>38017</v>
      </c>
      <c r="P363" s="8">
        <f t="shared" si="90"/>
        <v>37986</v>
      </c>
      <c r="Q363" s="8">
        <f t="shared" si="91"/>
        <v>38352</v>
      </c>
      <c r="R363">
        <f t="shared" si="97"/>
        <v>84.7</v>
      </c>
      <c r="S363">
        <f t="shared" si="88"/>
        <v>77.900000000000006</v>
      </c>
      <c r="T363" s="20">
        <f t="shared" si="92"/>
        <v>8.7291399229781685E-2</v>
      </c>
      <c r="U363" s="20">
        <f t="shared" si="89"/>
        <v>8.3321797679050999E-2</v>
      </c>
      <c r="V363" s="18">
        <f t="shared" si="98"/>
        <v>1523276</v>
      </c>
      <c r="W363">
        <f t="shared" si="99"/>
        <v>1036.6000000000001</v>
      </c>
      <c r="Y363">
        <f t="shared" si="100"/>
        <v>1036.6000000000001</v>
      </c>
      <c r="AA363" s="27">
        <f t="shared" si="85"/>
        <v>2004</v>
      </c>
      <c r="AB363" s="26">
        <f t="shared" si="86"/>
        <v>8.3403010033444858E-2</v>
      </c>
      <c r="AC363" s="7">
        <f t="shared" si="87"/>
        <v>1523276</v>
      </c>
    </row>
    <row r="364" spans="1:29" x14ac:dyDescent="0.2">
      <c r="A364" s="8">
        <f t="shared" si="101"/>
        <v>38383</v>
      </c>
      <c r="B364" s="17">
        <f t="shared" si="93"/>
        <v>2005</v>
      </c>
      <c r="C364" s="17">
        <f t="shared" si="94"/>
        <v>1</v>
      </c>
      <c r="D364">
        <v>980616</v>
      </c>
      <c r="E364">
        <v>864630</v>
      </c>
      <c r="F364" s="7">
        <v>971302</v>
      </c>
      <c r="G364" s="7">
        <v>898017</v>
      </c>
      <c r="H364" s="7">
        <v>980620</v>
      </c>
      <c r="I364" s="7">
        <v>864648</v>
      </c>
      <c r="J364" s="19">
        <v>81</v>
      </c>
      <c r="K364" s="6">
        <f t="shared" si="95"/>
        <v>115986</v>
      </c>
      <c r="L364" s="15">
        <f t="shared" si="96"/>
        <v>4.3944491546724391</v>
      </c>
      <c r="M364" s="16">
        <f t="shared" si="102"/>
        <v>-4.4666446985569763E-2</v>
      </c>
      <c r="N364" s="8">
        <f t="array" ref="N364">MAX(IF($B$4:$B$507=B364,$A$4:$A$507))</f>
        <v>38717</v>
      </c>
      <c r="O364" s="8">
        <f t="array" ref="O364">MIN(IF($B$4:$B$507=B364,$A$4:$A$507))</f>
        <v>38383</v>
      </c>
      <c r="P364" s="8">
        <f t="shared" si="90"/>
        <v>38017</v>
      </c>
      <c r="Q364" s="8">
        <f t="shared" si="91"/>
        <v>38383</v>
      </c>
      <c r="R364">
        <f t="shared" si="97"/>
        <v>81</v>
      </c>
      <c r="S364">
        <f t="shared" si="88"/>
        <v>76.8</v>
      </c>
      <c r="T364" s="20">
        <f t="shared" si="92"/>
        <v>5.46875E-2</v>
      </c>
      <c r="U364" s="20">
        <f t="shared" si="89"/>
        <v>2.8984298879304603E-2</v>
      </c>
      <c r="V364" s="18">
        <f t="shared" si="98"/>
        <v>1253999</v>
      </c>
      <c r="W364">
        <f t="shared" si="99"/>
        <v>1065.7</v>
      </c>
      <c r="Y364">
        <f t="shared" si="100"/>
        <v>1065.7</v>
      </c>
      <c r="AA364" s="27">
        <f t="shared" si="85"/>
        <v>2005</v>
      </c>
      <c r="AB364" s="26">
        <f t="shared" si="86"/>
        <v>2.8072544858190218E-2</v>
      </c>
      <c r="AC364" s="7">
        <f t="shared" si="87"/>
        <v>1253999</v>
      </c>
    </row>
    <row r="365" spans="1:29" x14ac:dyDescent="0.2">
      <c r="A365" s="8">
        <f t="shared" si="101"/>
        <v>38411</v>
      </c>
      <c r="B365" s="17">
        <f t="shared" si="93"/>
        <v>2005</v>
      </c>
      <c r="C365" s="17">
        <f t="shared" si="94"/>
        <v>2</v>
      </c>
      <c r="D365">
        <v>971286</v>
      </c>
      <c r="E365">
        <v>898007</v>
      </c>
      <c r="F365" s="7">
        <v>1082470</v>
      </c>
      <c r="G365" s="7">
        <v>979505</v>
      </c>
      <c r="H365" s="7">
        <v>971302</v>
      </c>
      <c r="I365" s="7">
        <v>898017</v>
      </c>
      <c r="J365" s="19">
        <v>76.400000000000006</v>
      </c>
      <c r="K365" s="6">
        <f t="shared" si="95"/>
        <v>73279</v>
      </c>
      <c r="L365" s="15">
        <f t="shared" si="96"/>
        <v>4.3359826961724748</v>
      </c>
      <c r="M365" s="16">
        <f t="shared" si="102"/>
        <v>-5.8466458499964347E-2</v>
      </c>
      <c r="N365" s="8">
        <f t="array" ref="N365">MAX(IF($B$4:$B$507=B365,$A$4:$A$507))</f>
        <v>38717</v>
      </c>
      <c r="O365" s="8">
        <f t="array" ref="O365">MIN(IF($B$4:$B$507=B365,$A$4:$A$507))</f>
        <v>38383</v>
      </c>
      <c r="P365" s="8">
        <f t="shared" si="90"/>
        <v>38046</v>
      </c>
      <c r="Q365" s="8">
        <f t="shared" si="91"/>
        <v>38411</v>
      </c>
      <c r="R365">
        <f t="shared" si="97"/>
        <v>76.400000000000006</v>
      </c>
      <c r="S365">
        <f t="shared" si="88"/>
        <v>74</v>
      </c>
      <c r="T365" s="20">
        <f t="shared" si="92"/>
        <v>3.2432432432432545E-2</v>
      </c>
      <c r="U365" s="20">
        <f t="shared" si="89"/>
        <v>2.8984298879304603E-2</v>
      </c>
      <c r="V365" s="18">
        <f t="shared" si="98"/>
        <v>1253999</v>
      </c>
      <c r="W365">
        <f t="shared" si="99"/>
        <v>1065.7</v>
      </c>
      <c r="Y365">
        <f t="shared" si="100"/>
        <v>1065.7</v>
      </c>
      <c r="AA365" s="27">
        <f t="shared" si="85"/>
        <v>2005</v>
      </c>
      <c r="AB365" s="26">
        <f t="shared" si="86"/>
        <v>2.8072544858190218E-2</v>
      </c>
      <c r="AC365" s="7">
        <f t="shared" si="87"/>
        <v>1253999</v>
      </c>
    </row>
    <row r="366" spans="1:29" x14ac:dyDescent="0.2">
      <c r="A366" s="8">
        <f t="shared" si="101"/>
        <v>38442</v>
      </c>
      <c r="B366" s="17">
        <f t="shared" si="93"/>
        <v>2005</v>
      </c>
      <c r="C366" s="17">
        <f t="shared" si="94"/>
        <v>3</v>
      </c>
      <c r="D366">
        <v>1082469</v>
      </c>
      <c r="E366">
        <v>979493</v>
      </c>
      <c r="F366" s="7">
        <v>1110030</v>
      </c>
      <c r="G366" s="7">
        <v>843935</v>
      </c>
      <c r="H366" s="7">
        <v>1082470</v>
      </c>
      <c r="I366" s="7">
        <v>979505</v>
      </c>
      <c r="J366" s="19">
        <v>88</v>
      </c>
      <c r="K366" s="6">
        <f t="shared" si="95"/>
        <v>102976</v>
      </c>
      <c r="L366" s="15">
        <f t="shared" si="96"/>
        <v>4.4773368144782069</v>
      </c>
      <c r="M366" s="16">
        <f t="shared" si="102"/>
        <v>0.14135411830573208</v>
      </c>
      <c r="N366" s="8">
        <f t="array" ref="N366">MAX(IF($B$4:$B$507=B366,$A$4:$A$507))</f>
        <v>38717</v>
      </c>
      <c r="O366" s="8">
        <f t="array" ref="O366">MIN(IF($B$4:$B$507=B366,$A$4:$A$507))</f>
        <v>38383</v>
      </c>
      <c r="P366" s="8">
        <f t="shared" si="90"/>
        <v>38077</v>
      </c>
      <c r="Q366" s="8">
        <f t="shared" si="91"/>
        <v>38442</v>
      </c>
      <c r="R366">
        <f t="shared" si="97"/>
        <v>88</v>
      </c>
      <c r="S366">
        <f t="shared" si="88"/>
        <v>86.9</v>
      </c>
      <c r="T366" s="20">
        <f t="shared" si="92"/>
        <v>1.2658227848101111E-2</v>
      </c>
      <c r="U366" s="20">
        <f t="shared" si="89"/>
        <v>2.8984298879304603E-2</v>
      </c>
      <c r="V366" s="18">
        <f t="shared" si="98"/>
        <v>1253999</v>
      </c>
      <c r="W366">
        <f t="shared" si="99"/>
        <v>1065.7</v>
      </c>
      <c r="Y366">
        <f t="shared" si="100"/>
        <v>1065.7</v>
      </c>
      <c r="AA366" s="27">
        <f t="shared" si="85"/>
        <v>2005</v>
      </c>
      <c r="AB366" s="26">
        <f t="shared" si="86"/>
        <v>2.8072544858190218E-2</v>
      </c>
      <c r="AC366" s="7">
        <f t="shared" si="87"/>
        <v>1253999</v>
      </c>
    </row>
    <row r="367" spans="1:29" x14ac:dyDescent="0.2">
      <c r="A367" s="8">
        <f t="shared" si="101"/>
        <v>38472</v>
      </c>
      <c r="B367" s="17">
        <f t="shared" si="93"/>
        <v>2005</v>
      </c>
      <c r="C367" s="17">
        <f t="shared" si="94"/>
        <v>4</v>
      </c>
      <c r="D367">
        <v>1110030</v>
      </c>
      <c r="E367">
        <v>843935</v>
      </c>
      <c r="F367" s="7">
        <v>1101252</v>
      </c>
      <c r="G367" s="7">
        <v>888802</v>
      </c>
      <c r="H367" s="7">
        <v>1110030</v>
      </c>
      <c r="I367" s="7">
        <v>843935</v>
      </c>
      <c r="J367" s="19">
        <v>87</v>
      </c>
      <c r="K367" s="6">
        <f t="shared" si="95"/>
        <v>266095</v>
      </c>
      <c r="L367" s="15">
        <f t="shared" si="96"/>
        <v>4.4659081186545837</v>
      </c>
      <c r="M367" s="16">
        <f t="shared" si="102"/>
        <v>-1.1428695823623158E-2</v>
      </c>
      <c r="N367" s="8">
        <f t="array" ref="N367">MAX(IF($B$4:$B$507=B367,$A$4:$A$507))</f>
        <v>38717</v>
      </c>
      <c r="O367" s="8">
        <f t="array" ref="O367">MIN(IF($B$4:$B$507=B367,$A$4:$A$507))</f>
        <v>38383</v>
      </c>
      <c r="P367" s="8">
        <f t="shared" si="90"/>
        <v>38107</v>
      </c>
      <c r="Q367" s="8">
        <f t="shared" si="91"/>
        <v>38472</v>
      </c>
      <c r="R367">
        <f t="shared" si="97"/>
        <v>87</v>
      </c>
      <c r="S367">
        <f t="shared" si="88"/>
        <v>82.2</v>
      </c>
      <c r="T367" s="20">
        <f t="shared" si="92"/>
        <v>5.8394160583941535E-2</v>
      </c>
      <c r="U367" s="20">
        <f t="shared" si="89"/>
        <v>2.8984298879304603E-2</v>
      </c>
      <c r="V367" s="18">
        <f t="shared" si="98"/>
        <v>1253999</v>
      </c>
      <c r="W367">
        <f t="shared" si="99"/>
        <v>1065.7</v>
      </c>
      <c r="Y367">
        <f t="shared" si="100"/>
        <v>1065.7</v>
      </c>
      <c r="AA367" s="27">
        <f t="shared" si="85"/>
        <v>2005</v>
      </c>
      <c r="AB367" s="26">
        <f t="shared" si="86"/>
        <v>2.8072544858190218E-2</v>
      </c>
      <c r="AC367" s="7">
        <f t="shared" si="87"/>
        <v>1253999</v>
      </c>
    </row>
    <row r="368" spans="1:29" x14ac:dyDescent="0.2">
      <c r="A368" s="8">
        <f t="shared" si="101"/>
        <v>38503</v>
      </c>
      <c r="B368" s="17">
        <f t="shared" si="93"/>
        <v>2005</v>
      </c>
      <c r="C368" s="17">
        <f t="shared" si="94"/>
        <v>5</v>
      </c>
      <c r="D368">
        <v>1101252</v>
      </c>
      <c r="E368">
        <v>888802</v>
      </c>
      <c r="F368" s="7">
        <v>1089948</v>
      </c>
      <c r="G368" s="7">
        <v>894412</v>
      </c>
      <c r="H368" s="7">
        <v>1101252</v>
      </c>
      <c r="I368" s="7">
        <v>888802</v>
      </c>
      <c r="J368" s="19">
        <v>91.1</v>
      </c>
      <c r="K368" s="6">
        <f t="shared" si="95"/>
        <v>212450</v>
      </c>
      <c r="L368" s="15">
        <f t="shared" si="96"/>
        <v>4.5119578042659123</v>
      </c>
      <c r="M368" s="16">
        <f t="shared" si="102"/>
        <v>4.6049685611328606E-2</v>
      </c>
      <c r="N368" s="8">
        <f t="array" ref="N368">MAX(IF($B$4:$B$507=B368,$A$4:$A$507))</f>
        <v>38717</v>
      </c>
      <c r="O368" s="8">
        <f t="array" ref="O368">MIN(IF($B$4:$B$507=B368,$A$4:$A$507))</f>
        <v>38383</v>
      </c>
      <c r="P368" s="8">
        <f t="shared" si="90"/>
        <v>38138</v>
      </c>
      <c r="Q368" s="8">
        <f t="shared" si="91"/>
        <v>38503</v>
      </c>
      <c r="R368">
        <f t="shared" si="97"/>
        <v>91.1</v>
      </c>
      <c r="S368">
        <f t="shared" si="88"/>
        <v>86.3</v>
      </c>
      <c r="T368" s="20">
        <f t="shared" si="92"/>
        <v>5.5619930475086843E-2</v>
      </c>
      <c r="U368" s="20">
        <f t="shared" si="89"/>
        <v>2.8984298879304603E-2</v>
      </c>
      <c r="V368" s="18">
        <f t="shared" si="98"/>
        <v>1253999</v>
      </c>
      <c r="W368">
        <f t="shared" si="99"/>
        <v>1065.7</v>
      </c>
      <c r="Y368">
        <f t="shared" si="100"/>
        <v>1065.7</v>
      </c>
      <c r="AA368" s="27">
        <f t="shared" si="85"/>
        <v>2005</v>
      </c>
      <c r="AB368" s="26">
        <f t="shared" si="86"/>
        <v>2.8072544858190218E-2</v>
      </c>
      <c r="AC368" s="7">
        <f t="shared" si="87"/>
        <v>1253999</v>
      </c>
    </row>
    <row r="369" spans="1:29" x14ac:dyDescent="0.2">
      <c r="A369" s="8">
        <f t="shared" si="101"/>
        <v>38533</v>
      </c>
      <c r="B369" s="17">
        <f t="shared" si="93"/>
        <v>2005</v>
      </c>
      <c r="C369" s="17">
        <f t="shared" si="94"/>
        <v>6</v>
      </c>
      <c r="D369">
        <v>1089948</v>
      </c>
      <c r="E369">
        <v>894412</v>
      </c>
      <c r="F369" s="7">
        <v>1004702</v>
      </c>
      <c r="G369" s="7">
        <v>887229</v>
      </c>
      <c r="H369" s="7">
        <v>1089948</v>
      </c>
      <c r="I369" s="7">
        <v>894412</v>
      </c>
      <c r="J369" s="19">
        <v>91.4</v>
      </c>
      <c r="K369" s="6">
        <f t="shared" si="95"/>
        <v>195536</v>
      </c>
      <c r="L369" s="15">
        <f t="shared" si="96"/>
        <v>4.5152454784601046</v>
      </c>
      <c r="M369" s="16">
        <f t="shared" si="102"/>
        <v>3.2876741941922916E-3</v>
      </c>
      <c r="N369" s="8">
        <f t="array" ref="N369">MAX(IF($B$4:$B$507=B369,$A$4:$A$507))</f>
        <v>38717</v>
      </c>
      <c r="O369" s="8">
        <f t="array" ref="O369">MIN(IF($B$4:$B$507=B369,$A$4:$A$507))</f>
        <v>38383</v>
      </c>
      <c r="P369" s="8">
        <f t="shared" si="90"/>
        <v>38168</v>
      </c>
      <c r="Q369" s="8">
        <f t="shared" si="91"/>
        <v>38533</v>
      </c>
      <c r="R369">
        <f t="shared" si="97"/>
        <v>91.4</v>
      </c>
      <c r="S369">
        <f t="shared" si="88"/>
        <v>86.1</v>
      </c>
      <c r="T369" s="20">
        <f t="shared" si="92"/>
        <v>6.1556329849012936E-2</v>
      </c>
      <c r="U369" s="20">
        <f t="shared" si="89"/>
        <v>2.8984298879304603E-2</v>
      </c>
      <c r="V369" s="18">
        <f t="shared" si="98"/>
        <v>1253999</v>
      </c>
      <c r="W369">
        <f t="shared" si="99"/>
        <v>1065.7</v>
      </c>
      <c r="Y369">
        <f t="shared" si="100"/>
        <v>1065.7</v>
      </c>
      <c r="AA369" s="27">
        <f t="shared" si="85"/>
        <v>2005</v>
      </c>
      <c r="AB369" s="26">
        <f t="shared" si="86"/>
        <v>2.8072544858190218E-2</v>
      </c>
      <c r="AC369" s="7">
        <f t="shared" si="87"/>
        <v>1253999</v>
      </c>
    </row>
    <row r="370" spans="1:29" x14ac:dyDescent="0.2">
      <c r="A370" s="8">
        <f t="shared" si="101"/>
        <v>38564</v>
      </c>
      <c r="B370" s="17">
        <f t="shared" si="93"/>
        <v>2005</v>
      </c>
      <c r="C370" s="17">
        <f t="shared" si="94"/>
        <v>7</v>
      </c>
      <c r="D370">
        <v>1004702</v>
      </c>
      <c r="E370">
        <v>887229</v>
      </c>
      <c r="F370" s="7">
        <v>1071798</v>
      </c>
      <c r="G370" s="7">
        <v>936338</v>
      </c>
      <c r="H370" s="7">
        <v>1004702</v>
      </c>
      <c r="I370" s="7">
        <v>887229</v>
      </c>
      <c r="J370" s="19">
        <v>90.5</v>
      </c>
      <c r="K370" s="6">
        <f t="shared" si="95"/>
        <v>117473</v>
      </c>
      <c r="L370" s="15">
        <f t="shared" si="96"/>
        <v>4.5053498507058807</v>
      </c>
      <c r="M370" s="16">
        <f t="shared" si="102"/>
        <v>-9.8956277542239235E-3</v>
      </c>
      <c r="N370" s="8">
        <f t="array" ref="N370">MAX(IF($B$4:$B$507=B370,$A$4:$A$507))</f>
        <v>38717</v>
      </c>
      <c r="O370" s="8">
        <f t="array" ref="O370">MIN(IF($B$4:$B$507=B370,$A$4:$A$507))</f>
        <v>38383</v>
      </c>
      <c r="P370" s="8">
        <f t="shared" si="90"/>
        <v>38199</v>
      </c>
      <c r="Q370" s="8">
        <f t="shared" si="91"/>
        <v>38564</v>
      </c>
      <c r="R370">
        <f t="shared" si="97"/>
        <v>90.5</v>
      </c>
      <c r="S370">
        <f t="shared" si="88"/>
        <v>90.1</v>
      </c>
      <c r="T370" s="20">
        <f t="shared" si="92"/>
        <v>4.4395116537181423E-3</v>
      </c>
      <c r="U370" s="20">
        <f t="shared" si="89"/>
        <v>2.8984298879304603E-2</v>
      </c>
      <c r="V370" s="18">
        <f t="shared" si="98"/>
        <v>1253999</v>
      </c>
      <c r="W370">
        <f t="shared" si="99"/>
        <v>1065.7</v>
      </c>
      <c r="Y370">
        <f t="shared" si="100"/>
        <v>1065.7</v>
      </c>
      <c r="AA370" s="27">
        <f t="shared" si="85"/>
        <v>2005</v>
      </c>
      <c r="AB370" s="26">
        <f t="shared" si="86"/>
        <v>2.8072544858190218E-2</v>
      </c>
      <c r="AC370" s="7">
        <f t="shared" si="87"/>
        <v>1253999</v>
      </c>
    </row>
    <row r="371" spans="1:29" x14ac:dyDescent="0.2">
      <c r="A371" s="8">
        <f t="shared" si="101"/>
        <v>38595</v>
      </c>
      <c r="B371" s="17">
        <f t="shared" si="93"/>
        <v>2005</v>
      </c>
      <c r="C371" s="17">
        <f t="shared" si="94"/>
        <v>8</v>
      </c>
      <c r="D371">
        <v>1071796</v>
      </c>
      <c r="E371">
        <v>936337</v>
      </c>
      <c r="F371" s="7">
        <v>1058963</v>
      </c>
      <c r="G371" s="7">
        <v>869505</v>
      </c>
      <c r="H371" s="7">
        <v>1071798</v>
      </c>
      <c r="I371" s="7">
        <v>936338</v>
      </c>
      <c r="J371" s="19">
        <v>95.6</v>
      </c>
      <c r="K371" s="6">
        <f t="shared" si="95"/>
        <v>135459</v>
      </c>
      <c r="L371" s="15">
        <f t="shared" si="96"/>
        <v>4.5601728200573559</v>
      </c>
      <c r="M371" s="16">
        <f t="shared" si="102"/>
        <v>5.4822969351475237E-2</v>
      </c>
      <c r="N371" s="8">
        <f t="array" ref="N371">MAX(IF($B$4:$B$507=B371,$A$4:$A$507))</f>
        <v>38717</v>
      </c>
      <c r="O371" s="8">
        <f t="array" ref="O371">MIN(IF($B$4:$B$507=B371,$A$4:$A$507))</f>
        <v>38383</v>
      </c>
      <c r="P371" s="8">
        <f t="shared" si="90"/>
        <v>38230</v>
      </c>
      <c r="Q371" s="8">
        <f t="shared" si="91"/>
        <v>38595</v>
      </c>
      <c r="R371">
        <f t="shared" si="97"/>
        <v>95.6</v>
      </c>
      <c r="S371">
        <f t="shared" si="88"/>
        <v>92.1</v>
      </c>
      <c r="T371" s="20">
        <f t="shared" si="92"/>
        <v>3.8002171552660169E-2</v>
      </c>
      <c r="U371" s="20">
        <f t="shared" si="89"/>
        <v>2.8984298879304603E-2</v>
      </c>
      <c r="V371" s="18">
        <f t="shared" si="98"/>
        <v>1253999</v>
      </c>
      <c r="W371">
        <f t="shared" si="99"/>
        <v>1065.7</v>
      </c>
      <c r="Y371">
        <f t="shared" si="100"/>
        <v>1065.7</v>
      </c>
      <c r="AA371" s="27">
        <f t="shared" si="85"/>
        <v>2005</v>
      </c>
      <c r="AB371" s="26">
        <f t="shared" si="86"/>
        <v>2.8072544858190218E-2</v>
      </c>
      <c r="AC371" s="7">
        <f t="shared" si="87"/>
        <v>1253999</v>
      </c>
    </row>
    <row r="372" spans="1:29" x14ac:dyDescent="0.2">
      <c r="A372" s="8">
        <f t="shared" si="101"/>
        <v>38625</v>
      </c>
      <c r="B372" s="17">
        <f t="shared" si="93"/>
        <v>2005</v>
      </c>
      <c r="C372" s="17">
        <f t="shared" si="94"/>
        <v>9</v>
      </c>
      <c r="D372">
        <v>1058963</v>
      </c>
      <c r="E372">
        <v>869505</v>
      </c>
      <c r="F372" s="7">
        <v>971726</v>
      </c>
      <c r="G372" s="7">
        <v>853551</v>
      </c>
      <c r="H372" s="7">
        <v>1058963</v>
      </c>
      <c r="I372" s="7">
        <v>869505</v>
      </c>
      <c r="J372" s="19">
        <v>92</v>
      </c>
      <c r="K372" s="6">
        <f t="shared" si="95"/>
        <v>189458</v>
      </c>
      <c r="L372" s="15">
        <f t="shared" si="96"/>
        <v>4.5217885770490405</v>
      </c>
      <c r="M372" s="16">
        <f t="shared" si="102"/>
        <v>-3.8384243008315444E-2</v>
      </c>
      <c r="N372" s="8">
        <f t="array" ref="N372">MAX(IF($B$4:$B$507=B372,$A$4:$A$507))</f>
        <v>38717</v>
      </c>
      <c r="O372" s="8">
        <f t="array" ref="O372">MIN(IF($B$4:$B$507=B372,$A$4:$A$507))</f>
        <v>38383</v>
      </c>
      <c r="P372" s="8">
        <f t="shared" si="90"/>
        <v>38260</v>
      </c>
      <c r="Q372" s="8">
        <f t="shared" si="91"/>
        <v>38625</v>
      </c>
      <c r="R372">
        <f t="shared" si="97"/>
        <v>92</v>
      </c>
      <c r="S372">
        <f t="shared" si="88"/>
        <v>92.1</v>
      </c>
      <c r="T372" s="20">
        <f t="shared" si="92"/>
        <v>-1.0857763300758938E-3</v>
      </c>
      <c r="U372" s="20">
        <f t="shared" si="89"/>
        <v>2.8984298879304603E-2</v>
      </c>
      <c r="V372" s="18">
        <f t="shared" si="98"/>
        <v>1253999</v>
      </c>
      <c r="W372">
        <f t="shared" si="99"/>
        <v>1065.7</v>
      </c>
      <c r="Y372">
        <f t="shared" si="100"/>
        <v>1065.7</v>
      </c>
      <c r="AA372" s="27">
        <f t="shared" si="85"/>
        <v>2005</v>
      </c>
      <c r="AB372" s="26">
        <f t="shared" si="86"/>
        <v>2.8072544858190218E-2</v>
      </c>
      <c r="AC372" s="7">
        <f t="shared" si="87"/>
        <v>1253999</v>
      </c>
    </row>
    <row r="373" spans="1:29" x14ac:dyDescent="0.2">
      <c r="A373" s="8">
        <f t="shared" si="101"/>
        <v>38656</v>
      </c>
      <c r="B373" s="17">
        <f t="shared" si="93"/>
        <v>2005</v>
      </c>
      <c r="C373" s="17">
        <f t="shared" si="94"/>
        <v>10</v>
      </c>
      <c r="D373">
        <v>971726</v>
      </c>
      <c r="E373">
        <v>853549</v>
      </c>
      <c r="F373" s="7">
        <v>967765</v>
      </c>
      <c r="G373" s="7">
        <v>953934</v>
      </c>
      <c r="H373" s="7">
        <v>971726</v>
      </c>
      <c r="I373" s="7">
        <v>853551</v>
      </c>
      <c r="J373" s="19">
        <v>93.7</v>
      </c>
      <c r="K373" s="6">
        <f t="shared" si="95"/>
        <v>118177</v>
      </c>
      <c r="L373" s="15">
        <f t="shared" si="96"/>
        <v>4.5400981892443761</v>
      </c>
      <c r="M373" s="16">
        <f t="shared" si="102"/>
        <v>1.8309612195335667E-2</v>
      </c>
      <c r="N373" s="8">
        <f t="array" ref="N373">MAX(IF($B$4:$B$507=B373,$A$4:$A$507))</f>
        <v>38717</v>
      </c>
      <c r="O373" s="8">
        <f t="array" ref="O373">MIN(IF($B$4:$B$507=B373,$A$4:$A$507))</f>
        <v>38383</v>
      </c>
      <c r="P373" s="8">
        <f t="shared" si="90"/>
        <v>38291</v>
      </c>
      <c r="Q373" s="8">
        <f t="shared" si="91"/>
        <v>38656</v>
      </c>
      <c r="R373">
        <f t="shared" si="97"/>
        <v>93.7</v>
      </c>
      <c r="S373">
        <f t="shared" si="88"/>
        <v>93.5</v>
      </c>
      <c r="T373" s="20">
        <f t="shared" si="92"/>
        <v>2.1390374331551332E-3</v>
      </c>
      <c r="U373" s="20">
        <f t="shared" si="89"/>
        <v>2.8984298879304603E-2</v>
      </c>
      <c r="V373" s="18">
        <f t="shared" si="98"/>
        <v>1253999</v>
      </c>
      <c r="W373">
        <f t="shared" si="99"/>
        <v>1065.7</v>
      </c>
      <c r="Y373">
        <f t="shared" si="100"/>
        <v>1065.7</v>
      </c>
      <c r="AA373" s="27">
        <f t="shared" ref="AA373:AA436" si="103">YEAR(A373)</f>
        <v>2005</v>
      </c>
      <c r="AB373" s="26">
        <f t="shared" ref="AB373:AB436" si="104">Y373/Y361-1</f>
        <v>2.8072544858190218E-2</v>
      </c>
      <c r="AC373" s="7">
        <f t="shared" ref="AC373:AC436" si="105">V373</f>
        <v>1253999</v>
      </c>
    </row>
    <row r="374" spans="1:29" x14ac:dyDescent="0.2">
      <c r="A374" s="8">
        <f t="shared" si="101"/>
        <v>38686</v>
      </c>
      <c r="B374" s="17">
        <f t="shared" si="93"/>
        <v>2005</v>
      </c>
      <c r="C374" s="17">
        <f t="shared" si="94"/>
        <v>11</v>
      </c>
      <c r="D374">
        <v>967763</v>
      </c>
      <c r="E374">
        <v>953934</v>
      </c>
      <c r="F374" s="7">
        <v>768425</v>
      </c>
      <c r="G374" s="7">
        <v>1055144</v>
      </c>
      <c r="H374" s="7">
        <v>967765</v>
      </c>
      <c r="I374" s="7">
        <v>953934</v>
      </c>
      <c r="J374" s="19">
        <v>92.4</v>
      </c>
      <c r="K374" s="6">
        <f t="shared" si="95"/>
        <v>13829</v>
      </c>
      <c r="L374" s="15">
        <f t="shared" si="96"/>
        <v>4.5261269786476381</v>
      </c>
      <c r="M374" s="16">
        <f t="shared" si="102"/>
        <v>-1.3971210596738004E-2</v>
      </c>
      <c r="N374" s="8">
        <f t="array" ref="N374">MAX(IF($B$4:$B$507=B374,$A$4:$A$507))</f>
        <v>38717</v>
      </c>
      <c r="O374" s="8">
        <f t="array" ref="O374">MIN(IF($B$4:$B$507=B374,$A$4:$A$507))</f>
        <v>38383</v>
      </c>
      <c r="P374" s="8">
        <f t="shared" si="90"/>
        <v>38321</v>
      </c>
      <c r="Q374" s="8">
        <f t="shared" si="91"/>
        <v>38686</v>
      </c>
      <c r="R374">
        <f t="shared" si="97"/>
        <v>92.4</v>
      </c>
      <c r="S374">
        <f t="shared" si="88"/>
        <v>91.8</v>
      </c>
      <c r="T374" s="20">
        <f t="shared" si="92"/>
        <v>6.5359477124184995E-3</v>
      </c>
      <c r="U374" s="20">
        <f t="shared" si="89"/>
        <v>2.8984298879304603E-2</v>
      </c>
      <c r="V374" s="18">
        <f t="shared" si="98"/>
        <v>1253999</v>
      </c>
      <c r="W374">
        <f t="shared" si="99"/>
        <v>1065.7</v>
      </c>
      <c r="Y374">
        <f t="shared" si="100"/>
        <v>1065.7</v>
      </c>
      <c r="AA374" s="27">
        <f t="shared" si="103"/>
        <v>2005</v>
      </c>
      <c r="AB374" s="26">
        <f t="shared" si="104"/>
        <v>2.8072544858190218E-2</v>
      </c>
      <c r="AC374" s="7">
        <f t="shared" si="105"/>
        <v>1253999</v>
      </c>
    </row>
    <row r="375" spans="1:29" x14ac:dyDescent="0.2">
      <c r="A375" s="8">
        <f t="shared" si="101"/>
        <v>38717</v>
      </c>
      <c r="B375" s="17">
        <f t="shared" si="93"/>
        <v>2005</v>
      </c>
      <c r="C375" s="17">
        <f t="shared" si="94"/>
        <v>12</v>
      </c>
      <c r="D375">
        <v>768425</v>
      </c>
      <c r="E375">
        <v>1055144</v>
      </c>
      <c r="F375" s="7">
        <v>1049445</v>
      </c>
      <c r="G375" s="7">
        <v>962829</v>
      </c>
      <c r="H375" s="7">
        <v>768425</v>
      </c>
      <c r="I375" s="7">
        <v>1055144</v>
      </c>
      <c r="J375" s="19">
        <v>86.6</v>
      </c>
      <c r="K375" s="6">
        <f t="shared" si="95"/>
        <v>-286719</v>
      </c>
      <c r="L375" s="15">
        <f t="shared" si="96"/>
        <v>4.4612998155683892</v>
      </c>
      <c r="M375" s="16">
        <f t="shared" si="102"/>
        <v>-6.4827163079248962E-2</v>
      </c>
      <c r="N375" s="8">
        <f t="array" ref="N375">MAX(IF($B$4:$B$507=B375,$A$4:$A$507))</f>
        <v>38717</v>
      </c>
      <c r="O375" s="8">
        <f t="array" ref="O375">MIN(IF($B$4:$B$507=B375,$A$4:$A$507))</f>
        <v>38383</v>
      </c>
      <c r="P375" s="8">
        <f t="shared" si="90"/>
        <v>38352</v>
      </c>
      <c r="Q375" s="8">
        <f t="shared" si="91"/>
        <v>38717</v>
      </c>
      <c r="R375">
        <f t="shared" si="97"/>
        <v>86.6</v>
      </c>
      <c r="S375">
        <f t="shared" si="88"/>
        <v>84.7</v>
      </c>
      <c r="T375" s="20">
        <f t="shared" si="92"/>
        <v>2.2432113341204207E-2</v>
      </c>
      <c r="U375" s="20">
        <f t="shared" si="89"/>
        <v>2.8984298879304603E-2</v>
      </c>
      <c r="V375" s="18">
        <f t="shared" si="98"/>
        <v>1253999</v>
      </c>
      <c r="W375">
        <f t="shared" si="99"/>
        <v>1065.7</v>
      </c>
      <c r="Y375">
        <f t="shared" si="100"/>
        <v>1065.7</v>
      </c>
      <c r="AA375" s="27">
        <f t="shared" si="103"/>
        <v>2005</v>
      </c>
      <c r="AB375" s="26">
        <f t="shared" si="104"/>
        <v>2.8072544858190218E-2</v>
      </c>
      <c r="AC375" s="7">
        <f t="shared" si="105"/>
        <v>1253999</v>
      </c>
    </row>
    <row r="376" spans="1:29" x14ac:dyDescent="0.2">
      <c r="A376" s="8">
        <f t="shared" si="101"/>
        <v>38748</v>
      </c>
      <c r="B376" s="17">
        <f t="shared" si="93"/>
        <v>2006</v>
      </c>
      <c r="C376" s="17">
        <f t="shared" si="94"/>
        <v>1</v>
      </c>
      <c r="D376">
        <v>1049445</v>
      </c>
      <c r="E376">
        <v>962829</v>
      </c>
      <c r="F376" s="7">
        <v>1062980</v>
      </c>
      <c r="G376" s="7">
        <v>886348</v>
      </c>
      <c r="H376" s="7">
        <v>1049445</v>
      </c>
      <c r="I376" s="7">
        <v>962829</v>
      </c>
      <c r="J376" s="19">
        <v>83.7</v>
      </c>
      <c r="K376" s="6">
        <f t="shared" si="95"/>
        <v>86616</v>
      </c>
      <c r="L376" s="15">
        <f t="shared" si="96"/>
        <v>4.4272389774954295</v>
      </c>
      <c r="M376" s="16">
        <f t="shared" si="102"/>
        <v>-3.4060838072959676E-2</v>
      </c>
      <c r="N376" s="8">
        <f t="array" ref="N376">MAX(IF($B$4:$B$507=B376,$A$4:$A$507))</f>
        <v>39082</v>
      </c>
      <c r="O376" s="8">
        <f t="array" ref="O376">MIN(IF($B$4:$B$507=B376,$A$4:$A$507))</f>
        <v>38748</v>
      </c>
      <c r="P376" s="8">
        <f t="shared" si="90"/>
        <v>38383</v>
      </c>
      <c r="Q376" s="8">
        <f t="shared" si="91"/>
        <v>38748</v>
      </c>
      <c r="R376">
        <f t="shared" si="97"/>
        <v>83.7</v>
      </c>
      <c r="S376">
        <f t="shared" si="88"/>
        <v>81</v>
      </c>
      <c r="T376" s="20">
        <f t="shared" si="92"/>
        <v>3.3333333333333437E-2</v>
      </c>
      <c r="U376" s="20">
        <f t="shared" si="89"/>
        <v>2.716571957535931E-2</v>
      </c>
      <c r="V376" s="18">
        <f t="shared" si="98"/>
        <v>1228686</v>
      </c>
      <c r="W376">
        <f t="shared" si="99"/>
        <v>1094.5</v>
      </c>
      <c r="Y376">
        <f t="shared" si="100"/>
        <v>1094.5</v>
      </c>
      <c r="AA376" s="27">
        <f t="shared" si="103"/>
        <v>2006</v>
      </c>
      <c r="AB376" s="26">
        <f t="shared" si="104"/>
        <v>2.7024490944918877E-2</v>
      </c>
      <c r="AC376" s="7">
        <f t="shared" si="105"/>
        <v>1228686</v>
      </c>
    </row>
    <row r="377" spans="1:29" x14ac:dyDescent="0.2">
      <c r="A377" s="8">
        <f t="shared" si="101"/>
        <v>38776</v>
      </c>
      <c r="B377" s="17">
        <f t="shared" si="93"/>
        <v>2006</v>
      </c>
      <c r="C377" s="17">
        <f t="shared" si="94"/>
        <v>2</v>
      </c>
      <c r="D377">
        <v>1062980</v>
      </c>
      <c r="E377">
        <v>886348</v>
      </c>
      <c r="F377" s="7">
        <v>1129637</v>
      </c>
      <c r="G377" s="7">
        <v>1053182</v>
      </c>
      <c r="H377" s="7">
        <v>1062980</v>
      </c>
      <c r="I377" s="7">
        <v>886348</v>
      </c>
      <c r="J377" s="19">
        <v>80.2</v>
      </c>
      <c r="K377" s="6">
        <f t="shared" si="95"/>
        <v>176632</v>
      </c>
      <c r="L377" s="15">
        <f t="shared" si="96"/>
        <v>4.3845235148724688</v>
      </c>
      <c r="M377" s="16">
        <f t="shared" si="102"/>
        <v>-4.2715462622960665E-2</v>
      </c>
      <c r="N377" s="8">
        <f t="array" ref="N377">MAX(IF($B$4:$B$507=B377,$A$4:$A$507))</f>
        <v>39082</v>
      </c>
      <c r="O377" s="8">
        <f t="array" ref="O377">MIN(IF($B$4:$B$507=B377,$A$4:$A$507))</f>
        <v>38748</v>
      </c>
      <c r="P377" s="8">
        <f t="shared" si="90"/>
        <v>38411</v>
      </c>
      <c r="Q377" s="8">
        <f t="shared" si="91"/>
        <v>38776</v>
      </c>
      <c r="R377">
        <f t="shared" si="97"/>
        <v>80.2</v>
      </c>
      <c r="S377">
        <f t="shared" si="88"/>
        <v>76.400000000000006</v>
      </c>
      <c r="T377" s="20">
        <f t="shared" si="92"/>
        <v>4.9738219895287816E-2</v>
      </c>
      <c r="U377" s="20">
        <f t="shared" si="89"/>
        <v>2.716571957535931E-2</v>
      </c>
      <c r="V377" s="18">
        <f t="shared" si="98"/>
        <v>1228686</v>
      </c>
      <c r="W377">
        <f t="shared" si="99"/>
        <v>1094.5</v>
      </c>
      <c r="Y377">
        <f t="shared" si="100"/>
        <v>1094.5</v>
      </c>
      <c r="AA377" s="27">
        <f t="shared" si="103"/>
        <v>2006</v>
      </c>
      <c r="AB377" s="26">
        <f t="shared" si="104"/>
        <v>2.7024490944918877E-2</v>
      </c>
      <c r="AC377" s="7">
        <f t="shared" si="105"/>
        <v>1228686</v>
      </c>
    </row>
    <row r="378" spans="1:29" x14ac:dyDescent="0.2">
      <c r="A378" s="8">
        <f t="shared" si="101"/>
        <v>38807</v>
      </c>
      <c r="B378" s="17">
        <f t="shared" si="93"/>
        <v>2006</v>
      </c>
      <c r="C378" s="17">
        <f t="shared" si="94"/>
        <v>3</v>
      </c>
      <c r="D378">
        <v>1129637</v>
      </c>
      <c r="E378">
        <v>1053182</v>
      </c>
      <c r="F378" s="7">
        <v>1076102</v>
      </c>
      <c r="G378" s="7">
        <v>846299</v>
      </c>
      <c r="H378" s="7">
        <v>1129637</v>
      </c>
      <c r="I378" s="7">
        <v>1053182</v>
      </c>
      <c r="J378" s="19">
        <v>92.4</v>
      </c>
      <c r="K378" s="6">
        <f t="shared" si="95"/>
        <v>76455</v>
      </c>
      <c r="L378" s="15">
        <f t="shared" si="96"/>
        <v>4.5261269786476381</v>
      </c>
      <c r="M378" s="16">
        <f t="shared" si="102"/>
        <v>0.1416034637751693</v>
      </c>
      <c r="N378" s="8">
        <f t="array" ref="N378">MAX(IF($B$4:$B$507=B378,$A$4:$A$507))</f>
        <v>39082</v>
      </c>
      <c r="O378" s="8">
        <f t="array" ref="O378">MIN(IF($B$4:$B$507=B378,$A$4:$A$507))</f>
        <v>38748</v>
      </c>
      <c r="P378" s="8">
        <f t="shared" si="90"/>
        <v>38442</v>
      </c>
      <c r="Q378" s="8">
        <f t="shared" si="91"/>
        <v>38807</v>
      </c>
      <c r="R378">
        <f t="shared" si="97"/>
        <v>92.4</v>
      </c>
      <c r="S378">
        <f t="shared" si="88"/>
        <v>88</v>
      </c>
      <c r="T378" s="20">
        <f t="shared" si="92"/>
        <v>5.0000000000000044E-2</v>
      </c>
      <c r="U378" s="20">
        <f t="shared" si="89"/>
        <v>2.716571957535931E-2</v>
      </c>
      <c r="V378" s="18">
        <f t="shared" si="98"/>
        <v>1228686</v>
      </c>
      <c r="W378">
        <f t="shared" si="99"/>
        <v>1094.5</v>
      </c>
      <c r="Y378">
        <f t="shared" si="100"/>
        <v>1094.5</v>
      </c>
      <c r="AA378" s="27">
        <f t="shared" si="103"/>
        <v>2006</v>
      </c>
      <c r="AB378" s="26">
        <f t="shared" si="104"/>
        <v>2.7024490944918877E-2</v>
      </c>
      <c r="AC378" s="7">
        <f t="shared" si="105"/>
        <v>1228686</v>
      </c>
    </row>
    <row r="379" spans="1:29" x14ac:dyDescent="0.2">
      <c r="A379" s="8">
        <f t="shared" si="101"/>
        <v>38837</v>
      </c>
      <c r="B379" s="17">
        <f t="shared" si="93"/>
        <v>2006</v>
      </c>
      <c r="C379" s="17">
        <f t="shared" si="94"/>
        <v>4</v>
      </c>
      <c r="D379">
        <v>1076102</v>
      </c>
      <c r="E379">
        <v>846299</v>
      </c>
      <c r="F379" s="7">
        <v>1165777</v>
      </c>
      <c r="G379" s="7">
        <v>966940</v>
      </c>
      <c r="H379" s="7">
        <v>1076102</v>
      </c>
      <c r="I379" s="7">
        <v>846299</v>
      </c>
      <c r="J379" s="19">
        <v>85.7</v>
      </c>
      <c r="K379" s="6">
        <f t="shared" si="95"/>
        <v>229803</v>
      </c>
      <c r="L379" s="15">
        <f t="shared" si="96"/>
        <v>4.4508528256037341</v>
      </c>
      <c r="M379" s="16">
        <f t="shared" si="102"/>
        <v>-7.5274153043904057E-2</v>
      </c>
      <c r="N379" s="8">
        <f t="array" ref="N379">MAX(IF($B$4:$B$507=B379,$A$4:$A$507))</f>
        <v>39082</v>
      </c>
      <c r="O379" s="8">
        <f t="array" ref="O379">MIN(IF($B$4:$B$507=B379,$A$4:$A$507))</f>
        <v>38748</v>
      </c>
      <c r="P379" s="8">
        <f t="shared" si="90"/>
        <v>38472</v>
      </c>
      <c r="Q379" s="8">
        <f t="shared" si="91"/>
        <v>38837</v>
      </c>
      <c r="R379">
        <f t="shared" si="97"/>
        <v>85.7</v>
      </c>
      <c r="S379">
        <f t="shared" si="88"/>
        <v>87</v>
      </c>
      <c r="T379" s="20">
        <f t="shared" si="92"/>
        <v>-1.4942528735632177E-2</v>
      </c>
      <c r="U379" s="20">
        <f t="shared" si="89"/>
        <v>2.716571957535931E-2</v>
      </c>
      <c r="V379" s="18">
        <f t="shared" si="98"/>
        <v>1228686</v>
      </c>
      <c r="W379">
        <f t="shared" si="99"/>
        <v>1094.5</v>
      </c>
      <c r="Y379">
        <f t="shared" si="100"/>
        <v>1094.5</v>
      </c>
      <c r="AA379" s="27">
        <f t="shared" si="103"/>
        <v>2006</v>
      </c>
      <c r="AB379" s="26">
        <f t="shared" si="104"/>
        <v>2.7024490944918877E-2</v>
      </c>
      <c r="AC379" s="7">
        <f t="shared" si="105"/>
        <v>1228686</v>
      </c>
    </row>
    <row r="380" spans="1:29" x14ac:dyDescent="0.2">
      <c r="A380" s="8">
        <f t="shared" si="101"/>
        <v>38868</v>
      </c>
      <c r="B380" s="17">
        <f t="shared" si="93"/>
        <v>2006</v>
      </c>
      <c r="C380" s="17">
        <f t="shared" si="94"/>
        <v>5</v>
      </c>
      <c r="D380">
        <v>1165777</v>
      </c>
      <c r="E380">
        <v>966940</v>
      </c>
      <c r="F380" s="7">
        <v>1080412</v>
      </c>
      <c r="G380" s="7">
        <v>924957</v>
      </c>
      <c r="H380" s="7">
        <v>1165777</v>
      </c>
      <c r="I380" s="7">
        <v>966940</v>
      </c>
      <c r="J380" s="19">
        <v>95.4</v>
      </c>
      <c r="K380" s="6">
        <f t="shared" si="95"/>
        <v>198837</v>
      </c>
      <c r="L380" s="15">
        <f t="shared" si="96"/>
        <v>4.558078578454241</v>
      </c>
      <c r="M380" s="16">
        <f t="shared" si="102"/>
        <v>0.10722575285050695</v>
      </c>
      <c r="N380" s="8">
        <f t="array" ref="N380">MAX(IF($B$4:$B$507=B380,$A$4:$A$507))</f>
        <v>39082</v>
      </c>
      <c r="O380" s="8">
        <f t="array" ref="O380">MIN(IF($B$4:$B$507=B380,$A$4:$A$507))</f>
        <v>38748</v>
      </c>
      <c r="P380" s="8">
        <f t="shared" si="90"/>
        <v>38503</v>
      </c>
      <c r="Q380" s="8">
        <f t="shared" si="91"/>
        <v>38868</v>
      </c>
      <c r="R380">
        <f t="shared" si="97"/>
        <v>95.4</v>
      </c>
      <c r="S380">
        <f t="shared" si="88"/>
        <v>91.1</v>
      </c>
      <c r="T380" s="20">
        <f t="shared" si="92"/>
        <v>4.7200878155872816E-2</v>
      </c>
      <c r="U380" s="20">
        <f t="shared" si="89"/>
        <v>2.716571957535931E-2</v>
      </c>
      <c r="V380" s="18">
        <f t="shared" si="98"/>
        <v>1228686</v>
      </c>
      <c r="W380">
        <f t="shared" si="99"/>
        <v>1094.5</v>
      </c>
      <c r="Y380">
        <f t="shared" si="100"/>
        <v>1094.5</v>
      </c>
      <c r="AA380" s="27">
        <f t="shared" si="103"/>
        <v>2006</v>
      </c>
      <c r="AB380" s="26">
        <f t="shared" si="104"/>
        <v>2.7024490944918877E-2</v>
      </c>
      <c r="AC380" s="7">
        <f t="shared" si="105"/>
        <v>1228686</v>
      </c>
    </row>
    <row r="381" spans="1:29" x14ac:dyDescent="0.2">
      <c r="A381" s="8">
        <f t="shared" si="101"/>
        <v>38898</v>
      </c>
      <c r="B381" s="17">
        <f t="shared" si="93"/>
        <v>2006</v>
      </c>
      <c r="C381" s="17">
        <f t="shared" si="94"/>
        <v>6</v>
      </c>
      <c r="D381">
        <v>1080412</v>
      </c>
      <c r="E381">
        <v>924957</v>
      </c>
      <c r="F381" s="7">
        <v>1079746</v>
      </c>
      <c r="G381" s="7">
        <v>925389</v>
      </c>
      <c r="H381" s="7">
        <v>1080412</v>
      </c>
      <c r="I381" s="7">
        <v>924957</v>
      </c>
      <c r="J381" s="19">
        <v>91.1</v>
      </c>
      <c r="K381" s="6">
        <f t="shared" si="95"/>
        <v>155455</v>
      </c>
      <c r="L381" s="15">
        <f t="shared" si="96"/>
        <v>4.5119578042659123</v>
      </c>
      <c r="M381" s="16">
        <f t="shared" si="102"/>
        <v>-4.6120774188328717E-2</v>
      </c>
      <c r="N381" s="8">
        <f t="array" ref="N381">MAX(IF($B$4:$B$507=B381,$A$4:$A$507))</f>
        <v>39082</v>
      </c>
      <c r="O381" s="8">
        <f t="array" ref="O381">MIN(IF($B$4:$B$507=B381,$A$4:$A$507))</f>
        <v>38748</v>
      </c>
      <c r="P381" s="8">
        <f t="shared" si="90"/>
        <v>38533</v>
      </c>
      <c r="Q381" s="8">
        <f t="shared" si="91"/>
        <v>38898</v>
      </c>
      <c r="R381">
        <f t="shared" si="97"/>
        <v>91.1</v>
      </c>
      <c r="S381">
        <f t="shared" si="88"/>
        <v>91.4</v>
      </c>
      <c r="T381" s="20">
        <f t="shared" si="92"/>
        <v>-3.2822757111599099E-3</v>
      </c>
      <c r="U381" s="20">
        <f t="shared" si="89"/>
        <v>2.716571957535931E-2</v>
      </c>
      <c r="V381" s="18">
        <f t="shared" si="98"/>
        <v>1228686</v>
      </c>
      <c r="W381">
        <f t="shared" si="99"/>
        <v>1094.5</v>
      </c>
      <c r="Y381">
        <f t="shared" si="100"/>
        <v>1094.5</v>
      </c>
      <c r="AA381" s="27">
        <f t="shared" si="103"/>
        <v>2006</v>
      </c>
      <c r="AB381" s="26">
        <f t="shared" si="104"/>
        <v>2.7024490944918877E-2</v>
      </c>
      <c r="AC381" s="7">
        <f t="shared" si="105"/>
        <v>1228686</v>
      </c>
    </row>
    <row r="382" spans="1:29" x14ac:dyDescent="0.2">
      <c r="A382" s="8">
        <f t="shared" si="101"/>
        <v>38929</v>
      </c>
      <c r="B382" s="17">
        <f t="shared" si="93"/>
        <v>2006</v>
      </c>
      <c r="C382" s="17">
        <f t="shared" si="94"/>
        <v>7</v>
      </c>
      <c r="D382">
        <v>1079746</v>
      </c>
      <c r="E382">
        <v>925389</v>
      </c>
      <c r="F382" s="7">
        <v>1146722</v>
      </c>
      <c r="G382" s="7">
        <v>1017807</v>
      </c>
      <c r="H382" s="7">
        <v>1079746</v>
      </c>
      <c r="I382" s="7">
        <v>925389</v>
      </c>
      <c r="J382" s="19">
        <v>93.8</v>
      </c>
      <c r="K382" s="6">
        <f t="shared" si="95"/>
        <v>154357</v>
      </c>
      <c r="L382" s="15">
        <f t="shared" si="96"/>
        <v>4.5411648560121787</v>
      </c>
      <c r="M382" s="16">
        <f t="shared" si="102"/>
        <v>2.9207051746266366E-2</v>
      </c>
      <c r="N382" s="8">
        <f t="array" ref="N382">MAX(IF($B$4:$B$507=B382,$A$4:$A$507))</f>
        <v>39082</v>
      </c>
      <c r="O382" s="8">
        <f t="array" ref="O382">MIN(IF($B$4:$B$507=B382,$A$4:$A$507))</f>
        <v>38748</v>
      </c>
      <c r="P382" s="8">
        <f t="shared" si="90"/>
        <v>38564</v>
      </c>
      <c r="Q382" s="8">
        <f t="shared" si="91"/>
        <v>38929</v>
      </c>
      <c r="R382">
        <f t="shared" si="97"/>
        <v>93.8</v>
      </c>
      <c r="S382">
        <f t="shared" si="88"/>
        <v>90.5</v>
      </c>
      <c r="T382" s="20">
        <f t="shared" si="92"/>
        <v>3.6464088397790029E-2</v>
      </c>
      <c r="U382" s="20">
        <f t="shared" si="89"/>
        <v>2.716571957535931E-2</v>
      </c>
      <c r="V382" s="18">
        <f t="shared" si="98"/>
        <v>1228686</v>
      </c>
      <c r="W382">
        <f t="shared" si="99"/>
        <v>1094.5</v>
      </c>
      <c r="Y382">
        <f t="shared" si="100"/>
        <v>1094.5</v>
      </c>
      <c r="AA382" s="27">
        <f t="shared" si="103"/>
        <v>2006</v>
      </c>
      <c r="AB382" s="26">
        <f t="shared" si="104"/>
        <v>2.7024490944918877E-2</v>
      </c>
      <c r="AC382" s="7">
        <f t="shared" si="105"/>
        <v>1228686</v>
      </c>
    </row>
    <row r="383" spans="1:29" x14ac:dyDescent="0.2">
      <c r="A383" s="8">
        <f t="shared" si="101"/>
        <v>38960</v>
      </c>
      <c r="B383" s="17">
        <f t="shared" si="93"/>
        <v>2006</v>
      </c>
      <c r="C383" s="17">
        <f t="shared" si="94"/>
        <v>8</v>
      </c>
      <c r="D383">
        <v>1146722</v>
      </c>
      <c r="E383">
        <v>1017807</v>
      </c>
      <c r="F383" s="7">
        <v>1092661</v>
      </c>
      <c r="G383" s="7">
        <v>915926</v>
      </c>
      <c r="H383" s="7">
        <v>1146722</v>
      </c>
      <c r="I383" s="7">
        <v>1017807</v>
      </c>
      <c r="J383" s="19">
        <v>98.6</v>
      </c>
      <c r="K383" s="6">
        <f t="shared" si="95"/>
        <v>128915</v>
      </c>
      <c r="L383" s="15">
        <f t="shared" si="96"/>
        <v>4.5910712616085894</v>
      </c>
      <c r="M383" s="16">
        <f t="shared" si="102"/>
        <v>4.9906405596410686E-2</v>
      </c>
      <c r="N383" s="8">
        <f t="array" ref="N383">MAX(IF($B$4:$B$507=B383,$A$4:$A$507))</f>
        <v>39082</v>
      </c>
      <c r="O383" s="8">
        <f t="array" ref="O383">MIN(IF($B$4:$B$507=B383,$A$4:$A$507))</f>
        <v>38748</v>
      </c>
      <c r="P383" s="8">
        <f t="shared" si="90"/>
        <v>38595</v>
      </c>
      <c r="Q383" s="8">
        <f t="shared" si="91"/>
        <v>38960</v>
      </c>
      <c r="R383">
        <f t="shared" si="97"/>
        <v>98.6</v>
      </c>
      <c r="S383">
        <f t="shared" si="88"/>
        <v>95.6</v>
      </c>
      <c r="T383" s="20">
        <f t="shared" si="92"/>
        <v>3.1380753138075423E-2</v>
      </c>
      <c r="U383" s="20">
        <f t="shared" si="89"/>
        <v>2.716571957535931E-2</v>
      </c>
      <c r="V383" s="18">
        <f t="shared" si="98"/>
        <v>1228686</v>
      </c>
      <c r="W383">
        <f t="shared" si="99"/>
        <v>1094.5</v>
      </c>
      <c r="Y383">
        <f t="shared" si="100"/>
        <v>1094.5</v>
      </c>
      <c r="AA383" s="27">
        <f t="shared" si="103"/>
        <v>2006</v>
      </c>
      <c r="AB383" s="26">
        <f t="shared" si="104"/>
        <v>2.7024490944918877E-2</v>
      </c>
      <c r="AC383" s="7">
        <f t="shared" si="105"/>
        <v>1228686</v>
      </c>
    </row>
    <row r="384" spans="1:29" x14ac:dyDescent="0.2">
      <c r="A384" s="8">
        <f t="shared" si="101"/>
        <v>38990</v>
      </c>
      <c r="B384" s="17">
        <f t="shared" si="93"/>
        <v>2006</v>
      </c>
      <c r="C384" s="17">
        <f t="shared" si="94"/>
        <v>9</v>
      </c>
      <c r="D384">
        <v>1092661</v>
      </c>
      <c r="E384">
        <v>915926</v>
      </c>
      <c r="F384" s="7">
        <v>1080392</v>
      </c>
      <c r="G384" s="7">
        <v>950597</v>
      </c>
      <c r="H384" s="7">
        <v>1092661</v>
      </c>
      <c r="I384" s="7">
        <v>915926</v>
      </c>
      <c r="J384" s="19">
        <v>93.2</v>
      </c>
      <c r="K384" s="6">
        <f t="shared" si="95"/>
        <v>176735</v>
      </c>
      <c r="L384" s="15">
        <f t="shared" si="96"/>
        <v>4.5347477216915459</v>
      </c>
      <c r="M384" s="16">
        <f t="shared" si="102"/>
        <v>-5.6323539917043419E-2</v>
      </c>
      <c r="N384" s="8">
        <f t="array" ref="N384">MAX(IF($B$4:$B$507=B384,$A$4:$A$507))</f>
        <v>39082</v>
      </c>
      <c r="O384" s="8">
        <f t="array" ref="O384">MIN(IF($B$4:$B$507=B384,$A$4:$A$507))</f>
        <v>38748</v>
      </c>
      <c r="P384" s="8">
        <f t="shared" si="90"/>
        <v>38625</v>
      </c>
      <c r="Q384" s="8">
        <f t="shared" si="91"/>
        <v>38990</v>
      </c>
      <c r="R384">
        <f t="shared" si="97"/>
        <v>93.2</v>
      </c>
      <c r="S384">
        <f t="shared" si="88"/>
        <v>92</v>
      </c>
      <c r="T384" s="20">
        <f t="shared" si="92"/>
        <v>1.304347826086949E-2</v>
      </c>
      <c r="U384" s="20">
        <f t="shared" si="89"/>
        <v>2.716571957535931E-2</v>
      </c>
      <c r="V384" s="18">
        <f t="shared" si="98"/>
        <v>1228686</v>
      </c>
      <c r="W384">
        <f t="shared" si="99"/>
        <v>1094.5</v>
      </c>
      <c r="Y384">
        <f t="shared" si="100"/>
        <v>1094.5</v>
      </c>
      <c r="AA384" s="27">
        <f t="shared" si="103"/>
        <v>2006</v>
      </c>
      <c r="AB384" s="26">
        <f t="shared" si="104"/>
        <v>2.7024490944918877E-2</v>
      </c>
      <c r="AC384" s="7">
        <f t="shared" si="105"/>
        <v>1228686</v>
      </c>
    </row>
    <row r="385" spans="1:29" x14ac:dyDescent="0.2">
      <c r="A385" s="8">
        <f t="shared" si="101"/>
        <v>39021</v>
      </c>
      <c r="B385" s="17">
        <f t="shared" si="93"/>
        <v>2006</v>
      </c>
      <c r="C385" s="17">
        <f t="shared" si="94"/>
        <v>10</v>
      </c>
      <c r="D385">
        <v>1080392</v>
      </c>
      <c r="E385">
        <v>950597</v>
      </c>
      <c r="F385" s="7">
        <v>1047987</v>
      </c>
      <c r="G385" s="7">
        <v>1015408</v>
      </c>
      <c r="H385" s="7">
        <v>1080392</v>
      </c>
      <c r="I385" s="7">
        <v>950597</v>
      </c>
      <c r="J385" s="19">
        <v>97.5</v>
      </c>
      <c r="K385" s="6">
        <f t="shared" si="95"/>
        <v>129795</v>
      </c>
      <c r="L385" s="15">
        <f t="shared" si="96"/>
        <v>4.5798523780038014</v>
      </c>
      <c r="M385" s="16">
        <f t="shared" si="102"/>
        <v>4.5104656312255464E-2</v>
      </c>
      <c r="N385" s="8">
        <f t="array" ref="N385">MAX(IF($B$4:$B$507=B385,$A$4:$A$507))</f>
        <v>39082</v>
      </c>
      <c r="O385" s="8">
        <f t="array" ref="O385">MIN(IF($B$4:$B$507=B385,$A$4:$A$507))</f>
        <v>38748</v>
      </c>
      <c r="P385" s="8">
        <f t="shared" si="90"/>
        <v>38656</v>
      </c>
      <c r="Q385" s="8">
        <f t="shared" si="91"/>
        <v>39021</v>
      </c>
      <c r="R385">
        <f t="shared" si="97"/>
        <v>97.5</v>
      </c>
      <c r="S385">
        <f t="shared" si="88"/>
        <v>93.7</v>
      </c>
      <c r="T385" s="20">
        <f t="shared" si="92"/>
        <v>4.0554962646744963E-2</v>
      </c>
      <c r="U385" s="20">
        <f t="shared" si="89"/>
        <v>2.716571957535931E-2</v>
      </c>
      <c r="V385" s="18">
        <f t="shared" si="98"/>
        <v>1228686</v>
      </c>
      <c r="W385">
        <f t="shared" si="99"/>
        <v>1094.5</v>
      </c>
      <c r="Y385">
        <f t="shared" si="100"/>
        <v>1094.5</v>
      </c>
      <c r="AA385" s="27">
        <f t="shared" si="103"/>
        <v>2006</v>
      </c>
      <c r="AB385" s="26">
        <f t="shared" si="104"/>
        <v>2.7024490944918877E-2</v>
      </c>
      <c r="AC385" s="7">
        <f t="shared" si="105"/>
        <v>1228686</v>
      </c>
    </row>
    <row r="386" spans="1:29" x14ac:dyDescent="0.2">
      <c r="A386" s="8">
        <f t="shared" si="101"/>
        <v>39051</v>
      </c>
      <c r="B386" s="17">
        <f t="shared" si="93"/>
        <v>2006</v>
      </c>
      <c r="C386" s="17">
        <f t="shared" si="94"/>
        <v>11</v>
      </c>
      <c r="D386">
        <v>1047987</v>
      </c>
      <c r="E386">
        <v>1015408</v>
      </c>
      <c r="F386" s="7">
        <v>819288</v>
      </c>
      <c r="G386" s="7">
        <v>1136781</v>
      </c>
      <c r="H386" s="7">
        <v>1047987</v>
      </c>
      <c r="I386" s="7">
        <v>1015408</v>
      </c>
      <c r="J386" s="19">
        <v>95.9</v>
      </c>
      <c r="K386" s="6">
        <f t="shared" si="95"/>
        <v>32579</v>
      </c>
      <c r="L386" s="15">
        <f t="shared" si="96"/>
        <v>4.5633059818893926</v>
      </c>
      <c r="M386" s="16">
        <f t="shared" si="102"/>
        <v>-1.6546396114408779E-2</v>
      </c>
      <c r="N386" s="8">
        <f t="array" ref="N386">MAX(IF($B$4:$B$507=B386,$A$4:$A$507))</f>
        <v>39082</v>
      </c>
      <c r="O386" s="8">
        <f t="array" ref="O386">MIN(IF($B$4:$B$507=B386,$A$4:$A$507))</f>
        <v>38748</v>
      </c>
      <c r="P386" s="8">
        <f t="shared" si="90"/>
        <v>38686</v>
      </c>
      <c r="Q386" s="8">
        <f t="shared" si="91"/>
        <v>39051</v>
      </c>
      <c r="R386">
        <f t="shared" si="97"/>
        <v>95.9</v>
      </c>
      <c r="S386">
        <f t="shared" si="88"/>
        <v>92.4</v>
      </c>
      <c r="T386" s="20">
        <f t="shared" si="92"/>
        <v>3.7878787878787845E-2</v>
      </c>
      <c r="U386" s="20">
        <f t="shared" si="89"/>
        <v>2.716571957535931E-2</v>
      </c>
      <c r="V386" s="18">
        <f t="shared" si="98"/>
        <v>1228686</v>
      </c>
      <c r="W386">
        <f t="shared" si="99"/>
        <v>1094.5</v>
      </c>
      <c r="Y386">
        <f t="shared" si="100"/>
        <v>1094.5</v>
      </c>
      <c r="AA386" s="27">
        <f t="shared" si="103"/>
        <v>2006</v>
      </c>
      <c r="AB386" s="26">
        <f t="shared" si="104"/>
        <v>2.7024490944918877E-2</v>
      </c>
      <c r="AC386" s="7">
        <f t="shared" si="105"/>
        <v>1228686</v>
      </c>
    </row>
    <row r="387" spans="1:29" x14ac:dyDescent="0.2">
      <c r="A387" s="8">
        <f t="shared" si="101"/>
        <v>39082</v>
      </c>
      <c r="B387" s="17">
        <f t="shared" si="93"/>
        <v>2006</v>
      </c>
      <c r="C387" s="17">
        <f t="shared" si="94"/>
        <v>12</v>
      </c>
      <c r="D387">
        <v>819288</v>
      </c>
      <c r="E387">
        <v>1136781</v>
      </c>
      <c r="F387" s="7">
        <v>1144043</v>
      </c>
      <c r="G387" s="7">
        <v>1038575</v>
      </c>
      <c r="H387" s="7">
        <v>819288</v>
      </c>
      <c r="I387" s="7">
        <v>1136781</v>
      </c>
      <c r="J387" s="19">
        <v>87</v>
      </c>
      <c r="K387" s="6">
        <f t="shared" si="95"/>
        <v>-317493</v>
      </c>
      <c r="L387" s="15">
        <f t="shared" si="96"/>
        <v>4.4659081186545837</v>
      </c>
      <c r="M387" s="16">
        <f t="shared" si="102"/>
        <v>-9.7397863234808923E-2</v>
      </c>
      <c r="N387" s="8">
        <f t="array" ref="N387">MAX(IF($B$4:$B$507=B387,$A$4:$A$507))</f>
        <v>39082</v>
      </c>
      <c r="O387" s="8">
        <f t="array" ref="O387">MIN(IF($B$4:$B$507=B387,$A$4:$A$507))</f>
        <v>38748</v>
      </c>
      <c r="P387" s="8">
        <f t="shared" si="90"/>
        <v>38717</v>
      </c>
      <c r="Q387" s="8">
        <f t="shared" si="91"/>
        <v>39082</v>
      </c>
      <c r="R387">
        <f t="shared" si="97"/>
        <v>87</v>
      </c>
      <c r="S387">
        <f t="shared" si="88"/>
        <v>86.6</v>
      </c>
      <c r="T387" s="20">
        <f t="shared" si="92"/>
        <v>4.6189376443419583E-3</v>
      </c>
      <c r="U387" s="20">
        <f t="shared" si="89"/>
        <v>2.716571957535931E-2</v>
      </c>
      <c r="V387" s="18">
        <f t="shared" si="98"/>
        <v>1228686</v>
      </c>
      <c r="W387">
        <f t="shared" si="99"/>
        <v>1094.5</v>
      </c>
      <c r="Y387">
        <f t="shared" si="100"/>
        <v>1094.5</v>
      </c>
      <c r="AA387" s="27">
        <f t="shared" si="103"/>
        <v>2006</v>
      </c>
      <c r="AB387" s="26">
        <f t="shared" si="104"/>
        <v>2.7024490944918877E-2</v>
      </c>
      <c r="AC387" s="7">
        <f t="shared" si="105"/>
        <v>1228686</v>
      </c>
    </row>
    <row r="388" spans="1:29" x14ac:dyDescent="0.2">
      <c r="A388" s="8">
        <f t="shared" si="101"/>
        <v>39113</v>
      </c>
      <c r="B388" s="17">
        <f t="shared" si="93"/>
        <v>2007</v>
      </c>
      <c r="C388" s="17">
        <f t="shared" si="94"/>
        <v>1</v>
      </c>
      <c r="D388">
        <v>1144043</v>
      </c>
      <c r="E388">
        <v>1038575</v>
      </c>
      <c r="F388" s="7">
        <v>1137737</v>
      </c>
      <c r="G388" s="7">
        <v>989718</v>
      </c>
      <c r="H388" s="7">
        <v>1144043</v>
      </c>
      <c r="I388" s="7">
        <v>1038575</v>
      </c>
      <c r="J388" s="19">
        <v>87</v>
      </c>
      <c r="K388" s="6">
        <f t="shared" si="95"/>
        <v>105468</v>
      </c>
      <c r="L388" s="15">
        <f t="shared" si="96"/>
        <v>4.4659081186545837</v>
      </c>
      <c r="M388" s="16">
        <f t="shared" si="102"/>
        <v>0</v>
      </c>
      <c r="N388" s="8">
        <f t="array" ref="N388">MAX(IF($B$4:$B$507=B388,$A$4:$A$507))</f>
        <v>39447</v>
      </c>
      <c r="O388" s="8">
        <f t="array" ref="O388">MIN(IF($B$4:$B$507=B388,$A$4:$A$507))</f>
        <v>39113</v>
      </c>
      <c r="P388" s="8">
        <f t="shared" si="90"/>
        <v>38748</v>
      </c>
      <c r="Q388" s="8">
        <f t="shared" si="91"/>
        <v>39113</v>
      </c>
      <c r="R388">
        <f t="shared" si="97"/>
        <v>87</v>
      </c>
      <c r="S388">
        <f t="shared" si="88"/>
        <v>83.7</v>
      </c>
      <c r="T388" s="20">
        <f t="shared" si="92"/>
        <v>3.9426523297491078E-2</v>
      </c>
      <c r="U388" s="20">
        <f t="shared" si="89"/>
        <v>5.8508019955925805E-2</v>
      </c>
      <c r="V388" s="18">
        <f t="shared" si="98"/>
        <v>1617392</v>
      </c>
      <c r="W388">
        <f t="shared" si="99"/>
        <v>1159.2999999999997</v>
      </c>
      <c r="Y388">
        <f t="shared" si="100"/>
        <v>1159.2999999999997</v>
      </c>
      <c r="AA388" s="27">
        <f t="shared" si="103"/>
        <v>2007</v>
      </c>
      <c r="AB388" s="26">
        <f t="shared" si="104"/>
        <v>5.920511649154836E-2</v>
      </c>
      <c r="AC388" s="7">
        <f t="shared" si="105"/>
        <v>1617392</v>
      </c>
    </row>
    <row r="389" spans="1:29" x14ac:dyDescent="0.2">
      <c r="A389" s="8">
        <f t="shared" si="101"/>
        <v>39141</v>
      </c>
      <c r="B389" s="17">
        <f t="shared" si="93"/>
        <v>2007</v>
      </c>
      <c r="C389" s="17">
        <f t="shared" si="94"/>
        <v>2</v>
      </c>
      <c r="D389">
        <v>1137737</v>
      </c>
      <c r="E389">
        <v>989718</v>
      </c>
      <c r="F389" s="7">
        <v>1255630</v>
      </c>
      <c r="G389" s="7">
        <v>1109489</v>
      </c>
      <c r="H389" s="7">
        <v>1137737</v>
      </c>
      <c r="I389" s="7">
        <v>989718</v>
      </c>
      <c r="J389" s="19">
        <v>82.6</v>
      </c>
      <c r="K389" s="6">
        <f t="shared" si="95"/>
        <v>148019</v>
      </c>
      <c r="L389" s="15">
        <f t="shared" si="96"/>
        <v>4.4140096805269327</v>
      </c>
      <c r="M389" s="16">
        <f t="shared" si="102"/>
        <v>-5.1898438127651048E-2</v>
      </c>
      <c r="N389" s="8">
        <f t="array" ref="N389">MAX(IF($B$4:$B$507=B389,$A$4:$A$507))</f>
        <v>39447</v>
      </c>
      <c r="O389" s="8">
        <f t="array" ref="O389">MIN(IF($B$4:$B$507=B389,$A$4:$A$507))</f>
        <v>39113</v>
      </c>
      <c r="P389" s="8">
        <f t="shared" si="90"/>
        <v>38776</v>
      </c>
      <c r="Q389" s="8">
        <f t="shared" si="91"/>
        <v>39141</v>
      </c>
      <c r="R389">
        <f t="shared" si="97"/>
        <v>82.6</v>
      </c>
      <c r="S389">
        <f t="shared" ref="S389:S452" si="106">VLOOKUP(P389,$A$4:$L$507,$J$1,FALSE)</f>
        <v>80.2</v>
      </c>
      <c r="T389" s="20">
        <f t="shared" si="92"/>
        <v>2.9925187032418865E-2</v>
      </c>
      <c r="U389" s="20">
        <f t="shared" ref="U389:U452" si="107">AVERAGEIF($B$4:$B$507,B389,$T$4:$T$507)</f>
        <v>5.8508019955925805E-2</v>
      </c>
      <c r="V389" s="18">
        <f t="shared" si="98"/>
        <v>1617392</v>
      </c>
      <c r="W389">
        <f t="shared" si="99"/>
        <v>1159.2999999999997</v>
      </c>
      <c r="Y389">
        <f t="shared" si="100"/>
        <v>1159.2999999999997</v>
      </c>
      <c r="AA389" s="27">
        <f t="shared" si="103"/>
        <v>2007</v>
      </c>
      <c r="AB389" s="26">
        <f t="shared" si="104"/>
        <v>5.920511649154836E-2</v>
      </c>
      <c r="AC389" s="7">
        <f t="shared" si="105"/>
        <v>1617392</v>
      </c>
    </row>
    <row r="390" spans="1:29" x14ac:dyDescent="0.2">
      <c r="A390" s="8">
        <f t="shared" si="101"/>
        <v>39172</v>
      </c>
      <c r="B390" s="17">
        <f t="shared" si="93"/>
        <v>2007</v>
      </c>
      <c r="C390" s="17">
        <f t="shared" si="94"/>
        <v>3</v>
      </c>
      <c r="D390">
        <v>1255630</v>
      </c>
      <c r="E390">
        <v>1109489</v>
      </c>
      <c r="F390" s="7">
        <v>1272951</v>
      </c>
      <c r="G390" s="7">
        <v>970960</v>
      </c>
      <c r="H390" s="7">
        <v>1255630</v>
      </c>
      <c r="I390" s="7">
        <v>1109489</v>
      </c>
      <c r="J390" s="19">
        <v>96.4</v>
      </c>
      <c r="K390" s="6">
        <f t="shared" si="95"/>
        <v>146141</v>
      </c>
      <c r="L390" s="15">
        <f t="shared" si="96"/>
        <v>4.5685062016164997</v>
      </c>
      <c r="M390" s="16">
        <f t="shared" si="102"/>
        <v>0.15449652108956702</v>
      </c>
      <c r="N390" s="8">
        <f t="array" ref="N390">MAX(IF($B$4:$B$507=B390,$A$4:$A$507))</f>
        <v>39447</v>
      </c>
      <c r="O390" s="8">
        <f t="array" ref="O390">MIN(IF($B$4:$B$507=B390,$A$4:$A$507))</f>
        <v>39113</v>
      </c>
      <c r="P390" s="8">
        <f t="shared" si="90"/>
        <v>38807</v>
      </c>
      <c r="Q390" s="8">
        <f t="shared" si="91"/>
        <v>39172</v>
      </c>
      <c r="R390">
        <f t="shared" si="97"/>
        <v>96.4</v>
      </c>
      <c r="S390">
        <f t="shared" si="106"/>
        <v>92.4</v>
      </c>
      <c r="T390" s="20">
        <f t="shared" si="92"/>
        <v>4.3290043290043378E-2</v>
      </c>
      <c r="U390" s="20">
        <f t="shared" si="107"/>
        <v>5.8508019955925805E-2</v>
      </c>
      <c r="V390" s="18">
        <f t="shared" si="98"/>
        <v>1617392</v>
      </c>
      <c r="W390">
        <f t="shared" si="99"/>
        <v>1159.2999999999997</v>
      </c>
      <c r="Y390">
        <f t="shared" si="100"/>
        <v>1159.2999999999997</v>
      </c>
      <c r="AA390" s="27">
        <f t="shared" si="103"/>
        <v>2007</v>
      </c>
      <c r="AB390" s="26">
        <f t="shared" si="104"/>
        <v>5.920511649154836E-2</v>
      </c>
      <c r="AC390" s="7">
        <f t="shared" si="105"/>
        <v>1617392</v>
      </c>
    </row>
    <row r="391" spans="1:29" x14ac:dyDescent="0.2">
      <c r="A391" s="8">
        <f t="shared" si="101"/>
        <v>39202</v>
      </c>
      <c r="B391" s="17">
        <f t="shared" si="93"/>
        <v>2007</v>
      </c>
      <c r="C391" s="17">
        <f t="shared" si="94"/>
        <v>4</v>
      </c>
      <c r="D391">
        <v>1272951</v>
      </c>
      <c r="E391">
        <v>970960</v>
      </c>
      <c r="F391" s="7">
        <v>1293497</v>
      </c>
      <c r="G391" s="7">
        <v>1081280</v>
      </c>
      <c r="H391" s="7">
        <v>1272951</v>
      </c>
      <c r="I391" s="7">
        <v>970960</v>
      </c>
      <c r="J391" s="19">
        <v>90.6</v>
      </c>
      <c r="K391" s="6">
        <f t="shared" si="95"/>
        <v>301991</v>
      </c>
      <c r="L391" s="15">
        <f t="shared" si="96"/>
        <v>4.5064542130489338</v>
      </c>
      <c r="M391" s="16">
        <f t="shared" si="102"/>
        <v>-6.2051988567565886E-2</v>
      </c>
      <c r="N391" s="8">
        <f t="array" ref="N391">MAX(IF($B$4:$B$507=B391,$A$4:$A$507))</f>
        <v>39447</v>
      </c>
      <c r="O391" s="8">
        <f t="array" ref="O391">MIN(IF($B$4:$B$507=B391,$A$4:$A$507))</f>
        <v>39113</v>
      </c>
      <c r="P391" s="8">
        <f t="shared" si="90"/>
        <v>38837</v>
      </c>
      <c r="Q391" s="8">
        <f t="shared" si="91"/>
        <v>39202</v>
      </c>
      <c r="R391">
        <f t="shared" si="97"/>
        <v>90.6</v>
      </c>
      <c r="S391">
        <f t="shared" si="106"/>
        <v>85.7</v>
      </c>
      <c r="T391" s="20">
        <f t="shared" si="92"/>
        <v>5.7176196032671989E-2</v>
      </c>
      <c r="U391" s="20">
        <f t="shared" si="107"/>
        <v>5.8508019955925805E-2</v>
      </c>
      <c r="V391" s="18">
        <f t="shared" si="98"/>
        <v>1617392</v>
      </c>
      <c r="W391">
        <f t="shared" si="99"/>
        <v>1159.2999999999997</v>
      </c>
      <c r="Y391">
        <f t="shared" si="100"/>
        <v>1159.2999999999997</v>
      </c>
      <c r="AA391" s="27">
        <f t="shared" si="103"/>
        <v>2007</v>
      </c>
      <c r="AB391" s="26">
        <f t="shared" si="104"/>
        <v>5.920511649154836E-2</v>
      </c>
      <c r="AC391" s="7">
        <f t="shared" si="105"/>
        <v>1617392</v>
      </c>
    </row>
    <row r="392" spans="1:29" x14ac:dyDescent="0.2">
      <c r="A392" s="8">
        <f t="shared" si="101"/>
        <v>39233</v>
      </c>
      <c r="B392" s="17">
        <f t="shared" si="93"/>
        <v>2007</v>
      </c>
      <c r="C392" s="17">
        <f t="shared" si="94"/>
        <v>5</v>
      </c>
      <c r="D392">
        <v>1293497</v>
      </c>
      <c r="E392">
        <v>1081280</v>
      </c>
      <c r="F392" s="7">
        <v>1197609</v>
      </c>
      <c r="G392" s="7">
        <v>1015942</v>
      </c>
      <c r="H392" s="7">
        <v>1293497</v>
      </c>
      <c r="I392" s="7">
        <v>1081280</v>
      </c>
      <c r="J392" s="19">
        <v>99.9</v>
      </c>
      <c r="K392" s="6">
        <f t="shared" si="95"/>
        <v>212217</v>
      </c>
      <c r="L392" s="15">
        <f t="shared" si="96"/>
        <v>4.604169685654508</v>
      </c>
      <c r="M392" s="16">
        <f t="shared" si="102"/>
        <v>9.7715472605574227E-2</v>
      </c>
      <c r="N392" s="8">
        <f t="array" ref="N392">MAX(IF($B$4:$B$507=B392,$A$4:$A$507))</f>
        <v>39447</v>
      </c>
      <c r="O392" s="8">
        <f t="array" ref="O392">MIN(IF($B$4:$B$507=B392,$A$4:$A$507))</f>
        <v>39113</v>
      </c>
      <c r="P392" s="8">
        <f t="shared" si="90"/>
        <v>38868</v>
      </c>
      <c r="Q392" s="8">
        <f t="shared" si="91"/>
        <v>39233</v>
      </c>
      <c r="R392">
        <f t="shared" si="97"/>
        <v>99.9</v>
      </c>
      <c r="S392">
        <f t="shared" si="106"/>
        <v>95.4</v>
      </c>
      <c r="T392" s="20">
        <f t="shared" si="92"/>
        <v>4.7169811320754818E-2</v>
      </c>
      <c r="U392" s="20">
        <f t="shared" si="107"/>
        <v>5.8508019955925805E-2</v>
      </c>
      <c r="V392" s="18">
        <f t="shared" si="98"/>
        <v>1617392</v>
      </c>
      <c r="W392">
        <f t="shared" si="99"/>
        <v>1159.2999999999997</v>
      </c>
      <c r="Y392">
        <f t="shared" si="100"/>
        <v>1159.2999999999997</v>
      </c>
      <c r="AA392" s="27">
        <f t="shared" si="103"/>
        <v>2007</v>
      </c>
      <c r="AB392" s="26">
        <f t="shared" si="104"/>
        <v>5.920511649154836E-2</v>
      </c>
      <c r="AC392" s="7">
        <f t="shared" si="105"/>
        <v>1617392</v>
      </c>
    </row>
    <row r="393" spans="1:29" x14ac:dyDescent="0.2">
      <c r="A393" s="8">
        <f t="shared" si="101"/>
        <v>39263</v>
      </c>
      <c r="B393" s="17">
        <f t="shared" si="93"/>
        <v>2007</v>
      </c>
      <c r="C393" s="17">
        <f t="shared" si="94"/>
        <v>6</v>
      </c>
      <c r="D393">
        <v>1197609</v>
      </c>
      <c r="E393">
        <v>1015942</v>
      </c>
      <c r="F393" s="7">
        <v>1190535</v>
      </c>
      <c r="G393" s="7">
        <v>1063543</v>
      </c>
      <c r="H393" s="7">
        <v>1197609</v>
      </c>
      <c r="I393" s="7">
        <v>1015942</v>
      </c>
      <c r="J393" s="19">
        <v>96.9</v>
      </c>
      <c r="K393" s="6">
        <f t="shared" si="95"/>
        <v>181667</v>
      </c>
      <c r="L393" s="15">
        <f t="shared" si="96"/>
        <v>4.5736795188967205</v>
      </c>
      <c r="M393" s="16">
        <f t="shared" si="102"/>
        <v>-3.0490166757787485E-2</v>
      </c>
      <c r="N393" s="8">
        <f t="array" ref="N393">MAX(IF($B$4:$B$507=B393,$A$4:$A$507))</f>
        <v>39447</v>
      </c>
      <c r="O393" s="8">
        <f t="array" ref="O393">MIN(IF($B$4:$B$507=B393,$A$4:$A$507))</f>
        <v>39113</v>
      </c>
      <c r="P393" s="8">
        <f t="shared" si="90"/>
        <v>38898</v>
      </c>
      <c r="Q393" s="8">
        <f t="shared" si="91"/>
        <v>39263</v>
      </c>
      <c r="R393">
        <f t="shared" si="97"/>
        <v>96.9</v>
      </c>
      <c r="S393">
        <f t="shared" si="106"/>
        <v>91.1</v>
      </c>
      <c r="T393" s="20">
        <f t="shared" si="92"/>
        <v>6.3666300768386419E-2</v>
      </c>
      <c r="U393" s="20">
        <f t="shared" si="107"/>
        <v>5.8508019955925805E-2</v>
      </c>
      <c r="V393" s="18">
        <f t="shared" si="98"/>
        <v>1617392</v>
      </c>
      <c r="W393">
        <f t="shared" si="99"/>
        <v>1159.2999999999997</v>
      </c>
      <c r="Y393">
        <f t="shared" si="100"/>
        <v>1159.2999999999997</v>
      </c>
      <c r="AA393" s="27">
        <f t="shared" si="103"/>
        <v>2007</v>
      </c>
      <c r="AB393" s="26">
        <f t="shared" si="104"/>
        <v>5.920511649154836E-2</v>
      </c>
      <c r="AC393" s="7">
        <f t="shared" si="105"/>
        <v>1617392</v>
      </c>
    </row>
    <row r="394" spans="1:29" x14ac:dyDescent="0.2">
      <c r="A394" s="8">
        <f t="shared" si="101"/>
        <v>39294</v>
      </c>
      <c r="B394" s="17">
        <f t="shared" si="93"/>
        <v>2007</v>
      </c>
      <c r="C394" s="17">
        <f t="shared" si="94"/>
        <v>7</v>
      </c>
      <c r="D394">
        <v>1190535</v>
      </c>
      <c r="E394">
        <v>1063543</v>
      </c>
      <c r="F394" s="7">
        <v>1253523</v>
      </c>
      <c r="G394" s="7">
        <v>1120194</v>
      </c>
      <c r="H394" s="7">
        <v>1190535</v>
      </c>
      <c r="I394" s="7">
        <v>1063543</v>
      </c>
      <c r="J394" s="19">
        <v>99.8</v>
      </c>
      <c r="K394" s="6">
        <f t="shared" si="95"/>
        <v>126992</v>
      </c>
      <c r="L394" s="15">
        <f t="shared" si="96"/>
        <v>4.6031681833174183</v>
      </c>
      <c r="M394" s="16">
        <f t="shared" si="102"/>
        <v>2.9488664420697752E-2</v>
      </c>
      <c r="N394" s="8">
        <f t="array" ref="N394">MAX(IF($B$4:$B$507=B394,$A$4:$A$507))</f>
        <v>39447</v>
      </c>
      <c r="O394" s="8">
        <f t="array" ref="O394">MIN(IF($B$4:$B$507=B394,$A$4:$A$507))</f>
        <v>39113</v>
      </c>
      <c r="P394" s="8">
        <f t="shared" si="90"/>
        <v>38929</v>
      </c>
      <c r="Q394" s="8">
        <f t="shared" si="91"/>
        <v>39294</v>
      </c>
      <c r="R394">
        <f t="shared" si="97"/>
        <v>99.8</v>
      </c>
      <c r="S394">
        <f t="shared" si="106"/>
        <v>93.8</v>
      </c>
      <c r="T394" s="20">
        <f t="shared" si="92"/>
        <v>6.3965884861407307E-2</v>
      </c>
      <c r="U394" s="20">
        <f t="shared" si="107"/>
        <v>5.8508019955925805E-2</v>
      </c>
      <c r="V394" s="18">
        <f t="shared" si="98"/>
        <v>1617392</v>
      </c>
      <c r="W394">
        <f t="shared" si="99"/>
        <v>1159.2999999999997</v>
      </c>
      <c r="Y394">
        <f t="shared" si="100"/>
        <v>1159.2999999999997</v>
      </c>
      <c r="AA394" s="27">
        <f t="shared" si="103"/>
        <v>2007</v>
      </c>
      <c r="AB394" s="26">
        <f t="shared" si="104"/>
        <v>5.920511649154836E-2</v>
      </c>
      <c r="AC394" s="7">
        <f t="shared" si="105"/>
        <v>1617392</v>
      </c>
    </row>
    <row r="395" spans="1:29" x14ac:dyDescent="0.2">
      <c r="A395" s="8">
        <f t="shared" si="101"/>
        <v>39325</v>
      </c>
      <c r="B395" s="17">
        <f t="shared" si="93"/>
        <v>2007</v>
      </c>
      <c r="C395" s="17">
        <f t="shared" si="94"/>
        <v>8</v>
      </c>
      <c r="D395">
        <v>1253523</v>
      </c>
      <c r="E395">
        <v>1120194</v>
      </c>
      <c r="F395" s="7">
        <v>1224287</v>
      </c>
      <c r="G395" s="7">
        <v>973119</v>
      </c>
      <c r="H395" s="7">
        <v>1253523</v>
      </c>
      <c r="I395" s="7">
        <v>1120194</v>
      </c>
      <c r="J395" s="19">
        <v>104.9</v>
      </c>
      <c r="K395" s="6">
        <f t="shared" si="95"/>
        <v>133329</v>
      </c>
      <c r="L395" s="15">
        <f t="shared" si="96"/>
        <v>4.6530075154022512</v>
      </c>
      <c r="M395" s="16">
        <f t="shared" si="102"/>
        <v>4.9839332084832932E-2</v>
      </c>
      <c r="N395" s="8">
        <f t="array" ref="N395">MAX(IF($B$4:$B$507=B395,$A$4:$A$507))</f>
        <v>39447</v>
      </c>
      <c r="O395" s="8">
        <f t="array" ref="O395">MIN(IF($B$4:$B$507=B395,$A$4:$A$507))</f>
        <v>39113</v>
      </c>
      <c r="P395" s="8">
        <f t="shared" si="90"/>
        <v>38960</v>
      </c>
      <c r="Q395" s="8">
        <f t="shared" si="91"/>
        <v>39325</v>
      </c>
      <c r="R395">
        <f t="shared" si="97"/>
        <v>104.9</v>
      </c>
      <c r="S395">
        <f t="shared" si="106"/>
        <v>98.6</v>
      </c>
      <c r="T395" s="20">
        <f t="shared" si="92"/>
        <v>6.3894523326572195E-2</v>
      </c>
      <c r="U395" s="20">
        <f t="shared" si="107"/>
        <v>5.8508019955925805E-2</v>
      </c>
      <c r="V395" s="18">
        <f t="shared" si="98"/>
        <v>1617392</v>
      </c>
      <c r="W395">
        <f t="shared" si="99"/>
        <v>1159.2999999999997</v>
      </c>
      <c r="Y395">
        <f t="shared" si="100"/>
        <v>1159.2999999999997</v>
      </c>
      <c r="AA395" s="27">
        <f t="shared" si="103"/>
        <v>2007</v>
      </c>
      <c r="AB395" s="26">
        <f t="shared" si="104"/>
        <v>5.920511649154836E-2</v>
      </c>
      <c r="AC395" s="7">
        <f t="shared" si="105"/>
        <v>1617392</v>
      </c>
    </row>
    <row r="396" spans="1:29" x14ac:dyDescent="0.2">
      <c r="A396" s="8">
        <f t="shared" si="101"/>
        <v>39355</v>
      </c>
      <c r="B396" s="17">
        <f t="shared" si="93"/>
        <v>2007</v>
      </c>
      <c r="C396" s="17">
        <f t="shared" si="94"/>
        <v>9</v>
      </c>
      <c r="D396">
        <v>1224287</v>
      </c>
      <c r="E396">
        <v>973119</v>
      </c>
      <c r="F396" s="7"/>
      <c r="G396" s="7"/>
      <c r="H396" s="7">
        <v>1224287</v>
      </c>
      <c r="I396" s="7">
        <v>973119</v>
      </c>
      <c r="J396" s="19">
        <v>98.4</v>
      </c>
      <c r="K396" s="6">
        <f t="shared" si="95"/>
        <v>251168</v>
      </c>
      <c r="L396" s="15">
        <f t="shared" si="96"/>
        <v>4.5890408040582074</v>
      </c>
      <c r="M396" s="16">
        <f t="shared" si="102"/>
        <v>-6.3966711344043858E-2</v>
      </c>
      <c r="N396" s="8">
        <f t="array" ref="N396">MAX(IF($B$4:$B$507=B396,$A$4:$A$507))</f>
        <v>39447</v>
      </c>
      <c r="O396" s="8">
        <f t="array" ref="O396">MIN(IF($B$4:$B$507=B396,$A$4:$A$507))</f>
        <v>39113</v>
      </c>
      <c r="P396" s="8">
        <f t="shared" si="90"/>
        <v>38990</v>
      </c>
      <c r="Q396" s="8">
        <f t="shared" si="91"/>
        <v>39355</v>
      </c>
      <c r="R396">
        <f t="shared" si="97"/>
        <v>98.4</v>
      </c>
      <c r="S396">
        <f t="shared" si="106"/>
        <v>93.2</v>
      </c>
      <c r="T396" s="20">
        <f t="shared" si="92"/>
        <v>5.579399141630903E-2</v>
      </c>
      <c r="U396" s="20">
        <f t="shared" si="107"/>
        <v>5.8508019955925805E-2</v>
      </c>
      <c r="V396" s="18">
        <f t="shared" si="98"/>
        <v>1617392</v>
      </c>
      <c r="W396">
        <f t="shared" si="99"/>
        <v>1159.2999999999997</v>
      </c>
      <c r="Y396">
        <f t="shared" si="100"/>
        <v>1159.2999999999997</v>
      </c>
      <c r="AA396" s="27">
        <f t="shared" si="103"/>
        <v>2007</v>
      </c>
      <c r="AB396" s="26">
        <f t="shared" si="104"/>
        <v>5.920511649154836E-2</v>
      </c>
      <c r="AC396" s="7">
        <f t="shared" si="105"/>
        <v>1617392</v>
      </c>
    </row>
    <row r="397" spans="1:29" x14ac:dyDescent="0.2">
      <c r="A397" s="8">
        <f t="shared" si="101"/>
        <v>39386</v>
      </c>
      <c r="B397" s="17">
        <f t="shared" si="93"/>
        <v>2007</v>
      </c>
      <c r="C397" s="17">
        <f t="shared" si="94"/>
        <v>10</v>
      </c>
      <c r="D397">
        <v>1280701</v>
      </c>
      <c r="E397">
        <v>1075441</v>
      </c>
      <c r="G397" s="7"/>
      <c r="H397" s="7">
        <v>1280701</v>
      </c>
      <c r="I397" s="7">
        <v>1075441</v>
      </c>
      <c r="J397" s="19">
        <v>107.8</v>
      </c>
      <c r="K397" s="6">
        <f t="shared" si="95"/>
        <v>205260</v>
      </c>
      <c r="L397" s="15">
        <f t="shared" si="96"/>
        <v>4.6802776584748971</v>
      </c>
      <c r="M397" s="16">
        <f t="shared" si="102"/>
        <v>9.1236854416689717E-2</v>
      </c>
      <c r="N397" s="8">
        <f t="array" ref="N397">MAX(IF($B$4:$B$507=B397,$A$4:$A$507))</f>
        <v>39447</v>
      </c>
      <c r="O397" s="8">
        <f t="array" ref="O397">MIN(IF($B$4:$B$507=B397,$A$4:$A$507))</f>
        <v>39113</v>
      </c>
      <c r="P397" s="8">
        <f t="shared" si="90"/>
        <v>39021</v>
      </c>
      <c r="Q397" s="8">
        <f t="shared" si="91"/>
        <v>39386</v>
      </c>
      <c r="R397">
        <f t="shared" si="97"/>
        <v>107.8</v>
      </c>
      <c r="S397">
        <f t="shared" si="106"/>
        <v>97.5</v>
      </c>
      <c r="T397" s="20">
        <f t="shared" si="92"/>
        <v>0.10564102564102562</v>
      </c>
      <c r="U397" s="20">
        <f t="shared" si="107"/>
        <v>5.8508019955925805E-2</v>
      </c>
      <c r="V397" s="18">
        <f t="shared" si="98"/>
        <v>1617392</v>
      </c>
      <c r="W397">
        <f t="shared" si="99"/>
        <v>1159.2999999999997</v>
      </c>
      <c r="Y397">
        <f t="shared" si="100"/>
        <v>1159.2999999999997</v>
      </c>
      <c r="AA397" s="27">
        <f t="shared" si="103"/>
        <v>2007</v>
      </c>
      <c r="AB397" s="26">
        <f t="shared" si="104"/>
        <v>5.920511649154836E-2</v>
      </c>
      <c r="AC397" s="7">
        <f t="shared" si="105"/>
        <v>1617392</v>
      </c>
    </row>
    <row r="398" spans="1:29" x14ac:dyDescent="0.2">
      <c r="A398" s="8">
        <f t="shared" si="101"/>
        <v>39416</v>
      </c>
      <c r="B398" s="17">
        <f t="shared" si="93"/>
        <v>2007</v>
      </c>
      <c r="C398" s="17">
        <f t="shared" si="94"/>
        <v>11</v>
      </c>
      <c r="D398">
        <v>1182648</v>
      </c>
      <c r="E398">
        <v>1058094</v>
      </c>
      <c r="G398" s="7"/>
      <c r="H398" s="7">
        <v>1182648</v>
      </c>
      <c r="I398" s="7">
        <v>1058094</v>
      </c>
      <c r="J398" s="19">
        <v>102.4</v>
      </c>
      <c r="K398" s="6">
        <f t="shared" si="95"/>
        <v>124554</v>
      </c>
      <c r="L398" s="15">
        <f t="shared" si="96"/>
        <v>4.6288867126054072</v>
      </c>
      <c r="M398" s="16">
        <f t="shared" si="102"/>
        <v>-5.139094586948989E-2</v>
      </c>
      <c r="N398" s="8">
        <f t="array" ref="N398">MAX(IF($B$4:$B$507=B398,$A$4:$A$507))</f>
        <v>39447</v>
      </c>
      <c r="O398" s="8">
        <f t="array" ref="O398">MIN(IF($B$4:$B$507=B398,$A$4:$A$507))</f>
        <v>39113</v>
      </c>
      <c r="P398" s="8">
        <f t="shared" si="90"/>
        <v>39051</v>
      </c>
      <c r="Q398" s="8">
        <f t="shared" si="91"/>
        <v>39416</v>
      </c>
      <c r="R398">
        <f t="shared" si="97"/>
        <v>102.4</v>
      </c>
      <c r="S398">
        <f t="shared" si="106"/>
        <v>95.9</v>
      </c>
      <c r="T398" s="20">
        <f t="shared" si="92"/>
        <v>6.7778936392075106E-2</v>
      </c>
      <c r="U398" s="20">
        <f t="shared" si="107"/>
        <v>5.8508019955925805E-2</v>
      </c>
      <c r="V398" s="18">
        <f t="shared" si="98"/>
        <v>1617392</v>
      </c>
      <c r="W398">
        <f t="shared" si="99"/>
        <v>1159.2999999999997</v>
      </c>
      <c r="Y398">
        <f t="shared" si="100"/>
        <v>1159.2999999999997</v>
      </c>
      <c r="AA398" s="27">
        <f t="shared" si="103"/>
        <v>2007</v>
      </c>
      <c r="AB398" s="26">
        <f t="shared" si="104"/>
        <v>5.920511649154836E-2</v>
      </c>
      <c r="AC398" s="7">
        <f t="shared" si="105"/>
        <v>1617392</v>
      </c>
    </row>
    <row r="399" spans="1:29" x14ac:dyDescent="0.2">
      <c r="A399" s="8">
        <f t="shared" si="101"/>
        <v>39447</v>
      </c>
      <c r="B399" s="17">
        <f t="shared" si="93"/>
        <v>2007</v>
      </c>
      <c r="C399" s="17">
        <f t="shared" si="94"/>
        <v>12</v>
      </c>
      <c r="D399">
        <v>908128</v>
      </c>
      <c r="E399">
        <v>1227542</v>
      </c>
      <c r="H399" s="7">
        <v>908128</v>
      </c>
      <c r="I399" s="7">
        <v>1227542</v>
      </c>
      <c r="J399" s="19">
        <v>92.6</v>
      </c>
      <c r="K399" s="6">
        <f t="shared" si="95"/>
        <v>-319414</v>
      </c>
      <c r="L399" s="15">
        <f t="shared" si="96"/>
        <v>4.5282891416521336</v>
      </c>
      <c r="M399" s="16">
        <f t="shared" si="102"/>
        <v>-0.1005975709532736</v>
      </c>
      <c r="N399" s="8">
        <f t="array" ref="N399">MAX(IF($B$4:$B$507=B399,$A$4:$A$507))</f>
        <v>39447</v>
      </c>
      <c r="O399" s="8">
        <f t="array" ref="O399">MIN(IF($B$4:$B$507=B399,$A$4:$A$507))</f>
        <v>39113</v>
      </c>
      <c r="P399" s="8">
        <f t="shared" si="90"/>
        <v>39082</v>
      </c>
      <c r="Q399" s="8">
        <f t="shared" si="91"/>
        <v>39447</v>
      </c>
      <c r="R399">
        <f t="shared" si="97"/>
        <v>92.6</v>
      </c>
      <c r="S399">
        <f t="shared" si="106"/>
        <v>87</v>
      </c>
      <c r="T399" s="20">
        <f t="shared" si="92"/>
        <v>6.4367816091953856E-2</v>
      </c>
      <c r="U399" s="20">
        <f t="shared" si="107"/>
        <v>5.8508019955925805E-2</v>
      </c>
      <c r="V399" s="18">
        <f t="shared" si="98"/>
        <v>1617392</v>
      </c>
      <c r="W399">
        <f t="shared" si="99"/>
        <v>1159.2999999999997</v>
      </c>
      <c r="Y399">
        <f t="shared" si="100"/>
        <v>1159.2999999999997</v>
      </c>
      <c r="AA399" s="27">
        <f t="shared" si="103"/>
        <v>2007</v>
      </c>
      <c r="AB399" s="26">
        <f t="shared" si="104"/>
        <v>5.920511649154836E-2</v>
      </c>
      <c r="AC399" s="7">
        <f t="shared" si="105"/>
        <v>1617392</v>
      </c>
    </row>
    <row r="400" spans="1:29" x14ac:dyDescent="0.2">
      <c r="A400" s="8">
        <f t="shared" si="101"/>
        <v>39478</v>
      </c>
      <c r="B400" s="17">
        <f t="shared" si="93"/>
        <v>2008</v>
      </c>
      <c r="C400" s="17">
        <f t="shared" si="94"/>
        <v>1</v>
      </c>
      <c r="D400">
        <v>1308922</v>
      </c>
      <c r="E400">
        <v>1166001</v>
      </c>
      <c r="H400">
        <v>1308922</v>
      </c>
      <c r="I400" s="7">
        <v>1166001</v>
      </c>
      <c r="J400" s="19">
        <v>94.8</v>
      </c>
      <c r="K400" s="6">
        <f t="shared" si="95"/>
        <v>142921</v>
      </c>
      <c r="L400" s="15">
        <f t="shared" si="96"/>
        <v>4.5517694092609764</v>
      </c>
      <c r="M400" s="16">
        <f t="shared" si="102"/>
        <v>2.3480267608842809E-2</v>
      </c>
      <c r="N400" s="8">
        <f t="array" ref="N400">MAX(IF($B$4:$B$507=B400,$A$4:$A$507))</f>
        <v>39813</v>
      </c>
      <c r="O400" s="8">
        <f t="array" ref="O400">MIN(IF($B$4:$B$507=B400,$A$4:$A$507))</f>
        <v>39478</v>
      </c>
      <c r="P400" s="8">
        <f t="shared" si="90"/>
        <v>39113</v>
      </c>
      <c r="Q400" s="8">
        <f t="shared" si="91"/>
        <v>39478</v>
      </c>
      <c r="R400">
        <f t="shared" si="97"/>
        <v>94.8</v>
      </c>
      <c r="S400">
        <f t="shared" si="106"/>
        <v>87</v>
      </c>
      <c r="T400" s="20">
        <f t="shared" si="92"/>
        <v>8.9655172413793061E-2</v>
      </c>
      <c r="U400" s="20">
        <f t="shared" si="107"/>
        <v>3.2413365368966669E-2</v>
      </c>
      <c r="V400" s="18">
        <f t="shared" si="98"/>
        <v>1452205</v>
      </c>
      <c r="W400">
        <f t="shared" si="99"/>
        <v>1194.9999999999998</v>
      </c>
      <c r="Y400">
        <f t="shared" si="100"/>
        <v>1194.9999999999998</v>
      </c>
      <c r="AA400" s="27">
        <f t="shared" si="103"/>
        <v>2008</v>
      </c>
      <c r="AB400" s="26">
        <f t="shared" si="104"/>
        <v>3.0794444923660791E-2</v>
      </c>
      <c r="AC400" s="7">
        <f t="shared" si="105"/>
        <v>1452205</v>
      </c>
    </row>
    <row r="401" spans="1:29" x14ac:dyDescent="0.2">
      <c r="A401" s="8">
        <f t="shared" si="101"/>
        <v>39507</v>
      </c>
      <c r="B401" s="17">
        <f t="shared" si="93"/>
        <v>2008</v>
      </c>
      <c r="C401" s="17">
        <f t="shared" si="94"/>
        <v>2</v>
      </c>
      <c r="D401">
        <v>1376908</v>
      </c>
      <c r="E401">
        <v>1171945</v>
      </c>
      <c r="H401">
        <v>1376908</v>
      </c>
      <c r="I401" s="7">
        <v>1171945</v>
      </c>
      <c r="J401" s="19">
        <v>91.1</v>
      </c>
      <c r="K401" s="6">
        <f t="shared" si="95"/>
        <v>204963</v>
      </c>
      <c r="L401" s="15">
        <f t="shared" si="96"/>
        <v>4.5119578042659123</v>
      </c>
      <c r="M401" s="16">
        <f t="shared" si="102"/>
        <v>-3.9811604995064087E-2</v>
      </c>
      <c r="N401" s="8">
        <f t="array" ref="N401">MAX(IF($B$4:$B$507=B401,$A$4:$A$507))</f>
        <v>39813</v>
      </c>
      <c r="O401" s="8">
        <f t="array" ref="O401">MIN(IF($B$4:$B$507=B401,$A$4:$A$507))</f>
        <v>39478</v>
      </c>
      <c r="P401" s="8">
        <f t="shared" si="90"/>
        <v>39141</v>
      </c>
      <c r="Q401" s="8">
        <f t="shared" si="91"/>
        <v>39507</v>
      </c>
      <c r="R401">
        <f t="shared" si="97"/>
        <v>91.1</v>
      </c>
      <c r="S401">
        <f t="shared" si="106"/>
        <v>82.6</v>
      </c>
      <c r="T401" s="20">
        <f t="shared" si="92"/>
        <v>0.102905569007264</v>
      </c>
      <c r="U401" s="20">
        <f t="shared" si="107"/>
        <v>3.2413365368966669E-2</v>
      </c>
      <c r="V401" s="18">
        <f t="shared" si="98"/>
        <v>1452205</v>
      </c>
      <c r="W401">
        <f t="shared" si="99"/>
        <v>1194.9999999999998</v>
      </c>
      <c r="Y401">
        <f t="shared" si="100"/>
        <v>1194.9999999999998</v>
      </c>
      <c r="AA401" s="27">
        <f t="shared" si="103"/>
        <v>2008</v>
      </c>
      <c r="AB401" s="26">
        <f t="shared" si="104"/>
        <v>3.0794444923660791E-2</v>
      </c>
      <c r="AC401" s="7">
        <f t="shared" si="105"/>
        <v>1452205</v>
      </c>
    </row>
    <row r="402" spans="1:29" x14ac:dyDescent="0.2">
      <c r="A402" s="8">
        <f t="shared" si="101"/>
        <v>39538</v>
      </c>
      <c r="B402" s="17">
        <f t="shared" si="93"/>
        <v>2008</v>
      </c>
      <c r="C402" s="17">
        <f t="shared" si="94"/>
        <v>3</v>
      </c>
      <c r="D402">
        <v>1433140</v>
      </c>
      <c r="E402">
        <v>1226584</v>
      </c>
      <c r="H402">
        <v>1433140</v>
      </c>
      <c r="I402" s="7">
        <v>1226584</v>
      </c>
      <c r="J402" s="19">
        <v>97.7</v>
      </c>
      <c r="K402" s="6">
        <f t="shared" si="95"/>
        <v>206556</v>
      </c>
      <c r="L402" s="15">
        <f t="shared" si="96"/>
        <v>4.5819015590487373</v>
      </c>
      <c r="M402" s="16">
        <f t="shared" si="102"/>
        <v>6.9943754782824996E-2</v>
      </c>
      <c r="N402" s="8">
        <f t="array" ref="N402">MAX(IF($B$4:$B$507=B402,$A$4:$A$507))</f>
        <v>39813</v>
      </c>
      <c r="O402" s="8">
        <f t="array" ref="O402">MIN(IF($B$4:$B$507=B402,$A$4:$A$507))</f>
        <v>39478</v>
      </c>
      <c r="P402" s="8">
        <f t="shared" si="90"/>
        <v>39172</v>
      </c>
      <c r="Q402" s="8">
        <f t="shared" si="91"/>
        <v>39538</v>
      </c>
      <c r="R402">
        <f t="shared" si="97"/>
        <v>97.7</v>
      </c>
      <c r="S402">
        <f t="shared" si="106"/>
        <v>96.4</v>
      </c>
      <c r="T402" s="20">
        <f t="shared" si="92"/>
        <v>1.3485477178423189E-2</v>
      </c>
      <c r="U402" s="20">
        <f t="shared" si="107"/>
        <v>3.2413365368966669E-2</v>
      </c>
      <c r="V402" s="18">
        <f t="shared" si="98"/>
        <v>1452205</v>
      </c>
      <c r="W402">
        <f t="shared" si="99"/>
        <v>1194.9999999999998</v>
      </c>
      <c r="Y402">
        <f t="shared" si="100"/>
        <v>1194.9999999999998</v>
      </c>
      <c r="AA402" s="27">
        <f t="shared" si="103"/>
        <v>2008</v>
      </c>
      <c r="AB402" s="26">
        <f t="shared" si="104"/>
        <v>3.0794444923660791E-2</v>
      </c>
      <c r="AC402" s="7">
        <f t="shared" si="105"/>
        <v>1452205</v>
      </c>
    </row>
    <row r="403" spans="1:29" x14ac:dyDescent="0.2">
      <c r="A403" s="8">
        <f t="shared" si="101"/>
        <v>39568</v>
      </c>
      <c r="B403" s="17">
        <f t="shared" si="93"/>
        <v>2008</v>
      </c>
      <c r="C403" s="17">
        <f t="shared" si="94"/>
        <v>4</v>
      </c>
      <c r="D403">
        <v>1503158</v>
      </c>
      <c r="E403">
        <v>1208636</v>
      </c>
      <c r="H403">
        <v>1503158</v>
      </c>
      <c r="I403" s="7">
        <v>1208636</v>
      </c>
      <c r="J403" s="19">
        <v>99.2</v>
      </c>
      <c r="K403" s="6">
        <f t="shared" si="95"/>
        <v>294522</v>
      </c>
      <c r="L403" s="15">
        <f t="shared" si="96"/>
        <v>4.5971380142908274</v>
      </c>
      <c r="M403" s="16">
        <f t="shared" si="102"/>
        <v>1.5236455242090052E-2</v>
      </c>
      <c r="N403" s="8">
        <f t="array" ref="N403">MAX(IF($B$4:$B$507=B403,$A$4:$A$507))</f>
        <v>39813</v>
      </c>
      <c r="O403" s="8">
        <f t="array" ref="O403">MIN(IF($B$4:$B$507=B403,$A$4:$A$507))</f>
        <v>39478</v>
      </c>
      <c r="P403" s="8">
        <f t="shared" si="90"/>
        <v>39202</v>
      </c>
      <c r="Q403" s="8">
        <f t="shared" si="91"/>
        <v>39568</v>
      </c>
      <c r="R403">
        <f t="shared" si="97"/>
        <v>99.2</v>
      </c>
      <c r="S403">
        <f t="shared" si="106"/>
        <v>90.6</v>
      </c>
      <c r="T403" s="20">
        <f t="shared" si="92"/>
        <v>9.4922737306843308E-2</v>
      </c>
      <c r="U403" s="20">
        <f t="shared" si="107"/>
        <v>3.2413365368966669E-2</v>
      </c>
      <c r="V403" s="18">
        <f t="shared" si="98"/>
        <v>1452205</v>
      </c>
      <c r="W403">
        <f t="shared" si="99"/>
        <v>1194.9999999999998</v>
      </c>
      <c r="Y403">
        <f t="shared" si="100"/>
        <v>1194.9999999999998</v>
      </c>
      <c r="AA403" s="27">
        <f t="shared" si="103"/>
        <v>2008</v>
      </c>
      <c r="AB403" s="26">
        <f t="shared" si="104"/>
        <v>3.0794444923660791E-2</v>
      </c>
      <c r="AC403" s="7">
        <f t="shared" si="105"/>
        <v>1452205</v>
      </c>
    </row>
    <row r="404" spans="1:29" x14ac:dyDescent="0.2">
      <c r="A404" s="8">
        <f t="shared" si="101"/>
        <v>39599</v>
      </c>
      <c r="B404" s="17">
        <f t="shared" si="93"/>
        <v>2008</v>
      </c>
      <c r="C404" s="17">
        <f t="shared" si="94"/>
        <v>5</v>
      </c>
      <c r="D404">
        <v>1389589</v>
      </c>
      <c r="E404">
        <v>1186605</v>
      </c>
      <c r="H404">
        <v>1389589</v>
      </c>
      <c r="I404" s="7">
        <v>1186605</v>
      </c>
      <c r="J404" s="19">
        <v>102.5</v>
      </c>
      <c r="K404" s="6">
        <f t="shared" si="95"/>
        <v>202984</v>
      </c>
      <c r="L404" s="15">
        <f t="shared" si="96"/>
        <v>4.6298627985784631</v>
      </c>
      <c r="M404" s="16">
        <f t="shared" si="102"/>
        <v>3.27247842876357E-2</v>
      </c>
      <c r="N404" s="8">
        <f t="array" ref="N404">MAX(IF($B$4:$B$507=B404,$A$4:$A$507))</f>
        <v>39813</v>
      </c>
      <c r="O404" s="8">
        <f t="array" ref="O404">MIN(IF($B$4:$B$507=B404,$A$4:$A$507))</f>
        <v>39478</v>
      </c>
      <c r="P404" s="8">
        <f t="shared" si="90"/>
        <v>39233</v>
      </c>
      <c r="Q404" s="8">
        <f t="shared" si="91"/>
        <v>39599</v>
      </c>
      <c r="R404">
        <f t="shared" si="97"/>
        <v>102.5</v>
      </c>
      <c r="S404">
        <f t="shared" si="106"/>
        <v>99.9</v>
      </c>
      <c r="T404" s="20">
        <f t="shared" si="92"/>
        <v>2.6026026026025884E-2</v>
      </c>
      <c r="U404" s="20">
        <f t="shared" si="107"/>
        <v>3.2413365368966669E-2</v>
      </c>
      <c r="V404" s="18">
        <f t="shared" si="98"/>
        <v>1452205</v>
      </c>
      <c r="W404">
        <f t="shared" si="99"/>
        <v>1194.9999999999998</v>
      </c>
      <c r="Y404">
        <f t="shared" si="100"/>
        <v>1194.9999999999998</v>
      </c>
      <c r="AA404" s="27">
        <f t="shared" si="103"/>
        <v>2008</v>
      </c>
      <c r="AB404" s="26">
        <f t="shared" si="104"/>
        <v>3.0794444923660791E-2</v>
      </c>
      <c r="AC404" s="7">
        <f t="shared" si="105"/>
        <v>1452205</v>
      </c>
    </row>
    <row r="405" spans="1:29" x14ac:dyDescent="0.2">
      <c r="A405" s="8">
        <f t="shared" si="101"/>
        <v>39629</v>
      </c>
      <c r="B405" s="17">
        <f t="shared" si="93"/>
        <v>2008</v>
      </c>
      <c r="C405" s="17">
        <f t="shared" si="94"/>
        <v>6</v>
      </c>
      <c r="D405">
        <v>1492051</v>
      </c>
      <c r="E405">
        <v>1182609</v>
      </c>
      <c r="H405">
        <v>1492051</v>
      </c>
      <c r="I405" s="7">
        <v>1182609</v>
      </c>
      <c r="J405" s="19">
        <v>103.3</v>
      </c>
      <c r="K405" s="6">
        <f t="shared" si="95"/>
        <v>309442</v>
      </c>
      <c r="L405" s="15">
        <f t="shared" si="96"/>
        <v>4.6376373761255927</v>
      </c>
      <c r="M405" s="16">
        <f t="shared" si="102"/>
        <v>7.7745775471296241E-3</v>
      </c>
      <c r="N405" s="8">
        <f t="array" ref="N405">MAX(IF($B$4:$B$507=B405,$A$4:$A$507))</f>
        <v>39813</v>
      </c>
      <c r="O405" s="8">
        <f t="array" ref="O405">MIN(IF($B$4:$B$507=B405,$A$4:$A$507))</f>
        <v>39478</v>
      </c>
      <c r="P405" s="8">
        <f t="shared" si="90"/>
        <v>39263</v>
      </c>
      <c r="Q405" s="8">
        <f t="shared" si="91"/>
        <v>39629</v>
      </c>
      <c r="R405">
        <f t="shared" si="97"/>
        <v>103.3</v>
      </c>
      <c r="S405">
        <f t="shared" si="106"/>
        <v>96.9</v>
      </c>
      <c r="T405" s="20">
        <f t="shared" si="92"/>
        <v>6.6047471620226839E-2</v>
      </c>
      <c r="U405" s="20">
        <f t="shared" si="107"/>
        <v>3.2413365368966669E-2</v>
      </c>
      <c r="V405" s="18">
        <f t="shared" si="98"/>
        <v>1452205</v>
      </c>
      <c r="W405">
        <f t="shared" si="99"/>
        <v>1194.9999999999998</v>
      </c>
      <c r="Y405">
        <f t="shared" si="100"/>
        <v>1194.9999999999998</v>
      </c>
      <c r="AA405" s="27">
        <f t="shared" si="103"/>
        <v>2008</v>
      </c>
      <c r="AB405" s="26">
        <f t="shared" si="104"/>
        <v>3.0794444923660791E-2</v>
      </c>
      <c r="AC405" s="7">
        <f t="shared" si="105"/>
        <v>1452205</v>
      </c>
    </row>
    <row r="406" spans="1:29" x14ac:dyDescent="0.2">
      <c r="A406" s="8">
        <f t="shared" si="101"/>
        <v>39660</v>
      </c>
      <c r="B406" s="17">
        <f t="shared" si="93"/>
        <v>2008</v>
      </c>
      <c r="C406" s="17">
        <f t="shared" si="94"/>
        <v>7</v>
      </c>
      <c r="D406">
        <v>1502808</v>
      </c>
      <c r="E406">
        <v>1299590</v>
      </c>
      <c r="H406">
        <v>1502808</v>
      </c>
      <c r="I406" s="7">
        <v>1299590</v>
      </c>
      <c r="J406" s="19">
        <v>108.5</v>
      </c>
      <c r="K406" s="6">
        <f t="shared" si="95"/>
        <v>203218</v>
      </c>
      <c r="L406" s="15">
        <f t="shared" si="96"/>
        <v>4.6867501729805143</v>
      </c>
      <c r="M406" s="16">
        <f t="shared" si="102"/>
        <v>4.9112796854921648E-2</v>
      </c>
      <c r="N406" s="8">
        <f t="array" ref="N406">MAX(IF($B$4:$B$507=B406,$A$4:$A$507))</f>
        <v>39813</v>
      </c>
      <c r="O406" s="8">
        <f t="array" ref="O406">MIN(IF($B$4:$B$507=B406,$A$4:$A$507))</f>
        <v>39478</v>
      </c>
      <c r="P406" s="8">
        <f t="shared" si="90"/>
        <v>39294</v>
      </c>
      <c r="Q406" s="8">
        <f t="shared" si="91"/>
        <v>39660</v>
      </c>
      <c r="R406">
        <f t="shared" si="97"/>
        <v>108.5</v>
      </c>
      <c r="S406">
        <f t="shared" si="106"/>
        <v>99.8</v>
      </c>
      <c r="T406" s="20">
        <f t="shared" si="92"/>
        <v>8.7174348697394821E-2</v>
      </c>
      <c r="U406" s="20">
        <f t="shared" si="107"/>
        <v>3.2413365368966669E-2</v>
      </c>
      <c r="V406" s="18">
        <f t="shared" si="98"/>
        <v>1452205</v>
      </c>
      <c r="W406">
        <f t="shared" si="99"/>
        <v>1194.9999999999998</v>
      </c>
      <c r="Y406">
        <f t="shared" si="100"/>
        <v>1194.9999999999998</v>
      </c>
      <c r="AA406" s="27">
        <f t="shared" si="103"/>
        <v>2008</v>
      </c>
      <c r="AB406" s="26">
        <f t="shared" si="104"/>
        <v>3.0794444923660791E-2</v>
      </c>
      <c r="AC406" s="7">
        <f t="shared" si="105"/>
        <v>1452205</v>
      </c>
    </row>
    <row r="407" spans="1:29" x14ac:dyDescent="0.2">
      <c r="A407" s="8">
        <f t="shared" si="101"/>
        <v>39691</v>
      </c>
      <c r="B407" s="17">
        <f t="shared" si="93"/>
        <v>2008</v>
      </c>
      <c r="C407" s="17">
        <f t="shared" si="94"/>
        <v>8</v>
      </c>
      <c r="D407">
        <v>1484007</v>
      </c>
      <c r="E407">
        <v>1244883</v>
      </c>
      <c r="H407">
        <v>1484006</v>
      </c>
      <c r="I407" s="7">
        <v>1244883</v>
      </c>
      <c r="J407" s="19">
        <v>106.9</v>
      </c>
      <c r="K407" s="6">
        <f t="shared" si="95"/>
        <v>239124</v>
      </c>
      <c r="L407" s="15">
        <f t="shared" si="96"/>
        <v>4.6718938180309992</v>
      </c>
      <c r="M407" s="16">
        <f t="shared" si="102"/>
        <v>-1.4856354949515094E-2</v>
      </c>
      <c r="N407" s="8">
        <f t="array" ref="N407">MAX(IF($B$4:$B$507=B407,$A$4:$A$507))</f>
        <v>39813</v>
      </c>
      <c r="O407" s="8">
        <f t="array" ref="O407">MIN(IF($B$4:$B$507=B407,$A$4:$A$507))</f>
        <v>39478</v>
      </c>
      <c r="P407" s="8">
        <f t="shared" si="90"/>
        <v>39325</v>
      </c>
      <c r="Q407" s="8">
        <f t="shared" si="91"/>
        <v>39691</v>
      </c>
      <c r="R407">
        <f t="shared" si="97"/>
        <v>106.9</v>
      </c>
      <c r="S407">
        <f t="shared" si="106"/>
        <v>104.9</v>
      </c>
      <c r="T407" s="20">
        <f t="shared" si="92"/>
        <v>1.9065776930409895E-2</v>
      </c>
      <c r="U407" s="20">
        <f t="shared" si="107"/>
        <v>3.2413365368966669E-2</v>
      </c>
      <c r="V407" s="18">
        <f t="shared" si="98"/>
        <v>1452205</v>
      </c>
      <c r="W407">
        <f t="shared" si="99"/>
        <v>1194.9999999999998</v>
      </c>
      <c r="Y407">
        <f t="shared" si="100"/>
        <v>1194.9999999999998</v>
      </c>
      <c r="AA407" s="27">
        <f t="shared" si="103"/>
        <v>2008</v>
      </c>
      <c r="AB407" s="26">
        <f t="shared" si="104"/>
        <v>3.0794444923660791E-2</v>
      </c>
      <c r="AC407" s="7">
        <f t="shared" si="105"/>
        <v>1452205</v>
      </c>
    </row>
    <row r="408" spans="1:29" x14ac:dyDescent="0.2">
      <c r="A408" s="8">
        <f t="shared" si="101"/>
        <v>39721</v>
      </c>
      <c r="B408" s="17">
        <f t="shared" si="93"/>
        <v>2008</v>
      </c>
      <c r="C408" s="17">
        <f t="shared" si="94"/>
        <v>9</v>
      </c>
      <c r="D408">
        <v>1554571</v>
      </c>
      <c r="E408">
        <v>1271730</v>
      </c>
      <c r="H408">
        <v>1554571</v>
      </c>
      <c r="I408" s="7">
        <v>1271730</v>
      </c>
      <c r="J408" s="19">
        <v>107.3</v>
      </c>
      <c r="K408" s="6">
        <f t="shared" si="95"/>
        <v>282841</v>
      </c>
      <c r="L408" s="15">
        <f t="shared" si="96"/>
        <v>4.6756286496366526</v>
      </c>
      <c r="M408" s="16">
        <f t="shared" si="102"/>
        <v>3.7348316056533548E-3</v>
      </c>
      <c r="N408" s="8">
        <f t="array" ref="N408">MAX(IF($B$4:$B$507=B408,$A$4:$A$507))</f>
        <v>39813</v>
      </c>
      <c r="O408" s="8">
        <f t="array" ref="O408">MIN(IF($B$4:$B$507=B408,$A$4:$A$507))</f>
        <v>39478</v>
      </c>
      <c r="P408" s="8">
        <f t="shared" si="90"/>
        <v>39355</v>
      </c>
      <c r="Q408" s="8">
        <f t="shared" si="91"/>
        <v>39721</v>
      </c>
      <c r="R408">
        <f t="shared" si="97"/>
        <v>107.3</v>
      </c>
      <c r="S408">
        <f t="shared" si="106"/>
        <v>98.4</v>
      </c>
      <c r="T408" s="20">
        <f t="shared" si="92"/>
        <v>9.0447154471544611E-2</v>
      </c>
      <c r="U408" s="20">
        <f t="shared" si="107"/>
        <v>3.2413365368966669E-2</v>
      </c>
      <c r="V408" s="18">
        <f t="shared" si="98"/>
        <v>1452205</v>
      </c>
      <c r="W408">
        <f t="shared" si="99"/>
        <v>1194.9999999999998</v>
      </c>
      <c r="Y408">
        <f t="shared" si="100"/>
        <v>1194.9999999999998</v>
      </c>
      <c r="AA408" s="27">
        <f t="shared" si="103"/>
        <v>2008</v>
      </c>
      <c r="AB408" s="26">
        <f t="shared" si="104"/>
        <v>3.0794444923660791E-2</v>
      </c>
      <c r="AC408" s="7">
        <f t="shared" si="105"/>
        <v>1452205</v>
      </c>
    </row>
    <row r="409" spans="1:29" x14ac:dyDescent="0.2">
      <c r="A409" s="8">
        <f t="shared" si="101"/>
        <v>39752</v>
      </c>
      <c r="B409" s="17">
        <f t="shared" si="93"/>
        <v>2008</v>
      </c>
      <c r="C409" s="17">
        <f t="shared" si="94"/>
        <v>10</v>
      </c>
      <c r="D409">
        <v>1451205</v>
      </c>
      <c r="E409">
        <v>1389804</v>
      </c>
      <c r="H409">
        <v>1451205</v>
      </c>
      <c r="I409" s="7">
        <v>1389804</v>
      </c>
      <c r="J409" s="19">
        <v>108.4</v>
      </c>
      <c r="K409" s="6">
        <f t="shared" si="95"/>
        <v>61401</v>
      </c>
      <c r="L409" s="15">
        <f t="shared" si="96"/>
        <v>4.6858280890055459</v>
      </c>
      <c r="M409" s="16">
        <f t="shared" si="102"/>
        <v>1.0199439368893337E-2</v>
      </c>
      <c r="N409" s="8">
        <f t="array" ref="N409">MAX(IF($B$4:$B$507=B409,$A$4:$A$507))</f>
        <v>39813</v>
      </c>
      <c r="O409" s="8">
        <f t="array" ref="O409">MIN(IF($B$4:$B$507=B409,$A$4:$A$507))</f>
        <v>39478</v>
      </c>
      <c r="P409" s="8">
        <f t="shared" ref="P409:P472" si="108">EOMONTH(Q409,-12)</f>
        <v>39386</v>
      </c>
      <c r="Q409" s="8">
        <f t="shared" ref="Q409:Q472" si="109">A409</f>
        <v>39752</v>
      </c>
      <c r="R409">
        <f t="shared" si="97"/>
        <v>108.4</v>
      </c>
      <c r="S409">
        <f t="shared" si="106"/>
        <v>107.8</v>
      </c>
      <c r="T409" s="20">
        <f t="shared" si="92"/>
        <v>5.5658627087198376E-3</v>
      </c>
      <c r="U409" s="20">
        <f t="shared" si="107"/>
        <v>3.2413365368966669E-2</v>
      </c>
      <c r="V409" s="18">
        <f t="shared" si="98"/>
        <v>1452205</v>
      </c>
      <c r="W409">
        <f t="shared" si="99"/>
        <v>1194.9999999999998</v>
      </c>
      <c r="Y409">
        <f t="shared" si="100"/>
        <v>1194.9999999999998</v>
      </c>
      <c r="AA409" s="27">
        <f t="shared" si="103"/>
        <v>2008</v>
      </c>
      <c r="AB409" s="26">
        <f t="shared" si="104"/>
        <v>3.0794444923660791E-2</v>
      </c>
      <c r="AC409" s="7">
        <f t="shared" si="105"/>
        <v>1452205</v>
      </c>
    </row>
    <row r="410" spans="1:29" x14ac:dyDescent="0.2">
      <c r="A410" s="8">
        <f t="shared" si="101"/>
        <v>39782</v>
      </c>
      <c r="B410" s="17">
        <f t="shared" si="93"/>
        <v>2008</v>
      </c>
      <c r="C410" s="17">
        <f t="shared" si="94"/>
        <v>11</v>
      </c>
      <c r="D410">
        <v>1275674</v>
      </c>
      <c r="E410">
        <v>1316495</v>
      </c>
      <c r="H410">
        <v>1275674</v>
      </c>
      <c r="I410" s="7">
        <v>1316495</v>
      </c>
      <c r="J410" s="19">
        <v>96.2</v>
      </c>
      <c r="K410" s="6">
        <f t="shared" si="95"/>
        <v>-40821</v>
      </c>
      <c r="L410" s="15">
        <f t="shared" si="96"/>
        <v>4.5664293576716606</v>
      </c>
      <c r="M410" s="16">
        <f t="shared" si="102"/>
        <v>-0.11939873133388534</v>
      </c>
      <c r="N410" s="8">
        <f t="array" ref="N410">MAX(IF($B$4:$B$507=B410,$A$4:$A$507))</f>
        <v>39813</v>
      </c>
      <c r="O410" s="8">
        <f t="array" ref="O410">MIN(IF($B$4:$B$507=B410,$A$4:$A$507))</f>
        <v>39478</v>
      </c>
      <c r="P410" s="8">
        <f t="shared" si="108"/>
        <v>39416</v>
      </c>
      <c r="Q410" s="8">
        <f t="shared" si="109"/>
        <v>39782</v>
      </c>
      <c r="R410">
        <f t="shared" si="97"/>
        <v>96.2</v>
      </c>
      <c r="S410">
        <f t="shared" si="106"/>
        <v>102.4</v>
      </c>
      <c r="T410" s="20">
        <f t="shared" si="92"/>
        <v>-6.0546875E-2</v>
      </c>
      <c r="U410" s="20">
        <f t="shared" si="107"/>
        <v>3.2413365368966669E-2</v>
      </c>
      <c r="V410" s="18">
        <f t="shared" si="98"/>
        <v>1452205</v>
      </c>
      <c r="W410">
        <f t="shared" si="99"/>
        <v>1194.9999999999998</v>
      </c>
      <c r="Y410">
        <f t="shared" si="100"/>
        <v>1194.9999999999998</v>
      </c>
      <c r="AA410" s="27">
        <f t="shared" si="103"/>
        <v>2008</v>
      </c>
      <c r="AB410" s="26">
        <f t="shared" si="104"/>
        <v>3.0794444923660791E-2</v>
      </c>
      <c r="AC410" s="7">
        <f t="shared" si="105"/>
        <v>1452205</v>
      </c>
    </row>
    <row r="411" spans="1:29" x14ac:dyDescent="0.2">
      <c r="A411" s="8">
        <f t="shared" si="101"/>
        <v>39813</v>
      </c>
      <c r="B411" s="17">
        <f t="shared" si="93"/>
        <v>2008</v>
      </c>
      <c r="C411" s="17">
        <f t="shared" si="94"/>
        <v>12</v>
      </c>
      <c r="D411">
        <v>887299</v>
      </c>
      <c r="E411">
        <v>1542245</v>
      </c>
      <c r="H411">
        <v>887299</v>
      </c>
      <c r="I411" s="7">
        <v>1542245</v>
      </c>
      <c r="J411" s="19">
        <v>79.099999999999994</v>
      </c>
      <c r="K411" s="6">
        <f t="shared" si="95"/>
        <v>-654946</v>
      </c>
      <c r="L411" s="15">
        <f t="shared" si="96"/>
        <v>4.3707128747736084</v>
      </c>
      <c r="M411" s="16">
        <f t="shared" si="102"/>
        <v>-0.19571648289805221</v>
      </c>
      <c r="N411" s="8">
        <f t="array" ref="N411">MAX(IF($B$4:$B$507=B411,$A$4:$A$507))</f>
        <v>39813</v>
      </c>
      <c r="O411" s="8">
        <f t="array" ref="O411">MIN(IF($B$4:$B$507=B411,$A$4:$A$507))</f>
        <v>39478</v>
      </c>
      <c r="P411" s="8">
        <f t="shared" si="108"/>
        <v>39447</v>
      </c>
      <c r="Q411" s="8">
        <f t="shared" si="109"/>
        <v>39813</v>
      </c>
      <c r="R411">
        <f t="shared" si="97"/>
        <v>79.099999999999994</v>
      </c>
      <c r="S411">
        <f t="shared" si="106"/>
        <v>92.6</v>
      </c>
      <c r="T411" s="20">
        <f t="shared" si="92"/>
        <v>-0.14578833693304538</v>
      </c>
      <c r="U411" s="20">
        <f t="shared" si="107"/>
        <v>3.2413365368966669E-2</v>
      </c>
      <c r="V411" s="18">
        <f t="shared" si="98"/>
        <v>1452205</v>
      </c>
      <c r="W411">
        <f t="shared" si="99"/>
        <v>1194.9999999999998</v>
      </c>
      <c r="Y411">
        <f t="shared" si="100"/>
        <v>1194.9999999999998</v>
      </c>
      <c r="AA411" s="27">
        <f t="shared" si="103"/>
        <v>2008</v>
      </c>
      <c r="AB411" s="26">
        <f t="shared" si="104"/>
        <v>3.0794444923660791E-2</v>
      </c>
      <c r="AC411" s="7">
        <f t="shared" si="105"/>
        <v>1452205</v>
      </c>
    </row>
    <row r="412" spans="1:29" x14ac:dyDescent="0.2">
      <c r="A412" s="8">
        <f t="shared" si="101"/>
        <v>39844</v>
      </c>
      <c r="B412" s="17">
        <f t="shared" si="93"/>
        <v>2009</v>
      </c>
      <c r="C412" s="17">
        <f t="shared" si="94"/>
        <v>1</v>
      </c>
      <c r="D412">
        <v>1216550</v>
      </c>
      <c r="E412">
        <v>1318298</v>
      </c>
      <c r="H412">
        <v>1216550</v>
      </c>
      <c r="I412">
        <v>1318298</v>
      </c>
      <c r="J412" s="19">
        <v>78.7</v>
      </c>
      <c r="K412" s="6">
        <f t="shared" si="95"/>
        <v>-101748</v>
      </c>
      <c r="L412" s="15">
        <f t="shared" si="96"/>
        <v>4.3656431554233572</v>
      </c>
      <c r="M412" s="16">
        <f t="shared" si="102"/>
        <v>-5.069719350251134E-3</v>
      </c>
      <c r="N412" s="8">
        <f t="array" ref="N412">MAX(IF($B$4:$B$507=B412,$A$4:$A$507))</f>
        <v>40178</v>
      </c>
      <c r="O412" s="8">
        <f t="array" ref="O412">MIN(IF($B$4:$B$507=B412,$A$4:$A$507))</f>
        <v>39844</v>
      </c>
      <c r="P412" s="8">
        <f t="shared" si="108"/>
        <v>39478</v>
      </c>
      <c r="Q412" s="8">
        <f t="shared" si="109"/>
        <v>39844</v>
      </c>
      <c r="R412">
        <f t="shared" si="97"/>
        <v>78.7</v>
      </c>
      <c r="S412">
        <f t="shared" si="106"/>
        <v>94.8</v>
      </c>
      <c r="T412" s="20">
        <f t="shared" si="92"/>
        <v>-0.16983122362869196</v>
      </c>
      <c r="U412" s="20">
        <f t="shared" si="107"/>
        <v>-6.7422877740722684E-2</v>
      </c>
      <c r="V412" s="18">
        <f t="shared" si="98"/>
        <v>995111</v>
      </c>
      <c r="W412">
        <f t="shared" si="99"/>
        <v>1109.9000000000001</v>
      </c>
      <c r="Y412">
        <f t="shared" si="100"/>
        <v>1109.9000000000001</v>
      </c>
      <c r="AA412" s="27">
        <f t="shared" si="103"/>
        <v>2009</v>
      </c>
      <c r="AB412" s="26">
        <f t="shared" si="104"/>
        <v>-7.1213389121338677E-2</v>
      </c>
      <c r="AC412" s="7">
        <f t="shared" si="105"/>
        <v>995111</v>
      </c>
    </row>
    <row r="413" spans="1:29" x14ac:dyDescent="0.2">
      <c r="A413" s="8">
        <f t="shared" si="101"/>
        <v>39872</v>
      </c>
      <c r="B413" s="17">
        <f t="shared" si="93"/>
        <v>2009</v>
      </c>
      <c r="C413" s="17">
        <f t="shared" si="94"/>
        <v>2</v>
      </c>
      <c r="D413">
        <v>1233554</v>
      </c>
      <c r="E413">
        <v>1224375</v>
      </c>
      <c r="H413">
        <v>1233554</v>
      </c>
      <c r="I413">
        <v>1224375</v>
      </c>
      <c r="J413" s="19">
        <v>76.099999999999994</v>
      </c>
      <c r="K413" s="6">
        <f t="shared" si="95"/>
        <v>9179</v>
      </c>
      <c r="L413" s="15">
        <f t="shared" si="96"/>
        <v>4.3320482648676402</v>
      </c>
      <c r="M413" s="16">
        <f t="shared" si="102"/>
        <v>-3.3594890555717072E-2</v>
      </c>
      <c r="N413" s="8">
        <f t="array" ref="N413">MAX(IF($B$4:$B$507=B413,$A$4:$A$507))</f>
        <v>40178</v>
      </c>
      <c r="O413" s="8">
        <f t="array" ref="O413">MIN(IF($B$4:$B$507=B413,$A$4:$A$507))</f>
        <v>39844</v>
      </c>
      <c r="P413" s="8">
        <f t="shared" si="108"/>
        <v>39507</v>
      </c>
      <c r="Q413" s="8">
        <f t="shared" si="109"/>
        <v>39872</v>
      </c>
      <c r="R413">
        <f t="shared" si="97"/>
        <v>76.099999999999994</v>
      </c>
      <c r="S413">
        <f t="shared" si="106"/>
        <v>91.1</v>
      </c>
      <c r="T413" s="20">
        <f t="shared" si="92"/>
        <v>-0.16465422612513725</v>
      </c>
      <c r="U413" s="20">
        <f t="shared" si="107"/>
        <v>-6.7422877740722684E-2</v>
      </c>
      <c r="V413" s="18">
        <f t="shared" si="98"/>
        <v>995111</v>
      </c>
      <c r="W413">
        <f t="shared" si="99"/>
        <v>1109.9000000000001</v>
      </c>
      <c r="Y413">
        <f t="shared" si="100"/>
        <v>1109.9000000000001</v>
      </c>
      <c r="AA413" s="27">
        <f t="shared" si="103"/>
        <v>2009</v>
      </c>
      <c r="AB413" s="26">
        <f t="shared" si="104"/>
        <v>-7.1213389121338677E-2</v>
      </c>
      <c r="AC413" s="7">
        <f t="shared" si="105"/>
        <v>995111</v>
      </c>
    </row>
    <row r="414" spans="1:29" x14ac:dyDescent="0.2">
      <c r="A414" s="8">
        <f t="shared" si="101"/>
        <v>39903</v>
      </c>
      <c r="B414" s="17">
        <f t="shared" si="93"/>
        <v>2009</v>
      </c>
      <c r="C414" s="17">
        <f t="shared" si="94"/>
        <v>3</v>
      </c>
      <c r="D414">
        <v>1419511</v>
      </c>
      <c r="E414">
        <v>1384693</v>
      </c>
      <c r="H414">
        <v>1419511</v>
      </c>
      <c r="I414">
        <v>1384693</v>
      </c>
      <c r="J414" s="19">
        <v>88.6</v>
      </c>
      <c r="K414" s="6">
        <f t="shared" si="95"/>
        <v>34818</v>
      </c>
      <c r="L414" s="15">
        <f t="shared" si="96"/>
        <v>4.4841318576110352</v>
      </c>
      <c r="M414" s="16">
        <f t="shared" si="102"/>
        <v>0.152083592743395</v>
      </c>
      <c r="N414" s="8">
        <f t="array" ref="N414">MAX(IF($B$4:$B$507=B414,$A$4:$A$507))</f>
        <v>40178</v>
      </c>
      <c r="O414" s="8">
        <f t="array" ref="O414">MIN(IF($B$4:$B$507=B414,$A$4:$A$507))</f>
        <v>39844</v>
      </c>
      <c r="P414" s="8">
        <f t="shared" si="108"/>
        <v>39538</v>
      </c>
      <c r="Q414" s="8">
        <f t="shared" si="109"/>
        <v>39903</v>
      </c>
      <c r="R414">
        <f t="shared" si="97"/>
        <v>88.6</v>
      </c>
      <c r="S414">
        <f t="shared" si="106"/>
        <v>97.7</v>
      </c>
      <c r="T414" s="20">
        <f t="shared" si="92"/>
        <v>-9.3142272262026649E-2</v>
      </c>
      <c r="U414" s="20">
        <f t="shared" si="107"/>
        <v>-6.7422877740722684E-2</v>
      </c>
      <c r="V414" s="18">
        <f t="shared" si="98"/>
        <v>995111</v>
      </c>
      <c r="W414">
        <f t="shared" si="99"/>
        <v>1109.9000000000001</v>
      </c>
      <c r="Y414">
        <f t="shared" si="100"/>
        <v>1109.9000000000001</v>
      </c>
      <c r="AA414" s="27">
        <f t="shared" si="103"/>
        <v>2009</v>
      </c>
      <c r="AB414" s="26">
        <f t="shared" si="104"/>
        <v>-7.1213389121338677E-2</v>
      </c>
      <c r="AC414" s="7">
        <f t="shared" si="105"/>
        <v>995111</v>
      </c>
    </row>
    <row r="415" spans="1:29" x14ac:dyDescent="0.2">
      <c r="A415" s="8">
        <f t="shared" si="101"/>
        <v>39933</v>
      </c>
      <c r="B415" s="17">
        <f t="shared" si="93"/>
        <v>2009</v>
      </c>
      <c r="C415" s="17">
        <f t="shared" si="94"/>
        <v>4</v>
      </c>
      <c r="D415">
        <v>1350446</v>
      </c>
      <c r="E415">
        <v>1244241</v>
      </c>
      <c r="H415">
        <v>1350446</v>
      </c>
      <c r="I415">
        <v>1244241</v>
      </c>
      <c r="J415" s="19">
        <v>85.2</v>
      </c>
      <c r="K415" s="6">
        <f t="shared" si="95"/>
        <v>106205</v>
      </c>
      <c r="L415" s="15">
        <f t="shared" si="96"/>
        <v>4.4450014338352704</v>
      </c>
      <c r="M415" s="16">
        <f t="shared" si="102"/>
        <v>-3.9130423775764811E-2</v>
      </c>
      <c r="N415" s="8">
        <f t="array" ref="N415">MAX(IF($B$4:$B$507=B415,$A$4:$A$507))</f>
        <v>40178</v>
      </c>
      <c r="O415" s="8">
        <f t="array" ref="O415">MIN(IF($B$4:$B$507=B415,$A$4:$A$507))</f>
        <v>39844</v>
      </c>
      <c r="P415" s="8">
        <f t="shared" si="108"/>
        <v>39568</v>
      </c>
      <c r="Q415" s="8">
        <f t="shared" si="109"/>
        <v>39933</v>
      </c>
      <c r="R415">
        <f t="shared" si="97"/>
        <v>85.2</v>
      </c>
      <c r="S415">
        <f t="shared" si="106"/>
        <v>99.2</v>
      </c>
      <c r="T415" s="20">
        <f t="shared" si="92"/>
        <v>-0.1411290322580645</v>
      </c>
      <c r="U415" s="20">
        <f t="shared" si="107"/>
        <v>-6.7422877740722684E-2</v>
      </c>
      <c r="V415" s="18">
        <f t="shared" si="98"/>
        <v>995111</v>
      </c>
      <c r="W415">
        <f t="shared" si="99"/>
        <v>1109.9000000000001</v>
      </c>
      <c r="Y415">
        <f t="shared" si="100"/>
        <v>1109.9000000000001</v>
      </c>
      <c r="AA415" s="27">
        <f t="shared" si="103"/>
        <v>2009</v>
      </c>
      <c r="AB415" s="26">
        <f t="shared" si="104"/>
        <v>-7.1213389121338677E-2</v>
      </c>
      <c r="AC415" s="7">
        <f t="shared" si="105"/>
        <v>995111</v>
      </c>
    </row>
    <row r="416" spans="1:29" x14ac:dyDescent="0.2">
      <c r="A416" s="8">
        <f t="shared" si="101"/>
        <v>39964</v>
      </c>
      <c r="B416" s="17">
        <f t="shared" si="93"/>
        <v>2009</v>
      </c>
      <c r="C416" s="17">
        <f t="shared" si="94"/>
        <v>5</v>
      </c>
      <c r="D416">
        <v>1348575</v>
      </c>
      <c r="E416">
        <v>1217018</v>
      </c>
      <c r="H416">
        <v>1348575</v>
      </c>
      <c r="I416">
        <v>1217018</v>
      </c>
      <c r="J416" s="19">
        <v>91.3</v>
      </c>
      <c r="K416" s="6">
        <f t="shared" si="95"/>
        <v>131557</v>
      </c>
      <c r="L416" s="15">
        <f t="shared" si="96"/>
        <v>4.514150787600923</v>
      </c>
      <c r="M416" s="16">
        <f t="shared" si="102"/>
        <v>6.9149353765652677E-2</v>
      </c>
      <c r="N416" s="8">
        <f t="array" ref="N416">MAX(IF($B$4:$B$507=B416,$A$4:$A$507))</f>
        <v>40178</v>
      </c>
      <c r="O416" s="8">
        <f t="array" ref="O416">MIN(IF($B$4:$B$507=B416,$A$4:$A$507))</f>
        <v>39844</v>
      </c>
      <c r="P416" s="8">
        <f t="shared" si="108"/>
        <v>39599</v>
      </c>
      <c r="Q416" s="8">
        <f t="shared" si="109"/>
        <v>39964</v>
      </c>
      <c r="R416">
        <f t="shared" si="97"/>
        <v>91.3</v>
      </c>
      <c r="S416">
        <f t="shared" si="106"/>
        <v>102.5</v>
      </c>
      <c r="T416" s="20">
        <f t="shared" si="92"/>
        <v>-0.10926829268292682</v>
      </c>
      <c r="U416" s="20">
        <f t="shared" si="107"/>
        <v>-6.7422877740722684E-2</v>
      </c>
      <c r="V416" s="18">
        <f t="shared" si="98"/>
        <v>995111</v>
      </c>
      <c r="W416">
        <f t="shared" si="99"/>
        <v>1109.9000000000001</v>
      </c>
      <c r="Y416">
        <f t="shared" si="100"/>
        <v>1109.9000000000001</v>
      </c>
      <c r="AA416" s="27">
        <f t="shared" si="103"/>
        <v>2009</v>
      </c>
      <c r="AB416" s="26">
        <f t="shared" si="104"/>
        <v>-7.1213389121338677E-2</v>
      </c>
      <c r="AC416" s="7">
        <f t="shared" si="105"/>
        <v>995111</v>
      </c>
    </row>
    <row r="417" spans="1:29" x14ac:dyDescent="0.2">
      <c r="A417" s="8">
        <f t="shared" si="101"/>
        <v>39994</v>
      </c>
      <c r="B417" s="17">
        <f t="shared" si="93"/>
        <v>2009</v>
      </c>
      <c r="C417" s="17">
        <f t="shared" si="94"/>
        <v>6</v>
      </c>
      <c r="D417">
        <v>1356349</v>
      </c>
      <c r="E417">
        <v>1236853</v>
      </c>
      <c r="H417">
        <v>1356349</v>
      </c>
      <c r="I417">
        <v>1236854</v>
      </c>
      <c r="J417" s="19">
        <v>92.2</v>
      </c>
      <c r="K417" s="6">
        <f t="shared" si="95"/>
        <v>119496</v>
      </c>
      <c r="L417" s="15">
        <f t="shared" si="96"/>
        <v>4.5239601305625481</v>
      </c>
      <c r="M417" s="16">
        <f t="shared" si="102"/>
        <v>9.809342961625056E-3</v>
      </c>
      <c r="N417" s="8">
        <f t="array" ref="N417">MAX(IF($B$4:$B$507=B417,$A$4:$A$507))</f>
        <v>40178</v>
      </c>
      <c r="O417" s="8">
        <f t="array" ref="O417">MIN(IF($B$4:$B$507=B417,$A$4:$A$507))</f>
        <v>39844</v>
      </c>
      <c r="P417" s="8">
        <f t="shared" si="108"/>
        <v>39629</v>
      </c>
      <c r="Q417" s="8">
        <f t="shared" si="109"/>
        <v>39994</v>
      </c>
      <c r="R417">
        <f t="shared" si="97"/>
        <v>92.2</v>
      </c>
      <c r="S417">
        <f t="shared" si="106"/>
        <v>103.3</v>
      </c>
      <c r="T417" s="20">
        <f t="shared" si="92"/>
        <v>-0.10745401742497573</v>
      </c>
      <c r="U417" s="20">
        <f t="shared" si="107"/>
        <v>-6.7422877740722684E-2</v>
      </c>
      <c r="V417" s="18">
        <f t="shared" si="98"/>
        <v>995111</v>
      </c>
      <c r="W417">
        <f t="shared" si="99"/>
        <v>1109.9000000000001</v>
      </c>
      <c r="Y417">
        <f t="shared" si="100"/>
        <v>1109.9000000000001</v>
      </c>
      <c r="AA417" s="27">
        <f t="shared" si="103"/>
        <v>2009</v>
      </c>
      <c r="AB417" s="26">
        <f t="shared" si="104"/>
        <v>-7.1213389121338677E-2</v>
      </c>
      <c r="AC417" s="7">
        <f t="shared" si="105"/>
        <v>995111</v>
      </c>
    </row>
    <row r="418" spans="1:29" x14ac:dyDescent="0.2">
      <c r="A418" s="8">
        <f t="shared" si="101"/>
        <v>40025</v>
      </c>
      <c r="B418" s="17">
        <f t="shared" si="93"/>
        <v>2009</v>
      </c>
      <c r="C418" s="17">
        <f t="shared" si="94"/>
        <v>7</v>
      </c>
      <c r="D418">
        <v>1398181</v>
      </c>
      <c r="E418">
        <v>1259779</v>
      </c>
      <c r="H418">
        <v>1398181</v>
      </c>
      <c r="I418">
        <v>1259779</v>
      </c>
      <c r="J418" s="19">
        <v>97.7</v>
      </c>
      <c r="K418" s="6">
        <f t="shared" si="95"/>
        <v>138402</v>
      </c>
      <c r="L418" s="15">
        <f t="shared" si="96"/>
        <v>4.5819015590487373</v>
      </c>
      <c r="M418" s="16">
        <f t="shared" si="102"/>
        <v>5.7941428486189217E-2</v>
      </c>
      <c r="N418" s="8">
        <f t="array" ref="N418">MAX(IF($B$4:$B$507=B418,$A$4:$A$507))</f>
        <v>40178</v>
      </c>
      <c r="O418" s="8">
        <f t="array" ref="O418">MIN(IF($B$4:$B$507=B418,$A$4:$A$507))</f>
        <v>39844</v>
      </c>
      <c r="P418" s="8">
        <f t="shared" si="108"/>
        <v>39660</v>
      </c>
      <c r="Q418" s="8">
        <f t="shared" si="109"/>
        <v>40025</v>
      </c>
      <c r="R418">
        <f t="shared" si="97"/>
        <v>97.7</v>
      </c>
      <c r="S418">
        <f t="shared" si="106"/>
        <v>108.5</v>
      </c>
      <c r="T418" s="20">
        <f t="shared" si="92"/>
        <v>-9.9539170506912411E-2</v>
      </c>
      <c r="U418" s="20">
        <f t="shared" si="107"/>
        <v>-6.7422877740722684E-2</v>
      </c>
      <c r="V418" s="18">
        <f t="shared" si="98"/>
        <v>995111</v>
      </c>
      <c r="W418">
        <f t="shared" si="99"/>
        <v>1109.9000000000001</v>
      </c>
      <c r="Y418">
        <f t="shared" si="100"/>
        <v>1109.9000000000001</v>
      </c>
      <c r="AA418" s="27">
        <f t="shared" si="103"/>
        <v>2009</v>
      </c>
      <c r="AB418" s="26">
        <f t="shared" si="104"/>
        <v>-7.1213389121338677E-2</v>
      </c>
      <c r="AC418" s="7">
        <f t="shared" si="105"/>
        <v>995111</v>
      </c>
    </row>
    <row r="419" spans="1:29" x14ac:dyDescent="0.2">
      <c r="A419" s="8">
        <f t="shared" si="101"/>
        <v>40056</v>
      </c>
      <c r="B419" s="17">
        <f t="shared" si="93"/>
        <v>2009</v>
      </c>
      <c r="C419" s="17">
        <f t="shared" si="94"/>
        <v>8</v>
      </c>
      <c r="D419">
        <v>1457455</v>
      </c>
      <c r="E419">
        <v>1215329</v>
      </c>
      <c r="H419">
        <v>1457455</v>
      </c>
      <c r="I419">
        <v>1215329</v>
      </c>
      <c r="J419" s="19">
        <v>99.6</v>
      </c>
      <c r="K419" s="6">
        <f t="shared" si="95"/>
        <v>242126</v>
      </c>
      <c r="L419" s="15">
        <f t="shared" si="96"/>
        <v>4.6011621645905523</v>
      </c>
      <c r="M419" s="16">
        <f t="shared" si="102"/>
        <v>1.9260605541814968E-2</v>
      </c>
      <c r="N419" s="8">
        <f t="array" ref="N419">MAX(IF($B$4:$B$507=B419,$A$4:$A$507))</f>
        <v>40178</v>
      </c>
      <c r="O419" s="8">
        <f t="array" ref="O419">MIN(IF($B$4:$B$507=B419,$A$4:$A$507))</f>
        <v>39844</v>
      </c>
      <c r="P419" s="8">
        <f t="shared" si="108"/>
        <v>39691</v>
      </c>
      <c r="Q419" s="8">
        <f t="shared" si="109"/>
        <v>40056</v>
      </c>
      <c r="R419">
        <f t="shared" si="97"/>
        <v>99.6</v>
      </c>
      <c r="S419">
        <f t="shared" si="106"/>
        <v>106.9</v>
      </c>
      <c r="T419" s="20">
        <f t="shared" si="92"/>
        <v>-6.8288119738073028E-2</v>
      </c>
      <c r="U419" s="20">
        <f t="shared" si="107"/>
        <v>-6.7422877740722684E-2</v>
      </c>
      <c r="V419" s="18">
        <f t="shared" si="98"/>
        <v>995111</v>
      </c>
      <c r="W419">
        <f t="shared" si="99"/>
        <v>1109.9000000000001</v>
      </c>
      <c r="Y419">
        <f t="shared" si="100"/>
        <v>1109.9000000000001</v>
      </c>
      <c r="AA419" s="27">
        <f t="shared" si="103"/>
        <v>2009</v>
      </c>
      <c r="AB419" s="26">
        <f t="shared" si="104"/>
        <v>-7.1213389121338677E-2</v>
      </c>
      <c r="AC419" s="7">
        <f t="shared" si="105"/>
        <v>995111</v>
      </c>
    </row>
    <row r="420" spans="1:29" x14ac:dyDescent="0.2">
      <c r="A420" s="8">
        <f t="shared" si="101"/>
        <v>40086</v>
      </c>
      <c r="B420" s="17">
        <f t="shared" si="93"/>
        <v>2009</v>
      </c>
      <c r="C420" s="17">
        <f t="shared" si="94"/>
        <v>9</v>
      </c>
      <c r="D420">
        <v>1491580</v>
      </c>
      <c r="E420">
        <v>1238963</v>
      </c>
      <c r="H420">
        <v>1491580</v>
      </c>
      <c r="I420">
        <v>1238963</v>
      </c>
      <c r="J420" s="19">
        <v>99.4</v>
      </c>
      <c r="K420" s="6">
        <f t="shared" si="95"/>
        <v>252617</v>
      </c>
      <c r="L420" s="15">
        <f t="shared" si="96"/>
        <v>4.5991521136625284</v>
      </c>
      <c r="M420" s="16">
        <f t="shared" si="102"/>
        <v>-2.0100509280238654E-3</v>
      </c>
      <c r="N420" s="8">
        <f t="array" ref="N420">MAX(IF($B$4:$B$507=B420,$A$4:$A$507))</f>
        <v>40178</v>
      </c>
      <c r="O420" s="8">
        <f t="array" ref="O420">MIN(IF($B$4:$B$507=B420,$A$4:$A$507))</f>
        <v>39844</v>
      </c>
      <c r="P420" s="8">
        <f t="shared" si="108"/>
        <v>39721</v>
      </c>
      <c r="Q420" s="8">
        <f t="shared" si="109"/>
        <v>40086</v>
      </c>
      <c r="R420">
        <f t="shared" si="97"/>
        <v>99.4</v>
      </c>
      <c r="S420">
        <f t="shared" si="106"/>
        <v>107.3</v>
      </c>
      <c r="T420" s="20">
        <f t="shared" si="92"/>
        <v>-7.362534948741839E-2</v>
      </c>
      <c r="U420" s="20">
        <f t="shared" si="107"/>
        <v>-6.7422877740722684E-2</v>
      </c>
      <c r="V420" s="18">
        <f t="shared" si="98"/>
        <v>995111</v>
      </c>
      <c r="W420">
        <f t="shared" si="99"/>
        <v>1109.9000000000001</v>
      </c>
      <c r="Y420">
        <f t="shared" si="100"/>
        <v>1109.9000000000001</v>
      </c>
      <c r="AA420" s="27">
        <f t="shared" si="103"/>
        <v>2009</v>
      </c>
      <c r="AB420" s="26">
        <f t="shared" si="104"/>
        <v>-7.1213389121338677E-2</v>
      </c>
      <c r="AC420" s="7">
        <f t="shared" si="105"/>
        <v>995111</v>
      </c>
    </row>
    <row r="421" spans="1:29" x14ac:dyDescent="0.2">
      <c r="A421" s="8">
        <f t="shared" si="101"/>
        <v>40117</v>
      </c>
      <c r="B421" s="17">
        <f t="shared" si="93"/>
        <v>2009</v>
      </c>
      <c r="C421" s="17">
        <f t="shared" si="94"/>
        <v>10</v>
      </c>
      <c r="D421">
        <v>1433915</v>
      </c>
      <c r="E421">
        <v>1202959</v>
      </c>
      <c r="H421">
        <v>1433915</v>
      </c>
      <c r="I421">
        <v>1202959</v>
      </c>
      <c r="J421" s="19">
        <v>105.6</v>
      </c>
      <c r="K421" s="6">
        <f t="shared" si="95"/>
        <v>230956</v>
      </c>
      <c r="L421" s="15">
        <f t="shared" si="96"/>
        <v>4.6596583712721609</v>
      </c>
      <c r="M421" s="16">
        <f t="shared" si="102"/>
        <v>6.0506257609632463E-2</v>
      </c>
      <c r="N421" s="8">
        <f t="array" ref="N421">MAX(IF($B$4:$B$507=B421,$A$4:$A$507))</f>
        <v>40178</v>
      </c>
      <c r="O421" s="8">
        <f t="array" ref="O421">MIN(IF($B$4:$B$507=B421,$A$4:$A$507))</f>
        <v>39844</v>
      </c>
      <c r="P421" s="8">
        <f t="shared" si="108"/>
        <v>39752</v>
      </c>
      <c r="Q421" s="8">
        <f t="shared" si="109"/>
        <v>40117</v>
      </c>
      <c r="R421">
        <f t="shared" si="97"/>
        <v>105.6</v>
      </c>
      <c r="S421">
        <f t="shared" si="106"/>
        <v>108.4</v>
      </c>
      <c r="T421" s="20">
        <f t="shared" ref="T421:T484" si="110">R421/S421-1</f>
        <v>-2.583025830258312E-2</v>
      </c>
      <c r="U421" s="20">
        <f t="shared" si="107"/>
        <v>-6.7422877740722684E-2</v>
      </c>
      <c r="V421" s="18">
        <f t="shared" si="98"/>
        <v>995111</v>
      </c>
      <c r="W421">
        <f t="shared" si="99"/>
        <v>1109.9000000000001</v>
      </c>
      <c r="Y421">
        <f t="shared" si="100"/>
        <v>1109.9000000000001</v>
      </c>
      <c r="AA421" s="27">
        <f t="shared" si="103"/>
        <v>2009</v>
      </c>
      <c r="AB421" s="26">
        <f t="shared" si="104"/>
        <v>-7.1213389121338677E-2</v>
      </c>
      <c r="AC421" s="7">
        <f t="shared" si="105"/>
        <v>995111</v>
      </c>
    </row>
    <row r="422" spans="1:29" x14ac:dyDescent="0.2">
      <c r="A422" s="8">
        <f t="shared" si="101"/>
        <v>40147</v>
      </c>
      <c r="B422" s="17">
        <f t="shared" si="93"/>
        <v>2009</v>
      </c>
      <c r="C422" s="17">
        <f t="shared" si="94"/>
        <v>11</v>
      </c>
      <c r="D422">
        <v>1413043</v>
      </c>
      <c r="E422">
        <v>1166348</v>
      </c>
      <c r="H422">
        <v>1413043</v>
      </c>
      <c r="I422">
        <v>1166348</v>
      </c>
      <c r="J422" s="19">
        <v>101.4</v>
      </c>
      <c r="K422" s="6">
        <f t="shared" si="95"/>
        <v>246695</v>
      </c>
      <c r="L422" s="15">
        <f t="shared" si="96"/>
        <v>4.619073091157083</v>
      </c>
      <c r="M422" s="16">
        <f t="shared" si="102"/>
        <v>-4.0585280115077893E-2</v>
      </c>
      <c r="N422" s="8">
        <f t="array" ref="N422">MAX(IF($B$4:$B$507=B422,$A$4:$A$507))</f>
        <v>40178</v>
      </c>
      <c r="O422" s="8">
        <f t="array" ref="O422">MIN(IF($B$4:$B$507=B422,$A$4:$A$507))</f>
        <v>39844</v>
      </c>
      <c r="P422" s="8">
        <f t="shared" si="108"/>
        <v>39782</v>
      </c>
      <c r="Q422" s="8">
        <f t="shared" si="109"/>
        <v>40147</v>
      </c>
      <c r="R422">
        <f t="shared" si="97"/>
        <v>101.4</v>
      </c>
      <c r="S422">
        <f t="shared" si="106"/>
        <v>96.2</v>
      </c>
      <c r="T422" s="20">
        <f t="shared" si="110"/>
        <v>5.4054054054054168E-2</v>
      </c>
      <c r="U422" s="20">
        <f t="shared" si="107"/>
        <v>-6.7422877740722684E-2</v>
      </c>
      <c r="V422" s="18">
        <f t="shared" si="98"/>
        <v>995111</v>
      </c>
      <c r="W422">
        <f t="shared" si="99"/>
        <v>1109.9000000000001</v>
      </c>
      <c r="Y422">
        <f t="shared" si="100"/>
        <v>1109.9000000000001</v>
      </c>
      <c r="AA422" s="27">
        <f t="shared" si="103"/>
        <v>2009</v>
      </c>
      <c r="AB422" s="26">
        <f t="shared" si="104"/>
        <v>-7.1213389121338677E-2</v>
      </c>
      <c r="AC422" s="7">
        <f t="shared" si="105"/>
        <v>995111</v>
      </c>
    </row>
    <row r="423" spans="1:29" x14ac:dyDescent="0.2">
      <c r="A423" s="8">
        <f t="shared" si="101"/>
        <v>40178</v>
      </c>
      <c r="B423" s="17">
        <f t="shared" si="93"/>
        <v>2009</v>
      </c>
      <c r="C423" s="17">
        <f t="shared" si="94"/>
        <v>12</v>
      </c>
      <c r="D423">
        <v>1068481</v>
      </c>
      <c r="E423">
        <v>1483673</v>
      </c>
      <c r="H423">
        <v>1068481</v>
      </c>
      <c r="I423">
        <v>1483673</v>
      </c>
      <c r="J423" s="19">
        <v>94.1</v>
      </c>
      <c r="K423" s="6">
        <f t="shared" si="95"/>
        <v>-415192</v>
      </c>
      <c r="L423" s="15">
        <f t="shared" si="96"/>
        <v>4.5443580465913342</v>
      </c>
      <c r="M423" s="16">
        <f t="shared" si="102"/>
        <v>-7.4715044565748734E-2</v>
      </c>
      <c r="N423" s="8">
        <f t="array" ref="N423">MAX(IF($B$4:$B$507=B423,$A$4:$A$507))</f>
        <v>40178</v>
      </c>
      <c r="O423" s="8">
        <f t="array" ref="O423">MIN(IF($B$4:$B$507=B423,$A$4:$A$507))</f>
        <v>39844</v>
      </c>
      <c r="P423" s="8">
        <f t="shared" si="108"/>
        <v>39813</v>
      </c>
      <c r="Q423" s="8">
        <f t="shared" si="109"/>
        <v>40178</v>
      </c>
      <c r="R423">
        <f t="shared" si="97"/>
        <v>94.1</v>
      </c>
      <c r="S423">
        <f t="shared" si="106"/>
        <v>79.099999999999994</v>
      </c>
      <c r="T423" s="20">
        <f t="shared" si="110"/>
        <v>0.18963337547408354</v>
      </c>
      <c r="U423" s="20">
        <f t="shared" si="107"/>
        <v>-6.7422877740722684E-2</v>
      </c>
      <c r="V423" s="18">
        <f t="shared" si="98"/>
        <v>995111</v>
      </c>
      <c r="W423">
        <f t="shared" si="99"/>
        <v>1109.9000000000001</v>
      </c>
      <c r="Y423">
        <f t="shared" si="100"/>
        <v>1109.9000000000001</v>
      </c>
      <c r="AA423" s="27">
        <f t="shared" si="103"/>
        <v>2009</v>
      </c>
      <c r="AB423" s="26">
        <f t="shared" si="104"/>
        <v>-7.1213389121338677E-2</v>
      </c>
      <c r="AC423" s="7">
        <f t="shared" si="105"/>
        <v>995111</v>
      </c>
    </row>
    <row r="424" spans="1:29" x14ac:dyDescent="0.2">
      <c r="A424" s="8">
        <f t="shared" si="101"/>
        <v>40209</v>
      </c>
      <c r="B424" s="17">
        <f t="shared" si="93"/>
        <v>2010</v>
      </c>
      <c r="C424" s="17">
        <f t="shared" si="94"/>
        <v>1</v>
      </c>
      <c r="D424">
        <v>1410462</v>
      </c>
      <c r="E424">
        <v>1229043</v>
      </c>
      <c r="H424">
        <v>1410462</v>
      </c>
      <c r="I424">
        <v>1229043</v>
      </c>
      <c r="J424" s="19">
        <v>91.2</v>
      </c>
      <c r="K424" s="6">
        <f t="shared" si="95"/>
        <v>181419</v>
      </c>
      <c r="L424" s="15">
        <f t="shared" si="96"/>
        <v>4.513054897080286</v>
      </c>
      <c r="M424" s="16">
        <f t="shared" si="102"/>
        <v>-3.1303149511048289E-2</v>
      </c>
      <c r="N424" s="8">
        <f t="array" ref="N424">MAX(IF($B$4:$B$507=B424,$A$4:$A$507))</f>
        <v>40543</v>
      </c>
      <c r="O424" s="8">
        <f t="array" ref="O424">MIN(IF($B$4:$B$507=B424,$A$4:$A$507))</f>
        <v>40209</v>
      </c>
      <c r="P424" s="8">
        <f t="shared" si="108"/>
        <v>39844</v>
      </c>
      <c r="Q424" s="8">
        <f t="shared" si="109"/>
        <v>40209</v>
      </c>
      <c r="R424">
        <f t="shared" si="97"/>
        <v>91.2</v>
      </c>
      <c r="S424">
        <f t="shared" si="106"/>
        <v>78.7</v>
      </c>
      <c r="T424" s="20">
        <f t="shared" si="110"/>
        <v>0.15883100381194404</v>
      </c>
      <c r="U424" s="20">
        <f t="shared" si="107"/>
        <v>0.10648093218221565</v>
      </c>
      <c r="V424" s="18">
        <f t="shared" si="98"/>
        <v>2136938</v>
      </c>
      <c r="W424">
        <f t="shared" si="99"/>
        <v>1223.3</v>
      </c>
      <c r="Y424">
        <f t="shared" si="100"/>
        <v>1223.3</v>
      </c>
      <c r="AA424" s="27">
        <f t="shared" si="103"/>
        <v>2010</v>
      </c>
      <c r="AB424" s="26">
        <f t="shared" si="104"/>
        <v>0.10217136678980077</v>
      </c>
      <c r="AC424" s="7">
        <f t="shared" si="105"/>
        <v>2136938</v>
      </c>
    </row>
    <row r="425" spans="1:29" x14ac:dyDescent="0.2">
      <c r="A425" s="8">
        <f t="shared" si="101"/>
        <v>40237</v>
      </c>
      <c r="B425" s="17">
        <f t="shared" ref="B425:B488" si="111">YEAR(A425)</f>
        <v>2010</v>
      </c>
      <c r="C425" s="17">
        <f t="shared" ref="C425:C488" si="112">MONTH(A425)</f>
        <v>2</v>
      </c>
      <c r="D425">
        <v>1526320</v>
      </c>
      <c r="E425">
        <v>1316896</v>
      </c>
      <c r="H425">
        <v>1526321</v>
      </c>
      <c r="I425">
        <v>1316896</v>
      </c>
      <c r="J425" s="19">
        <v>89</v>
      </c>
      <c r="K425" s="6">
        <f t="shared" ref="K425:K488" si="113">IF(AND(ISNUMBER(D425),ISNUMBER(E425)),D425-E425,IF(AND(ISNUMBER(F425),ISNUMBER(G425)),F425-G425,H425-I425))</f>
        <v>209424</v>
      </c>
      <c r="L425" s="15">
        <f t="shared" ref="L425:L488" si="114">LN(J425)</f>
        <v>4.4886363697321396</v>
      </c>
      <c r="M425" s="16">
        <f t="shared" si="102"/>
        <v>-2.4418527348146313E-2</v>
      </c>
      <c r="N425" s="8">
        <f t="array" ref="N425">MAX(IF($B$4:$B$507=B425,$A$4:$A$507))</f>
        <v>40543</v>
      </c>
      <c r="O425" s="8">
        <f t="array" ref="O425">MIN(IF($B$4:$B$507=B425,$A$4:$A$507))</f>
        <v>40209</v>
      </c>
      <c r="P425" s="8">
        <f t="shared" si="108"/>
        <v>39872</v>
      </c>
      <c r="Q425" s="8">
        <f t="shared" si="109"/>
        <v>40237</v>
      </c>
      <c r="R425">
        <f t="shared" ref="R425:R488" si="115">VLOOKUP(Q425,$A$232:$L$507,$J$1,FALSE)</f>
        <v>89</v>
      </c>
      <c r="S425">
        <f t="shared" si="106"/>
        <v>76.099999999999994</v>
      </c>
      <c r="T425" s="20">
        <f t="shared" si="110"/>
        <v>0.16951379763469121</v>
      </c>
      <c r="U425" s="20">
        <f t="shared" si="107"/>
        <v>0.10648093218221565</v>
      </c>
      <c r="V425" s="18">
        <f t="shared" ref="V425:V488" si="116">SUMIF($B$232:$B$507,B425,$K$232:$K$507)</f>
        <v>2136938</v>
      </c>
      <c r="W425">
        <f t="shared" ref="W425:W488" si="117">SUMIF($B$232:$B$507,B425,$J$232:$J$507)</f>
        <v>1223.3</v>
      </c>
      <c r="Y425">
        <f t="shared" ref="Y425:Y488" si="118">SUMIF($B$4:$B$507,B425,$J$4:$J$507)</f>
        <v>1223.3</v>
      </c>
      <c r="AA425" s="27">
        <f t="shared" si="103"/>
        <v>2010</v>
      </c>
      <c r="AB425" s="26">
        <f t="shared" si="104"/>
        <v>0.10217136678980077</v>
      </c>
      <c r="AC425" s="7">
        <f t="shared" si="105"/>
        <v>2136938</v>
      </c>
    </row>
    <row r="426" spans="1:29" x14ac:dyDescent="0.2">
      <c r="A426" s="8">
        <f t="shared" ref="A426:A489" si="119">EOMONTH(A425,1)</f>
        <v>40268</v>
      </c>
      <c r="B426" s="17">
        <f t="shared" si="111"/>
        <v>2010</v>
      </c>
      <c r="C426" s="17">
        <f t="shared" si="112"/>
        <v>3</v>
      </c>
      <c r="D426">
        <v>1820045</v>
      </c>
      <c r="E426">
        <v>1553630</v>
      </c>
      <c r="H426">
        <v>1820045</v>
      </c>
      <c r="I426">
        <v>1553630</v>
      </c>
      <c r="J426" s="19">
        <v>105.1</v>
      </c>
      <c r="K426" s="6">
        <f t="shared" si="113"/>
        <v>266415</v>
      </c>
      <c r="L426" s="15">
        <f t="shared" si="114"/>
        <v>4.6549122778829055</v>
      </c>
      <c r="M426" s="16">
        <f t="shared" ref="M426:M489" si="120">L426-L425</f>
        <v>0.16627590815076587</v>
      </c>
      <c r="N426" s="8">
        <f t="array" ref="N426">MAX(IF($B$4:$B$507=B426,$A$4:$A$507))</f>
        <v>40543</v>
      </c>
      <c r="O426" s="8">
        <f t="array" ref="O426">MIN(IF($B$4:$B$507=B426,$A$4:$A$507))</f>
        <v>40209</v>
      </c>
      <c r="P426" s="8">
        <f t="shared" si="108"/>
        <v>39903</v>
      </c>
      <c r="Q426" s="8">
        <f t="shared" si="109"/>
        <v>40268</v>
      </c>
      <c r="R426">
        <f t="shared" si="115"/>
        <v>105.1</v>
      </c>
      <c r="S426">
        <f t="shared" si="106"/>
        <v>88.6</v>
      </c>
      <c r="T426" s="20">
        <f t="shared" si="110"/>
        <v>0.18623024830699775</v>
      </c>
      <c r="U426" s="20">
        <f t="shared" si="107"/>
        <v>0.10648093218221565</v>
      </c>
      <c r="V426" s="18">
        <f t="shared" si="116"/>
        <v>2136938</v>
      </c>
      <c r="W426">
        <f t="shared" si="117"/>
        <v>1223.3</v>
      </c>
      <c r="Y426">
        <f t="shared" si="118"/>
        <v>1223.3</v>
      </c>
      <c r="AA426" s="27">
        <f t="shared" si="103"/>
        <v>2010</v>
      </c>
      <c r="AB426" s="26">
        <f t="shared" si="104"/>
        <v>0.10217136678980077</v>
      </c>
      <c r="AC426" s="7">
        <f t="shared" si="105"/>
        <v>2136938</v>
      </c>
    </row>
    <row r="427" spans="1:29" x14ac:dyDescent="0.2">
      <c r="A427" s="8">
        <f t="shared" si="119"/>
        <v>40298</v>
      </c>
      <c r="B427" s="17">
        <f t="shared" si="111"/>
        <v>2010</v>
      </c>
      <c r="C427" s="17">
        <f t="shared" si="112"/>
        <v>4</v>
      </c>
      <c r="D427">
        <v>1660075</v>
      </c>
      <c r="E427">
        <v>1355007</v>
      </c>
      <c r="H427">
        <v>1660075</v>
      </c>
      <c r="I427">
        <v>1355007</v>
      </c>
      <c r="J427" s="19">
        <v>99.3</v>
      </c>
      <c r="K427" s="6">
        <f t="shared" si="113"/>
        <v>305068</v>
      </c>
      <c r="L427" s="15">
        <f t="shared" si="114"/>
        <v>4.598145571051127</v>
      </c>
      <c r="M427" s="16">
        <f t="shared" si="120"/>
        <v>-5.6766706831778535E-2</v>
      </c>
      <c r="N427" s="8">
        <f t="array" ref="N427">MAX(IF($B$4:$B$507=B427,$A$4:$A$507))</f>
        <v>40543</v>
      </c>
      <c r="O427" s="8">
        <f t="array" ref="O427">MIN(IF($B$4:$B$507=B427,$A$4:$A$507))</f>
        <v>40209</v>
      </c>
      <c r="P427" s="8">
        <f t="shared" si="108"/>
        <v>39933</v>
      </c>
      <c r="Q427" s="8">
        <f t="shared" si="109"/>
        <v>40298</v>
      </c>
      <c r="R427">
        <f t="shared" si="115"/>
        <v>99.3</v>
      </c>
      <c r="S427">
        <f t="shared" si="106"/>
        <v>85.2</v>
      </c>
      <c r="T427" s="20">
        <f t="shared" si="110"/>
        <v>0.16549295774647876</v>
      </c>
      <c r="U427" s="20">
        <f t="shared" si="107"/>
        <v>0.10648093218221565</v>
      </c>
      <c r="V427" s="18">
        <f t="shared" si="116"/>
        <v>2136938</v>
      </c>
      <c r="W427">
        <f t="shared" si="117"/>
        <v>1223.3</v>
      </c>
      <c r="Y427">
        <f t="shared" si="118"/>
        <v>1223.3</v>
      </c>
      <c r="AA427" s="27">
        <f t="shared" si="103"/>
        <v>2010</v>
      </c>
      <c r="AB427" s="26">
        <f t="shared" si="104"/>
        <v>0.10217136678980077</v>
      </c>
      <c r="AC427" s="7">
        <f t="shared" si="105"/>
        <v>2136938</v>
      </c>
    </row>
    <row r="428" spans="1:29" x14ac:dyDescent="0.2">
      <c r="A428" s="8">
        <f t="shared" si="119"/>
        <v>40329</v>
      </c>
      <c r="B428" s="17">
        <f t="shared" si="111"/>
        <v>2010</v>
      </c>
      <c r="C428" s="17">
        <f t="shared" si="112"/>
        <v>5</v>
      </c>
      <c r="D428">
        <v>1693332</v>
      </c>
      <c r="E428">
        <v>1395291</v>
      </c>
      <c r="H428">
        <v>1693332</v>
      </c>
      <c r="I428">
        <v>1395291</v>
      </c>
      <c r="J428" s="19">
        <v>104.3</v>
      </c>
      <c r="K428" s="6">
        <f t="shared" si="113"/>
        <v>298041</v>
      </c>
      <c r="L428" s="15">
        <f t="shared" si="114"/>
        <v>4.6472713620067267</v>
      </c>
      <c r="M428" s="16">
        <f t="shared" si="120"/>
        <v>4.9125790955599768E-2</v>
      </c>
      <c r="N428" s="8">
        <f t="array" ref="N428">MAX(IF($B$4:$B$507=B428,$A$4:$A$507))</f>
        <v>40543</v>
      </c>
      <c r="O428" s="8">
        <f t="array" ref="O428">MIN(IF($B$4:$B$507=B428,$A$4:$A$507))</f>
        <v>40209</v>
      </c>
      <c r="P428" s="8">
        <f t="shared" si="108"/>
        <v>39964</v>
      </c>
      <c r="Q428" s="8">
        <f t="shared" si="109"/>
        <v>40329</v>
      </c>
      <c r="R428">
        <f t="shared" si="115"/>
        <v>104.3</v>
      </c>
      <c r="S428">
        <f t="shared" si="106"/>
        <v>91.3</v>
      </c>
      <c r="T428" s="20">
        <f t="shared" si="110"/>
        <v>0.14238773274917849</v>
      </c>
      <c r="U428" s="20">
        <f t="shared" si="107"/>
        <v>0.10648093218221565</v>
      </c>
      <c r="V428" s="18">
        <f t="shared" si="116"/>
        <v>2136938</v>
      </c>
      <c r="W428">
        <f t="shared" si="117"/>
        <v>1223.3</v>
      </c>
      <c r="Y428">
        <f t="shared" si="118"/>
        <v>1223.3</v>
      </c>
      <c r="AA428" s="27">
        <f t="shared" si="103"/>
        <v>2010</v>
      </c>
      <c r="AB428" s="26">
        <f t="shared" si="104"/>
        <v>0.10217136678980077</v>
      </c>
      <c r="AC428" s="7">
        <f t="shared" si="105"/>
        <v>2136938</v>
      </c>
    </row>
    <row r="429" spans="1:29" x14ac:dyDescent="0.2">
      <c r="A429" s="8">
        <f t="shared" si="119"/>
        <v>40359</v>
      </c>
      <c r="B429" s="17">
        <f t="shared" si="111"/>
        <v>2010</v>
      </c>
      <c r="C429" s="17">
        <f t="shared" si="112"/>
        <v>6</v>
      </c>
      <c r="D429">
        <v>1623079</v>
      </c>
      <c r="E429">
        <v>1410127</v>
      </c>
      <c r="H429">
        <v>1623079</v>
      </c>
      <c r="I429">
        <v>1410127</v>
      </c>
      <c r="J429" s="19">
        <v>102.5</v>
      </c>
      <c r="K429" s="6">
        <f t="shared" si="113"/>
        <v>212952</v>
      </c>
      <c r="L429" s="15">
        <f t="shared" si="114"/>
        <v>4.6298627985784631</v>
      </c>
      <c r="M429" s="16">
        <f t="shared" si="120"/>
        <v>-1.740856342826369E-2</v>
      </c>
      <c r="N429" s="8">
        <f t="array" ref="N429">MAX(IF($B$4:$B$507=B429,$A$4:$A$507))</f>
        <v>40543</v>
      </c>
      <c r="O429" s="8">
        <f t="array" ref="O429">MIN(IF($B$4:$B$507=B429,$A$4:$A$507))</f>
        <v>40209</v>
      </c>
      <c r="P429" s="8">
        <f t="shared" si="108"/>
        <v>39994</v>
      </c>
      <c r="Q429" s="8">
        <f t="shared" si="109"/>
        <v>40359</v>
      </c>
      <c r="R429">
        <f t="shared" si="115"/>
        <v>102.5</v>
      </c>
      <c r="S429">
        <f t="shared" si="106"/>
        <v>92.2</v>
      </c>
      <c r="T429" s="20">
        <f t="shared" si="110"/>
        <v>0.11171366594360088</v>
      </c>
      <c r="U429" s="20">
        <f t="shared" si="107"/>
        <v>0.10648093218221565</v>
      </c>
      <c r="V429" s="18">
        <f t="shared" si="116"/>
        <v>2136938</v>
      </c>
      <c r="W429">
        <f t="shared" si="117"/>
        <v>1223.3</v>
      </c>
      <c r="Y429">
        <f t="shared" si="118"/>
        <v>1223.3</v>
      </c>
      <c r="AA429" s="27">
        <f t="shared" si="103"/>
        <v>2010</v>
      </c>
      <c r="AB429" s="26">
        <f t="shared" si="104"/>
        <v>0.10217136678980077</v>
      </c>
      <c r="AC429" s="7">
        <f t="shared" si="105"/>
        <v>2136938</v>
      </c>
    </row>
    <row r="430" spans="1:29" x14ac:dyDescent="0.2">
      <c r="A430" s="8">
        <f t="shared" si="119"/>
        <v>40390</v>
      </c>
      <c r="B430" s="17">
        <f t="shared" si="111"/>
        <v>2010</v>
      </c>
      <c r="C430" s="17">
        <f t="shared" si="112"/>
        <v>7</v>
      </c>
      <c r="D430">
        <v>1614319</v>
      </c>
      <c r="E430">
        <v>1432523</v>
      </c>
      <c r="H430">
        <v>1614319</v>
      </c>
      <c r="I430">
        <v>1432523</v>
      </c>
      <c r="J430" s="19">
        <v>106.9</v>
      </c>
      <c r="K430" s="6">
        <f t="shared" si="113"/>
        <v>181796</v>
      </c>
      <c r="L430" s="15">
        <f t="shared" si="114"/>
        <v>4.6718938180309992</v>
      </c>
      <c r="M430" s="16">
        <f t="shared" si="120"/>
        <v>4.2031019452536178E-2</v>
      </c>
      <c r="N430" s="8">
        <f t="array" ref="N430">MAX(IF($B$4:$B$507=B430,$A$4:$A$507))</f>
        <v>40543</v>
      </c>
      <c r="O430" s="8">
        <f t="array" ref="O430">MIN(IF($B$4:$B$507=B430,$A$4:$A$507))</f>
        <v>40209</v>
      </c>
      <c r="P430" s="8">
        <f t="shared" si="108"/>
        <v>40025</v>
      </c>
      <c r="Q430" s="8">
        <f t="shared" si="109"/>
        <v>40390</v>
      </c>
      <c r="R430">
        <f t="shared" si="115"/>
        <v>106.9</v>
      </c>
      <c r="S430">
        <f t="shared" si="106"/>
        <v>97.7</v>
      </c>
      <c r="T430" s="20">
        <f t="shared" si="110"/>
        <v>9.4165813715455515E-2</v>
      </c>
      <c r="U430" s="20">
        <f t="shared" si="107"/>
        <v>0.10648093218221565</v>
      </c>
      <c r="V430" s="18">
        <f t="shared" si="116"/>
        <v>2136938</v>
      </c>
      <c r="W430">
        <f t="shared" si="117"/>
        <v>1223.3</v>
      </c>
      <c r="Y430">
        <f t="shared" si="118"/>
        <v>1223.3</v>
      </c>
      <c r="AA430" s="27">
        <f t="shared" si="103"/>
        <v>2010</v>
      </c>
      <c r="AB430" s="26">
        <f t="shared" si="104"/>
        <v>0.10217136678980077</v>
      </c>
      <c r="AC430" s="7">
        <f t="shared" si="105"/>
        <v>2136938</v>
      </c>
    </row>
    <row r="431" spans="1:29" x14ac:dyDescent="0.2">
      <c r="A431" s="8">
        <f t="shared" si="119"/>
        <v>40421</v>
      </c>
      <c r="B431" s="17">
        <f t="shared" si="111"/>
        <v>2010</v>
      </c>
      <c r="C431" s="17">
        <f t="shared" si="112"/>
        <v>8</v>
      </c>
      <c r="D431">
        <v>1740659</v>
      </c>
      <c r="E431">
        <v>1441244</v>
      </c>
      <c r="H431">
        <v>1740659</v>
      </c>
      <c r="I431">
        <v>1441244</v>
      </c>
      <c r="J431" s="19">
        <v>108.1</v>
      </c>
      <c r="K431" s="6">
        <f t="shared" si="113"/>
        <v>299415</v>
      </c>
      <c r="L431" s="15">
        <f t="shared" si="114"/>
        <v>4.6830567246451622</v>
      </c>
      <c r="M431" s="16">
        <f t="shared" si="120"/>
        <v>1.1162906614162971E-2</v>
      </c>
      <c r="N431" s="8">
        <f t="array" ref="N431">MAX(IF($B$4:$B$507=B431,$A$4:$A$507))</f>
        <v>40543</v>
      </c>
      <c r="O431" s="8">
        <f t="array" ref="O431">MIN(IF($B$4:$B$507=B431,$A$4:$A$507))</f>
        <v>40209</v>
      </c>
      <c r="P431" s="8">
        <f t="shared" si="108"/>
        <v>40056</v>
      </c>
      <c r="Q431" s="8">
        <f t="shared" si="109"/>
        <v>40421</v>
      </c>
      <c r="R431">
        <f t="shared" si="115"/>
        <v>108.1</v>
      </c>
      <c r="S431">
        <f t="shared" si="106"/>
        <v>99.6</v>
      </c>
      <c r="T431" s="20">
        <f t="shared" si="110"/>
        <v>8.5341365461847341E-2</v>
      </c>
      <c r="U431" s="20">
        <f t="shared" si="107"/>
        <v>0.10648093218221565</v>
      </c>
      <c r="V431" s="18">
        <f t="shared" si="116"/>
        <v>2136938</v>
      </c>
      <c r="W431">
        <f t="shared" si="117"/>
        <v>1223.3</v>
      </c>
      <c r="Y431">
        <f t="shared" si="118"/>
        <v>1223.3</v>
      </c>
      <c r="AA431" s="27">
        <f t="shared" si="103"/>
        <v>2010</v>
      </c>
      <c r="AB431" s="26">
        <f t="shared" si="104"/>
        <v>0.10217136678980077</v>
      </c>
      <c r="AC431" s="7">
        <f t="shared" si="105"/>
        <v>2136938</v>
      </c>
    </row>
    <row r="432" spans="1:29" x14ac:dyDescent="0.2">
      <c r="A432" s="8">
        <f t="shared" si="119"/>
        <v>40451</v>
      </c>
      <c r="B432" s="17">
        <f t="shared" si="111"/>
        <v>2010</v>
      </c>
      <c r="C432" s="17">
        <f t="shared" si="112"/>
        <v>9</v>
      </c>
      <c r="D432">
        <v>1688585</v>
      </c>
      <c r="E432">
        <v>1441710</v>
      </c>
      <c r="H432">
        <v>1688585</v>
      </c>
      <c r="I432">
        <v>1441710</v>
      </c>
      <c r="J432" s="19">
        <v>105.8</v>
      </c>
      <c r="K432" s="6">
        <f t="shared" si="113"/>
        <v>246875</v>
      </c>
      <c r="L432" s="15">
        <f t="shared" si="114"/>
        <v>4.6615505194241988</v>
      </c>
      <c r="M432" s="16">
        <f t="shared" si="120"/>
        <v>-2.1506205220963359E-2</v>
      </c>
      <c r="N432" s="8">
        <f t="array" ref="N432">MAX(IF($B$4:$B$507=B432,$A$4:$A$507))</f>
        <v>40543</v>
      </c>
      <c r="O432" s="8">
        <f t="array" ref="O432">MIN(IF($B$4:$B$507=B432,$A$4:$A$507))</f>
        <v>40209</v>
      </c>
      <c r="P432" s="8">
        <f t="shared" si="108"/>
        <v>40086</v>
      </c>
      <c r="Q432" s="8">
        <f t="shared" si="109"/>
        <v>40451</v>
      </c>
      <c r="R432">
        <f t="shared" si="115"/>
        <v>105.8</v>
      </c>
      <c r="S432">
        <f t="shared" si="106"/>
        <v>99.4</v>
      </c>
      <c r="T432" s="20">
        <f t="shared" si="110"/>
        <v>6.4386317907444646E-2</v>
      </c>
      <c r="U432" s="20">
        <f t="shared" si="107"/>
        <v>0.10648093218221565</v>
      </c>
      <c r="V432" s="18">
        <f t="shared" si="116"/>
        <v>2136938</v>
      </c>
      <c r="W432">
        <f t="shared" si="117"/>
        <v>1223.3</v>
      </c>
      <c r="Y432">
        <f t="shared" si="118"/>
        <v>1223.3</v>
      </c>
      <c r="AA432" s="27">
        <f t="shared" si="103"/>
        <v>2010</v>
      </c>
      <c r="AB432" s="26">
        <f t="shared" si="104"/>
        <v>0.10217136678980077</v>
      </c>
      <c r="AC432" s="7">
        <f t="shared" si="105"/>
        <v>2136938</v>
      </c>
    </row>
    <row r="433" spans="1:29" x14ac:dyDescent="0.2">
      <c r="A433" s="8">
        <f t="shared" si="119"/>
        <v>40482</v>
      </c>
      <c r="B433" s="17">
        <f t="shared" si="111"/>
        <v>2010</v>
      </c>
      <c r="C433" s="17">
        <f t="shared" si="112"/>
        <v>10</v>
      </c>
      <c r="D433">
        <v>1620535</v>
      </c>
      <c r="E433">
        <v>1415731</v>
      </c>
      <c r="H433">
        <v>1620535</v>
      </c>
      <c r="I433">
        <v>1415731</v>
      </c>
      <c r="J433" s="19">
        <v>107.7</v>
      </c>
      <c r="K433" s="6">
        <f t="shared" si="113"/>
        <v>204804</v>
      </c>
      <c r="L433" s="15">
        <f t="shared" si="114"/>
        <v>4.6793495841623427</v>
      </c>
      <c r="M433" s="16">
        <f t="shared" si="120"/>
        <v>1.7799064738143855E-2</v>
      </c>
      <c r="N433" s="8">
        <f t="array" ref="N433">MAX(IF($B$4:$B$507=B433,$A$4:$A$507))</f>
        <v>40543</v>
      </c>
      <c r="O433" s="8">
        <f t="array" ref="O433">MIN(IF($B$4:$B$507=B433,$A$4:$A$507))</f>
        <v>40209</v>
      </c>
      <c r="P433" s="8">
        <f t="shared" si="108"/>
        <v>40117</v>
      </c>
      <c r="Q433" s="8">
        <f t="shared" si="109"/>
        <v>40482</v>
      </c>
      <c r="R433">
        <f t="shared" si="115"/>
        <v>107.7</v>
      </c>
      <c r="S433">
        <f t="shared" si="106"/>
        <v>105.6</v>
      </c>
      <c r="T433" s="20">
        <f t="shared" si="110"/>
        <v>1.9886363636363757E-2</v>
      </c>
      <c r="U433" s="20">
        <f t="shared" si="107"/>
        <v>0.10648093218221565</v>
      </c>
      <c r="V433" s="18">
        <f t="shared" si="116"/>
        <v>2136938</v>
      </c>
      <c r="W433">
        <f t="shared" si="117"/>
        <v>1223.3</v>
      </c>
      <c r="Y433">
        <f t="shared" si="118"/>
        <v>1223.3</v>
      </c>
      <c r="AA433" s="27">
        <f t="shared" si="103"/>
        <v>2010</v>
      </c>
      <c r="AB433" s="26">
        <f t="shared" si="104"/>
        <v>0.10217136678980077</v>
      </c>
      <c r="AC433" s="7">
        <f t="shared" si="105"/>
        <v>2136938</v>
      </c>
    </row>
    <row r="434" spans="1:29" x14ac:dyDescent="0.2">
      <c r="A434" s="8">
        <f t="shared" si="119"/>
        <v>40512</v>
      </c>
      <c r="B434" s="17">
        <f t="shared" si="111"/>
        <v>2010</v>
      </c>
      <c r="C434" s="17">
        <f t="shared" si="112"/>
        <v>11</v>
      </c>
      <c r="D434">
        <v>1576872</v>
      </c>
      <c r="E434">
        <v>1438625</v>
      </c>
      <c r="H434">
        <v>1576872</v>
      </c>
      <c r="I434">
        <v>1438625</v>
      </c>
      <c r="J434" s="19">
        <v>106.8</v>
      </c>
      <c r="K434" s="6">
        <f t="shared" si="113"/>
        <v>138247</v>
      </c>
      <c r="L434" s="15">
        <f t="shared" si="114"/>
        <v>4.6709579265260945</v>
      </c>
      <c r="M434" s="16">
        <f t="shared" si="120"/>
        <v>-8.3916576362481621E-3</v>
      </c>
      <c r="N434" s="8">
        <f t="array" ref="N434">MAX(IF($B$4:$B$507=B434,$A$4:$A$507))</f>
        <v>40543</v>
      </c>
      <c r="O434" s="8">
        <f t="array" ref="O434">MIN(IF($B$4:$B$507=B434,$A$4:$A$507))</f>
        <v>40209</v>
      </c>
      <c r="P434" s="8">
        <f t="shared" si="108"/>
        <v>40147</v>
      </c>
      <c r="Q434" s="8">
        <f t="shared" si="109"/>
        <v>40512</v>
      </c>
      <c r="R434">
        <f t="shared" si="115"/>
        <v>106.8</v>
      </c>
      <c r="S434">
        <f t="shared" si="106"/>
        <v>101.4</v>
      </c>
      <c r="T434" s="20">
        <f t="shared" si="110"/>
        <v>5.3254437869822313E-2</v>
      </c>
      <c r="U434" s="20">
        <f t="shared" si="107"/>
        <v>0.10648093218221565</v>
      </c>
      <c r="V434" s="18">
        <f t="shared" si="116"/>
        <v>2136938</v>
      </c>
      <c r="W434">
        <f t="shared" si="117"/>
        <v>1223.3</v>
      </c>
      <c r="Y434">
        <f t="shared" si="118"/>
        <v>1223.3</v>
      </c>
      <c r="AA434" s="27">
        <f t="shared" si="103"/>
        <v>2010</v>
      </c>
      <c r="AB434" s="26">
        <f t="shared" si="104"/>
        <v>0.10217136678980077</v>
      </c>
      <c r="AC434" s="7">
        <f t="shared" si="105"/>
        <v>2136938</v>
      </c>
    </row>
    <row r="435" spans="1:29" x14ac:dyDescent="0.2">
      <c r="A435" s="8">
        <f t="shared" si="119"/>
        <v>40543</v>
      </c>
      <c r="B435" s="17">
        <f t="shared" si="111"/>
        <v>2010</v>
      </c>
      <c r="C435" s="17">
        <f t="shared" si="112"/>
        <v>12</v>
      </c>
      <c r="D435">
        <v>1230554</v>
      </c>
      <c r="E435">
        <v>1638072</v>
      </c>
      <c r="H435">
        <v>1230563</v>
      </c>
      <c r="I435">
        <v>1638073</v>
      </c>
      <c r="J435" s="19">
        <v>96.6</v>
      </c>
      <c r="K435" s="6">
        <f t="shared" si="113"/>
        <v>-407518</v>
      </c>
      <c r="L435" s="15">
        <f t="shared" si="114"/>
        <v>4.5705787412184726</v>
      </c>
      <c r="M435" s="16">
        <f t="shared" si="120"/>
        <v>-0.10037918530762191</v>
      </c>
      <c r="N435" s="8">
        <f t="array" ref="N435">MAX(IF($B$4:$B$507=B435,$A$4:$A$507))</f>
        <v>40543</v>
      </c>
      <c r="O435" s="8">
        <f t="array" ref="O435">MIN(IF($B$4:$B$507=B435,$A$4:$A$507))</f>
        <v>40209</v>
      </c>
      <c r="P435" s="8">
        <f t="shared" si="108"/>
        <v>40178</v>
      </c>
      <c r="Q435" s="8">
        <f t="shared" si="109"/>
        <v>40543</v>
      </c>
      <c r="R435">
        <f t="shared" si="115"/>
        <v>96.6</v>
      </c>
      <c r="S435">
        <f t="shared" si="106"/>
        <v>94.1</v>
      </c>
      <c r="T435" s="20">
        <f t="shared" si="110"/>
        <v>2.6567481402762994E-2</v>
      </c>
      <c r="U435" s="20">
        <f t="shared" si="107"/>
        <v>0.10648093218221565</v>
      </c>
      <c r="V435" s="18">
        <f t="shared" si="116"/>
        <v>2136938</v>
      </c>
      <c r="W435">
        <f t="shared" si="117"/>
        <v>1223.3</v>
      </c>
      <c r="Y435">
        <f t="shared" si="118"/>
        <v>1223.3</v>
      </c>
      <c r="AA435" s="27">
        <f t="shared" si="103"/>
        <v>2010</v>
      </c>
      <c r="AB435" s="26">
        <f t="shared" si="104"/>
        <v>0.10217136678980077</v>
      </c>
      <c r="AC435" s="7">
        <f t="shared" si="105"/>
        <v>2136938</v>
      </c>
    </row>
    <row r="436" spans="1:29" x14ac:dyDescent="0.2">
      <c r="A436" s="8">
        <f t="shared" si="119"/>
        <v>40574</v>
      </c>
      <c r="B436" s="17">
        <f t="shared" si="111"/>
        <v>2011</v>
      </c>
      <c r="C436" s="17">
        <f t="shared" si="112"/>
        <v>1</v>
      </c>
      <c r="D436">
        <v>1650372</v>
      </c>
      <c r="E436">
        <v>1498281</v>
      </c>
      <c r="H436">
        <v>1650372</v>
      </c>
      <c r="I436">
        <v>1498281</v>
      </c>
      <c r="J436" s="19">
        <v>93.2</v>
      </c>
      <c r="K436" s="6">
        <f t="shared" si="113"/>
        <v>152091</v>
      </c>
      <c r="L436" s="15">
        <f t="shared" si="114"/>
        <v>4.5347477216915459</v>
      </c>
      <c r="M436" s="16">
        <f t="shared" si="120"/>
        <v>-3.5831019526926688E-2</v>
      </c>
      <c r="N436" s="8">
        <f t="array" ref="N436">MAX(IF($B$4:$B$507=B436,$A$4:$A$507))</f>
        <v>40908</v>
      </c>
      <c r="O436" s="8">
        <f t="array" ref="O436">MIN(IF($B$4:$B$507=B436,$A$4:$A$507))</f>
        <v>40574</v>
      </c>
      <c r="P436" s="8">
        <f t="shared" si="108"/>
        <v>40209</v>
      </c>
      <c r="Q436" s="8">
        <f t="shared" si="109"/>
        <v>40574</v>
      </c>
      <c r="R436">
        <f t="shared" si="115"/>
        <v>93.2</v>
      </c>
      <c r="S436">
        <f t="shared" si="106"/>
        <v>91.2</v>
      </c>
      <c r="T436" s="20">
        <f t="shared" si="110"/>
        <v>2.1929824561403466E-2</v>
      </c>
      <c r="U436" s="20">
        <f t="shared" si="107"/>
        <v>5.0171857457099829E-3</v>
      </c>
      <c r="V436" s="18">
        <f t="shared" si="116"/>
        <v>1566043</v>
      </c>
      <c r="W436">
        <f t="shared" si="117"/>
        <v>1228.3</v>
      </c>
      <c r="Y436">
        <f t="shared" si="118"/>
        <v>1228.3</v>
      </c>
      <c r="AA436" s="27">
        <f t="shared" si="103"/>
        <v>2011</v>
      </c>
      <c r="AB436" s="26">
        <f t="shared" si="104"/>
        <v>4.0873048311942384E-3</v>
      </c>
      <c r="AC436" s="7">
        <f t="shared" si="105"/>
        <v>1566043</v>
      </c>
    </row>
    <row r="437" spans="1:29" x14ac:dyDescent="0.2">
      <c r="A437" s="8">
        <f t="shared" si="119"/>
        <v>40602</v>
      </c>
      <c r="B437" s="17">
        <f t="shared" si="111"/>
        <v>2011</v>
      </c>
      <c r="C437" s="17">
        <f t="shared" si="112"/>
        <v>2</v>
      </c>
      <c r="D437">
        <v>1797217</v>
      </c>
      <c r="E437">
        <v>1516418</v>
      </c>
      <c r="H437">
        <v>1797217</v>
      </c>
      <c r="I437">
        <v>1516418</v>
      </c>
      <c r="J437" s="19">
        <v>95.4</v>
      </c>
      <c r="K437" s="6">
        <f t="shared" si="113"/>
        <v>280799</v>
      </c>
      <c r="L437" s="15">
        <f t="shared" si="114"/>
        <v>4.558078578454241</v>
      </c>
      <c r="M437" s="16">
        <f t="shared" si="120"/>
        <v>2.3330856762695085E-2</v>
      </c>
      <c r="N437" s="8">
        <f t="array" ref="N437">MAX(IF($B$4:$B$507=B437,$A$4:$A$507))</f>
        <v>40908</v>
      </c>
      <c r="O437" s="8">
        <f t="array" ref="O437">MIN(IF($B$4:$B$507=B437,$A$4:$A$507))</f>
        <v>40574</v>
      </c>
      <c r="P437" s="8">
        <f t="shared" si="108"/>
        <v>40237</v>
      </c>
      <c r="Q437" s="8">
        <f t="shared" si="109"/>
        <v>40602</v>
      </c>
      <c r="R437">
        <f t="shared" si="115"/>
        <v>95.4</v>
      </c>
      <c r="S437">
        <f t="shared" si="106"/>
        <v>89</v>
      </c>
      <c r="T437" s="20">
        <f t="shared" si="110"/>
        <v>7.1910112359550693E-2</v>
      </c>
      <c r="U437" s="20">
        <f t="shared" si="107"/>
        <v>5.0171857457099829E-3</v>
      </c>
      <c r="V437" s="18">
        <f t="shared" si="116"/>
        <v>1566043</v>
      </c>
      <c r="W437">
        <f t="shared" si="117"/>
        <v>1228.3</v>
      </c>
      <c r="Y437">
        <f t="shared" si="118"/>
        <v>1228.3</v>
      </c>
      <c r="AA437" s="27">
        <f t="shared" ref="AA437:AA500" si="121">YEAR(A437)</f>
        <v>2011</v>
      </c>
      <c r="AB437" s="26">
        <f t="shared" ref="AB437:AB500" si="122">Y437/Y425-1</f>
        <v>4.0873048311942384E-3</v>
      </c>
      <c r="AC437" s="7">
        <f t="shared" ref="AC437:AC500" si="123">V437</f>
        <v>1566043</v>
      </c>
    </row>
    <row r="438" spans="1:29" x14ac:dyDescent="0.2">
      <c r="A438" s="8">
        <f t="shared" si="119"/>
        <v>40633</v>
      </c>
      <c r="B438" s="17">
        <f t="shared" si="111"/>
        <v>2011</v>
      </c>
      <c r="C438" s="17">
        <f t="shared" si="112"/>
        <v>3</v>
      </c>
      <c r="D438">
        <v>1765922</v>
      </c>
      <c r="E438">
        <v>1673247</v>
      </c>
      <c r="H438">
        <v>1765922</v>
      </c>
      <c r="I438">
        <v>1673247</v>
      </c>
      <c r="J438" s="19">
        <v>104.4</v>
      </c>
      <c r="K438" s="6">
        <f t="shared" si="113"/>
        <v>92675</v>
      </c>
      <c r="L438" s="15">
        <f t="shared" si="114"/>
        <v>4.6482296754485386</v>
      </c>
      <c r="M438" s="16">
        <f t="shared" si="120"/>
        <v>9.0151096994297575E-2</v>
      </c>
      <c r="N438" s="8">
        <f t="array" ref="N438">MAX(IF($B$4:$B$507=B438,$A$4:$A$507))</f>
        <v>40908</v>
      </c>
      <c r="O438" s="8">
        <f t="array" ref="O438">MIN(IF($B$4:$B$507=B438,$A$4:$A$507))</f>
        <v>40574</v>
      </c>
      <c r="P438" s="8">
        <f t="shared" si="108"/>
        <v>40268</v>
      </c>
      <c r="Q438" s="8">
        <f t="shared" si="109"/>
        <v>40633</v>
      </c>
      <c r="R438">
        <f t="shared" si="115"/>
        <v>104.4</v>
      </c>
      <c r="S438">
        <f t="shared" si="106"/>
        <v>105.1</v>
      </c>
      <c r="T438" s="20">
        <f t="shared" si="110"/>
        <v>-6.6603235014270901E-3</v>
      </c>
      <c r="U438" s="20">
        <f t="shared" si="107"/>
        <v>5.0171857457099829E-3</v>
      </c>
      <c r="V438" s="18">
        <f t="shared" si="116"/>
        <v>1566043</v>
      </c>
      <c r="W438">
        <f t="shared" si="117"/>
        <v>1228.3</v>
      </c>
      <c r="Y438">
        <f t="shared" si="118"/>
        <v>1228.3</v>
      </c>
      <c r="AA438" s="27">
        <f t="shared" si="121"/>
        <v>2011</v>
      </c>
      <c r="AB438" s="26">
        <f t="shared" si="122"/>
        <v>4.0873048311942384E-3</v>
      </c>
      <c r="AC438" s="7">
        <f t="shared" si="123"/>
        <v>1566043</v>
      </c>
    </row>
    <row r="439" spans="1:29" x14ac:dyDescent="0.2">
      <c r="A439" s="8">
        <f t="shared" si="119"/>
        <v>40663</v>
      </c>
      <c r="B439" s="17">
        <f t="shared" si="111"/>
        <v>2011</v>
      </c>
      <c r="C439" s="17">
        <f t="shared" si="112"/>
        <v>4</v>
      </c>
      <c r="D439">
        <v>1774378</v>
      </c>
      <c r="E439">
        <v>1502153</v>
      </c>
      <c r="H439">
        <v>1774378</v>
      </c>
      <c r="I439">
        <v>1502153</v>
      </c>
      <c r="J439" s="19">
        <v>97.5</v>
      </c>
      <c r="K439" s="6">
        <f t="shared" si="113"/>
        <v>272225</v>
      </c>
      <c r="L439" s="15">
        <f t="shared" si="114"/>
        <v>4.5798523780038014</v>
      </c>
      <c r="M439" s="16">
        <f t="shared" si="120"/>
        <v>-6.8377297444737195E-2</v>
      </c>
      <c r="N439" s="8">
        <f t="array" ref="N439">MAX(IF($B$4:$B$507=B439,$A$4:$A$507))</f>
        <v>40908</v>
      </c>
      <c r="O439" s="8">
        <f t="array" ref="O439">MIN(IF($B$4:$B$507=B439,$A$4:$A$507))</f>
        <v>40574</v>
      </c>
      <c r="P439" s="8">
        <f t="shared" si="108"/>
        <v>40298</v>
      </c>
      <c r="Q439" s="8">
        <f t="shared" si="109"/>
        <v>40663</v>
      </c>
      <c r="R439">
        <f t="shared" si="115"/>
        <v>97.5</v>
      </c>
      <c r="S439">
        <f t="shared" si="106"/>
        <v>99.3</v>
      </c>
      <c r="T439" s="20">
        <f t="shared" si="110"/>
        <v>-1.8126888217522619E-2</v>
      </c>
      <c r="U439" s="20">
        <f t="shared" si="107"/>
        <v>5.0171857457099829E-3</v>
      </c>
      <c r="V439" s="18">
        <f t="shared" si="116"/>
        <v>1566043</v>
      </c>
      <c r="W439">
        <f t="shared" si="117"/>
        <v>1228.3</v>
      </c>
      <c r="Y439">
        <f t="shared" si="118"/>
        <v>1228.3</v>
      </c>
      <c r="AA439" s="27">
        <f t="shared" si="121"/>
        <v>2011</v>
      </c>
      <c r="AB439" s="26">
        <f t="shared" si="122"/>
        <v>4.0873048311942384E-3</v>
      </c>
      <c r="AC439" s="7">
        <f t="shared" si="123"/>
        <v>1566043</v>
      </c>
    </row>
    <row r="440" spans="1:29" x14ac:dyDescent="0.2">
      <c r="A440" s="8">
        <f t="shared" si="119"/>
        <v>40694</v>
      </c>
      <c r="B440" s="17">
        <f t="shared" si="111"/>
        <v>2011</v>
      </c>
      <c r="C440" s="17">
        <f t="shared" si="112"/>
        <v>5</v>
      </c>
      <c r="D440">
        <v>1912665</v>
      </c>
      <c r="E440">
        <v>1660598</v>
      </c>
      <c r="H440">
        <v>1912665</v>
      </c>
      <c r="I440">
        <v>1660598</v>
      </c>
      <c r="J440" s="19">
        <v>107.1</v>
      </c>
      <c r="K440" s="6">
        <f t="shared" si="113"/>
        <v>252067</v>
      </c>
      <c r="L440" s="15">
        <f t="shared" si="114"/>
        <v>4.6737629774537028</v>
      </c>
      <c r="M440" s="16">
        <f t="shared" si="120"/>
        <v>9.3910599449901433E-2</v>
      </c>
      <c r="N440" s="8">
        <f t="array" ref="N440">MAX(IF($B$4:$B$507=B440,$A$4:$A$507))</f>
        <v>40908</v>
      </c>
      <c r="O440" s="8">
        <f t="array" ref="O440">MIN(IF($B$4:$B$507=B440,$A$4:$A$507))</f>
        <v>40574</v>
      </c>
      <c r="P440" s="8">
        <f t="shared" si="108"/>
        <v>40329</v>
      </c>
      <c r="Q440" s="8">
        <f t="shared" si="109"/>
        <v>40694</v>
      </c>
      <c r="R440">
        <f t="shared" si="115"/>
        <v>107.1</v>
      </c>
      <c r="S440">
        <f t="shared" si="106"/>
        <v>104.3</v>
      </c>
      <c r="T440" s="20">
        <f t="shared" si="110"/>
        <v>2.6845637583892579E-2</v>
      </c>
      <c r="U440" s="20">
        <f t="shared" si="107"/>
        <v>5.0171857457099829E-3</v>
      </c>
      <c r="V440" s="18">
        <f t="shared" si="116"/>
        <v>1566043</v>
      </c>
      <c r="W440">
        <f t="shared" si="117"/>
        <v>1228.3</v>
      </c>
      <c r="Y440">
        <f t="shared" si="118"/>
        <v>1228.3</v>
      </c>
      <c r="AA440" s="27">
        <f t="shared" si="121"/>
        <v>2011</v>
      </c>
      <c r="AB440" s="26">
        <f t="shared" si="122"/>
        <v>4.0873048311942384E-3</v>
      </c>
      <c r="AC440" s="7">
        <f t="shared" si="123"/>
        <v>1566043</v>
      </c>
    </row>
    <row r="441" spans="1:29" x14ac:dyDescent="0.2">
      <c r="A441" s="8">
        <f t="shared" si="119"/>
        <v>40724</v>
      </c>
      <c r="B441" s="17">
        <f t="shared" si="111"/>
        <v>2011</v>
      </c>
      <c r="C441" s="17">
        <f t="shared" si="112"/>
        <v>6</v>
      </c>
      <c r="D441">
        <v>1781817</v>
      </c>
      <c r="E441">
        <v>1566424</v>
      </c>
      <c r="H441">
        <v>1781817</v>
      </c>
      <c r="I441">
        <v>1566424</v>
      </c>
      <c r="J441" s="19">
        <v>102.8</v>
      </c>
      <c r="K441" s="6">
        <f t="shared" si="113"/>
        <v>215393</v>
      </c>
      <c r="L441" s="15">
        <f t="shared" si="114"/>
        <v>4.632785353021065</v>
      </c>
      <c r="M441" s="16">
        <f t="shared" si="120"/>
        <v>-4.097762443263786E-2</v>
      </c>
      <c r="N441" s="8">
        <f t="array" ref="N441">MAX(IF($B$4:$B$507=B441,$A$4:$A$507))</f>
        <v>40908</v>
      </c>
      <c r="O441" s="8">
        <f t="array" ref="O441">MIN(IF($B$4:$B$507=B441,$A$4:$A$507))</f>
        <v>40574</v>
      </c>
      <c r="P441" s="8">
        <f t="shared" si="108"/>
        <v>40359</v>
      </c>
      <c r="Q441" s="8">
        <f t="shared" si="109"/>
        <v>40724</v>
      </c>
      <c r="R441">
        <f t="shared" si="115"/>
        <v>102.8</v>
      </c>
      <c r="S441">
        <f t="shared" si="106"/>
        <v>102.5</v>
      </c>
      <c r="T441" s="20">
        <f t="shared" si="110"/>
        <v>2.9268292682926855E-3</v>
      </c>
      <c r="U441" s="20">
        <f t="shared" si="107"/>
        <v>5.0171857457099829E-3</v>
      </c>
      <c r="V441" s="18">
        <f t="shared" si="116"/>
        <v>1566043</v>
      </c>
      <c r="W441">
        <f t="shared" si="117"/>
        <v>1228.3</v>
      </c>
      <c r="Y441">
        <f t="shared" si="118"/>
        <v>1228.3</v>
      </c>
      <c r="AA441" s="27">
        <f t="shared" si="121"/>
        <v>2011</v>
      </c>
      <c r="AB441" s="26">
        <f t="shared" si="122"/>
        <v>4.0873048311942384E-3</v>
      </c>
      <c r="AC441" s="7">
        <f t="shared" si="123"/>
        <v>1566043</v>
      </c>
    </row>
    <row r="442" spans="1:29" x14ac:dyDescent="0.2">
      <c r="A442" s="8">
        <f t="shared" si="119"/>
        <v>40755</v>
      </c>
      <c r="B442" s="17">
        <f t="shared" si="111"/>
        <v>2011</v>
      </c>
      <c r="C442" s="17">
        <f t="shared" si="112"/>
        <v>7</v>
      </c>
      <c r="D442">
        <v>1696863</v>
      </c>
      <c r="E442">
        <v>1556300</v>
      </c>
      <c r="H442">
        <v>1696863</v>
      </c>
      <c r="I442">
        <v>1556300</v>
      </c>
      <c r="J442" s="19">
        <v>106.1</v>
      </c>
      <c r="K442" s="6">
        <f t="shared" si="113"/>
        <v>140563</v>
      </c>
      <c r="L442" s="15">
        <f t="shared" si="114"/>
        <v>4.664382045619937</v>
      </c>
      <c r="M442" s="16">
        <f t="shared" si="120"/>
        <v>3.1596692598871989E-2</v>
      </c>
      <c r="N442" s="8">
        <f t="array" ref="N442">MAX(IF($B$4:$B$507=B442,$A$4:$A$507))</f>
        <v>40908</v>
      </c>
      <c r="O442" s="8">
        <f t="array" ref="O442">MIN(IF($B$4:$B$507=B442,$A$4:$A$507))</f>
        <v>40574</v>
      </c>
      <c r="P442" s="8">
        <f t="shared" si="108"/>
        <v>40390</v>
      </c>
      <c r="Q442" s="8">
        <f t="shared" si="109"/>
        <v>40755</v>
      </c>
      <c r="R442">
        <f t="shared" si="115"/>
        <v>106.1</v>
      </c>
      <c r="S442">
        <f t="shared" si="106"/>
        <v>106.9</v>
      </c>
      <c r="T442" s="20">
        <f t="shared" si="110"/>
        <v>-7.4836295603368796E-3</v>
      </c>
      <c r="U442" s="20">
        <f t="shared" si="107"/>
        <v>5.0171857457099829E-3</v>
      </c>
      <c r="V442" s="18">
        <f t="shared" si="116"/>
        <v>1566043</v>
      </c>
      <c r="W442">
        <f t="shared" si="117"/>
        <v>1228.3</v>
      </c>
      <c r="Y442">
        <f t="shared" si="118"/>
        <v>1228.3</v>
      </c>
      <c r="AA442" s="27">
        <f t="shared" si="121"/>
        <v>2011</v>
      </c>
      <c r="AB442" s="26">
        <f t="shared" si="122"/>
        <v>4.0873048311942384E-3</v>
      </c>
      <c r="AC442" s="7">
        <f t="shared" si="123"/>
        <v>1566043</v>
      </c>
    </row>
    <row r="443" spans="1:29" x14ac:dyDescent="0.2">
      <c r="A443" s="8">
        <f t="shared" si="119"/>
        <v>40786</v>
      </c>
      <c r="B443" s="17">
        <f t="shared" si="111"/>
        <v>2011</v>
      </c>
      <c r="C443" s="17">
        <f t="shared" si="112"/>
        <v>8</v>
      </c>
      <c r="D443">
        <v>1830321</v>
      </c>
      <c r="E443">
        <v>1639875</v>
      </c>
      <c r="H443">
        <v>1830321</v>
      </c>
      <c r="I443">
        <v>1639875</v>
      </c>
      <c r="J443" s="19">
        <v>110.8</v>
      </c>
      <c r="K443" s="6">
        <f t="shared" si="113"/>
        <v>190446</v>
      </c>
      <c r="L443" s="15">
        <f t="shared" si="114"/>
        <v>4.7077267743131834</v>
      </c>
      <c r="M443" s="16">
        <f t="shared" si="120"/>
        <v>4.3344728693246459E-2</v>
      </c>
      <c r="N443" s="8">
        <f t="array" ref="N443">MAX(IF($B$4:$B$507=B443,$A$4:$A$507))</f>
        <v>40908</v>
      </c>
      <c r="O443" s="8">
        <f t="array" ref="O443">MIN(IF($B$4:$B$507=B443,$A$4:$A$507))</f>
        <v>40574</v>
      </c>
      <c r="P443" s="8">
        <f t="shared" si="108"/>
        <v>40421</v>
      </c>
      <c r="Q443" s="8">
        <f t="shared" si="109"/>
        <v>40786</v>
      </c>
      <c r="R443">
        <f t="shared" si="115"/>
        <v>110.8</v>
      </c>
      <c r="S443">
        <f t="shared" si="106"/>
        <v>108.1</v>
      </c>
      <c r="T443" s="20">
        <f t="shared" si="110"/>
        <v>2.4976873265494914E-2</v>
      </c>
      <c r="U443" s="20">
        <f t="shared" si="107"/>
        <v>5.0171857457099829E-3</v>
      </c>
      <c r="V443" s="18">
        <f t="shared" si="116"/>
        <v>1566043</v>
      </c>
      <c r="W443">
        <f t="shared" si="117"/>
        <v>1228.3</v>
      </c>
      <c r="Y443">
        <f t="shared" si="118"/>
        <v>1228.3</v>
      </c>
      <c r="AA443" s="27">
        <f t="shared" si="121"/>
        <v>2011</v>
      </c>
      <c r="AB443" s="26">
        <f t="shared" si="122"/>
        <v>4.0873048311942384E-3</v>
      </c>
      <c r="AC443" s="7">
        <f t="shared" si="123"/>
        <v>1566043</v>
      </c>
    </row>
    <row r="444" spans="1:29" x14ac:dyDescent="0.2">
      <c r="A444" s="8">
        <f t="shared" si="119"/>
        <v>40816</v>
      </c>
      <c r="B444" s="17">
        <f t="shared" si="111"/>
        <v>2011</v>
      </c>
      <c r="C444" s="17">
        <f t="shared" si="112"/>
        <v>9</v>
      </c>
      <c r="D444">
        <v>1763026</v>
      </c>
      <c r="E444">
        <v>1553948</v>
      </c>
      <c r="H444">
        <v>1763026</v>
      </c>
      <c r="I444">
        <v>1553948</v>
      </c>
      <c r="J444" s="19">
        <v>104.8</v>
      </c>
      <c r="K444" s="6">
        <f t="shared" si="113"/>
        <v>209078</v>
      </c>
      <c r="L444" s="15">
        <f t="shared" si="114"/>
        <v>4.6520537718869415</v>
      </c>
      <c r="M444" s="16">
        <f t="shared" si="120"/>
        <v>-5.5673002426241958E-2</v>
      </c>
      <c r="N444" s="8">
        <f t="array" ref="N444">MAX(IF($B$4:$B$507=B444,$A$4:$A$507))</f>
        <v>40908</v>
      </c>
      <c r="O444" s="8">
        <f t="array" ref="O444">MIN(IF($B$4:$B$507=B444,$A$4:$A$507))</f>
        <v>40574</v>
      </c>
      <c r="P444" s="8">
        <f t="shared" si="108"/>
        <v>40451</v>
      </c>
      <c r="Q444" s="8">
        <f t="shared" si="109"/>
        <v>40816</v>
      </c>
      <c r="R444">
        <f t="shared" si="115"/>
        <v>104.8</v>
      </c>
      <c r="S444">
        <f t="shared" si="106"/>
        <v>105.8</v>
      </c>
      <c r="T444" s="20">
        <f t="shared" si="110"/>
        <v>-9.4517958412098091E-3</v>
      </c>
      <c r="U444" s="20">
        <f t="shared" si="107"/>
        <v>5.0171857457099829E-3</v>
      </c>
      <c r="V444" s="18">
        <f t="shared" si="116"/>
        <v>1566043</v>
      </c>
      <c r="W444">
        <f t="shared" si="117"/>
        <v>1228.3</v>
      </c>
      <c r="Y444">
        <f t="shared" si="118"/>
        <v>1228.3</v>
      </c>
      <c r="AA444" s="27">
        <f t="shared" si="121"/>
        <v>2011</v>
      </c>
      <c r="AB444" s="26">
        <f t="shared" si="122"/>
        <v>4.0873048311942384E-3</v>
      </c>
      <c r="AC444" s="7">
        <f t="shared" si="123"/>
        <v>1566043</v>
      </c>
    </row>
    <row r="445" spans="1:29" x14ac:dyDescent="0.2">
      <c r="A445" s="8">
        <f t="shared" si="119"/>
        <v>40847</v>
      </c>
      <c r="B445" s="17">
        <f t="shared" si="111"/>
        <v>2011</v>
      </c>
      <c r="C445" s="17">
        <f t="shared" si="112"/>
        <v>10</v>
      </c>
      <c r="D445">
        <v>1664566</v>
      </c>
      <c r="E445">
        <v>1538423</v>
      </c>
      <c r="H445">
        <v>1664566</v>
      </c>
      <c r="I445">
        <v>1538423</v>
      </c>
      <c r="J445" s="19">
        <v>106.3</v>
      </c>
      <c r="K445" s="6">
        <f t="shared" si="113"/>
        <v>126143</v>
      </c>
      <c r="L445" s="15">
        <f t="shared" si="114"/>
        <v>4.6662652853479019</v>
      </c>
      <c r="M445" s="16">
        <f t="shared" si="120"/>
        <v>1.421151346096039E-2</v>
      </c>
      <c r="N445" s="8">
        <f t="array" ref="N445">MAX(IF($B$4:$B$507=B445,$A$4:$A$507))</f>
        <v>40908</v>
      </c>
      <c r="O445" s="8">
        <f t="array" ref="O445">MIN(IF($B$4:$B$507=B445,$A$4:$A$507))</f>
        <v>40574</v>
      </c>
      <c r="P445" s="8">
        <f t="shared" si="108"/>
        <v>40482</v>
      </c>
      <c r="Q445" s="8">
        <f t="shared" si="109"/>
        <v>40847</v>
      </c>
      <c r="R445">
        <f t="shared" si="115"/>
        <v>106.3</v>
      </c>
      <c r="S445">
        <f t="shared" si="106"/>
        <v>107.7</v>
      </c>
      <c r="T445" s="20">
        <f t="shared" si="110"/>
        <v>-1.2999071494893322E-2</v>
      </c>
      <c r="U445" s="20">
        <f t="shared" si="107"/>
        <v>5.0171857457099829E-3</v>
      </c>
      <c r="V445" s="18">
        <f t="shared" si="116"/>
        <v>1566043</v>
      </c>
      <c r="W445">
        <f t="shared" si="117"/>
        <v>1228.3</v>
      </c>
      <c r="Y445">
        <f t="shared" si="118"/>
        <v>1228.3</v>
      </c>
      <c r="AA445" s="27">
        <f t="shared" si="121"/>
        <v>2011</v>
      </c>
      <c r="AB445" s="26">
        <f t="shared" si="122"/>
        <v>4.0873048311942384E-3</v>
      </c>
      <c r="AC445" s="7">
        <f t="shared" si="123"/>
        <v>1566043</v>
      </c>
    </row>
    <row r="446" spans="1:29" x14ac:dyDescent="0.2">
      <c r="A446" s="8">
        <f t="shared" si="119"/>
        <v>40877</v>
      </c>
      <c r="B446" s="17">
        <f t="shared" si="111"/>
        <v>2011</v>
      </c>
      <c r="C446" s="17">
        <f t="shared" si="112"/>
        <v>11</v>
      </c>
      <c r="D446">
        <v>1620422</v>
      </c>
      <c r="E446">
        <v>1577687</v>
      </c>
      <c r="H446">
        <v>1620422</v>
      </c>
      <c r="I446">
        <v>1577687</v>
      </c>
      <c r="J446" s="19">
        <v>104.2</v>
      </c>
      <c r="K446" s="6">
        <f t="shared" si="113"/>
        <v>42735</v>
      </c>
      <c r="L446" s="15">
        <f t="shared" si="114"/>
        <v>4.6463121293192664</v>
      </c>
      <c r="M446" s="16">
        <f t="shared" si="120"/>
        <v>-1.9953156028635455E-2</v>
      </c>
      <c r="N446" s="8">
        <f t="array" ref="N446">MAX(IF($B$4:$B$507=B446,$A$4:$A$507))</f>
        <v>40908</v>
      </c>
      <c r="O446" s="8">
        <f t="array" ref="O446">MIN(IF($B$4:$B$507=B446,$A$4:$A$507))</f>
        <v>40574</v>
      </c>
      <c r="P446" s="8">
        <f t="shared" si="108"/>
        <v>40512</v>
      </c>
      <c r="Q446" s="8">
        <f t="shared" si="109"/>
        <v>40877</v>
      </c>
      <c r="R446">
        <f t="shared" si="115"/>
        <v>104.2</v>
      </c>
      <c r="S446">
        <f t="shared" si="106"/>
        <v>106.8</v>
      </c>
      <c r="T446" s="20">
        <f t="shared" si="110"/>
        <v>-2.4344569288389462E-2</v>
      </c>
      <c r="U446" s="20">
        <f t="shared" si="107"/>
        <v>5.0171857457099829E-3</v>
      </c>
      <c r="V446" s="18">
        <f t="shared" si="116"/>
        <v>1566043</v>
      </c>
      <c r="W446">
        <f t="shared" si="117"/>
        <v>1228.3</v>
      </c>
      <c r="Y446">
        <f t="shared" si="118"/>
        <v>1228.3</v>
      </c>
      <c r="AA446" s="27">
        <f t="shared" si="121"/>
        <v>2011</v>
      </c>
      <c r="AB446" s="26">
        <f t="shared" si="122"/>
        <v>4.0873048311942384E-3</v>
      </c>
      <c r="AC446" s="7">
        <f t="shared" si="123"/>
        <v>1566043</v>
      </c>
    </row>
    <row r="447" spans="1:29" x14ac:dyDescent="0.2">
      <c r="A447" s="8">
        <f t="shared" si="119"/>
        <v>40908</v>
      </c>
      <c r="B447" s="17">
        <f t="shared" si="111"/>
        <v>2011</v>
      </c>
      <c r="C447" s="17">
        <f t="shared" si="112"/>
        <v>12</v>
      </c>
      <c r="D447">
        <v>1305051</v>
      </c>
      <c r="E447">
        <v>1713223</v>
      </c>
      <c r="H447">
        <v>1305051</v>
      </c>
      <c r="I447">
        <v>1713223</v>
      </c>
      <c r="J447" s="19">
        <v>95.7</v>
      </c>
      <c r="K447" s="6">
        <f t="shared" si="113"/>
        <v>-408172</v>
      </c>
      <c r="L447" s="15">
        <f t="shared" si="114"/>
        <v>4.5612182984589085</v>
      </c>
      <c r="M447" s="16">
        <f t="shared" si="120"/>
        <v>-8.5093830860357933E-2</v>
      </c>
      <c r="N447" s="8">
        <f t="array" ref="N447">MAX(IF($B$4:$B$507=B447,$A$4:$A$507))</f>
        <v>40908</v>
      </c>
      <c r="O447" s="8">
        <f t="array" ref="O447">MIN(IF($B$4:$B$507=B447,$A$4:$A$507))</f>
        <v>40574</v>
      </c>
      <c r="P447" s="8">
        <f t="shared" si="108"/>
        <v>40543</v>
      </c>
      <c r="Q447" s="8">
        <f t="shared" si="109"/>
        <v>40908</v>
      </c>
      <c r="R447">
        <f t="shared" si="115"/>
        <v>95.7</v>
      </c>
      <c r="S447">
        <f t="shared" si="106"/>
        <v>96.6</v>
      </c>
      <c r="T447" s="20">
        <f t="shared" si="110"/>
        <v>-9.3167701863353658E-3</v>
      </c>
      <c r="U447" s="20">
        <f t="shared" si="107"/>
        <v>5.0171857457099829E-3</v>
      </c>
      <c r="V447" s="18">
        <f t="shared" si="116"/>
        <v>1566043</v>
      </c>
      <c r="W447">
        <f t="shared" si="117"/>
        <v>1228.3</v>
      </c>
      <c r="Y447">
        <f t="shared" si="118"/>
        <v>1228.3</v>
      </c>
      <c r="AA447" s="27">
        <f t="shared" si="121"/>
        <v>2011</v>
      </c>
      <c r="AB447" s="26">
        <f t="shared" si="122"/>
        <v>4.0873048311942384E-3</v>
      </c>
      <c r="AC447" s="7">
        <f t="shared" si="123"/>
        <v>1566043</v>
      </c>
    </row>
    <row r="448" spans="1:29" x14ac:dyDescent="0.2">
      <c r="A448" s="8">
        <f t="shared" si="119"/>
        <v>40939</v>
      </c>
      <c r="B448" s="17">
        <f t="shared" si="111"/>
        <v>2012</v>
      </c>
      <c r="C448" s="17">
        <f t="shared" si="112"/>
        <v>1</v>
      </c>
      <c r="D448">
        <v>1711490</v>
      </c>
      <c r="E448">
        <v>1592595</v>
      </c>
      <c r="H448">
        <v>1711490</v>
      </c>
      <c r="I448">
        <v>1592595</v>
      </c>
      <c r="J448" s="19">
        <v>88.7</v>
      </c>
      <c r="K448" s="6">
        <f t="shared" si="113"/>
        <v>118895</v>
      </c>
      <c r="L448" s="15">
        <f t="shared" si="114"/>
        <v>4.4852598893155342</v>
      </c>
      <c r="M448" s="16">
        <f t="shared" si="120"/>
        <v>-7.5958409143374261E-2</v>
      </c>
      <c r="N448" s="8">
        <f t="array" ref="N448">MAX(IF($B$4:$B$507=B448,$A$4:$A$507))</f>
        <v>41274</v>
      </c>
      <c r="O448" s="8">
        <f t="array" ref="O448">MIN(IF($B$4:$B$507=B448,$A$4:$A$507))</f>
        <v>40939</v>
      </c>
      <c r="P448" s="8">
        <f t="shared" si="108"/>
        <v>40574</v>
      </c>
      <c r="Q448" s="8">
        <f t="shared" si="109"/>
        <v>40939</v>
      </c>
      <c r="R448">
        <f t="shared" si="115"/>
        <v>88.7</v>
      </c>
      <c r="S448">
        <f t="shared" si="106"/>
        <v>93.2</v>
      </c>
      <c r="T448" s="20">
        <f t="shared" si="110"/>
        <v>-4.8283261802575139E-2</v>
      </c>
      <c r="U448" s="20">
        <f t="shared" si="107"/>
        <v>-2.4010658287624626E-2</v>
      </c>
      <c r="V448" s="18">
        <f t="shared" si="116"/>
        <v>868241</v>
      </c>
      <c r="W448">
        <f t="shared" si="117"/>
        <v>1200</v>
      </c>
      <c r="Y448">
        <f t="shared" si="118"/>
        <v>1200</v>
      </c>
      <c r="AA448" s="27">
        <f t="shared" si="121"/>
        <v>2012</v>
      </c>
      <c r="AB448" s="26">
        <f t="shared" si="122"/>
        <v>-2.3039973947732606E-2</v>
      </c>
      <c r="AC448" s="7">
        <f t="shared" si="123"/>
        <v>868241</v>
      </c>
    </row>
    <row r="449" spans="1:29" x14ac:dyDescent="0.2">
      <c r="A449" s="8">
        <f t="shared" si="119"/>
        <v>40968</v>
      </c>
      <c r="B449" s="17">
        <f t="shared" si="111"/>
        <v>2012</v>
      </c>
      <c r="C449" s="17">
        <f t="shared" si="112"/>
        <v>2</v>
      </c>
      <c r="D449">
        <v>1740062</v>
      </c>
      <c r="E449">
        <v>1589462</v>
      </c>
      <c r="H449">
        <v>1740062</v>
      </c>
      <c r="I449">
        <v>1589462</v>
      </c>
      <c r="J449" s="19">
        <v>89.8</v>
      </c>
      <c r="K449" s="6">
        <f t="shared" si="113"/>
        <v>150600</v>
      </c>
      <c r="L449" s="15">
        <f t="shared" si="114"/>
        <v>4.497584975308154</v>
      </c>
      <c r="M449" s="16">
        <f t="shared" si="120"/>
        <v>1.2325085992619833E-2</v>
      </c>
      <c r="N449" s="8">
        <f t="array" ref="N449">MAX(IF($B$4:$B$507=B449,$A$4:$A$507))</f>
        <v>41274</v>
      </c>
      <c r="O449" s="8">
        <f t="array" ref="O449">MIN(IF($B$4:$B$507=B449,$A$4:$A$507))</f>
        <v>40939</v>
      </c>
      <c r="P449" s="8">
        <f t="shared" si="108"/>
        <v>40602</v>
      </c>
      <c r="Q449" s="8">
        <f t="shared" si="109"/>
        <v>40968</v>
      </c>
      <c r="R449">
        <f t="shared" si="115"/>
        <v>89.8</v>
      </c>
      <c r="S449">
        <f t="shared" si="106"/>
        <v>95.4</v>
      </c>
      <c r="T449" s="20">
        <f t="shared" si="110"/>
        <v>-5.8700209643606005E-2</v>
      </c>
      <c r="U449" s="20">
        <f t="shared" si="107"/>
        <v>-2.4010658287624626E-2</v>
      </c>
      <c r="V449" s="18">
        <f t="shared" si="116"/>
        <v>868241</v>
      </c>
      <c r="W449">
        <f t="shared" si="117"/>
        <v>1200</v>
      </c>
      <c r="Y449">
        <f t="shared" si="118"/>
        <v>1200</v>
      </c>
      <c r="AA449" s="27">
        <f t="shared" si="121"/>
        <v>2012</v>
      </c>
      <c r="AB449" s="26">
        <f t="shared" si="122"/>
        <v>-2.3039973947732606E-2</v>
      </c>
      <c r="AC449" s="7">
        <f t="shared" si="123"/>
        <v>868241</v>
      </c>
    </row>
    <row r="450" spans="1:29" x14ac:dyDescent="0.2">
      <c r="A450" s="8">
        <f t="shared" si="119"/>
        <v>40999</v>
      </c>
      <c r="B450" s="17">
        <f t="shared" si="111"/>
        <v>2012</v>
      </c>
      <c r="C450" s="17">
        <f t="shared" si="112"/>
        <v>3</v>
      </c>
      <c r="D450">
        <v>1881127</v>
      </c>
      <c r="E450">
        <v>1769381</v>
      </c>
      <c r="H450">
        <v>1881127</v>
      </c>
      <c r="I450">
        <v>1769381</v>
      </c>
      <c r="J450" s="19">
        <v>99.7</v>
      </c>
      <c r="K450" s="6">
        <f t="shared" si="113"/>
        <v>111746</v>
      </c>
      <c r="L450" s="15">
        <f t="shared" si="114"/>
        <v>4.6021656769677923</v>
      </c>
      <c r="M450" s="16">
        <f t="shared" si="120"/>
        <v>0.10458070165963829</v>
      </c>
      <c r="N450" s="8">
        <f t="array" ref="N450">MAX(IF($B$4:$B$507=B450,$A$4:$A$507))</f>
        <v>41274</v>
      </c>
      <c r="O450" s="8">
        <f t="array" ref="O450">MIN(IF($B$4:$B$507=B450,$A$4:$A$507))</f>
        <v>40939</v>
      </c>
      <c r="P450" s="8">
        <f t="shared" si="108"/>
        <v>40633</v>
      </c>
      <c r="Q450" s="8">
        <f t="shared" si="109"/>
        <v>40999</v>
      </c>
      <c r="R450">
        <f t="shared" si="115"/>
        <v>99.7</v>
      </c>
      <c r="S450">
        <f t="shared" si="106"/>
        <v>104.4</v>
      </c>
      <c r="T450" s="20">
        <f t="shared" si="110"/>
        <v>-4.5019157088122652E-2</v>
      </c>
      <c r="U450" s="20">
        <f t="shared" si="107"/>
        <v>-2.4010658287624626E-2</v>
      </c>
      <c r="V450" s="18">
        <f t="shared" si="116"/>
        <v>868241</v>
      </c>
      <c r="W450">
        <f t="shared" si="117"/>
        <v>1200</v>
      </c>
      <c r="Y450">
        <f t="shared" si="118"/>
        <v>1200</v>
      </c>
      <c r="AA450" s="27">
        <f t="shared" si="121"/>
        <v>2012</v>
      </c>
      <c r="AB450" s="26">
        <f t="shared" si="122"/>
        <v>-2.3039973947732606E-2</v>
      </c>
      <c r="AC450" s="7">
        <f t="shared" si="123"/>
        <v>868241</v>
      </c>
    </row>
    <row r="451" spans="1:29" x14ac:dyDescent="0.2">
      <c r="A451" s="8">
        <f t="shared" si="119"/>
        <v>41029</v>
      </c>
      <c r="B451" s="17">
        <f t="shared" si="111"/>
        <v>2012</v>
      </c>
      <c r="C451" s="17">
        <f t="shared" si="112"/>
        <v>4</v>
      </c>
      <c r="D451">
        <v>1798101</v>
      </c>
      <c r="E451">
        <v>1581127</v>
      </c>
      <c r="H451">
        <v>1798101</v>
      </c>
      <c r="I451">
        <v>1581127</v>
      </c>
      <c r="J451" s="19">
        <v>92.8</v>
      </c>
      <c r="K451" s="6">
        <f t="shared" si="113"/>
        <v>216974</v>
      </c>
      <c r="L451" s="15">
        <f t="shared" si="114"/>
        <v>4.5304466397921548</v>
      </c>
      <c r="M451" s="16">
        <f t="shared" si="120"/>
        <v>-7.1719037175637546E-2</v>
      </c>
      <c r="N451" s="8">
        <f t="array" ref="N451">MAX(IF($B$4:$B$507=B451,$A$4:$A$507))</f>
        <v>41274</v>
      </c>
      <c r="O451" s="8">
        <f t="array" ref="O451">MIN(IF($B$4:$B$507=B451,$A$4:$A$507))</f>
        <v>40939</v>
      </c>
      <c r="P451" s="8">
        <f t="shared" si="108"/>
        <v>40663</v>
      </c>
      <c r="Q451" s="8">
        <f t="shared" si="109"/>
        <v>41029</v>
      </c>
      <c r="R451">
        <f t="shared" si="115"/>
        <v>92.8</v>
      </c>
      <c r="S451">
        <f t="shared" si="106"/>
        <v>97.5</v>
      </c>
      <c r="T451" s="20">
        <f t="shared" si="110"/>
        <v>-4.8205128205128234E-2</v>
      </c>
      <c r="U451" s="20">
        <f t="shared" si="107"/>
        <v>-2.4010658287624626E-2</v>
      </c>
      <c r="V451" s="18">
        <f t="shared" si="116"/>
        <v>868241</v>
      </c>
      <c r="W451">
        <f t="shared" si="117"/>
        <v>1200</v>
      </c>
      <c r="Y451">
        <f t="shared" si="118"/>
        <v>1200</v>
      </c>
      <c r="AA451" s="27">
        <f t="shared" si="121"/>
        <v>2012</v>
      </c>
      <c r="AB451" s="26">
        <f t="shared" si="122"/>
        <v>-2.3039973947732606E-2</v>
      </c>
      <c r="AC451" s="7">
        <f t="shared" si="123"/>
        <v>868241</v>
      </c>
    </row>
    <row r="452" spans="1:29" x14ac:dyDescent="0.2">
      <c r="A452" s="8">
        <f t="shared" si="119"/>
        <v>41060</v>
      </c>
      <c r="B452" s="17">
        <f t="shared" si="111"/>
        <v>2012</v>
      </c>
      <c r="C452" s="17">
        <f t="shared" si="112"/>
        <v>5</v>
      </c>
      <c r="D452">
        <v>1785075</v>
      </c>
      <c r="E452">
        <v>1645396</v>
      </c>
      <c r="H452">
        <v>1785075</v>
      </c>
      <c r="I452">
        <v>1645396</v>
      </c>
      <c r="J452" s="19">
        <v>102.5</v>
      </c>
      <c r="K452" s="6">
        <f t="shared" si="113"/>
        <v>139679</v>
      </c>
      <c r="L452" s="15">
        <f t="shared" si="114"/>
        <v>4.6298627985784631</v>
      </c>
      <c r="M452" s="16">
        <f t="shared" si="120"/>
        <v>9.9416158786308273E-2</v>
      </c>
      <c r="N452" s="8">
        <f t="array" ref="N452">MAX(IF($B$4:$B$507=B452,$A$4:$A$507))</f>
        <v>41274</v>
      </c>
      <c r="O452" s="8">
        <f t="array" ref="O452">MIN(IF($B$4:$B$507=B452,$A$4:$A$507))</f>
        <v>40939</v>
      </c>
      <c r="P452" s="8">
        <f t="shared" si="108"/>
        <v>40694</v>
      </c>
      <c r="Q452" s="8">
        <f t="shared" si="109"/>
        <v>41060</v>
      </c>
      <c r="R452">
        <f t="shared" si="115"/>
        <v>102.5</v>
      </c>
      <c r="S452">
        <f t="shared" si="106"/>
        <v>107.1</v>
      </c>
      <c r="T452" s="20">
        <f t="shared" si="110"/>
        <v>-4.2950513538748791E-2</v>
      </c>
      <c r="U452" s="20">
        <f t="shared" si="107"/>
        <v>-2.4010658287624626E-2</v>
      </c>
      <c r="V452" s="18">
        <f t="shared" si="116"/>
        <v>868241</v>
      </c>
      <c r="W452">
        <f t="shared" si="117"/>
        <v>1200</v>
      </c>
      <c r="Y452">
        <f t="shared" si="118"/>
        <v>1200</v>
      </c>
      <c r="AA452" s="27">
        <f t="shared" si="121"/>
        <v>2012</v>
      </c>
      <c r="AB452" s="26">
        <f t="shared" si="122"/>
        <v>-2.3039973947732606E-2</v>
      </c>
      <c r="AC452" s="7">
        <f t="shared" si="123"/>
        <v>868241</v>
      </c>
    </row>
    <row r="453" spans="1:29" x14ac:dyDescent="0.2">
      <c r="A453" s="8">
        <f t="shared" si="119"/>
        <v>41090</v>
      </c>
      <c r="B453" s="17">
        <f t="shared" si="111"/>
        <v>2012</v>
      </c>
      <c r="C453" s="17">
        <f t="shared" si="112"/>
        <v>6</v>
      </c>
      <c r="D453">
        <v>1732327</v>
      </c>
      <c r="E453">
        <v>1611887</v>
      </c>
      <c r="H453">
        <v>1732327</v>
      </c>
      <c r="I453">
        <v>1611887</v>
      </c>
      <c r="J453" s="19">
        <v>98.3</v>
      </c>
      <c r="K453" s="6">
        <f t="shared" si="113"/>
        <v>120440</v>
      </c>
      <c r="L453" s="15">
        <f t="shared" si="114"/>
        <v>4.5880240271531205</v>
      </c>
      <c r="M453" s="16">
        <f t="shared" si="120"/>
        <v>-4.1838771425342536E-2</v>
      </c>
      <c r="N453" s="8">
        <f t="array" ref="N453">MAX(IF($B$4:$B$507=B453,$A$4:$A$507))</f>
        <v>41274</v>
      </c>
      <c r="O453" s="8">
        <f t="array" ref="O453">MIN(IF($B$4:$B$507=B453,$A$4:$A$507))</f>
        <v>40939</v>
      </c>
      <c r="P453" s="8">
        <f t="shared" si="108"/>
        <v>40724</v>
      </c>
      <c r="Q453" s="8">
        <f t="shared" si="109"/>
        <v>41090</v>
      </c>
      <c r="R453">
        <f t="shared" si="115"/>
        <v>98.3</v>
      </c>
      <c r="S453">
        <f t="shared" ref="S453:S507" si="124">VLOOKUP(P453,$A$4:$L$507,$J$1,FALSE)</f>
        <v>102.8</v>
      </c>
      <c r="T453" s="20">
        <f t="shared" si="110"/>
        <v>-4.3774319066147815E-2</v>
      </c>
      <c r="U453" s="20">
        <f t="shared" ref="U453:U507" si="125">AVERAGEIF($B$4:$B$507,B453,$T$4:$T$507)</f>
        <v>-2.4010658287624626E-2</v>
      </c>
      <c r="V453" s="18">
        <f t="shared" si="116"/>
        <v>868241</v>
      </c>
      <c r="W453">
        <f t="shared" si="117"/>
        <v>1200</v>
      </c>
      <c r="Y453">
        <f t="shared" si="118"/>
        <v>1200</v>
      </c>
      <c r="AA453" s="27">
        <f t="shared" si="121"/>
        <v>2012</v>
      </c>
      <c r="AB453" s="26">
        <f t="shared" si="122"/>
        <v>-2.3039973947732606E-2</v>
      </c>
      <c r="AC453" s="7">
        <f t="shared" si="123"/>
        <v>868241</v>
      </c>
    </row>
    <row r="454" spans="1:29" x14ac:dyDescent="0.2">
      <c r="A454" s="8">
        <f t="shared" si="119"/>
        <v>41121</v>
      </c>
      <c r="B454" s="17">
        <f t="shared" si="111"/>
        <v>2012</v>
      </c>
      <c r="C454" s="17">
        <f t="shared" si="112"/>
        <v>7</v>
      </c>
      <c r="D454">
        <v>1753241</v>
      </c>
      <c r="E454">
        <v>1610745</v>
      </c>
      <c r="H454">
        <v>1753241</v>
      </c>
      <c r="I454">
        <v>1610745</v>
      </c>
      <c r="J454" s="19">
        <v>104.5</v>
      </c>
      <c r="K454" s="6">
        <f t="shared" si="113"/>
        <v>142496</v>
      </c>
      <c r="L454" s="15">
        <f t="shared" si="114"/>
        <v>4.6491870714048655</v>
      </c>
      <c r="M454" s="16">
        <f t="shared" si="120"/>
        <v>6.1163044251745013E-2</v>
      </c>
      <c r="N454" s="8">
        <f t="array" ref="N454">MAX(IF($B$4:$B$507=B454,$A$4:$A$507))</f>
        <v>41274</v>
      </c>
      <c r="O454" s="8">
        <f t="array" ref="O454">MIN(IF($B$4:$B$507=B454,$A$4:$A$507))</f>
        <v>40939</v>
      </c>
      <c r="P454" s="8">
        <f t="shared" si="108"/>
        <v>40755</v>
      </c>
      <c r="Q454" s="8">
        <f t="shared" si="109"/>
        <v>41121</v>
      </c>
      <c r="R454">
        <f t="shared" si="115"/>
        <v>104.5</v>
      </c>
      <c r="S454">
        <f t="shared" si="124"/>
        <v>106.1</v>
      </c>
      <c r="T454" s="20">
        <f t="shared" si="110"/>
        <v>-1.5080113100848225E-2</v>
      </c>
      <c r="U454" s="20">
        <f t="shared" si="125"/>
        <v>-2.4010658287624626E-2</v>
      </c>
      <c r="V454" s="18">
        <f t="shared" si="116"/>
        <v>868241</v>
      </c>
      <c r="W454">
        <f t="shared" si="117"/>
        <v>1200</v>
      </c>
      <c r="Y454">
        <f t="shared" si="118"/>
        <v>1200</v>
      </c>
      <c r="AA454" s="27">
        <f t="shared" si="121"/>
        <v>2012</v>
      </c>
      <c r="AB454" s="26">
        <f t="shared" si="122"/>
        <v>-2.3039973947732606E-2</v>
      </c>
      <c r="AC454" s="7">
        <f t="shared" si="123"/>
        <v>868241</v>
      </c>
    </row>
    <row r="455" spans="1:29" x14ac:dyDescent="0.2">
      <c r="A455" s="8">
        <f t="shared" si="119"/>
        <v>41152</v>
      </c>
      <c r="B455" s="17">
        <f t="shared" si="111"/>
        <v>2012</v>
      </c>
      <c r="C455" s="17">
        <f t="shared" si="112"/>
        <v>8</v>
      </c>
      <c r="D455">
        <v>1819767</v>
      </c>
      <c r="E455">
        <v>1718829</v>
      </c>
      <c r="H455">
        <v>1819767</v>
      </c>
      <c r="I455">
        <v>1718829</v>
      </c>
      <c r="J455" s="19">
        <v>111.5</v>
      </c>
      <c r="K455" s="6">
        <f t="shared" si="113"/>
        <v>100938</v>
      </c>
      <c r="L455" s="15">
        <f t="shared" si="114"/>
        <v>4.7140245909001735</v>
      </c>
      <c r="M455" s="16">
        <f t="shared" si="120"/>
        <v>6.4837519495307916E-2</v>
      </c>
      <c r="N455" s="8">
        <f t="array" ref="N455">MAX(IF($B$4:$B$507=B455,$A$4:$A$507))</f>
        <v>41274</v>
      </c>
      <c r="O455" s="8">
        <f t="array" ref="O455">MIN(IF($B$4:$B$507=B455,$A$4:$A$507))</f>
        <v>40939</v>
      </c>
      <c r="P455" s="8">
        <f t="shared" si="108"/>
        <v>40786</v>
      </c>
      <c r="Q455" s="8">
        <f t="shared" si="109"/>
        <v>41152</v>
      </c>
      <c r="R455">
        <f t="shared" si="115"/>
        <v>111.5</v>
      </c>
      <c r="S455">
        <f t="shared" si="124"/>
        <v>110.8</v>
      </c>
      <c r="T455" s="20">
        <f t="shared" si="110"/>
        <v>6.3176895306860104E-3</v>
      </c>
      <c r="U455" s="20">
        <f t="shared" si="125"/>
        <v>-2.4010658287624626E-2</v>
      </c>
      <c r="V455" s="18">
        <f t="shared" si="116"/>
        <v>868241</v>
      </c>
      <c r="W455">
        <f t="shared" si="117"/>
        <v>1200</v>
      </c>
      <c r="Y455">
        <f t="shared" si="118"/>
        <v>1200</v>
      </c>
      <c r="AA455" s="27">
        <f t="shared" si="121"/>
        <v>2012</v>
      </c>
      <c r="AB455" s="26">
        <f t="shared" si="122"/>
        <v>-2.3039973947732606E-2</v>
      </c>
      <c r="AC455" s="7">
        <f t="shared" si="123"/>
        <v>868241</v>
      </c>
    </row>
    <row r="456" spans="1:29" x14ac:dyDescent="0.2">
      <c r="A456" s="8">
        <f t="shared" si="119"/>
        <v>41182</v>
      </c>
      <c r="B456" s="17">
        <f t="shared" si="111"/>
        <v>2012</v>
      </c>
      <c r="C456" s="17">
        <f t="shared" si="112"/>
        <v>9</v>
      </c>
      <c r="D456">
        <v>1664747</v>
      </c>
      <c r="E456">
        <v>1514413</v>
      </c>
      <c r="H456">
        <v>1664747</v>
      </c>
      <c r="I456">
        <v>1514413</v>
      </c>
      <c r="J456" s="19">
        <v>103.4</v>
      </c>
      <c r="K456" s="6">
        <f t="shared" si="113"/>
        <v>150334</v>
      </c>
      <c r="L456" s="15">
        <f t="shared" si="114"/>
        <v>4.6386049620743286</v>
      </c>
      <c r="M456" s="16">
        <f t="shared" si="120"/>
        <v>-7.5419628825844853E-2</v>
      </c>
      <c r="N456" s="8">
        <f t="array" ref="N456">MAX(IF($B$4:$B$507=B456,$A$4:$A$507))</f>
        <v>41274</v>
      </c>
      <c r="O456" s="8">
        <f t="array" ref="O456">MIN(IF($B$4:$B$507=B456,$A$4:$A$507))</f>
        <v>40939</v>
      </c>
      <c r="P456" s="8">
        <f t="shared" si="108"/>
        <v>40816</v>
      </c>
      <c r="Q456" s="8">
        <f t="shared" si="109"/>
        <v>41182</v>
      </c>
      <c r="R456">
        <f t="shared" si="115"/>
        <v>103.4</v>
      </c>
      <c r="S456">
        <f t="shared" si="124"/>
        <v>104.8</v>
      </c>
      <c r="T456" s="20">
        <f t="shared" si="110"/>
        <v>-1.3358778625954137E-2</v>
      </c>
      <c r="U456" s="20">
        <f t="shared" si="125"/>
        <v>-2.4010658287624626E-2</v>
      </c>
      <c r="V456" s="18">
        <f t="shared" si="116"/>
        <v>868241</v>
      </c>
      <c r="W456">
        <f t="shared" si="117"/>
        <v>1200</v>
      </c>
      <c r="Y456">
        <f t="shared" si="118"/>
        <v>1200</v>
      </c>
      <c r="AA456" s="27">
        <f t="shared" si="121"/>
        <v>2012</v>
      </c>
      <c r="AB456" s="26">
        <f t="shared" si="122"/>
        <v>-2.3039973947732606E-2</v>
      </c>
      <c r="AC456" s="7">
        <f t="shared" si="123"/>
        <v>868241</v>
      </c>
    </row>
    <row r="457" spans="1:29" x14ac:dyDescent="0.2">
      <c r="A457" s="8">
        <f t="shared" si="119"/>
        <v>41213</v>
      </c>
      <c r="B457" s="17">
        <f t="shared" si="111"/>
        <v>2012</v>
      </c>
      <c r="C457" s="17">
        <f t="shared" si="112"/>
        <v>10</v>
      </c>
      <c r="D457">
        <v>1710580</v>
      </c>
      <c r="E457">
        <v>1643592</v>
      </c>
      <c r="H457">
        <v>1710580</v>
      </c>
      <c r="I457">
        <v>1643592</v>
      </c>
      <c r="J457" s="19">
        <v>111.8</v>
      </c>
      <c r="K457" s="6">
        <f t="shared" si="113"/>
        <v>66988</v>
      </c>
      <c r="L457" s="15">
        <f t="shared" si="114"/>
        <v>4.7167115607209986</v>
      </c>
      <c r="M457" s="16">
        <f t="shared" si="120"/>
        <v>7.8106598646670022E-2</v>
      </c>
      <c r="N457" s="8">
        <f t="array" ref="N457">MAX(IF($B$4:$B$507=B457,$A$4:$A$507))</f>
        <v>41274</v>
      </c>
      <c r="O457" s="8">
        <f t="array" ref="O457">MIN(IF($B$4:$B$507=B457,$A$4:$A$507))</f>
        <v>40939</v>
      </c>
      <c r="P457" s="8">
        <f t="shared" si="108"/>
        <v>40847</v>
      </c>
      <c r="Q457" s="8">
        <f t="shared" si="109"/>
        <v>41213</v>
      </c>
      <c r="R457">
        <f t="shared" si="115"/>
        <v>111.8</v>
      </c>
      <c r="S457">
        <f t="shared" si="124"/>
        <v>106.3</v>
      </c>
      <c r="T457" s="20">
        <f t="shared" si="110"/>
        <v>5.1740357478833543E-2</v>
      </c>
      <c r="U457" s="20">
        <f t="shared" si="125"/>
        <v>-2.4010658287624626E-2</v>
      </c>
      <c r="V457" s="18">
        <f t="shared" si="116"/>
        <v>868241</v>
      </c>
      <c r="W457">
        <f t="shared" si="117"/>
        <v>1200</v>
      </c>
      <c r="Y457">
        <f t="shared" si="118"/>
        <v>1200</v>
      </c>
      <c r="AA457" s="27">
        <f t="shared" si="121"/>
        <v>2012</v>
      </c>
      <c r="AB457" s="26">
        <f t="shared" si="122"/>
        <v>-2.3039973947732606E-2</v>
      </c>
      <c r="AC457" s="7">
        <f t="shared" si="123"/>
        <v>868241</v>
      </c>
    </row>
    <row r="458" spans="1:29" x14ac:dyDescent="0.2">
      <c r="A458" s="8">
        <f t="shared" si="119"/>
        <v>41243</v>
      </c>
      <c r="B458" s="17">
        <f t="shared" si="111"/>
        <v>2012</v>
      </c>
      <c r="C458" s="17">
        <f t="shared" si="112"/>
        <v>11</v>
      </c>
      <c r="D458">
        <v>1624306</v>
      </c>
      <c r="E458">
        <v>1578211</v>
      </c>
      <c r="H458">
        <v>1624306</v>
      </c>
      <c r="I458">
        <v>1578211</v>
      </c>
      <c r="J458" s="19">
        <v>104.8</v>
      </c>
      <c r="K458" s="6">
        <f t="shared" si="113"/>
        <v>46095</v>
      </c>
      <c r="L458" s="15">
        <f t="shared" si="114"/>
        <v>4.6520537718869415</v>
      </c>
      <c r="M458" s="16">
        <f t="shared" si="120"/>
        <v>-6.465778883405715E-2</v>
      </c>
      <c r="N458" s="8">
        <f t="array" ref="N458">MAX(IF($B$4:$B$507=B458,$A$4:$A$507))</f>
        <v>41274</v>
      </c>
      <c r="O458" s="8">
        <f t="array" ref="O458">MIN(IF($B$4:$B$507=B458,$A$4:$A$507))</f>
        <v>40939</v>
      </c>
      <c r="P458" s="8">
        <f t="shared" si="108"/>
        <v>40877</v>
      </c>
      <c r="Q458" s="8">
        <f t="shared" si="109"/>
        <v>41243</v>
      </c>
      <c r="R458">
        <f t="shared" si="115"/>
        <v>104.8</v>
      </c>
      <c r="S458">
        <f t="shared" si="124"/>
        <v>104.2</v>
      </c>
      <c r="T458" s="20">
        <f t="shared" si="110"/>
        <v>5.7581573896352545E-3</v>
      </c>
      <c r="U458" s="20">
        <f t="shared" si="125"/>
        <v>-2.4010658287624626E-2</v>
      </c>
      <c r="V458" s="18">
        <f t="shared" si="116"/>
        <v>868241</v>
      </c>
      <c r="W458">
        <f t="shared" si="117"/>
        <v>1200</v>
      </c>
      <c r="Y458">
        <f t="shared" si="118"/>
        <v>1200</v>
      </c>
      <c r="AA458" s="27">
        <f t="shared" si="121"/>
        <v>2012</v>
      </c>
      <c r="AB458" s="26">
        <f t="shared" si="122"/>
        <v>-2.3039973947732606E-2</v>
      </c>
      <c r="AC458" s="7">
        <f t="shared" si="123"/>
        <v>868241</v>
      </c>
    </row>
    <row r="459" spans="1:29" x14ac:dyDescent="0.2">
      <c r="A459" s="8">
        <f t="shared" si="119"/>
        <v>41274</v>
      </c>
      <c r="B459" s="17">
        <f t="shared" si="111"/>
        <v>2012</v>
      </c>
      <c r="C459" s="17">
        <f t="shared" si="112"/>
        <v>12</v>
      </c>
      <c r="D459">
        <v>1211216</v>
      </c>
      <c r="E459">
        <v>1708160</v>
      </c>
      <c r="G459" s="7"/>
      <c r="H459">
        <v>1211216</v>
      </c>
      <c r="I459">
        <v>1708160</v>
      </c>
      <c r="J459" s="19">
        <v>92.2</v>
      </c>
      <c r="K459" s="6">
        <f t="shared" si="113"/>
        <v>-496944</v>
      </c>
      <c r="L459" s="15">
        <f t="shared" si="114"/>
        <v>4.5239601305625481</v>
      </c>
      <c r="M459" s="16">
        <f t="shared" si="120"/>
        <v>-0.12809364132439338</v>
      </c>
      <c r="N459" s="8">
        <f t="array" ref="N459">MAX(IF($B$4:$B$507=B459,$A$4:$A$507))</f>
        <v>41274</v>
      </c>
      <c r="O459" s="8">
        <f t="array" ref="O459">MIN(IF($B$4:$B$507=B459,$A$4:$A$507))</f>
        <v>40939</v>
      </c>
      <c r="P459" s="8">
        <f t="shared" si="108"/>
        <v>40908</v>
      </c>
      <c r="Q459" s="8">
        <f t="shared" si="109"/>
        <v>41274</v>
      </c>
      <c r="R459">
        <f t="shared" si="115"/>
        <v>92.2</v>
      </c>
      <c r="S459">
        <f t="shared" si="124"/>
        <v>95.7</v>
      </c>
      <c r="T459" s="20">
        <f t="shared" si="110"/>
        <v>-3.6572622779519337E-2</v>
      </c>
      <c r="U459" s="20">
        <f t="shared" si="125"/>
        <v>-2.4010658287624626E-2</v>
      </c>
      <c r="V459" s="18">
        <f t="shared" si="116"/>
        <v>868241</v>
      </c>
      <c r="W459">
        <f t="shared" si="117"/>
        <v>1200</v>
      </c>
      <c r="Y459">
        <f t="shared" si="118"/>
        <v>1200</v>
      </c>
      <c r="AA459" s="27">
        <f t="shared" si="121"/>
        <v>2012</v>
      </c>
      <c r="AB459" s="26">
        <f t="shared" si="122"/>
        <v>-2.3039973947732606E-2</v>
      </c>
      <c r="AC459" s="7">
        <f t="shared" si="123"/>
        <v>868241</v>
      </c>
    </row>
    <row r="460" spans="1:29" x14ac:dyDescent="0.2">
      <c r="A460" s="8">
        <f t="shared" si="119"/>
        <v>41305</v>
      </c>
      <c r="B460" s="17">
        <f t="shared" si="111"/>
        <v>2013</v>
      </c>
      <c r="C460" s="17">
        <f t="shared" si="112"/>
        <v>1</v>
      </c>
      <c r="D460">
        <v>1794272</v>
      </c>
      <c r="E460">
        <v>1765372</v>
      </c>
      <c r="H460" s="7">
        <v>1794272</v>
      </c>
      <c r="I460">
        <v>1765372</v>
      </c>
      <c r="J460" s="19">
        <v>94.5</v>
      </c>
      <c r="K460" s="6">
        <f t="shared" si="113"/>
        <v>28900</v>
      </c>
      <c r="L460" s="15">
        <f t="shared" si="114"/>
        <v>4.5485998344996972</v>
      </c>
      <c r="M460" s="16">
        <f t="shared" si="120"/>
        <v>2.4639703937149093E-2</v>
      </c>
      <c r="N460" s="8">
        <f t="array" ref="N460">MAX(IF($B$4:$B$507=B460,$A$4:$A$507))</f>
        <v>41639</v>
      </c>
      <c r="O460" s="8">
        <f t="array" ref="O460">MIN(IF($B$4:$B$507=B460,$A$4:$A$507))</f>
        <v>41305</v>
      </c>
      <c r="P460" s="8">
        <f t="shared" si="108"/>
        <v>40939</v>
      </c>
      <c r="Q460" s="8">
        <f t="shared" si="109"/>
        <v>41305</v>
      </c>
      <c r="R460">
        <f t="shared" si="115"/>
        <v>94.5</v>
      </c>
      <c r="S460">
        <f t="shared" si="124"/>
        <v>88.7</v>
      </c>
      <c r="T460" s="20">
        <f t="shared" si="110"/>
        <v>6.5388951521984096E-2</v>
      </c>
      <c r="U460" s="20">
        <f t="shared" si="125"/>
        <v>2.1236431978697717E-2</v>
      </c>
      <c r="V460" s="18">
        <f t="shared" si="116"/>
        <v>730687</v>
      </c>
      <c r="W460">
        <f t="shared" si="117"/>
        <v>1224.8999999999999</v>
      </c>
      <c r="Y460">
        <f t="shared" si="118"/>
        <v>1224.8999999999999</v>
      </c>
      <c r="AA460" s="27">
        <f t="shared" si="121"/>
        <v>2013</v>
      </c>
      <c r="AB460" s="26">
        <f t="shared" si="122"/>
        <v>2.0749999999999824E-2</v>
      </c>
      <c r="AC460" s="7">
        <f t="shared" si="123"/>
        <v>730687</v>
      </c>
    </row>
    <row r="461" spans="1:29" x14ac:dyDescent="0.2">
      <c r="A461" s="8">
        <f t="shared" si="119"/>
        <v>41333</v>
      </c>
      <c r="B461" s="17">
        <f t="shared" si="111"/>
        <v>2013</v>
      </c>
      <c r="C461" s="17">
        <f t="shared" si="112"/>
        <v>2</v>
      </c>
      <c r="D461">
        <v>1774411</v>
      </c>
      <c r="E461">
        <v>1650965</v>
      </c>
      <c r="H461">
        <v>1774411</v>
      </c>
      <c r="I461">
        <v>1650965</v>
      </c>
      <c r="J461" s="19">
        <v>88.1</v>
      </c>
      <c r="K461" s="6">
        <f t="shared" si="113"/>
        <v>123446</v>
      </c>
      <c r="L461" s="15">
        <f t="shared" si="114"/>
        <v>4.478472532942134</v>
      </c>
      <c r="M461" s="16">
        <f t="shared" si="120"/>
        <v>-7.0127301557563193E-2</v>
      </c>
      <c r="N461" s="8">
        <f t="array" ref="N461">MAX(IF($B$4:$B$507=B461,$A$4:$A$507))</f>
        <v>41639</v>
      </c>
      <c r="O461" s="8">
        <f t="array" ref="O461">MIN(IF($B$4:$B$507=B461,$A$4:$A$507))</f>
        <v>41305</v>
      </c>
      <c r="P461" s="8">
        <f t="shared" si="108"/>
        <v>40968</v>
      </c>
      <c r="Q461" s="8">
        <f t="shared" si="109"/>
        <v>41333</v>
      </c>
      <c r="R461">
        <f t="shared" si="115"/>
        <v>88.1</v>
      </c>
      <c r="S461">
        <f t="shared" si="124"/>
        <v>89.8</v>
      </c>
      <c r="T461" s="20">
        <f t="shared" si="110"/>
        <v>-1.8930957683741645E-2</v>
      </c>
      <c r="U461" s="20">
        <f t="shared" si="125"/>
        <v>2.1236431978697717E-2</v>
      </c>
      <c r="V461" s="18">
        <f t="shared" si="116"/>
        <v>730687</v>
      </c>
      <c r="W461">
        <f t="shared" si="117"/>
        <v>1224.8999999999999</v>
      </c>
      <c r="Y461">
        <f t="shared" si="118"/>
        <v>1224.8999999999999</v>
      </c>
      <c r="AA461" s="27">
        <f t="shared" si="121"/>
        <v>2013</v>
      </c>
      <c r="AB461" s="26">
        <f t="shared" si="122"/>
        <v>2.0749999999999824E-2</v>
      </c>
      <c r="AC461" s="7">
        <f t="shared" si="123"/>
        <v>730687</v>
      </c>
    </row>
    <row r="462" spans="1:29" x14ac:dyDescent="0.2">
      <c r="A462" s="8">
        <f t="shared" si="119"/>
        <v>41364</v>
      </c>
      <c r="B462" s="17">
        <f t="shared" si="111"/>
        <v>2013</v>
      </c>
      <c r="C462" s="17">
        <f t="shared" si="112"/>
        <v>3</v>
      </c>
      <c r="D462">
        <v>1849148</v>
      </c>
      <c r="E462">
        <v>1736698</v>
      </c>
      <c r="H462">
        <v>1849148</v>
      </c>
      <c r="I462">
        <v>1736698</v>
      </c>
      <c r="J462" s="19">
        <v>97.7</v>
      </c>
      <c r="K462" s="6">
        <f t="shared" si="113"/>
        <v>112450</v>
      </c>
      <c r="L462" s="15">
        <f t="shared" si="114"/>
        <v>4.5819015590487373</v>
      </c>
      <c r="M462" s="16">
        <f t="shared" si="120"/>
        <v>0.10342902610660332</v>
      </c>
      <c r="N462" s="8">
        <f t="array" ref="N462">MAX(IF($B$4:$B$507=B462,$A$4:$A$507))</f>
        <v>41639</v>
      </c>
      <c r="O462" s="8">
        <f t="array" ref="O462">MIN(IF($B$4:$B$507=B462,$A$4:$A$507))</f>
        <v>41305</v>
      </c>
      <c r="P462" s="8">
        <f t="shared" si="108"/>
        <v>40999</v>
      </c>
      <c r="Q462" s="8">
        <f t="shared" si="109"/>
        <v>41364</v>
      </c>
      <c r="R462">
        <f t="shared" si="115"/>
        <v>97.7</v>
      </c>
      <c r="S462">
        <f t="shared" si="124"/>
        <v>99.7</v>
      </c>
      <c r="T462" s="20">
        <f t="shared" si="110"/>
        <v>-2.0060180541624839E-2</v>
      </c>
      <c r="U462" s="20">
        <f t="shared" si="125"/>
        <v>2.1236431978697717E-2</v>
      </c>
      <c r="V462" s="18">
        <f t="shared" si="116"/>
        <v>730687</v>
      </c>
      <c r="W462">
        <f t="shared" si="117"/>
        <v>1224.8999999999999</v>
      </c>
      <c r="Y462">
        <f t="shared" si="118"/>
        <v>1224.8999999999999</v>
      </c>
      <c r="AA462" s="27">
        <f t="shared" si="121"/>
        <v>2013</v>
      </c>
      <c r="AB462" s="26">
        <f t="shared" si="122"/>
        <v>2.0749999999999824E-2</v>
      </c>
      <c r="AC462" s="7">
        <f t="shared" si="123"/>
        <v>730687</v>
      </c>
    </row>
    <row r="463" spans="1:29" x14ac:dyDescent="0.2">
      <c r="A463" s="8">
        <f t="shared" si="119"/>
        <v>41394</v>
      </c>
      <c r="B463" s="17">
        <f t="shared" si="111"/>
        <v>2013</v>
      </c>
      <c r="C463" s="17">
        <f t="shared" si="112"/>
        <v>4</v>
      </c>
      <c r="D463">
        <v>1938169</v>
      </c>
      <c r="E463">
        <v>1741256</v>
      </c>
      <c r="H463">
        <v>1938169</v>
      </c>
      <c r="I463">
        <v>1741256</v>
      </c>
      <c r="J463" s="19">
        <v>101.8</v>
      </c>
      <c r="K463" s="6">
        <f t="shared" si="113"/>
        <v>196913</v>
      </c>
      <c r="L463" s="15">
        <f t="shared" si="114"/>
        <v>4.623010104116422</v>
      </c>
      <c r="M463" s="16">
        <f t="shared" si="120"/>
        <v>4.1108545067684688E-2</v>
      </c>
      <c r="N463" s="8">
        <f t="array" ref="N463">MAX(IF($B$4:$B$507=B463,$A$4:$A$507))</f>
        <v>41639</v>
      </c>
      <c r="O463" s="8">
        <f t="array" ref="O463">MIN(IF($B$4:$B$507=B463,$A$4:$A$507))</f>
        <v>41305</v>
      </c>
      <c r="P463" s="8">
        <f t="shared" si="108"/>
        <v>41029</v>
      </c>
      <c r="Q463" s="8">
        <f t="shared" si="109"/>
        <v>41394</v>
      </c>
      <c r="R463">
        <f t="shared" si="115"/>
        <v>101.8</v>
      </c>
      <c r="S463">
        <f t="shared" si="124"/>
        <v>92.8</v>
      </c>
      <c r="T463" s="20">
        <f t="shared" si="110"/>
        <v>9.6982758620689724E-2</v>
      </c>
      <c r="U463" s="20">
        <f t="shared" si="125"/>
        <v>2.1236431978697717E-2</v>
      </c>
      <c r="V463" s="18">
        <f t="shared" si="116"/>
        <v>730687</v>
      </c>
      <c r="W463">
        <f t="shared" si="117"/>
        <v>1224.8999999999999</v>
      </c>
      <c r="Y463">
        <f t="shared" si="118"/>
        <v>1224.8999999999999</v>
      </c>
      <c r="AA463" s="27">
        <f t="shared" si="121"/>
        <v>2013</v>
      </c>
      <c r="AB463" s="26">
        <f t="shared" si="122"/>
        <v>2.0749999999999824E-2</v>
      </c>
      <c r="AC463" s="7">
        <f t="shared" si="123"/>
        <v>730687</v>
      </c>
    </row>
    <row r="464" spans="1:29" x14ac:dyDescent="0.2">
      <c r="A464" s="8">
        <f t="shared" si="119"/>
        <v>41425</v>
      </c>
      <c r="B464" s="17">
        <f t="shared" si="111"/>
        <v>2013</v>
      </c>
      <c r="C464" s="17">
        <f t="shared" si="112"/>
        <v>5</v>
      </c>
      <c r="D464">
        <v>1827122</v>
      </c>
      <c r="E464">
        <v>1755094</v>
      </c>
      <c r="H464">
        <v>1827122</v>
      </c>
      <c r="I464">
        <v>1755094</v>
      </c>
      <c r="J464" s="19">
        <v>105</v>
      </c>
      <c r="K464" s="6">
        <f t="shared" si="113"/>
        <v>72028</v>
      </c>
      <c r="L464" s="15">
        <f t="shared" si="114"/>
        <v>4.6539603501575231</v>
      </c>
      <c r="M464" s="16">
        <f t="shared" si="120"/>
        <v>3.0950246041101082E-2</v>
      </c>
      <c r="N464" s="8">
        <f t="array" ref="N464">MAX(IF($B$4:$B$507=B464,$A$4:$A$507))</f>
        <v>41639</v>
      </c>
      <c r="O464" s="8">
        <f t="array" ref="O464">MIN(IF($B$4:$B$507=B464,$A$4:$A$507))</f>
        <v>41305</v>
      </c>
      <c r="P464" s="8">
        <f t="shared" si="108"/>
        <v>41060</v>
      </c>
      <c r="Q464" s="8">
        <f t="shared" si="109"/>
        <v>41425</v>
      </c>
      <c r="R464">
        <f t="shared" si="115"/>
        <v>105</v>
      </c>
      <c r="S464">
        <f t="shared" si="124"/>
        <v>102.5</v>
      </c>
      <c r="T464" s="20">
        <f t="shared" si="110"/>
        <v>2.4390243902439046E-2</v>
      </c>
      <c r="U464" s="20">
        <f t="shared" si="125"/>
        <v>2.1236431978697717E-2</v>
      </c>
      <c r="V464" s="18">
        <f t="shared" si="116"/>
        <v>730687</v>
      </c>
      <c r="W464">
        <f t="shared" si="117"/>
        <v>1224.8999999999999</v>
      </c>
      <c r="Y464">
        <f t="shared" si="118"/>
        <v>1224.8999999999999</v>
      </c>
      <c r="AA464" s="27">
        <f t="shared" si="121"/>
        <v>2013</v>
      </c>
      <c r="AB464" s="26">
        <f t="shared" si="122"/>
        <v>2.0749999999999824E-2</v>
      </c>
      <c r="AC464" s="7">
        <f t="shared" si="123"/>
        <v>730687</v>
      </c>
    </row>
    <row r="465" spans="1:29" x14ac:dyDescent="0.2">
      <c r="A465" s="8">
        <f t="shared" si="119"/>
        <v>41455</v>
      </c>
      <c r="B465" s="17">
        <f t="shared" si="111"/>
        <v>2013</v>
      </c>
      <c r="C465" s="17">
        <f t="shared" si="112"/>
        <v>6</v>
      </c>
      <c r="D465">
        <v>1772194</v>
      </c>
      <c r="E465">
        <v>1648358</v>
      </c>
      <c r="H465">
        <v>1772194</v>
      </c>
      <c r="I465">
        <v>1648358</v>
      </c>
      <c r="J465" s="19">
        <v>101.7</v>
      </c>
      <c r="K465" s="6">
        <f t="shared" si="113"/>
        <v>123836</v>
      </c>
      <c r="L465" s="15">
        <f t="shared" si="114"/>
        <v>4.622027303054514</v>
      </c>
      <c r="M465" s="16">
        <f t="shared" si="120"/>
        <v>-3.1933047103009038E-2</v>
      </c>
      <c r="N465" s="8">
        <f t="array" ref="N465">MAX(IF($B$4:$B$507=B465,$A$4:$A$507))</f>
        <v>41639</v>
      </c>
      <c r="O465" s="8">
        <f t="array" ref="O465">MIN(IF($B$4:$B$507=B465,$A$4:$A$507))</f>
        <v>41305</v>
      </c>
      <c r="P465" s="8">
        <f t="shared" si="108"/>
        <v>41090</v>
      </c>
      <c r="Q465" s="8">
        <f t="shared" si="109"/>
        <v>41455</v>
      </c>
      <c r="R465">
        <f t="shared" si="115"/>
        <v>101.7</v>
      </c>
      <c r="S465">
        <f t="shared" si="124"/>
        <v>98.3</v>
      </c>
      <c r="T465" s="20">
        <f t="shared" si="110"/>
        <v>3.4587995930823956E-2</v>
      </c>
      <c r="U465" s="20">
        <f t="shared" si="125"/>
        <v>2.1236431978697717E-2</v>
      </c>
      <c r="V465" s="18">
        <f t="shared" si="116"/>
        <v>730687</v>
      </c>
      <c r="W465">
        <f t="shared" si="117"/>
        <v>1224.8999999999999</v>
      </c>
      <c r="Y465">
        <f t="shared" si="118"/>
        <v>1224.8999999999999</v>
      </c>
      <c r="AA465" s="27">
        <f t="shared" si="121"/>
        <v>2013</v>
      </c>
      <c r="AB465" s="26">
        <f t="shared" si="122"/>
        <v>2.0749999999999824E-2</v>
      </c>
      <c r="AC465" s="7">
        <f t="shared" si="123"/>
        <v>730687</v>
      </c>
    </row>
    <row r="466" spans="1:29" x14ac:dyDescent="0.2">
      <c r="A466" s="8">
        <f t="shared" si="119"/>
        <v>41486</v>
      </c>
      <c r="B466" s="17">
        <f t="shared" si="111"/>
        <v>2013</v>
      </c>
      <c r="C466" s="17">
        <f t="shared" si="112"/>
        <v>7</v>
      </c>
      <c r="D466">
        <v>1781308</v>
      </c>
      <c r="E466">
        <v>1739845</v>
      </c>
      <c r="H466">
        <v>1781308</v>
      </c>
      <c r="I466">
        <v>1739845</v>
      </c>
      <c r="J466" s="19">
        <v>108</v>
      </c>
      <c r="K466" s="6">
        <f t="shared" si="113"/>
        <v>41463</v>
      </c>
      <c r="L466" s="15">
        <f t="shared" si="114"/>
        <v>4.6821312271242199</v>
      </c>
      <c r="M466" s="16">
        <f t="shared" si="120"/>
        <v>6.0103924069705883E-2</v>
      </c>
      <c r="N466" s="8">
        <f t="array" ref="N466">MAX(IF($B$4:$B$507=B466,$A$4:$A$507))</f>
        <v>41639</v>
      </c>
      <c r="O466" s="8">
        <f t="array" ref="O466">MIN(IF($B$4:$B$507=B466,$A$4:$A$507))</f>
        <v>41305</v>
      </c>
      <c r="P466" s="8">
        <f t="shared" si="108"/>
        <v>41121</v>
      </c>
      <c r="Q466" s="8">
        <f t="shared" si="109"/>
        <v>41486</v>
      </c>
      <c r="R466">
        <f t="shared" si="115"/>
        <v>108</v>
      </c>
      <c r="S466">
        <f t="shared" si="124"/>
        <v>104.5</v>
      </c>
      <c r="T466" s="20">
        <f t="shared" si="110"/>
        <v>3.3492822966507241E-2</v>
      </c>
      <c r="U466" s="20">
        <f t="shared" si="125"/>
        <v>2.1236431978697717E-2</v>
      </c>
      <c r="V466" s="18">
        <f t="shared" si="116"/>
        <v>730687</v>
      </c>
      <c r="W466">
        <f t="shared" si="117"/>
        <v>1224.8999999999999</v>
      </c>
      <c r="Y466">
        <f t="shared" si="118"/>
        <v>1224.8999999999999</v>
      </c>
      <c r="AA466" s="27">
        <f t="shared" si="121"/>
        <v>2013</v>
      </c>
      <c r="AB466" s="26">
        <f t="shared" si="122"/>
        <v>2.0749999999999824E-2</v>
      </c>
      <c r="AC466" s="7">
        <f t="shared" si="123"/>
        <v>730687</v>
      </c>
    </row>
    <row r="467" spans="1:29" x14ac:dyDescent="0.2">
      <c r="A467" s="8">
        <f t="shared" si="119"/>
        <v>41517</v>
      </c>
      <c r="B467" s="17">
        <f t="shared" si="111"/>
        <v>2013</v>
      </c>
      <c r="C467" s="17">
        <f t="shared" si="112"/>
        <v>8</v>
      </c>
      <c r="D467">
        <v>1845915</v>
      </c>
      <c r="E467">
        <v>1718267</v>
      </c>
      <c r="H467">
        <v>1845915</v>
      </c>
      <c r="I467">
        <v>1718267</v>
      </c>
      <c r="J467" s="19">
        <v>112</v>
      </c>
      <c r="K467" s="6">
        <f t="shared" si="113"/>
        <v>127648</v>
      </c>
      <c r="L467" s="15">
        <f t="shared" si="114"/>
        <v>4.7184988712950942</v>
      </c>
      <c r="M467" s="16">
        <f t="shared" si="120"/>
        <v>3.6367644170874236E-2</v>
      </c>
      <c r="N467" s="8">
        <f t="array" ref="N467">MAX(IF($B$4:$B$507=B467,$A$4:$A$507))</f>
        <v>41639</v>
      </c>
      <c r="O467" s="8">
        <f t="array" ref="O467">MIN(IF($B$4:$B$507=B467,$A$4:$A$507))</f>
        <v>41305</v>
      </c>
      <c r="P467" s="8">
        <f t="shared" si="108"/>
        <v>41152</v>
      </c>
      <c r="Q467" s="8">
        <f t="shared" si="109"/>
        <v>41517</v>
      </c>
      <c r="R467">
        <f t="shared" si="115"/>
        <v>112</v>
      </c>
      <c r="S467">
        <f t="shared" si="124"/>
        <v>111.5</v>
      </c>
      <c r="T467" s="20">
        <f t="shared" si="110"/>
        <v>4.484304932735439E-3</v>
      </c>
      <c r="U467" s="20">
        <f t="shared" si="125"/>
        <v>2.1236431978697717E-2</v>
      </c>
      <c r="V467" s="18">
        <f t="shared" si="116"/>
        <v>730687</v>
      </c>
      <c r="W467">
        <f t="shared" si="117"/>
        <v>1224.8999999999999</v>
      </c>
      <c r="Y467">
        <f t="shared" si="118"/>
        <v>1224.8999999999999</v>
      </c>
      <c r="AA467" s="27">
        <f t="shared" si="121"/>
        <v>2013</v>
      </c>
      <c r="AB467" s="26">
        <f t="shared" si="122"/>
        <v>2.0749999999999824E-2</v>
      </c>
      <c r="AC467" s="7">
        <f t="shared" si="123"/>
        <v>730687</v>
      </c>
    </row>
    <row r="468" spans="1:29" x14ac:dyDescent="0.2">
      <c r="A468" s="8">
        <f t="shared" si="119"/>
        <v>41547</v>
      </c>
      <c r="B468" s="17">
        <f t="shared" si="111"/>
        <v>2013</v>
      </c>
      <c r="C468" s="17">
        <f t="shared" si="112"/>
        <v>9</v>
      </c>
      <c r="D468">
        <v>1805458</v>
      </c>
      <c r="E468">
        <v>1594390</v>
      </c>
      <c r="H468">
        <v>1805458</v>
      </c>
      <c r="I468">
        <v>1594390</v>
      </c>
      <c r="J468" s="19">
        <v>107.3</v>
      </c>
      <c r="K468" s="6">
        <f t="shared" si="113"/>
        <v>211068</v>
      </c>
      <c r="L468" s="15">
        <f t="shared" si="114"/>
        <v>4.6756286496366526</v>
      </c>
      <c r="M468" s="16">
        <f t="shared" si="120"/>
        <v>-4.2870221658441565E-2</v>
      </c>
      <c r="N468" s="8">
        <f t="array" ref="N468">MAX(IF($B$4:$B$507=B468,$A$4:$A$507))</f>
        <v>41639</v>
      </c>
      <c r="O468" s="8">
        <f t="array" ref="O468">MIN(IF($B$4:$B$507=B468,$A$4:$A$507))</f>
        <v>41305</v>
      </c>
      <c r="P468" s="8">
        <f t="shared" si="108"/>
        <v>41182</v>
      </c>
      <c r="Q468" s="8">
        <f t="shared" si="109"/>
        <v>41547</v>
      </c>
      <c r="R468">
        <f t="shared" si="115"/>
        <v>107.3</v>
      </c>
      <c r="S468">
        <f t="shared" si="124"/>
        <v>103.4</v>
      </c>
      <c r="T468" s="20">
        <f t="shared" si="110"/>
        <v>3.771760154738879E-2</v>
      </c>
      <c r="U468" s="20">
        <f t="shared" si="125"/>
        <v>2.1236431978697717E-2</v>
      </c>
      <c r="V468" s="18">
        <f t="shared" si="116"/>
        <v>730687</v>
      </c>
      <c r="W468">
        <f t="shared" si="117"/>
        <v>1224.8999999999999</v>
      </c>
      <c r="Y468">
        <f t="shared" si="118"/>
        <v>1224.8999999999999</v>
      </c>
      <c r="AA468" s="27">
        <f t="shared" si="121"/>
        <v>2013</v>
      </c>
      <c r="AB468" s="26">
        <f t="shared" si="122"/>
        <v>2.0749999999999824E-2</v>
      </c>
      <c r="AC468" s="7">
        <f t="shared" si="123"/>
        <v>730687</v>
      </c>
    </row>
    <row r="469" spans="1:29" x14ac:dyDescent="0.2">
      <c r="A469" s="8">
        <f t="shared" si="119"/>
        <v>41578</v>
      </c>
      <c r="B469" s="17">
        <f t="shared" si="111"/>
        <v>2013</v>
      </c>
      <c r="C469" s="17">
        <f t="shared" si="112"/>
        <v>10</v>
      </c>
      <c r="D469">
        <v>1841106</v>
      </c>
      <c r="E469">
        <v>1746213</v>
      </c>
      <c r="H469">
        <v>1841106</v>
      </c>
      <c r="I469">
        <v>1746213</v>
      </c>
      <c r="J469" s="19">
        <v>112.6</v>
      </c>
      <c r="K469" s="6">
        <f t="shared" si="113"/>
        <v>94893</v>
      </c>
      <c r="L469" s="15">
        <f t="shared" si="114"/>
        <v>4.7238417157055901</v>
      </c>
      <c r="M469" s="16">
        <f t="shared" si="120"/>
        <v>4.8213066068937493E-2</v>
      </c>
      <c r="N469" s="8">
        <f t="array" ref="N469">MAX(IF($B$4:$B$507=B469,$A$4:$A$507))</f>
        <v>41639</v>
      </c>
      <c r="O469" s="8">
        <f t="array" ref="O469">MIN(IF($B$4:$B$507=B469,$A$4:$A$507))</f>
        <v>41305</v>
      </c>
      <c r="P469" s="8">
        <f t="shared" si="108"/>
        <v>41213</v>
      </c>
      <c r="Q469" s="8">
        <f t="shared" si="109"/>
        <v>41578</v>
      </c>
      <c r="R469">
        <f t="shared" si="115"/>
        <v>112.6</v>
      </c>
      <c r="S469">
        <f t="shared" si="124"/>
        <v>111.8</v>
      </c>
      <c r="T469" s="20">
        <f t="shared" si="110"/>
        <v>7.1556350626118537E-3</v>
      </c>
      <c r="U469" s="20">
        <f t="shared" si="125"/>
        <v>2.1236431978697717E-2</v>
      </c>
      <c r="V469" s="18">
        <f t="shared" si="116"/>
        <v>730687</v>
      </c>
      <c r="W469">
        <f t="shared" si="117"/>
        <v>1224.8999999999999</v>
      </c>
      <c r="Y469">
        <f t="shared" si="118"/>
        <v>1224.8999999999999</v>
      </c>
      <c r="AA469" s="27">
        <f t="shared" si="121"/>
        <v>2013</v>
      </c>
      <c r="AB469" s="26">
        <f t="shared" si="122"/>
        <v>2.0749999999999824E-2</v>
      </c>
      <c r="AC469" s="7">
        <f t="shared" si="123"/>
        <v>730687</v>
      </c>
    </row>
    <row r="470" spans="1:29" x14ac:dyDescent="0.2">
      <c r="A470" s="8">
        <f t="shared" si="119"/>
        <v>41608</v>
      </c>
      <c r="B470" s="17">
        <f t="shared" si="111"/>
        <v>2013</v>
      </c>
      <c r="C470" s="17">
        <f t="shared" si="112"/>
        <v>11</v>
      </c>
      <c r="D470">
        <v>1618426</v>
      </c>
      <c r="E470">
        <v>1570940</v>
      </c>
      <c r="H470">
        <v>1618426</v>
      </c>
      <c r="I470">
        <v>1570940</v>
      </c>
      <c r="J470" s="19">
        <v>106.1</v>
      </c>
      <c r="K470" s="6">
        <f t="shared" si="113"/>
        <v>47486</v>
      </c>
      <c r="L470" s="15">
        <f t="shared" si="114"/>
        <v>4.664382045619937</v>
      </c>
      <c r="M470" s="16">
        <f t="shared" si="120"/>
        <v>-5.9459670085653116E-2</v>
      </c>
      <c r="N470" s="8">
        <f t="array" ref="N470">MAX(IF($B$4:$B$507=B470,$A$4:$A$507))</f>
        <v>41639</v>
      </c>
      <c r="O470" s="8">
        <f t="array" ref="O470">MIN(IF($B$4:$B$507=B470,$A$4:$A$507))</f>
        <v>41305</v>
      </c>
      <c r="P470" s="8">
        <f t="shared" si="108"/>
        <v>41243</v>
      </c>
      <c r="Q470" s="8">
        <f t="shared" si="109"/>
        <v>41608</v>
      </c>
      <c r="R470">
        <f t="shared" si="115"/>
        <v>106.1</v>
      </c>
      <c r="S470">
        <f t="shared" si="124"/>
        <v>104.8</v>
      </c>
      <c r="T470" s="20">
        <f t="shared" si="110"/>
        <v>1.2404580152671763E-2</v>
      </c>
      <c r="U470" s="20">
        <f t="shared" si="125"/>
        <v>2.1236431978697717E-2</v>
      </c>
      <c r="V470" s="18">
        <f t="shared" si="116"/>
        <v>730687</v>
      </c>
      <c r="W470">
        <f t="shared" si="117"/>
        <v>1224.8999999999999</v>
      </c>
      <c r="Y470">
        <f t="shared" si="118"/>
        <v>1224.8999999999999</v>
      </c>
      <c r="AA470" s="27">
        <f t="shared" si="121"/>
        <v>2013</v>
      </c>
      <c r="AB470" s="26">
        <f t="shared" si="122"/>
        <v>2.0749999999999824E-2</v>
      </c>
      <c r="AC470" s="7">
        <f t="shared" si="123"/>
        <v>730687</v>
      </c>
    </row>
    <row r="471" spans="1:29" x14ac:dyDescent="0.2">
      <c r="A471" s="8">
        <f t="shared" si="119"/>
        <v>41639</v>
      </c>
      <c r="B471" s="17">
        <f t="shared" si="111"/>
        <v>2013</v>
      </c>
      <c r="C471" s="17">
        <f t="shared" si="112"/>
        <v>12</v>
      </c>
      <c r="D471">
        <v>1094522</v>
      </c>
      <c r="E471">
        <v>1543966</v>
      </c>
      <c r="H471">
        <v>1094522</v>
      </c>
      <c r="I471">
        <v>1543966</v>
      </c>
      <c r="J471" s="19">
        <v>90.1</v>
      </c>
      <c r="K471" s="6">
        <f t="shared" si="113"/>
        <v>-449444</v>
      </c>
      <c r="L471" s="15">
        <f t="shared" si="114"/>
        <v>4.5009201646142918</v>
      </c>
      <c r="M471" s="16">
        <f t="shared" si="120"/>
        <v>-0.16346188100564518</v>
      </c>
      <c r="N471" s="8">
        <f t="array" ref="N471">MAX(IF($B$4:$B$507=B471,$A$4:$A$507))</f>
        <v>41639</v>
      </c>
      <c r="O471" s="8">
        <f t="array" ref="O471">MIN(IF($B$4:$B$507=B471,$A$4:$A$507))</f>
        <v>41305</v>
      </c>
      <c r="P471" s="8">
        <f t="shared" si="108"/>
        <v>41274</v>
      </c>
      <c r="Q471" s="8">
        <f t="shared" si="109"/>
        <v>41639</v>
      </c>
      <c r="R471">
        <f t="shared" si="115"/>
        <v>90.1</v>
      </c>
      <c r="S471">
        <f t="shared" si="124"/>
        <v>92.2</v>
      </c>
      <c r="T471" s="20">
        <f t="shared" si="110"/>
        <v>-2.2776572668112838E-2</v>
      </c>
      <c r="U471" s="20">
        <f t="shared" si="125"/>
        <v>2.1236431978697717E-2</v>
      </c>
      <c r="V471" s="18">
        <f t="shared" si="116"/>
        <v>730687</v>
      </c>
      <c r="W471">
        <f t="shared" si="117"/>
        <v>1224.8999999999999</v>
      </c>
      <c r="Y471">
        <f t="shared" si="118"/>
        <v>1224.8999999999999</v>
      </c>
      <c r="AA471" s="27">
        <f t="shared" si="121"/>
        <v>2013</v>
      </c>
      <c r="AB471" s="26">
        <f t="shared" si="122"/>
        <v>2.0749999999999824E-2</v>
      </c>
      <c r="AC471" s="7">
        <f t="shared" si="123"/>
        <v>730687</v>
      </c>
    </row>
    <row r="472" spans="1:29" x14ac:dyDescent="0.2">
      <c r="A472" s="8">
        <f t="shared" si="119"/>
        <v>41670</v>
      </c>
      <c r="B472" s="17">
        <f t="shared" si="111"/>
        <v>2014</v>
      </c>
      <c r="C472" s="17">
        <f t="shared" si="112"/>
        <v>1</v>
      </c>
      <c r="D472">
        <v>1778077</v>
      </c>
      <c r="E472">
        <v>1748482</v>
      </c>
      <c r="H472">
        <v>1778077</v>
      </c>
      <c r="I472" s="7">
        <v>1748482</v>
      </c>
      <c r="J472" s="19">
        <v>92.6</v>
      </c>
      <c r="K472" s="6">
        <f t="shared" si="113"/>
        <v>29595</v>
      </c>
      <c r="L472" s="15">
        <f t="shared" si="114"/>
        <v>4.5282891416521336</v>
      </c>
      <c r="M472" s="16">
        <f t="shared" si="120"/>
        <v>2.7368977037841802E-2</v>
      </c>
      <c r="N472" s="8">
        <f t="array" ref="N472">MAX(IF($B$4:$B$507=B472,$A$4:$A$507))</f>
        <v>42004</v>
      </c>
      <c r="O472" s="8">
        <f t="array" ref="O472">MIN(IF($B$4:$B$507=B472,$A$4:$A$507))</f>
        <v>41670</v>
      </c>
      <c r="P472" s="8">
        <f t="shared" si="108"/>
        <v>41305</v>
      </c>
      <c r="Q472" s="8">
        <f t="shared" si="109"/>
        <v>41670</v>
      </c>
      <c r="R472">
        <f t="shared" si="115"/>
        <v>92.6</v>
      </c>
      <c r="S472">
        <f t="shared" si="124"/>
        <v>94.5</v>
      </c>
      <c r="T472" s="20">
        <f t="shared" si="110"/>
        <v>-2.0105820105820182E-2</v>
      </c>
      <c r="U472" s="20">
        <f t="shared" si="125"/>
        <v>-2.8932096633948589E-2</v>
      </c>
      <c r="V472" s="18">
        <f t="shared" si="116"/>
        <v>152714</v>
      </c>
      <c r="W472">
        <f t="shared" si="117"/>
        <v>1187.8999999999999</v>
      </c>
      <c r="Y472">
        <f t="shared" si="118"/>
        <v>1187.8999999999999</v>
      </c>
      <c r="AA472" s="27">
        <f t="shared" si="121"/>
        <v>2014</v>
      </c>
      <c r="AB472" s="26">
        <f t="shared" si="122"/>
        <v>-3.0206547473263123E-2</v>
      </c>
      <c r="AC472" s="7">
        <f t="shared" si="123"/>
        <v>152714</v>
      </c>
    </row>
    <row r="473" spans="1:29" x14ac:dyDescent="0.2">
      <c r="A473" s="8">
        <f t="shared" si="119"/>
        <v>41698</v>
      </c>
      <c r="B473" s="17">
        <f t="shared" si="111"/>
        <v>2014</v>
      </c>
      <c r="C473" s="17">
        <f t="shared" si="112"/>
        <v>2</v>
      </c>
      <c r="D473">
        <v>1989181</v>
      </c>
      <c r="E473">
        <v>1728358</v>
      </c>
      <c r="H473">
        <v>1989181</v>
      </c>
      <c r="I473">
        <v>1728358</v>
      </c>
      <c r="J473" s="19">
        <v>92.3</v>
      </c>
      <c r="K473" s="6">
        <f t="shared" si="113"/>
        <v>260823</v>
      </c>
      <c r="L473" s="15">
        <f t="shared" si="114"/>
        <v>4.5250441415088067</v>
      </c>
      <c r="M473" s="16">
        <f t="shared" si="120"/>
        <v>-3.2450001433268483E-3</v>
      </c>
      <c r="N473" s="8">
        <f t="array" ref="N473">MAX(IF($B$4:$B$507=B473,$A$4:$A$507))</f>
        <v>42004</v>
      </c>
      <c r="O473" s="8">
        <f t="array" ref="O473">MIN(IF($B$4:$B$507=B473,$A$4:$A$507))</f>
        <v>41670</v>
      </c>
      <c r="P473" s="8">
        <f t="shared" ref="P473:P507" si="126">EOMONTH(Q473,-12)</f>
        <v>41333</v>
      </c>
      <c r="Q473" s="8">
        <f t="shared" ref="Q473:Q507" si="127">A473</f>
        <v>41698</v>
      </c>
      <c r="R473">
        <f t="shared" si="115"/>
        <v>92.3</v>
      </c>
      <c r="S473">
        <f t="shared" si="124"/>
        <v>88.1</v>
      </c>
      <c r="T473" s="20">
        <f t="shared" si="110"/>
        <v>4.7673098751418896E-2</v>
      </c>
      <c r="U473" s="20">
        <f t="shared" si="125"/>
        <v>-2.8932096633948589E-2</v>
      </c>
      <c r="V473" s="18">
        <f t="shared" si="116"/>
        <v>152714</v>
      </c>
      <c r="W473">
        <f t="shared" si="117"/>
        <v>1187.8999999999999</v>
      </c>
      <c r="Y473">
        <f t="shared" si="118"/>
        <v>1187.8999999999999</v>
      </c>
      <c r="AA473" s="27">
        <f t="shared" si="121"/>
        <v>2014</v>
      </c>
      <c r="AB473" s="26">
        <f t="shared" si="122"/>
        <v>-3.0206547473263123E-2</v>
      </c>
      <c r="AC473" s="7">
        <f t="shared" si="123"/>
        <v>152714</v>
      </c>
    </row>
    <row r="474" spans="1:29" x14ac:dyDescent="0.2">
      <c r="A474" s="8">
        <f t="shared" si="119"/>
        <v>41729</v>
      </c>
      <c r="B474" s="17">
        <f t="shared" si="111"/>
        <v>2014</v>
      </c>
      <c r="C474" s="17">
        <f t="shared" si="112"/>
        <v>3</v>
      </c>
      <c r="D474">
        <v>1767969</v>
      </c>
      <c r="E474">
        <v>1754852</v>
      </c>
      <c r="H474">
        <v>1767969</v>
      </c>
      <c r="I474">
        <v>1754852</v>
      </c>
      <c r="J474" s="19">
        <v>97.3</v>
      </c>
      <c r="K474" s="6">
        <f t="shared" si="113"/>
        <v>13117</v>
      </c>
      <c r="L474" s="15">
        <f t="shared" si="114"/>
        <v>4.577798989191959</v>
      </c>
      <c r="M474" s="16">
        <f t="shared" si="120"/>
        <v>5.2754847683152306E-2</v>
      </c>
      <c r="N474" s="8">
        <f t="array" ref="N474">MAX(IF($B$4:$B$507=B474,$A$4:$A$507))</f>
        <v>42004</v>
      </c>
      <c r="O474" s="8">
        <f t="array" ref="O474">MIN(IF($B$4:$B$507=B474,$A$4:$A$507))</f>
        <v>41670</v>
      </c>
      <c r="P474" s="8">
        <f t="shared" si="126"/>
        <v>41364</v>
      </c>
      <c r="Q474" s="8">
        <f t="shared" si="127"/>
        <v>41729</v>
      </c>
      <c r="R474">
        <f t="shared" si="115"/>
        <v>97.3</v>
      </c>
      <c r="S474">
        <f t="shared" si="124"/>
        <v>97.7</v>
      </c>
      <c r="T474" s="20">
        <f t="shared" si="110"/>
        <v>-4.0941658137154668E-3</v>
      </c>
      <c r="U474" s="20">
        <f t="shared" si="125"/>
        <v>-2.8932096633948589E-2</v>
      </c>
      <c r="V474" s="18">
        <f t="shared" si="116"/>
        <v>152714</v>
      </c>
      <c r="W474">
        <f t="shared" si="117"/>
        <v>1187.8999999999999</v>
      </c>
      <c r="Y474">
        <f t="shared" si="118"/>
        <v>1187.8999999999999</v>
      </c>
      <c r="AA474" s="27">
        <f t="shared" si="121"/>
        <v>2014</v>
      </c>
      <c r="AB474" s="26">
        <f t="shared" si="122"/>
        <v>-3.0206547473263123E-2</v>
      </c>
      <c r="AC474" s="7">
        <f t="shared" si="123"/>
        <v>152714</v>
      </c>
    </row>
    <row r="475" spans="1:29" x14ac:dyDescent="0.2">
      <c r="A475" s="8">
        <f t="shared" si="119"/>
        <v>41759</v>
      </c>
      <c r="B475" s="17">
        <f t="shared" si="111"/>
        <v>2014</v>
      </c>
      <c r="C475" s="17">
        <f t="shared" si="112"/>
        <v>4</v>
      </c>
      <c r="D475">
        <v>1862515</v>
      </c>
      <c r="E475">
        <v>1757131</v>
      </c>
      <c r="H475">
        <v>1862515</v>
      </c>
      <c r="I475">
        <v>1757131</v>
      </c>
      <c r="J475" s="19">
        <v>96</v>
      </c>
      <c r="K475" s="6">
        <f t="shared" si="113"/>
        <v>105384</v>
      </c>
      <c r="L475" s="15">
        <f t="shared" si="114"/>
        <v>4.5643481914678361</v>
      </c>
      <c r="M475" s="16">
        <f t="shared" si="120"/>
        <v>-1.3450797724122943E-2</v>
      </c>
      <c r="N475" s="8">
        <f t="array" ref="N475">MAX(IF($B$4:$B$507=B475,$A$4:$A$507))</f>
        <v>42004</v>
      </c>
      <c r="O475" s="8">
        <f t="array" ref="O475">MIN(IF($B$4:$B$507=B475,$A$4:$A$507))</f>
        <v>41670</v>
      </c>
      <c r="P475" s="8">
        <f t="shared" si="126"/>
        <v>41394</v>
      </c>
      <c r="Q475" s="8">
        <f t="shared" si="127"/>
        <v>41759</v>
      </c>
      <c r="R475">
        <f t="shared" si="115"/>
        <v>96</v>
      </c>
      <c r="S475">
        <f t="shared" si="124"/>
        <v>101.8</v>
      </c>
      <c r="T475" s="20">
        <f t="shared" si="110"/>
        <v>-5.6974459724950854E-2</v>
      </c>
      <c r="U475" s="20">
        <f t="shared" si="125"/>
        <v>-2.8932096633948589E-2</v>
      </c>
      <c r="V475" s="18">
        <f t="shared" si="116"/>
        <v>152714</v>
      </c>
      <c r="W475">
        <f t="shared" si="117"/>
        <v>1187.8999999999999</v>
      </c>
      <c r="Y475">
        <f t="shared" si="118"/>
        <v>1187.8999999999999</v>
      </c>
      <c r="AA475" s="27">
        <f t="shared" si="121"/>
        <v>2014</v>
      </c>
      <c r="AB475" s="26">
        <f t="shared" si="122"/>
        <v>-3.0206547473263123E-2</v>
      </c>
      <c r="AC475" s="7">
        <f t="shared" si="123"/>
        <v>152714</v>
      </c>
    </row>
    <row r="476" spans="1:29" x14ac:dyDescent="0.2">
      <c r="A476" s="8">
        <f t="shared" si="119"/>
        <v>41790</v>
      </c>
      <c r="B476" s="17">
        <f t="shared" si="111"/>
        <v>2014</v>
      </c>
      <c r="C476" s="17">
        <f t="shared" si="112"/>
        <v>5</v>
      </c>
      <c r="D476">
        <v>1849591</v>
      </c>
      <c r="E476">
        <v>1790755</v>
      </c>
      <c r="H476">
        <v>1849591</v>
      </c>
      <c r="I476">
        <v>1790755</v>
      </c>
      <c r="J476" s="19">
        <v>101.7</v>
      </c>
      <c r="K476" s="6">
        <f t="shared" si="113"/>
        <v>58836</v>
      </c>
      <c r="L476" s="15">
        <f t="shared" si="114"/>
        <v>4.622027303054514</v>
      </c>
      <c r="M476" s="16">
        <f t="shared" si="120"/>
        <v>5.7679111586677934E-2</v>
      </c>
      <c r="N476" s="8">
        <f t="array" ref="N476">MAX(IF($B$4:$B$507=B476,$A$4:$A$507))</f>
        <v>42004</v>
      </c>
      <c r="O476" s="8">
        <f t="array" ref="O476">MIN(IF($B$4:$B$507=B476,$A$4:$A$507))</f>
        <v>41670</v>
      </c>
      <c r="P476" s="8">
        <f t="shared" si="126"/>
        <v>41425</v>
      </c>
      <c r="Q476" s="8">
        <f t="shared" si="127"/>
        <v>41790</v>
      </c>
      <c r="R476">
        <f t="shared" si="115"/>
        <v>101.7</v>
      </c>
      <c r="S476">
        <f t="shared" si="124"/>
        <v>105</v>
      </c>
      <c r="T476" s="20">
        <f t="shared" si="110"/>
        <v>-3.1428571428571361E-2</v>
      </c>
      <c r="U476" s="20">
        <f t="shared" si="125"/>
        <v>-2.8932096633948589E-2</v>
      </c>
      <c r="V476" s="18">
        <f t="shared" si="116"/>
        <v>152714</v>
      </c>
      <c r="W476">
        <f t="shared" si="117"/>
        <v>1187.8999999999999</v>
      </c>
      <c r="Y476">
        <f t="shared" si="118"/>
        <v>1187.8999999999999</v>
      </c>
      <c r="AA476" s="27">
        <f t="shared" si="121"/>
        <v>2014</v>
      </c>
      <c r="AB476" s="26">
        <f t="shared" si="122"/>
        <v>-3.0206547473263123E-2</v>
      </c>
      <c r="AC476" s="7">
        <f t="shared" si="123"/>
        <v>152714</v>
      </c>
    </row>
    <row r="477" spans="1:29" x14ac:dyDescent="0.2">
      <c r="A477" s="8">
        <f t="shared" si="119"/>
        <v>41820</v>
      </c>
      <c r="B477" s="17">
        <f t="shared" si="111"/>
        <v>2014</v>
      </c>
      <c r="C477" s="17">
        <f t="shared" si="112"/>
        <v>6</v>
      </c>
      <c r="D477">
        <v>1639407</v>
      </c>
      <c r="E477">
        <v>1614044</v>
      </c>
      <c r="H477">
        <v>1639407</v>
      </c>
      <c r="I477">
        <v>1614044</v>
      </c>
      <c r="J477" s="19">
        <v>94.9</v>
      </c>
      <c r="K477" s="6">
        <f t="shared" si="113"/>
        <v>25363</v>
      </c>
      <c r="L477" s="15">
        <f t="shared" si="114"/>
        <v>4.5528237056158822</v>
      </c>
      <c r="M477" s="16">
        <f t="shared" si="120"/>
        <v>-6.9203597438631803E-2</v>
      </c>
      <c r="N477" s="8">
        <f t="array" ref="N477">MAX(IF($B$4:$B$507=B477,$A$4:$A$507))</f>
        <v>42004</v>
      </c>
      <c r="O477" s="8">
        <f t="array" ref="O477">MIN(IF($B$4:$B$507=B477,$A$4:$A$507))</f>
        <v>41670</v>
      </c>
      <c r="P477" s="8">
        <f t="shared" si="126"/>
        <v>41455</v>
      </c>
      <c r="Q477" s="8">
        <f t="shared" si="127"/>
        <v>41820</v>
      </c>
      <c r="R477">
        <f t="shared" si="115"/>
        <v>94.9</v>
      </c>
      <c r="S477">
        <f t="shared" si="124"/>
        <v>101.7</v>
      </c>
      <c r="T477" s="20">
        <f t="shared" si="110"/>
        <v>-6.6863323500491623E-2</v>
      </c>
      <c r="U477" s="20">
        <f t="shared" si="125"/>
        <v>-2.8932096633948589E-2</v>
      </c>
      <c r="V477" s="18">
        <f t="shared" si="116"/>
        <v>152714</v>
      </c>
      <c r="W477">
        <f t="shared" si="117"/>
        <v>1187.8999999999999</v>
      </c>
      <c r="Y477">
        <f t="shared" si="118"/>
        <v>1187.8999999999999</v>
      </c>
      <c r="AA477" s="27">
        <f t="shared" si="121"/>
        <v>2014</v>
      </c>
      <c r="AB477" s="26">
        <f t="shared" si="122"/>
        <v>-3.0206547473263123E-2</v>
      </c>
      <c r="AC477" s="7">
        <f t="shared" si="123"/>
        <v>152714</v>
      </c>
    </row>
    <row r="478" spans="1:29" x14ac:dyDescent="0.2">
      <c r="A478" s="8">
        <f t="shared" si="119"/>
        <v>41851</v>
      </c>
      <c r="B478" s="17">
        <f t="shared" si="111"/>
        <v>2014</v>
      </c>
      <c r="C478" s="17">
        <f t="shared" si="112"/>
        <v>7</v>
      </c>
      <c r="D478">
        <v>1746797</v>
      </c>
      <c r="E478">
        <v>1735001</v>
      </c>
      <c r="H478">
        <v>1746797</v>
      </c>
      <c r="I478">
        <v>1735001</v>
      </c>
      <c r="J478" s="19">
        <v>104.4</v>
      </c>
      <c r="K478" s="6">
        <f t="shared" si="113"/>
        <v>11796</v>
      </c>
      <c r="L478" s="15">
        <f t="shared" si="114"/>
        <v>4.6482296754485386</v>
      </c>
      <c r="M478" s="16">
        <f t="shared" si="120"/>
        <v>9.5405969832656368E-2</v>
      </c>
      <c r="N478" s="8">
        <f t="array" ref="N478">MAX(IF($B$4:$B$507=B478,$A$4:$A$507))</f>
        <v>42004</v>
      </c>
      <c r="O478" s="8">
        <f t="array" ref="O478">MIN(IF($B$4:$B$507=B478,$A$4:$A$507))</f>
        <v>41670</v>
      </c>
      <c r="P478" s="8">
        <f t="shared" si="126"/>
        <v>41486</v>
      </c>
      <c r="Q478" s="8">
        <f t="shared" si="127"/>
        <v>41851</v>
      </c>
      <c r="R478">
        <f t="shared" si="115"/>
        <v>104.4</v>
      </c>
      <c r="S478">
        <f t="shared" si="124"/>
        <v>108</v>
      </c>
      <c r="T478" s="20">
        <f t="shared" si="110"/>
        <v>-3.3333333333333326E-2</v>
      </c>
      <c r="U478" s="20">
        <f t="shared" si="125"/>
        <v>-2.8932096633948589E-2</v>
      </c>
      <c r="V478" s="18">
        <f t="shared" si="116"/>
        <v>152714</v>
      </c>
      <c r="W478">
        <f t="shared" si="117"/>
        <v>1187.8999999999999</v>
      </c>
      <c r="Y478">
        <f t="shared" si="118"/>
        <v>1187.8999999999999</v>
      </c>
      <c r="AA478" s="27">
        <f t="shared" si="121"/>
        <v>2014</v>
      </c>
      <c r="AB478" s="26">
        <f t="shared" si="122"/>
        <v>-3.0206547473263123E-2</v>
      </c>
      <c r="AC478" s="7">
        <f t="shared" si="123"/>
        <v>152714</v>
      </c>
    </row>
    <row r="479" spans="1:29" x14ac:dyDescent="0.2">
      <c r="A479" s="8">
        <f t="shared" si="119"/>
        <v>41882</v>
      </c>
      <c r="B479" s="17">
        <f t="shared" si="111"/>
        <v>2014</v>
      </c>
      <c r="C479" s="17">
        <f t="shared" si="112"/>
        <v>8</v>
      </c>
      <c r="D479">
        <v>1748818</v>
      </c>
      <c r="E479">
        <v>1647393</v>
      </c>
      <c r="H479">
        <v>1748818</v>
      </c>
      <c r="I479">
        <v>1647393</v>
      </c>
      <c r="J479" s="19">
        <v>106.3</v>
      </c>
      <c r="K479" s="6">
        <f t="shared" si="113"/>
        <v>101425</v>
      </c>
      <c r="L479" s="15">
        <f t="shared" si="114"/>
        <v>4.6662652853479019</v>
      </c>
      <c r="M479" s="16">
        <f t="shared" si="120"/>
        <v>1.8035609899363259E-2</v>
      </c>
      <c r="N479" s="8">
        <f t="array" ref="N479">MAX(IF($B$4:$B$507=B479,$A$4:$A$507))</f>
        <v>42004</v>
      </c>
      <c r="O479" s="8">
        <f t="array" ref="O479">MIN(IF($B$4:$B$507=B479,$A$4:$A$507))</f>
        <v>41670</v>
      </c>
      <c r="P479" s="8">
        <f t="shared" si="126"/>
        <v>41517</v>
      </c>
      <c r="Q479" s="8">
        <f t="shared" si="127"/>
        <v>41882</v>
      </c>
      <c r="R479">
        <f t="shared" si="115"/>
        <v>106.3</v>
      </c>
      <c r="S479">
        <f t="shared" si="124"/>
        <v>112</v>
      </c>
      <c r="T479" s="20">
        <f t="shared" si="110"/>
        <v>-5.0892857142857184E-2</v>
      </c>
      <c r="U479" s="20">
        <f t="shared" si="125"/>
        <v>-2.8932096633948589E-2</v>
      </c>
      <c r="V479" s="18">
        <f t="shared" si="116"/>
        <v>152714</v>
      </c>
      <c r="W479">
        <f t="shared" si="117"/>
        <v>1187.8999999999999</v>
      </c>
      <c r="Y479">
        <f t="shared" si="118"/>
        <v>1187.8999999999999</v>
      </c>
      <c r="AA479" s="27">
        <f t="shared" si="121"/>
        <v>2014</v>
      </c>
      <c r="AB479" s="26">
        <f t="shared" si="122"/>
        <v>-3.0206547473263123E-2</v>
      </c>
      <c r="AC479" s="7">
        <f t="shared" si="123"/>
        <v>152714</v>
      </c>
    </row>
    <row r="480" spans="1:29" x14ac:dyDescent="0.2">
      <c r="A480" s="8">
        <f t="shared" si="119"/>
        <v>41912</v>
      </c>
      <c r="B480" s="17">
        <f t="shared" si="111"/>
        <v>2014</v>
      </c>
      <c r="C480" s="17">
        <f t="shared" si="112"/>
        <v>9</v>
      </c>
      <c r="D480">
        <v>1770429</v>
      </c>
      <c r="E480">
        <v>1646644</v>
      </c>
      <c r="H480">
        <v>1770429</v>
      </c>
      <c r="I480">
        <v>1646644</v>
      </c>
      <c r="J480" s="19">
        <v>105.6</v>
      </c>
      <c r="K480" s="6">
        <f t="shared" si="113"/>
        <v>123785</v>
      </c>
      <c r="L480" s="15">
        <f t="shared" si="114"/>
        <v>4.6596583712721609</v>
      </c>
      <c r="M480" s="16">
        <f t="shared" si="120"/>
        <v>-6.6069140757409883E-3</v>
      </c>
      <c r="N480" s="8">
        <f t="array" ref="N480">MAX(IF($B$4:$B$507=B480,$A$4:$A$507))</f>
        <v>42004</v>
      </c>
      <c r="O480" s="8">
        <f t="array" ref="O480">MIN(IF($B$4:$B$507=B480,$A$4:$A$507))</f>
        <v>41670</v>
      </c>
      <c r="P480" s="8">
        <f t="shared" si="126"/>
        <v>41547</v>
      </c>
      <c r="Q480" s="8">
        <f t="shared" si="127"/>
        <v>41912</v>
      </c>
      <c r="R480">
        <f t="shared" si="115"/>
        <v>105.6</v>
      </c>
      <c r="S480">
        <f t="shared" si="124"/>
        <v>107.3</v>
      </c>
      <c r="T480" s="20">
        <f t="shared" si="110"/>
        <v>-1.5843429636533068E-2</v>
      </c>
      <c r="U480" s="20">
        <f t="shared" si="125"/>
        <v>-2.8932096633948589E-2</v>
      </c>
      <c r="V480" s="18">
        <f t="shared" si="116"/>
        <v>152714</v>
      </c>
      <c r="W480">
        <f t="shared" si="117"/>
        <v>1187.8999999999999</v>
      </c>
      <c r="Y480">
        <f t="shared" si="118"/>
        <v>1187.8999999999999</v>
      </c>
      <c r="AA480" s="27">
        <f t="shared" si="121"/>
        <v>2014</v>
      </c>
      <c r="AB480" s="26">
        <f t="shared" si="122"/>
        <v>-3.0206547473263123E-2</v>
      </c>
      <c r="AC480" s="7">
        <f t="shared" si="123"/>
        <v>152714</v>
      </c>
    </row>
    <row r="481" spans="1:29" x14ac:dyDescent="0.2">
      <c r="A481" s="8">
        <f t="shared" si="119"/>
        <v>41943</v>
      </c>
      <c r="B481" s="17">
        <f t="shared" si="111"/>
        <v>2014</v>
      </c>
      <c r="C481" s="17">
        <f t="shared" si="112"/>
        <v>10</v>
      </c>
      <c r="D481">
        <v>1718373</v>
      </c>
      <c r="E481">
        <v>1748656</v>
      </c>
      <c r="H481">
        <v>1718373</v>
      </c>
      <c r="I481">
        <v>1748656</v>
      </c>
      <c r="J481" s="19">
        <v>109.3</v>
      </c>
      <c r="K481" s="6">
        <f t="shared" si="113"/>
        <v>-30283</v>
      </c>
      <c r="L481" s="15">
        <f t="shared" si="114"/>
        <v>4.694096395182493</v>
      </c>
      <c r="M481" s="16">
        <f t="shared" si="120"/>
        <v>3.4438023910332127E-2</v>
      </c>
      <c r="N481" s="8">
        <f t="array" ref="N481">MAX(IF($B$4:$B$507=B481,$A$4:$A$507))</f>
        <v>42004</v>
      </c>
      <c r="O481" s="8">
        <f t="array" ref="O481">MIN(IF($B$4:$B$507=B481,$A$4:$A$507))</f>
        <v>41670</v>
      </c>
      <c r="P481" s="8">
        <f t="shared" si="126"/>
        <v>41578</v>
      </c>
      <c r="Q481" s="8">
        <f t="shared" si="127"/>
        <v>41943</v>
      </c>
      <c r="R481">
        <f t="shared" si="115"/>
        <v>109.3</v>
      </c>
      <c r="S481">
        <f t="shared" si="124"/>
        <v>112.6</v>
      </c>
      <c r="T481" s="20">
        <f t="shared" si="110"/>
        <v>-2.930728241563052E-2</v>
      </c>
      <c r="U481" s="20">
        <f t="shared" si="125"/>
        <v>-2.8932096633948589E-2</v>
      </c>
      <c r="V481" s="18">
        <f t="shared" si="116"/>
        <v>152714</v>
      </c>
      <c r="W481">
        <f t="shared" si="117"/>
        <v>1187.8999999999999</v>
      </c>
      <c r="Y481">
        <f t="shared" si="118"/>
        <v>1187.8999999999999</v>
      </c>
      <c r="AA481" s="27">
        <f t="shared" si="121"/>
        <v>2014</v>
      </c>
      <c r="AB481" s="26">
        <f t="shared" si="122"/>
        <v>-3.0206547473263123E-2</v>
      </c>
      <c r="AC481" s="7">
        <f t="shared" si="123"/>
        <v>152714</v>
      </c>
    </row>
    <row r="482" spans="1:29" x14ac:dyDescent="0.2">
      <c r="A482" s="8">
        <f t="shared" si="119"/>
        <v>41973</v>
      </c>
      <c r="B482" s="17">
        <f t="shared" si="111"/>
        <v>2014</v>
      </c>
      <c r="C482" s="17">
        <f t="shared" si="112"/>
        <v>11</v>
      </c>
      <c r="D482">
        <v>1613006</v>
      </c>
      <c r="E482">
        <v>1604625</v>
      </c>
      <c r="H482">
        <v>1613006</v>
      </c>
      <c r="I482">
        <v>1604625</v>
      </c>
      <c r="J482" s="19">
        <v>99.8</v>
      </c>
      <c r="K482" s="6">
        <f t="shared" si="113"/>
        <v>8381</v>
      </c>
      <c r="L482" s="15">
        <f t="shared" si="114"/>
        <v>4.6031681833174183</v>
      </c>
      <c r="M482" s="16">
        <f t="shared" si="120"/>
        <v>-9.0928211865074715E-2</v>
      </c>
      <c r="N482" s="8">
        <f t="array" ref="N482">MAX(IF($B$4:$B$507=B482,$A$4:$A$507))</f>
        <v>42004</v>
      </c>
      <c r="O482" s="8">
        <f t="array" ref="O482">MIN(IF($B$4:$B$507=B482,$A$4:$A$507))</f>
        <v>41670</v>
      </c>
      <c r="P482" s="8">
        <f t="shared" si="126"/>
        <v>41608</v>
      </c>
      <c r="Q482" s="8">
        <f t="shared" si="127"/>
        <v>41973</v>
      </c>
      <c r="R482">
        <f t="shared" si="115"/>
        <v>99.8</v>
      </c>
      <c r="S482">
        <f t="shared" si="124"/>
        <v>106.1</v>
      </c>
      <c r="T482" s="20">
        <f t="shared" si="110"/>
        <v>-5.9377945334589954E-2</v>
      </c>
      <c r="U482" s="20">
        <f t="shared" si="125"/>
        <v>-2.8932096633948589E-2</v>
      </c>
      <c r="V482" s="18">
        <f t="shared" si="116"/>
        <v>152714</v>
      </c>
      <c r="W482">
        <f t="shared" si="117"/>
        <v>1187.8999999999999</v>
      </c>
      <c r="Y482">
        <f t="shared" si="118"/>
        <v>1187.8999999999999</v>
      </c>
      <c r="AA482" s="27">
        <f t="shared" si="121"/>
        <v>2014</v>
      </c>
      <c r="AB482" s="26">
        <f t="shared" si="122"/>
        <v>-3.0206547473263123E-2</v>
      </c>
      <c r="AC482" s="7">
        <f t="shared" si="123"/>
        <v>152714</v>
      </c>
    </row>
    <row r="483" spans="1:29" x14ac:dyDescent="0.2">
      <c r="A483" s="8">
        <f t="shared" si="119"/>
        <v>42004</v>
      </c>
      <c r="B483" s="17">
        <f t="shared" si="111"/>
        <v>2014</v>
      </c>
      <c r="C483" s="17">
        <f t="shared" si="112"/>
        <v>12</v>
      </c>
      <c r="D483">
        <v>1176896</v>
      </c>
      <c r="E483">
        <v>1732404</v>
      </c>
      <c r="H483">
        <v>1176896</v>
      </c>
      <c r="I483">
        <v>1732404</v>
      </c>
      <c r="J483" s="19">
        <v>87.7</v>
      </c>
      <c r="K483" s="6">
        <f t="shared" si="113"/>
        <v>-555508</v>
      </c>
      <c r="L483" s="15">
        <f t="shared" si="114"/>
        <v>4.4739218993781371</v>
      </c>
      <c r="M483" s="16">
        <f t="shared" si="120"/>
        <v>-0.12924628393928117</v>
      </c>
      <c r="N483" s="8">
        <f t="array" ref="N483">MAX(IF($B$4:$B$507=B483,$A$4:$A$507))</f>
        <v>42004</v>
      </c>
      <c r="O483" s="8">
        <f t="array" ref="O483">MIN(IF($B$4:$B$507=B483,$A$4:$A$507))</f>
        <v>41670</v>
      </c>
      <c r="P483" s="8">
        <f t="shared" si="126"/>
        <v>41639</v>
      </c>
      <c r="Q483" s="8">
        <f t="shared" si="127"/>
        <v>42004</v>
      </c>
      <c r="R483">
        <f t="shared" si="115"/>
        <v>87.7</v>
      </c>
      <c r="S483">
        <f t="shared" si="124"/>
        <v>90.1</v>
      </c>
      <c r="T483" s="20">
        <f t="shared" si="110"/>
        <v>-2.663706992230841E-2</v>
      </c>
      <c r="U483" s="20">
        <f t="shared" si="125"/>
        <v>-2.8932096633948589E-2</v>
      </c>
      <c r="V483" s="18">
        <f t="shared" si="116"/>
        <v>152714</v>
      </c>
      <c r="W483">
        <f t="shared" si="117"/>
        <v>1187.8999999999999</v>
      </c>
      <c r="Y483">
        <f t="shared" si="118"/>
        <v>1187.8999999999999</v>
      </c>
      <c r="AA483" s="27">
        <f t="shared" si="121"/>
        <v>2014</v>
      </c>
      <c r="AB483" s="26">
        <f t="shared" si="122"/>
        <v>-3.0206547473263123E-2</v>
      </c>
      <c r="AC483" s="7">
        <f t="shared" si="123"/>
        <v>152714</v>
      </c>
    </row>
    <row r="484" spans="1:29" x14ac:dyDescent="0.2">
      <c r="A484" s="8">
        <f t="shared" si="119"/>
        <v>42035</v>
      </c>
      <c r="B484" s="17">
        <f t="shared" si="111"/>
        <v>2015</v>
      </c>
      <c r="C484" s="17">
        <f t="shared" si="112"/>
        <v>1</v>
      </c>
      <c r="D484">
        <v>1600094</v>
      </c>
      <c r="E484">
        <v>1681868</v>
      </c>
      <c r="H484">
        <v>1600094</v>
      </c>
      <c r="I484">
        <v>1681868</v>
      </c>
      <c r="J484" s="19">
        <v>88.1</v>
      </c>
      <c r="K484" s="6">
        <f t="shared" si="113"/>
        <v>-81774</v>
      </c>
      <c r="L484" s="15">
        <f t="shared" si="114"/>
        <v>4.478472532942134</v>
      </c>
      <c r="M484" s="16">
        <f t="shared" si="120"/>
        <v>4.5506335639968754E-3</v>
      </c>
      <c r="N484" s="8">
        <f t="array" ref="N484">MAX(IF($B$4:$B$507=B484,$A$4:$A$507))</f>
        <v>42369</v>
      </c>
      <c r="O484" s="8">
        <f t="array" ref="O484">MIN(IF($B$4:$B$507=B484,$A$4:$A$507))</f>
        <v>42035</v>
      </c>
      <c r="P484" s="8">
        <f t="shared" si="126"/>
        <v>41670</v>
      </c>
      <c r="Q484" s="8">
        <f t="shared" si="127"/>
        <v>42035</v>
      </c>
      <c r="R484">
        <f t="shared" si="115"/>
        <v>88.1</v>
      </c>
      <c r="S484">
        <f t="shared" si="124"/>
        <v>92.6</v>
      </c>
      <c r="T484" s="20">
        <f t="shared" si="110"/>
        <v>-4.8596112311015127E-2</v>
      </c>
      <c r="U484" s="20">
        <f t="shared" si="125"/>
        <v>-8.2019250466017754E-2</v>
      </c>
      <c r="V484" s="18">
        <f t="shared" si="116"/>
        <v>-1625551</v>
      </c>
      <c r="W484">
        <f t="shared" si="117"/>
        <v>1089.9000000000001</v>
      </c>
      <c r="Y484">
        <f t="shared" si="118"/>
        <v>1089.9000000000001</v>
      </c>
      <c r="AA484" s="27">
        <f t="shared" si="121"/>
        <v>2015</v>
      </c>
      <c r="AB484" s="26">
        <f t="shared" si="122"/>
        <v>-8.2498526812021078E-2</v>
      </c>
      <c r="AC484" s="7">
        <f t="shared" si="123"/>
        <v>-1625551</v>
      </c>
    </row>
    <row r="485" spans="1:29" x14ac:dyDescent="0.2">
      <c r="A485" s="8">
        <f t="shared" si="119"/>
        <v>42063</v>
      </c>
      <c r="B485" s="17">
        <f t="shared" si="111"/>
        <v>2015</v>
      </c>
      <c r="C485" s="17">
        <f t="shared" si="112"/>
        <v>2</v>
      </c>
      <c r="D485">
        <v>1646703</v>
      </c>
      <c r="E485">
        <v>1649118</v>
      </c>
      <c r="H485">
        <v>1646703</v>
      </c>
      <c r="I485">
        <v>1649118</v>
      </c>
      <c r="J485" s="19">
        <v>83.7</v>
      </c>
      <c r="K485" s="6">
        <f t="shared" si="113"/>
        <v>-2415</v>
      </c>
      <c r="L485" s="15">
        <f t="shared" si="114"/>
        <v>4.4272389774954295</v>
      </c>
      <c r="M485" s="16">
        <f t="shared" si="120"/>
        <v>-5.1233555446704493E-2</v>
      </c>
      <c r="N485" s="8">
        <f t="array" ref="N485">MAX(IF($B$4:$B$507=B485,$A$4:$A$507))</f>
        <v>42369</v>
      </c>
      <c r="O485" s="8">
        <f t="array" ref="O485">MIN(IF($B$4:$B$507=B485,$A$4:$A$507))</f>
        <v>42035</v>
      </c>
      <c r="P485" s="8">
        <f t="shared" si="126"/>
        <v>41698</v>
      </c>
      <c r="Q485" s="8">
        <f t="shared" si="127"/>
        <v>42063</v>
      </c>
      <c r="R485">
        <f t="shared" si="115"/>
        <v>83.7</v>
      </c>
      <c r="S485">
        <f t="shared" si="124"/>
        <v>92.3</v>
      </c>
      <c r="T485" s="20">
        <f t="shared" ref="T485:T507" si="128">R485/S485-1</f>
        <v>-9.3174431202600161E-2</v>
      </c>
      <c r="U485" s="20">
        <f t="shared" si="125"/>
        <v>-8.2019250466017754E-2</v>
      </c>
      <c r="V485" s="18">
        <f t="shared" si="116"/>
        <v>-1625551</v>
      </c>
      <c r="W485">
        <f t="shared" si="117"/>
        <v>1089.9000000000001</v>
      </c>
      <c r="Y485">
        <f t="shared" si="118"/>
        <v>1089.9000000000001</v>
      </c>
      <c r="AA485" s="27">
        <f t="shared" si="121"/>
        <v>2015</v>
      </c>
      <c r="AB485" s="26">
        <f t="shared" si="122"/>
        <v>-8.2498526812021078E-2</v>
      </c>
      <c r="AC485" s="7">
        <f t="shared" si="123"/>
        <v>-1625551</v>
      </c>
    </row>
    <row r="486" spans="1:29" x14ac:dyDescent="0.2">
      <c r="A486" s="8">
        <f t="shared" si="119"/>
        <v>42094</v>
      </c>
      <c r="B486" s="17">
        <f t="shared" si="111"/>
        <v>2015</v>
      </c>
      <c r="C486" s="17">
        <f t="shared" si="112"/>
        <v>3</v>
      </c>
      <c r="D486">
        <v>1719219</v>
      </c>
      <c r="E486">
        <v>1699937</v>
      </c>
      <c r="H486">
        <v>1719219</v>
      </c>
      <c r="I486">
        <v>1699937</v>
      </c>
      <c r="J486" s="19">
        <v>94.3</v>
      </c>
      <c r="K486" s="6">
        <f t="shared" si="113"/>
        <v>19282</v>
      </c>
      <c r="L486" s="15">
        <f t="shared" si="114"/>
        <v>4.5464811896394117</v>
      </c>
      <c r="M486" s="16">
        <f t="shared" si="120"/>
        <v>0.11924221214398223</v>
      </c>
      <c r="N486" s="8">
        <f t="array" ref="N486">MAX(IF($B$4:$B$507=B486,$A$4:$A$507))</f>
        <v>42369</v>
      </c>
      <c r="O486" s="8">
        <f t="array" ref="O486">MIN(IF($B$4:$B$507=B486,$A$4:$A$507))</f>
        <v>42035</v>
      </c>
      <c r="P486" s="8">
        <f t="shared" si="126"/>
        <v>41729</v>
      </c>
      <c r="Q486" s="8">
        <f t="shared" si="127"/>
        <v>42094</v>
      </c>
      <c r="R486">
        <f t="shared" si="115"/>
        <v>94.3</v>
      </c>
      <c r="S486">
        <f t="shared" si="124"/>
        <v>97.3</v>
      </c>
      <c r="T486" s="20">
        <f t="shared" si="128"/>
        <v>-3.0832476875642389E-2</v>
      </c>
      <c r="U486" s="20">
        <f t="shared" si="125"/>
        <v>-8.2019250466017754E-2</v>
      </c>
      <c r="V486" s="18">
        <f t="shared" si="116"/>
        <v>-1625551</v>
      </c>
      <c r="W486">
        <f t="shared" si="117"/>
        <v>1089.9000000000001</v>
      </c>
      <c r="Y486">
        <f t="shared" si="118"/>
        <v>1089.9000000000001</v>
      </c>
      <c r="AA486" s="27">
        <f t="shared" si="121"/>
        <v>2015</v>
      </c>
      <c r="AB486" s="26">
        <f t="shared" si="122"/>
        <v>-8.2498526812021078E-2</v>
      </c>
      <c r="AC486" s="7">
        <f t="shared" si="123"/>
        <v>-1625551</v>
      </c>
    </row>
    <row r="487" spans="1:29" x14ac:dyDescent="0.2">
      <c r="A487" s="8">
        <f t="shared" si="119"/>
        <v>42124</v>
      </c>
      <c r="B487" s="17">
        <f t="shared" si="111"/>
        <v>2015</v>
      </c>
      <c r="C487" s="17">
        <f t="shared" si="112"/>
        <v>4</v>
      </c>
      <c r="D487">
        <v>1527681</v>
      </c>
      <c r="E487">
        <v>1625509</v>
      </c>
      <c r="H487">
        <v>1527681</v>
      </c>
      <c r="I487">
        <v>1625509</v>
      </c>
      <c r="J487" s="19">
        <v>88.8</v>
      </c>
      <c r="K487" s="6">
        <f t="shared" si="113"/>
        <v>-97828</v>
      </c>
      <c r="L487" s="15">
        <f t="shared" si="114"/>
        <v>4.4863866499981242</v>
      </c>
      <c r="M487" s="16">
        <f t="shared" si="120"/>
        <v>-6.0094539641287525E-2</v>
      </c>
      <c r="N487" s="8">
        <f t="array" ref="N487">MAX(IF($B$4:$B$507=B487,$A$4:$A$507))</f>
        <v>42369</v>
      </c>
      <c r="O487" s="8">
        <f t="array" ref="O487">MIN(IF($B$4:$B$507=B487,$A$4:$A$507))</f>
        <v>42035</v>
      </c>
      <c r="P487" s="8">
        <f t="shared" si="126"/>
        <v>41759</v>
      </c>
      <c r="Q487" s="8">
        <f t="shared" si="127"/>
        <v>42124</v>
      </c>
      <c r="R487">
        <f t="shared" si="115"/>
        <v>88.8</v>
      </c>
      <c r="S487">
        <f t="shared" si="124"/>
        <v>96</v>
      </c>
      <c r="T487" s="20">
        <f t="shared" si="128"/>
        <v>-7.5000000000000067E-2</v>
      </c>
      <c r="U487" s="20">
        <f t="shared" si="125"/>
        <v>-8.2019250466017754E-2</v>
      </c>
      <c r="V487" s="18">
        <f t="shared" si="116"/>
        <v>-1625551</v>
      </c>
      <c r="W487">
        <f t="shared" si="117"/>
        <v>1089.9000000000001</v>
      </c>
      <c r="Y487">
        <f t="shared" si="118"/>
        <v>1089.9000000000001</v>
      </c>
      <c r="AA487" s="27">
        <f t="shared" si="121"/>
        <v>2015</v>
      </c>
      <c r="AB487" s="26">
        <f t="shared" si="122"/>
        <v>-8.2498526812021078E-2</v>
      </c>
      <c r="AC487" s="7">
        <f t="shared" si="123"/>
        <v>-1625551</v>
      </c>
    </row>
    <row r="488" spans="1:29" x14ac:dyDescent="0.2">
      <c r="A488" s="8">
        <f t="shared" si="119"/>
        <v>42155</v>
      </c>
      <c r="B488" s="17">
        <f t="shared" si="111"/>
        <v>2015</v>
      </c>
      <c r="C488" s="17">
        <f t="shared" si="112"/>
        <v>5</v>
      </c>
      <c r="D488">
        <v>1464645</v>
      </c>
      <c r="E488">
        <v>1580244</v>
      </c>
      <c r="H488">
        <v>1464645</v>
      </c>
      <c r="I488">
        <v>1580244</v>
      </c>
      <c r="J488" s="19">
        <v>93.1</v>
      </c>
      <c r="K488" s="6">
        <f t="shared" si="113"/>
        <v>-115599</v>
      </c>
      <c r="L488" s="15">
        <f t="shared" si="114"/>
        <v>4.5336741842830213</v>
      </c>
      <c r="M488" s="16">
        <f t="shared" si="120"/>
        <v>4.728753428489707E-2</v>
      </c>
      <c r="N488" s="8">
        <f t="array" ref="N488">MAX(IF($B$4:$B$507=B488,$A$4:$A$507))</f>
        <v>42369</v>
      </c>
      <c r="O488" s="8">
        <f t="array" ref="O488">MIN(IF($B$4:$B$507=B488,$A$4:$A$507))</f>
        <v>42035</v>
      </c>
      <c r="P488" s="8">
        <f t="shared" si="126"/>
        <v>41790</v>
      </c>
      <c r="Q488" s="8">
        <f t="shared" si="127"/>
        <v>42155</v>
      </c>
      <c r="R488">
        <f t="shared" si="115"/>
        <v>93.1</v>
      </c>
      <c r="S488">
        <f t="shared" si="124"/>
        <v>101.7</v>
      </c>
      <c r="T488" s="20">
        <f t="shared" si="128"/>
        <v>-8.4562438544739549E-2</v>
      </c>
      <c r="U488" s="20">
        <f t="shared" si="125"/>
        <v>-8.2019250466017754E-2</v>
      </c>
      <c r="V488" s="18">
        <f t="shared" si="116"/>
        <v>-1625551</v>
      </c>
      <c r="W488">
        <f t="shared" si="117"/>
        <v>1089.9000000000001</v>
      </c>
      <c r="Y488">
        <f t="shared" si="118"/>
        <v>1089.9000000000001</v>
      </c>
      <c r="AA488" s="27">
        <f t="shared" si="121"/>
        <v>2015</v>
      </c>
      <c r="AB488" s="26">
        <f t="shared" si="122"/>
        <v>-8.2498526812021078E-2</v>
      </c>
      <c r="AC488" s="7">
        <f t="shared" si="123"/>
        <v>-1625551</v>
      </c>
    </row>
    <row r="489" spans="1:29" x14ac:dyDescent="0.2">
      <c r="A489" s="8">
        <f t="shared" si="119"/>
        <v>42185</v>
      </c>
      <c r="B489" s="17">
        <f t="shared" ref="B489:B507" si="129">YEAR(A489)</f>
        <v>2015</v>
      </c>
      <c r="C489" s="17">
        <f t="shared" ref="C489:C507" si="130">MONTH(A489)</f>
        <v>6</v>
      </c>
      <c r="D489">
        <v>1453335</v>
      </c>
      <c r="E489">
        <v>1564534</v>
      </c>
      <c r="H489">
        <v>1453335</v>
      </c>
      <c r="I489">
        <v>1564534</v>
      </c>
      <c r="J489" s="19">
        <v>92.5</v>
      </c>
      <c r="K489" s="6">
        <f t="shared" ref="K489:K507" si="131">IF(AND(ISNUMBER(D489),ISNUMBER(E489)),D489-E489,IF(AND(ISNUMBER(F489),ISNUMBER(G489)),F489-G489,H489-I489))</f>
        <v>-111199</v>
      </c>
      <c r="L489" s="15">
        <f t="shared" ref="L489:L507" si="132">LN(J489)</f>
        <v>4.5272086445183799</v>
      </c>
      <c r="M489" s="16">
        <f t="shared" si="120"/>
        <v>-6.4655397646413704E-3</v>
      </c>
      <c r="N489" s="8">
        <f t="array" ref="N489">MAX(IF($B$4:$B$507=B489,$A$4:$A$507))</f>
        <v>42369</v>
      </c>
      <c r="O489" s="8">
        <f t="array" ref="O489">MIN(IF($B$4:$B$507=B489,$A$4:$A$507))</f>
        <v>42035</v>
      </c>
      <c r="P489" s="8">
        <f t="shared" si="126"/>
        <v>41820</v>
      </c>
      <c r="Q489" s="8">
        <f t="shared" si="127"/>
        <v>42185</v>
      </c>
      <c r="R489">
        <f t="shared" ref="R489:R507" si="133">VLOOKUP(Q489,$A$232:$L$507,$J$1,FALSE)</f>
        <v>92.5</v>
      </c>
      <c r="S489">
        <f t="shared" si="124"/>
        <v>94.9</v>
      </c>
      <c r="T489" s="20">
        <f t="shared" si="128"/>
        <v>-2.5289778714436273E-2</v>
      </c>
      <c r="U489" s="20">
        <f t="shared" si="125"/>
        <v>-8.2019250466017754E-2</v>
      </c>
      <c r="V489" s="18">
        <f t="shared" ref="V489:V507" si="134">SUMIF($B$232:$B$507,B489,$K$232:$K$507)</f>
        <v>-1625551</v>
      </c>
      <c r="W489">
        <f t="shared" ref="W489:W507" si="135">SUMIF($B$232:$B$507,B489,$J$232:$J$507)</f>
        <v>1089.9000000000001</v>
      </c>
      <c r="Y489">
        <f t="shared" ref="Y489:Y507" si="136">SUMIF($B$4:$B$507,B489,$J$4:$J$507)</f>
        <v>1089.9000000000001</v>
      </c>
      <c r="AA489" s="27">
        <f t="shared" si="121"/>
        <v>2015</v>
      </c>
      <c r="AB489" s="26">
        <f t="shared" si="122"/>
        <v>-8.2498526812021078E-2</v>
      </c>
      <c r="AC489" s="7">
        <f t="shared" si="123"/>
        <v>-1625551</v>
      </c>
    </row>
    <row r="490" spans="1:29" x14ac:dyDescent="0.2">
      <c r="A490" s="8">
        <f t="shared" ref="A490:A507" si="137">EOMONTH(A489,1)</f>
        <v>42216</v>
      </c>
      <c r="B490" s="17">
        <f t="shared" si="129"/>
        <v>2015</v>
      </c>
      <c r="C490" s="17">
        <f t="shared" si="130"/>
        <v>7</v>
      </c>
      <c r="D490">
        <v>1397393</v>
      </c>
      <c r="E490">
        <v>1555298</v>
      </c>
      <c r="H490">
        <v>1397393</v>
      </c>
      <c r="I490">
        <v>1555298</v>
      </c>
      <c r="J490" s="19">
        <v>95.5</v>
      </c>
      <c r="K490" s="6">
        <f t="shared" si="131"/>
        <v>-157905</v>
      </c>
      <c r="L490" s="15">
        <f t="shared" si="132"/>
        <v>4.5591262474866845</v>
      </c>
      <c r="M490" s="16">
        <f t="shared" ref="M490:M507" si="138">L490-L489</f>
        <v>3.1917602968304593E-2</v>
      </c>
      <c r="N490" s="8">
        <f t="array" ref="N490">MAX(IF($B$4:$B$507=B490,$A$4:$A$507))</f>
        <v>42369</v>
      </c>
      <c r="O490" s="8">
        <f t="array" ref="O490">MIN(IF($B$4:$B$507=B490,$A$4:$A$507))</f>
        <v>42035</v>
      </c>
      <c r="P490" s="8">
        <f t="shared" si="126"/>
        <v>41851</v>
      </c>
      <c r="Q490" s="8">
        <f t="shared" si="127"/>
        <v>42216</v>
      </c>
      <c r="R490">
        <f t="shared" si="133"/>
        <v>95.5</v>
      </c>
      <c r="S490">
        <f t="shared" si="124"/>
        <v>104.4</v>
      </c>
      <c r="T490" s="20">
        <f t="shared" si="128"/>
        <v>-8.5249042145593923E-2</v>
      </c>
      <c r="U490" s="20">
        <f t="shared" si="125"/>
        <v>-8.2019250466017754E-2</v>
      </c>
      <c r="V490" s="18">
        <f t="shared" si="134"/>
        <v>-1625551</v>
      </c>
      <c r="W490">
        <f t="shared" si="135"/>
        <v>1089.9000000000001</v>
      </c>
      <c r="Y490">
        <f t="shared" si="136"/>
        <v>1089.9000000000001</v>
      </c>
      <c r="AA490" s="27">
        <f t="shared" si="121"/>
        <v>2015</v>
      </c>
      <c r="AB490" s="26">
        <f t="shared" si="122"/>
        <v>-8.2498526812021078E-2</v>
      </c>
      <c r="AC490" s="7">
        <f t="shared" si="123"/>
        <v>-1625551</v>
      </c>
    </row>
    <row r="491" spans="1:29" x14ac:dyDescent="0.2">
      <c r="A491" s="8">
        <f t="shared" si="137"/>
        <v>42247</v>
      </c>
      <c r="B491" s="17">
        <f t="shared" si="129"/>
        <v>2015</v>
      </c>
      <c r="C491" s="17">
        <f t="shared" si="130"/>
        <v>8</v>
      </c>
      <c r="D491">
        <v>1392343</v>
      </c>
      <c r="E491">
        <v>1478886</v>
      </c>
      <c r="H491">
        <v>1392343</v>
      </c>
      <c r="I491">
        <v>1478886</v>
      </c>
      <c r="J491" s="19">
        <v>97.6</v>
      </c>
      <c r="K491" s="6">
        <f t="shared" si="131"/>
        <v>-86543</v>
      </c>
      <c r="L491" s="15">
        <f t="shared" si="132"/>
        <v>4.580877493419047</v>
      </c>
      <c r="M491" s="16">
        <f t="shared" si="138"/>
        <v>2.1751245932362551E-2</v>
      </c>
      <c r="N491" s="8">
        <f t="array" ref="N491">MAX(IF($B$4:$B$507=B491,$A$4:$A$507))</f>
        <v>42369</v>
      </c>
      <c r="O491" s="8">
        <f t="array" ref="O491">MIN(IF($B$4:$B$507=B491,$A$4:$A$507))</f>
        <v>42035</v>
      </c>
      <c r="P491" s="8">
        <f t="shared" si="126"/>
        <v>41882</v>
      </c>
      <c r="Q491" s="8">
        <f t="shared" si="127"/>
        <v>42247</v>
      </c>
      <c r="R491">
        <f t="shared" si="133"/>
        <v>97.6</v>
      </c>
      <c r="S491">
        <f t="shared" si="124"/>
        <v>106.3</v>
      </c>
      <c r="T491" s="20">
        <f t="shared" si="128"/>
        <v>-8.1843838193791152E-2</v>
      </c>
      <c r="U491" s="20">
        <f t="shared" si="125"/>
        <v>-8.2019250466017754E-2</v>
      </c>
      <c r="V491" s="18">
        <f t="shared" si="134"/>
        <v>-1625551</v>
      </c>
      <c r="W491">
        <f t="shared" si="135"/>
        <v>1089.9000000000001</v>
      </c>
      <c r="Y491">
        <f t="shared" si="136"/>
        <v>1089.9000000000001</v>
      </c>
      <c r="AA491" s="27">
        <f t="shared" si="121"/>
        <v>2015</v>
      </c>
      <c r="AB491" s="26">
        <f t="shared" si="122"/>
        <v>-8.2498526812021078E-2</v>
      </c>
      <c r="AC491" s="7">
        <f t="shared" si="123"/>
        <v>-1625551</v>
      </c>
    </row>
    <row r="492" spans="1:29" x14ac:dyDescent="0.2">
      <c r="A492" s="8">
        <f t="shared" si="137"/>
        <v>42277</v>
      </c>
      <c r="B492" s="17">
        <f t="shared" si="129"/>
        <v>2015</v>
      </c>
      <c r="C492" s="17">
        <f t="shared" si="130"/>
        <v>9</v>
      </c>
      <c r="D492">
        <v>1326735</v>
      </c>
      <c r="E492">
        <v>1422337</v>
      </c>
      <c r="H492">
        <v>1326735</v>
      </c>
      <c r="I492">
        <v>1422337</v>
      </c>
      <c r="J492" s="19">
        <v>94.3</v>
      </c>
      <c r="K492" s="6">
        <f t="shared" si="131"/>
        <v>-95602</v>
      </c>
      <c r="L492" s="15">
        <f t="shared" si="132"/>
        <v>4.5464811896394117</v>
      </c>
      <c r="M492" s="16">
        <f t="shared" si="138"/>
        <v>-3.4396303779635318E-2</v>
      </c>
      <c r="N492" s="8">
        <f t="array" ref="N492">MAX(IF($B$4:$B$507=B492,$A$4:$A$507))</f>
        <v>42369</v>
      </c>
      <c r="O492" s="8">
        <f t="array" ref="O492">MIN(IF($B$4:$B$507=B492,$A$4:$A$507))</f>
        <v>42035</v>
      </c>
      <c r="P492" s="8">
        <f t="shared" si="126"/>
        <v>41912</v>
      </c>
      <c r="Q492" s="8">
        <f t="shared" si="127"/>
        <v>42277</v>
      </c>
      <c r="R492">
        <f t="shared" si="133"/>
        <v>94.3</v>
      </c>
      <c r="S492">
        <f t="shared" si="124"/>
        <v>105.6</v>
      </c>
      <c r="T492" s="20">
        <f t="shared" si="128"/>
        <v>-0.10700757575757569</v>
      </c>
      <c r="U492" s="20">
        <f t="shared" si="125"/>
        <v>-8.2019250466017754E-2</v>
      </c>
      <c r="V492" s="18">
        <f t="shared" si="134"/>
        <v>-1625551</v>
      </c>
      <c r="W492">
        <f t="shared" si="135"/>
        <v>1089.9000000000001</v>
      </c>
      <c r="Y492">
        <f t="shared" si="136"/>
        <v>1089.9000000000001</v>
      </c>
      <c r="AA492" s="27">
        <f t="shared" si="121"/>
        <v>2015</v>
      </c>
      <c r="AB492" s="26">
        <f t="shared" si="122"/>
        <v>-8.2498526812021078E-2</v>
      </c>
      <c r="AC492" s="7">
        <f t="shared" si="123"/>
        <v>-1625551</v>
      </c>
    </row>
    <row r="493" spans="1:29" x14ac:dyDescent="0.2">
      <c r="A493" s="8">
        <f t="shared" si="137"/>
        <v>42308</v>
      </c>
      <c r="B493" s="17">
        <f t="shared" si="129"/>
        <v>2015</v>
      </c>
      <c r="C493" s="17">
        <f t="shared" si="130"/>
        <v>10</v>
      </c>
      <c r="D493">
        <v>1237454</v>
      </c>
      <c r="E493">
        <v>1406585</v>
      </c>
      <c r="H493">
        <v>1237454</v>
      </c>
      <c r="I493">
        <v>1406585</v>
      </c>
      <c r="J493" s="19">
        <v>97.2</v>
      </c>
      <c r="K493" s="6">
        <f t="shared" si="131"/>
        <v>-169131</v>
      </c>
      <c r="L493" s="15">
        <f t="shared" si="132"/>
        <v>4.5767707114663931</v>
      </c>
      <c r="M493" s="16">
        <f t="shared" si="138"/>
        <v>3.0289521826981414E-2</v>
      </c>
      <c r="N493" s="8">
        <f t="array" ref="N493">MAX(IF($B$4:$B$507=B493,$A$4:$A$507))</f>
        <v>42369</v>
      </c>
      <c r="O493" s="8">
        <f t="array" ref="O493">MIN(IF($B$4:$B$507=B493,$A$4:$A$507))</f>
        <v>42035</v>
      </c>
      <c r="P493" s="8">
        <f t="shared" si="126"/>
        <v>41943</v>
      </c>
      <c r="Q493" s="8">
        <f t="shared" si="127"/>
        <v>42308</v>
      </c>
      <c r="R493">
        <f t="shared" si="133"/>
        <v>97.2</v>
      </c>
      <c r="S493">
        <f t="shared" si="124"/>
        <v>109.3</v>
      </c>
      <c r="T493" s="20">
        <f t="shared" si="128"/>
        <v>-0.11070448307410796</v>
      </c>
      <c r="U493" s="20">
        <f t="shared" si="125"/>
        <v>-8.2019250466017754E-2</v>
      </c>
      <c r="V493" s="18">
        <f t="shared" si="134"/>
        <v>-1625551</v>
      </c>
      <c r="W493">
        <f t="shared" si="135"/>
        <v>1089.9000000000001</v>
      </c>
      <c r="Y493">
        <f t="shared" si="136"/>
        <v>1089.9000000000001</v>
      </c>
      <c r="AA493" s="27">
        <f t="shared" si="121"/>
        <v>2015</v>
      </c>
      <c r="AB493" s="26">
        <f t="shared" si="122"/>
        <v>-8.2498526812021078E-2</v>
      </c>
      <c r="AC493" s="7">
        <f t="shared" si="123"/>
        <v>-1625551</v>
      </c>
    </row>
    <row r="494" spans="1:29" x14ac:dyDescent="0.2">
      <c r="A494" s="8">
        <f t="shared" si="137"/>
        <v>42338</v>
      </c>
      <c r="B494" s="17">
        <f t="shared" si="129"/>
        <v>2015</v>
      </c>
      <c r="C494" s="17">
        <f t="shared" si="130"/>
        <v>11</v>
      </c>
      <c r="D494">
        <v>1179079</v>
      </c>
      <c r="E494">
        <v>1309708</v>
      </c>
      <c r="H494">
        <v>1179079</v>
      </c>
      <c r="I494">
        <v>1309708</v>
      </c>
      <c r="J494" s="19">
        <v>87.6</v>
      </c>
      <c r="K494" s="6">
        <f t="shared" si="131"/>
        <v>-130629</v>
      </c>
      <c r="L494" s="15">
        <f t="shared" si="132"/>
        <v>4.4727809979423458</v>
      </c>
      <c r="M494" s="16">
        <f t="shared" si="138"/>
        <v>-0.10398971352404729</v>
      </c>
      <c r="N494" s="8">
        <f t="array" ref="N494">MAX(IF($B$4:$B$507=B494,$A$4:$A$507))</f>
        <v>42369</v>
      </c>
      <c r="O494" s="8">
        <f t="array" ref="O494">MIN(IF($B$4:$B$507=B494,$A$4:$A$507))</f>
        <v>42035</v>
      </c>
      <c r="P494" s="8">
        <f t="shared" si="126"/>
        <v>41973</v>
      </c>
      <c r="Q494" s="8">
        <f t="shared" si="127"/>
        <v>42338</v>
      </c>
      <c r="R494">
        <f t="shared" si="133"/>
        <v>87.6</v>
      </c>
      <c r="S494">
        <f t="shared" si="124"/>
        <v>99.8</v>
      </c>
      <c r="T494" s="20">
        <f t="shared" si="128"/>
        <v>-0.12224448897795592</v>
      </c>
      <c r="U494" s="20">
        <f t="shared" si="125"/>
        <v>-8.2019250466017754E-2</v>
      </c>
      <c r="V494" s="18">
        <f t="shared" si="134"/>
        <v>-1625551</v>
      </c>
      <c r="W494">
        <f t="shared" si="135"/>
        <v>1089.9000000000001</v>
      </c>
      <c r="Y494">
        <f t="shared" si="136"/>
        <v>1089.9000000000001</v>
      </c>
      <c r="AA494" s="27">
        <f t="shared" si="121"/>
        <v>2015</v>
      </c>
      <c r="AB494" s="26">
        <f t="shared" si="122"/>
        <v>-8.2498526812021078E-2</v>
      </c>
      <c r="AC494" s="7">
        <f t="shared" si="123"/>
        <v>-1625551</v>
      </c>
    </row>
    <row r="495" spans="1:29" x14ac:dyDescent="0.2">
      <c r="A495" s="8">
        <f t="shared" si="137"/>
        <v>42369</v>
      </c>
      <c r="B495" s="17">
        <f t="shared" si="129"/>
        <v>2015</v>
      </c>
      <c r="C495" s="17">
        <f t="shared" si="130"/>
        <v>12</v>
      </c>
      <c r="D495">
        <v>917031</v>
      </c>
      <c r="E495">
        <v>1513239</v>
      </c>
      <c r="H495">
        <v>917031</v>
      </c>
      <c r="I495">
        <v>1513239</v>
      </c>
      <c r="J495" s="19">
        <v>77.2</v>
      </c>
      <c r="K495" s="6">
        <f t="shared" si="131"/>
        <v>-596208</v>
      </c>
      <c r="L495" s="15">
        <f t="shared" si="132"/>
        <v>4.3463994570307305</v>
      </c>
      <c r="M495" s="16">
        <f t="shared" si="138"/>
        <v>-0.12638154091161535</v>
      </c>
      <c r="N495" s="8">
        <f t="array" ref="N495">MAX(IF($B$4:$B$507=B495,$A$4:$A$507))</f>
        <v>42369</v>
      </c>
      <c r="O495" s="8">
        <f t="array" ref="O495">MIN(IF($B$4:$B$507=B495,$A$4:$A$507))</f>
        <v>42035</v>
      </c>
      <c r="P495" s="8">
        <f t="shared" si="126"/>
        <v>42004</v>
      </c>
      <c r="Q495" s="8">
        <f t="shared" si="127"/>
        <v>42369</v>
      </c>
      <c r="R495">
        <f t="shared" si="133"/>
        <v>77.2</v>
      </c>
      <c r="S495">
        <f t="shared" si="124"/>
        <v>87.7</v>
      </c>
      <c r="T495" s="20">
        <f t="shared" si="128"/>
        <v>-0.11972633979475489</v>
      </c>
      <c r="U495" s="20">
        <f t="shared" si="125"/>
        <v>-8.2019250466017754E-2</v>
      </c>
      <c r="V495" s="18">
        <f t="shared" si="134"/>
        <v>-1625551</v>
      </c>
      <c r="W495">
        <f t="shared" si="135"/>
        <v>1089.9000000000001</v>
      </c>
      <c r="Y495">
        <f t="shared" si="136"/>
        <v>1089.9000000000001</v>
      </c>
      <c r="AA495" s="27">
        <f t="shared" si="121"/>
        <v>2015</v>
      </c>
      <c r="AB495" s="26">
        <f t="shared" si="122"/>
        <v>-8.2498526812021078E-2</v>
      </c>
      <c r="AC495" s="7">
        <f t="shared" si="123"/>
        <v>-1625551</v>
      </c>
    </row>
    <row r="496" spans="1:29" x14ac:dyDescent="0.2">
      <c r="A496" s="8">
        <f t="shared" si="137"/>
        <v>42400</v>
      </c>
      <c r="B496" s="17">
        <f t="shared" si="129"/>
        <v>2016</v>
      </c>
      <c r="C496" s="17">
        <f t="shared" si="130"/>
        <v>1</v>
      </c>
      <c r="D496">
        <v>1205040</v>
      </c>
      <c r="E496">
        <v>1304734</v>
      </c>
      <c r="H496">
        <v>1205040</v>
      </c>
      <c r="I496">
        <v>1304734</v>
      </c>
      <c r="J496" s="19">
        <v>76.3</v>
      </c>
      <c r="K496" s="6">
        <f t="shared" si="131"/>
        <v>-99694</v>
      </c>
      <c r="L496" s="15">
        <f t="shared" si="132"/>
        <v>4.334672938290411</v>
      </c>
      <c r="M496" s="16">
        <f t="shared" si="138"/>
        <v>-1.1726518740319491E-2</v>
      </c>
      <c r="N496" s="8">
        <f t="array" ref="N496">MAX(IF($B$4:$B$507=B496,$A$4:$A$507))</f>
        <v>42735</v>
      </c>
      <c r="O496" s="8">
        <f t="array" ref="O496">MIN(IF($B$4:$B$507=B496,$A$4:$A$507))</f>
        <v>42400</v>
      </c>
      <c r="P496" s="8">
        <f t="shared" si="126"/>
        <v>42035</v>
      </c>
      <c r="Q496" s="8">
        <f t="shared" si="127"/>
        <v>42400</v>
      </c>
      <c r="R496">
        <f t="shared" si="133"/>
        <v>76.3</v>
      </c>
      <c r="S496">
        <f t="shared" si="124"/>
        <v>88.1</v>
      </c>
      <c r="T496" s="20">
        <f t="shared" si="128"/>
        <v>-0.13393870601589097</v>
      </c>
      <c r="U496" s="20">
        <f t="shared" si="125"/>
        <v>-6.4971812128265971E-2</v>
      </c>
      <c r="V496" s="18">
        <f t="shared" si="134"/>
        <v>-1371363</v>
      </c>
      <c r="W496">
        <f t="shared" si="135"/>
        <v>1018.4000000000001</v>
      </c>
      <c r="Y496">
        <f t="shared" si="136"/>
        <v>1018.4000000000001</v>
      </c>
      <c r="AA496" s="27">
        <f t="shared" si="121"/>
        <v>2016</v>
      </c>
      <c r="AB496" s="26">
        <f t="shared" si="122"/>
        <v>-6.5602348839343017E-2</v>
      </c>
      <c r="AC496" s="7">
        <f t="shared" si="123"/>
        <v>-1371363</v>
      </c>
    </row>
    <row r="497" spans="1:29" x14ac:dyDescent="0.2">
      <c r="A497" s="8">
        <f t="shared" si="137"/>
        <v>42429</v>
      </c>
      <c r="B497" s="17">
        <f t="shared" si="129"/>
        <v>2016</v>
      </c>
      <c r="C497" s="17">
        <f t="shared" si="130"/>
        <v>2</v>
      </c>
      <c r="D497">
        <v>1276620</v>
      </c>
      <c r="E497">
        <v>1381202</v>
      </c>
      <c r="H497">
        <v>1276620</v>
      </c>
      <c r="I497">
        <v>1381202</v>
      </c>
      <c r="J497" s="19">
        <v>75.8</v>
      </c>
      <c r="K497" s="6">
        <f t="shared" si="131"/>
        <v>-104582</v>
      </c>
      <c r="L497" s="15">
        <f t="shared" si="132"/>
        <v>4.3280982926483258</v>
      </c>
      <c r="M497" s="16">
        <f t="shared" si="138"/>
        <v>-6.5746456420852084E-3</v>
      </c>
      <c r="N497" s="8">
        <f t="array" ref="N497">MAX(IF($B$4:$B$507=B497,$A$4:$A$507))</f>
        <v>42735</v>
      </c>
      <c r="O497" s="8">
        <f t="array" ref="O497">MIN(IF($B$4:$B$507=B497,$A$4:$A$507))</f>
        <v>42400</v>
      </c>
      <c r="P497" s="8">
        <f t="shared" si="126"/>
        <v>42063</v>
      </c>
      <c r="Q497" s="8">
        <f t="shared" si="127"/>
        <v>42429</v>
      </c>
      <c r="R497">
        <f t="shared" si="133"/>
        <v>75.8</v>
      </c>
      <c r="S497">
        <f t="shared" si="124"/>
        <v>83.7</v>
      </c>
      <c r="T497" s="20">
        <f t="shared" si="128"/>
        <v>-9.4384707287933134E-2</v>
      </c>
      <c r="U497" s="20">
        <f t="shared" si="125"/>
        <v>-6.4971812128265971E-2</v>
      </c>
      <c r="V497" s="18">
        <f t="shared" si="134"/>
        <v>-1371363</v>
      </c>
      <c r="W497">
        <f t="shared" si="135"/>
        <v>1018.4000000000001</v>
      </c>
      <c r="Y497">
        <f t="shared" si="136"/>
        <v>1018.4000000000001</v>
      </c>
      <c r="AA497" s="27">
        <f t="shared" si="121"/>
        <v>2016</v>
      </c>
      <c r="AB497" s="26">
        <f t="shared" si="122"/>
        <v>-6.5602348839343017E-2</v>
      </c>
      <c r="AC497" s="7">
        <f t="shared" si="123"/>
        <v>-1371363</v>
      </c>
    </row>
    <row r="498" spans="1:29" x14ac:dyDescent="0.2">
      <c r="A498" s="8">
        <f t="shared" si="137"/>
        <v>42460</v>
      </c>
      <c r="B498" s="17">
        <f t="shared" si="129"/>
        <v>2016</v>
      </c>
      <c r="C498" s="17">
        <f t="shared" si="130"/>
        <v>3</v>
      </c>
      <c r="D498">
        <v>1374485</v>
      </c>
      <c r="E498">
        <v>1493261</v>
      </c>
      <c r="H498">
        <v>1374485</v>
      </c>
      <c r="I498">
        <v>1493261</v>
      </c>
      <c r="J498" s="19">
        <v>83.6</v>
      </c>
      <c r="K498" s="6">
        <f t="shared" si="131"/>
        <v>-118776</v>
      </c>
      <c r="L498" s="15">
        <f t="shared" si="132"/>
        <v>4.4260435200906558</v>
      </c>
      <c r="M498" s="16">
        <f t="shared" si="138"/>
        <v>9.794522744233003E-2</v>
      </c>
      <c r="N498" s="8">
        <f t="array" ref="N498">MAX(IF($B$4:$B$507=B498,$A$4:$A$507))</f>
        <v>42735</v>
      </c>
      <c r="O498" s="8">
        <f t="array" ref="O498">MIN(IF($B$4:$B$507=B498,$A$4:$A$507))</f>
        <v>42400</v>
      </c>
      <c r="P498" s="8">
        <f t="shared" si="126"/>
        <v>42094</v>
      </c>
      <c r="Q498" s="8">
        <f t="shared" si="127"/>
        <v>42460</v>
      </c>
      <c r="R498">
        <f t="shared" si="133"/>
        <v>83.6</v>
      </c>
      <c r="S498">
        <f t="shared" si="124"/>
        <v>94.3</v>
      </c>
      <c r="T498" s="20">
        <f t="shared" si="128"/>
        <v>-0.11346765641569467</v>
      </c>
      <c r="U498" s="20">
        <f t="shared" si="125"/>
        <v>-6.4971812128265971E-2</v>
      </c>
      <c r="V498" s="18">
        <f t="shared" si="134"/>
        <v>-1371363</v>
      </c>
      <c r="W498">
        <f t="shared" si="135"/>
        <v>1018.4000000000001</v>
      </c>
      <c r="Y498">
        <f t="shared" si="136"/>
        <v>1018.4000000000001</v>
      </c>
      <c r="AA498" s="27">
        <f t="shared" si="121"/>
        <v>2016</v>
      </c>
      <c r="AB498" s="26">
        <f t="shared" si="122"/>
        <v>-6.5602348839343017E-2</v>
      </c>
      <c r="AC498" s="7">
        <f t="shared" si="123"/>
        <v>-1371363</v>
      </c>
    </row>
    <row r="499" spans="1:29" x14ac:dyDescent="0.2">
      <c r="A499" s="8">
        <f t="shared" si="137"/>
        <v>42490</v>
      </c>
      <c r="B499" s="17">
        <f t="shared" si="129"/>
        <v>2016</v>
      </c>
      <c r="C499" s="17">
        <f t="shared" si="130"/>
        <v>4</v>
      </c>
      <c r="D499">
        <v>1258970</v>
      </c>
      <c r="E499">
        <v>1321814</v>
      </c>
      <c r="H499">
        <v>1258970</v>
      </c>
      <c r="I499">
        <v>1321814</v>
      </c>
      <c r="J499" s="19">
        <v>82.9</v>
      </c>
      <c r="K499" s="6">
        <f t="shared" si="131"/>
        <v>-62844</v>
      </c>
      <c r="L499" s="15">
        <f t="shared" si="132"/>
        <v>4.4176350621412492</v>
      </c>
      <c r="M499" s="16">
        <f t="shared" si="138"/>
        <v>-8.4084579494065892E-3</v>
      </c>
      <c r="N499" s="8">
        <f t="array" ref="N499">MAX(IF($B$4:$B$507=B499,$A$4:$A$507))</f>
        <v>42735</v>
      </c>
      <c r="O499" s="8">
        <f t="array" ref="O499">MIN(IF($B$4:$B$507=B499,$A$4:$A$507))</f>
        <v>42400</v>
      </c>
      <c r="P499" s="8">
        <f t="shared" si="126"/>
        <v>42124</v>
      </c>
      <c r="Q499" s="8">
        <f t="shared" si="127"/>
        <v>42490</v>
      </c>
      <c r="R499">
        <f t="shared" si="133"/>
        <v>82.9</v>
      </c>
      <c r="S499">
        <f t="shared" si="124"/>
        <v>88.8</v>
      </c>
      <c r="T499" s="20">
        <f t="shared" si="128"/>
        <v>-6.6441441441441373E-2</v>
      </c>
      <c r="U499" s="20">
        <f t="shared" si="125"/>
        <v>-6.4971812128265971E-2</v>
      </c>
      <c r="V499" s="18">
        <f t="shared" si="134"/>
        <v>-1371363</v>
      </c>
      <c r="W499">
        <f t="shared" si="135"/>
        <v>1018.4000000000001</v>
      </c>
      <c r="Y499">
        <f t="shared" si="136"/>
        <v>1018.4000000000001</v>
      </c>
      <c r="AA499" s="27">
        <f t="shared" si="121"/>
        <v>2016</v>
      </c>
      <c r="AB499" s="26">
        <f t="shared" si="122"/>
        <v>-6.5602348839343017E-2</v>
      </c>
      <c r="AC499" s="7">
        <f t="shared" si="123"/>
        <v>-1371363</v>
      </c>
    </row>
    <row r="500" spans="1:29" x14ac:dyDescent="0.2">
      <c r="A500" s="8">
        <f t="shared" si="137"/>
        <v>42521</v>
      </c>
      <c r="B500" s="17">
        <f t="shared" si="129"/>
        <v>2016</v>
      </c>
      <c r="C500" s="17">
        <f t="shared" si="130"/>
        <v>5</v>
      </c>
      <c r="D500">
        <v>1209991</v>
      </c>
      <c r="E500">
        <v>1282606</v>
      </c>
      <c r="H500">
        <v>1209991</v>
      </c>
      <c r="I500">
        <v>1282606</v>
      </c>
      <c r="J500" s="19">
        <v>86.2</v>
      </c>
      <c r="K500" s="6">
        <f t="shared" si="131"/>
        <v>-72615</v>
      </c>
      <c r="L500" s="15">
        <f t="shared" si="132"/>
        <v>4.4566701776696478</v>
      </c>
      <c r="M500" s="16">
        <f t="shared" si="138"/>
        <v>3.9035115528398556E-2</v>
      </c>
      <c r="N500" s="8">
        <f t="array" ref="N500">MAX(IF($B$4:$B$507=B500,$A$4:$A$507))</f>
        <v>42735</v>
      </c>
      <c r="O500" s="8">
        <f t="array" ref="O500">MIN(IF($B$4:$B$507=B500,$A$4:$A$507))</f>
        <v>42400</v>
      </c>
      <c r="P500" s="8">
        <f t="shared" si="126"/>
        <v>42155</v>
      </c>
      <c r="Q500" s="8">
        <f t="shared" si="127"/>
        <v>42521</v>
      </c>
      <c r="R500">
        <f t="shared" si="133"/>
        <v>86.2</v>
      </c>
      <c r="S500">
        <f t="shared" si="124"/>
        <v>93.1</v>
      </c>
      <c r="T500" s="20">
        <f t="shared" si="128"/>
        <v>-7.4113856068743211E-2</v>
      </c>
      <c r="U500" s="20">
        <f t="shared" si="125"/>
        <v>-6.4971812128265971E-2</v>
      </c>
      <c r="V500" s="18">
        <f t="shared" si="134"/>
        <v>-1371363</v>
      </c>
      <c r="W500">
        <f t="shared" si="135"/>
        <v>1018.4000000000001</v>
      </c>
      <c r="Y500">
        <f t="shared" si="136"/>
        <v>1018.4000000000001</v>
      </c>
      <c r="AA500" s="27">
        <f t="shared" si="121"/>
        <v>2016</v>
      </c>
      <c r="AB500" s="26">
        <f t="shared" si="122"/>
        <v>-6.5602348839343017E-2</v>
      </c>
      <c r="AC500" s="7">
        <f t="shared" si="123"/>
        <v>-1371363</v>
      </c>
    </row>
    <row r="501" spans="1:29" x14ac:dyDescent="0.2">
      <c r="A501" s="8">
        <f t="shared" si="137"/>
        <v>42551</v>
      </c>
      <c r="B501" s="17">
        <f t="shared" si="129"/>
        <v>2016</v>
      </c>
      <c r="C501" s="17">
        <f t="shared" si="130"/>
        <v>6</v>
      </c>
      <c r="D501">
        <v>1204763</v>
      </c>
      <c r="E501">
        <v>1295795</v>
      </c>
      <c r="H501">
        <v>1204763</v>
      </c>
      <c r="I501">
        <v>1295795</v>
      </c>
      <c r="J501" s="19">
        <v>87.4</v>
      </c>
      <c r="K501" s="6">
        <f t="shared" si="131"/>
        <v>-91032</v>
      </c>
      <c r="L501" s="15">
        <f t="shared" si="132"/>
        <v>4.4704952826614894</v>
      </c>
      <c r="M501" s="16">
        <f t="shared" si="138"/>
        <v>1.3825104991841641E-2</v>
      </c>
      <c r="N501" s="8">
        <f t="array" ref="N501">MAX(IF($B$4:$B$507=B501,$A$4:$A$507))</f>
        <v>42735</v>
      </c>
      <c r="O501" s="8">
        <f t="array" ref="O501">MIN(IF($B$4:$B$507=B501,$A$4:$A$507))</f>
        <v>42400</v>
      </c>
      <c r="P501" s="8">
        <f t="shared" si="126"/>
        <v>42185</v>
      </c>
      <c r="Q501" s="8">
        <f t="shared" si="127"/>
        <v>42551</v>
      </c>
      <c r="R501">
        <f t="shared" si="133"/>
        <v>87.4</v>
      </c>
      <c r="S501">
        <f t="shared" si="124"/>
        <v>92.5</v>
      </c>
      <c r="T501" s="20">
        <f t="shared" si="128"/>
        <v>-5.5135135135135127E-2</v>
      </c>
      <c r="U501" s="20">
        <f t="shared" si="125"/>
        <v>-6.4971812128265971E-2</v>
      </c>
      <c r="V501" s="18">
        <f t="shared" si="134"/>
        <v>-1371363</v>
      </c>
      <c r="W501">
        <f t="shared" si="135"/>
        <v>1018.4000000000001</v>
      </c>
      <c r="Y501">
        <f t="shared" si="136"/>
        <v>1018.4000000000001</v>
      </c>
      <c r="AA501" s="27">
        <f t="shared" ref="AA501:AA507" si="139">YEAR(A501)</f>
        <v>2016</v>
      </c>
      <c r="AB501" s="26">
        <f t="shared" ref="AB501:AB507" si="140">Y501/Y489-1</f>
        <v>-6.5602348839343017E-2</v>
      </c>
      <c r="AC501" s="7">
        <f t="shared" ref="AC501:AC507" si="141">V501</f>
        <v>-1371363</v>
      </c>
    </row>
    <row r="502" spans="1:29" x14ac:dyDescent="0.2">
      <c r="A502" s="8">
        <f t="shared" si="137"/>
        <v>42582</v>
      </c>
      <c r="B502" s="17">
        <f t="shared" si="129"/>
        <v>2016</v>
      </c>
      <c r="C502" s="17">
        <f t="shared" si="130"/>
        <v>7</v>
      </c>
      <c r="D502">
        <v>1168011</v>
      </c>
      <c r="E502">
        <v>1262735</v>
      </c>
      <c r="H502">
        <v>1168011</v>
      </c>
      <c r="I502">
        <v>1262735</v>
      </c>
      <c r="J502" s="19">
        <v>89.5</v>
      </c>
      <c r="K502" s="6">
        <f t="shared" si="131"/>
        <v>-94724</v>
      </c>
      <c r="L502" s="15">
        <f t="shared" si="132"/>
        <v>4.4942386252808095</v>
      </c>
      <c r="M502" s="16">
        <f t="shared" si="138"/>
        <v>2.3743342619320096E-2</v>
      </c>
      <c r="N502" s="8">
        <f t="array" ref="N502">MAX(IF($B$4:$B$507=B502,$A$4:$A$507))</f>
        <v>42735</v>
      </c>
      <c r="O502" s="8">
        <f t="array" ref="O502">MIN(IF($B$4:$B$507=B502,$A$4:$A$507))</f>
        <v>42400</v>
      </c>
      <c r="P502" s="8">
        <f t="shared" si="126"/>
        <v>42216</v>
      </c>
      <c r="Q502" s="8">
        <f t="shared" si="127"/>
        <v>42582</v>
      </c>
      <c r="R502">
        <f t="shared" si="133"/>
        <v>89.5</v>
      </c>
      <c r="S502">
        <f t="shared" si="124"/>
        <v>95.5</v>
      </c>
      <c r="T502" s="20">
        <f t="shared" si="128"/>
        <v>-6.2827225130890008E-2</v>
      </c>
      <c r="U502" s="20">
        <f t="shared" si="125"/>
        <v>-6.4971812128265971E-2</v>
      </c>
      <c r="V502" s="18">
        <f t="shared" si="134"/>
        <v>-1371363</v>
      </c>
      <c r="W502">
        <f t="shared" si="135"/>
        <v>1018.4000000000001</v>
      </c>
      <c r="Y502">
        <f t="shared" si="136"/>
        <v>1018.4000000000001</v>
      </c>
      <c r="AA502" s="27">
        <f t="shared" si="139"/>
        <v>2016</v>
      </c>
      <c r="AB502" s="26">
        <f t="shared" si="140"/>
        <v>-6.5602348839343017E-2</v>
      </c>
      <c r="AC502" s="7">
        <f t="shared" si="141"/>
        <v>-1371363</v>
      </c>
    </row>
    <row r="503" spans="1:29" x14ac:dyDescent="0.2">
      <c r="A503" s="8">
        <f t="shared" si="137"/>
        <v>42613</v>
      </c>
      <c r="B503" s="17">
        <f t="shared" si="129"/>
        <v>2016</v>
      </c>
      <c r="C503" s="17">
        <f t="shared" si="130"/>
        <v>8</v>
      </c>
      <c r="D503">
        <v>1253728</v>
      </c>
      <c r="E503">
        <v>1287681</v>
      </c>
      <c r="H503">
        <v>1253728</v>
      </c>
      <c r="I503">
        <v>1287681</v>
      </c>
      <c r="J503" s="19">
        <v>92.8</v>
      </c>
      <c r="K503" s="6">
        <f t="shared" si="131"/>
        <v>-33953</v>
      </c>
      <c r="L503" s="15">
        <f t="shared" si="132"/>
        <v>4.5304466397921548</v>
      </c>
      <c r="M503" s="16">
        <f t="shared" si="138"/>
        <v>3.6208014511345255E-2</v>
      </c>
      <c r="N503" s="8">
        <f t="array" ref="N503">MAX(IF($B$4:$B$507=B503,$A$4:$A$507))</f>
        <v>42735</v>
      </c>
      <c r="O503" s="8">
        <f t="array" ref="O503">MIN(IF($B$4:$B$507=B503,$A$4:$A$507))</f>
        <v>42400</v>
      </c>
      <c r="P503" s="8">
        <f t="shared" si="126"/>
        <v>42247</v>
      </c>
      <c r="Q503" s="8">
        <f t="shared" si="127"/>
        <v>42613</v>
      </c>
      <c r="R503">
        <f t="shared" si="133"/>
        <v>92.8</v>
      </c>
      <c r="S503">
        <f t="shared" si="124"/>
        <v>97.6</v>
      </c>
      <c r="T503" s="20">
        <f t="shared" si="128"/>
        <v>-4.9180327868852403E-2</v>
      </c>
      <c r="U503" s="20">
        <f t="shared" si="125"/>
        <v>-6.4971812128265971E-2</v>
      </c>
      <c r="V503" s="18">
        <f t="shared" si="134"/>
        <v>-1371363</v>
      </c>
      <c r="W503">
        <f t="shared" si="135"/>
        <v>1018.4000000000001</v>
      </c>
      <c r="Y503">
        <f t="shared" si="136"/>
        <v>1018.4000000000001</v>
      </c>
      <c r="AA503" s="27">
        <f t="shared" si="139"/>
        <v>2016</v>
      </c>
      <c r="AB503" s="26">
        <f t="shared" si="140"/>
        <v>-6.5602348839343017E-2</v>
      </c>
      <c r="AC503" s="7">
        <f t="shared" si="141"/>
        <v>-1371363</v>
      </c>
    </row>
    <row r="504" spans="1:29" x14ac:dyDescent="0.2">
      <c r="A504" s="8">
        <f t="shared" si="137"/>
        <v>42643</v>
      </c>
      <c r="B504" s="17">
        <f t="shared" si="129"/>
        <v>2016</v>
      </c>
      <c r="C504" s="17">
        <f t="shared" si="130"/>
        <v>9</v>
      </c>
      <c r="D504">
        <v>1142797</v>
      </c>
      <c r="E504">
        <v>1182079</v>
      </c>
      <c r="H504">
        <v>1142797</v>
      </c>
      <c r="I504">
        <v>1182079</v>
      </c>
      <c r="J504" s="19">
        <v>90</v>
      </c>
      <c r="K504" s="6">
        <f t="shared" si="131"/>
        <v>-39282</v>
      </c>
      <c r="L504" s="15">
        <f t="shared" si="132"/>
        <v>4.499809670330265</v>
      </c>
      <c r="M504" s="16">
        <f t="shared" si="138"/>
        <v>-3.0636969461889763E-2</v>
      </c>
      <c r="N504" s="8">
        <f t="array" ref="N504">MAX(IF($B$4:$B$507=B504,$A$4:$A$507))</f>
        <v>42735</v>
      </c>
      <c r="O504" s="8">
        <f t="array" ref="O504">MIN(IF($B$4:$B$507=B504,$A$4:$A$507))</f>
        <v>42400</v>
      </c>
      <c r="P504" s="8">
        <f t="shared" si="126"/>
        <v>42277</v>
      </c>
      <c r="Q504" s="8">
        <f t="shared" si="127"/>
        <v>42643</v>
      </c>
      <c r="R504">
        <f t="shared" si="133"/>
        <v>90</v>
      </c>
      <c r="S504">
        <f t="shared" si="124"/>
        <v>94.3</v>
      </c>
      <c r="T504" s="20">
        <f t="shared" si="128"/>
        <v>-4.5599151643690328E-2</v>
      </c>
      <c r="U504" s="20">
        <f t="shared" si="125"/>
        <v>-6.4971812128265971E-2</v>
      </c>
      <c r="V504" s="18">
        <f t="shared" si="134"/>
        <v>-1371363</v>
      </c>
      <c r="W504">
        <f t="shared" si="135"/>
        <v>1018.4000000000001</v>
      </c>
      <c r="Y504">
        <f t="shared" si="136"/>
        <v>1018.4000000000001</v>
      </c>
      <c r="AA504" s="27">
        <f t="shared" si="139"/>
        <v>2016</v>
      </c>
      <c r="AB504" s="26">
        <f t="shared" si="140"/>
        <v>-6.5602348839343017E-2</v>
      </c>
      <c r="AC504" s="7">
        <f t="shared" si="141"/>
        <v>-1371363</v>
      </c>
    </row>
    <row r="505" spans="1:29" x14ac:dyDescent="0.2">
      <c r="A505" s="8">
        <f t="shared" si="137"/>
        <v>42674</v>
      </c>
      <c r="B505" s="17">
        <f t="shared" si="129"/>
        <v>2016</v>
      </c>
      <c r="C505" s="17">
        <f t="shared" si="130"/>
        <v>10</v>
      </c>
      <c r="D505">
        <v>1104431</v>
      </c>
      <c r="E505">
        <v>1179179</v>
      </c>
      <c r="H505">
        <v>1104431</v>
      </c>
      <c r="I505">
        <v>1179179</v>
      </c>
      <c r="J505" s="19">
        <v>90.2</v>
      </c>
      <c r="K505" s="6">
        <f t="shared" si="131"/>
        <v>-74748</v>
      </c>
      <c r="L505" s="15">
        <f t="shared" si="132"/>
        <v>4.5020294270685781</v>
      </c>
      <c r="M505" s="16">
        <f t="shared" si="138"/>
        <v>2.2197567383130945E-3</v>
      </c>
      <c r="N505" s="8">
        <f t="array" ref="N505">MAX(IF($B$4:$B$507=B505,$A$4:$A$507))</f>
        <v>42735</v>
      </c>
      <c r="O505" s="8">
        <f t="array" ref="O505">MIN(IF($B$4:$B$507=B505,$A$4:$A$507))</f>
        <v>42400</v>
      </c>
      <c r="P505" s="8">
        <f t="shared" si="126"/>
        <v>42308</v>
      </c>
      <c r="Q505" s="8">
        <f t="shared" si="127"/>
        <v>42674</v>
      </c>
      <c r="R505">
        <f t="shared" si="133"/>
        <v>90.2</v>
      </c>
      <c r="S505">
        <f t="shared" si="124"/>
        <v>97.2</v>
      </c>
      <c r="T505" s="20">
        <f t="shared" si="128"/>
        <v>-7.2016460905349744E-2</v>
      </c>
      <c r="U505" s="20">
        <f t="shared" si="125"/>
        <v>-6.4971812128265971E-2</v>
      </c>
      <c r="V505" s="18">
        <f t="shared" si="134"/>
        <v>-1371363</v>
      </c>
      <c r="W505">
        <f t="shared" si="135"/>
        <v>1018.4000000000001</v>
      </c>
      <c r="Y505">
        <f t="shared" si="136"/>
        <v>1018.4000000000001</v>
      </c>
      <c r="AA505" s="27">
        <f t="shared" si="139"/>
        <v>2016</v>
      </c>
      <c r="AB505" s="26">
        <f t="shared" si="140"/>
        <v>-6.5602348839343017E-2</v>
      </c>
      <c r="AC505" s="7">
        <f t="shared" si="141"/>
        <v>-1371363</v>
      </c>
    </row>
    <row r="506" spans="1:29" x14ac:dyDescent="0.2">
      <c r="A506" s="8">
        <f t="shared" si="137"/>
        <v>42704</v>
      </c>
      <c r="B506" s="17">
        <f t="shared" si="129"/>
        <v>2016</v>
      </c>
      <c r="C506" s="17">
        <f t="shared" si="130"/>
        <v>11</v>
      </c>
      <c r="D506">
        <v>1103767</v>
      </c>
      <c r="E506">
        <v>1220514</v>
      </c>
      <c r="H506">
        <v>1103767</v>
      </c>
      <c r="I506">
        <v>1220514</v>
      </c>
      <c r="J506" s="19">
        <v>86.5</v>
      </c>
      <c r="K506" s="6">
        <f t="shared" si="131"/>
        <v>-116747</v>
      </c>
      <c r="L506" s="15">
        <f t="shared" si="132"/>
        <v>4.4601444139378339</v>
      </c>
      <c r="M506" s="16">
        <f t="shared" si="138"/>
        <v>-4.188501313074422E-2</v>
      </c>
      <c r="N506" s="8">
        <f t="array" ref="N506">MAX(IF($B$4:$B$507=B506,$A$4:$A$507))</f>
        <v>42735</v>
      </c>
      <c r="O506" s="8">
        <f t="array" ref="O506">MIN(IF($B$4:$B$507=B506,$A$4:$A$507))</f>
        <v>42400</v>
      </c>
      <c r="P506" s="8">
        <f t="shared" si="126"/>
        <v>42338</v>
      </c>
      <c r="Q506" s="8">
        <f t="shared" si="127"/>
        <v>42704</v>
      </c>
      <c r="R506">
        <f t="shared" si="133"/>
        <v>86.5</v>
      </c>
      <c r="S506">
        <f t="shared" si="124"/>
        <v>87.6</v>
      </c>
      <c r="T506" s="20">
        <f t="shared" si="128"/>
        <v>-1.2557077625570678E-2</v>
      </c>
      <c r="U506" s="20">
        <f t="shared" si="125"/>
        <v>-6.4971812128265971E-2</v>
      </c>
      <c r="V506" s="18">
        <f t="shared" si="134"/>
        <v>-1371363</v>
      </c>
      <c r="W506">
        <f t="shared" si="135"/>
        <v>1018.4000000000001</v>
      </c>
      <c r="Y506">
        <f t="shared" si="136"/>
        <v>1018.4000000000001</v>
      </c>
      <c r="AA506" s="27">
        <f t="shared" si="139"/>
        <v>2016</v>
      </c>
      <c r="AB506" s="26">
        <f t="shared" si="140"/>
        <v>-6.5602348839343017E-2</v>
      </c>
      <c r="AC506" s="7">
        <f t="shared" si="141"/>
        <v>-1371363</v>
      </c>
    </row>
    <row r="507" spans="1:29" x14ac:dyDescent="0.2">
      <c r="A507" s="8">
        <f t="shared" si="137"/>
        <v>42735</v>
      </c>
      <c r="B507" s="17">
        <f t="shared" si="129"/>
        <v>2016</v>
      </c>
      <c r="C507" s="17">
        <f t="shared" si="130"/>
        <v>12</v>
      </c>
      <c r="D507">
        <v>869439</v>
      </c>
      <c r="E507">
        <v>1331805</v>
      </c>
      <c r="H507">
        <v>869439</v>
      </c>
      <c r="I507">
        <v>1331805</v>
      </c>
      <c r="J507" s="19">
        <v>77.2</v>
      </c>
      <c r="K507" s="6">
        <f t="shared" si="131"/>
        <v>-462366</v>
      </c>
      <c r="L507" s="15">
        <f t="shared" si="132"/>
        <v>4.3463994570307305</v>
      </c>
      <c r="M507" s="16">
        <f t="shared" si="138"/>
        <v>-0.1137449569071034</v>
      </c>
      <c r="N507" s="8">
        <f t="array" ref="N507">MAX(IF($B$4:$B$507=B507,$A$4:$A$507))</f>
        <v>42735</v>
      </c>
      <c r="O507" s="8">
        <f t="array" ref="O507">MIN(IF($B$4:$B$507=B507,$A$4:$A$507))</f>
        <v>42400</v>
      </c>
      <c r="P507" s="8">
        <f t="shared" si="126"/>
        <v>42369</v>
      </c>
      <c r="Q507" s="8">
        <f t="shared" si="127"/>
        <v>42735</v>
      </c>
      <c r="R507">
        <f t="shared" si="133"/>
        <v>77.2</v>
      </c>
      <c r="S507">
        <f t="shared" si="124"/>
        <v>77.2</v>
      </c>
      <c r="T507" s="20">
        <f t="shared" si="128"/>
        <v>0</v>
      </c>
      <c r="U507" s="20">
        <f t="shared" si="125"/>
        <v>-6.4971812128265971E-2</v>
      </c>
      <c r="V507" s="18">
        <f t="shared" si="134"/>
        <v>-1371363</v>
      </c>
      <c r="W507">
        <f t="shared" si="135"/>
        <v>1018.4000000000001</v>
      </c>
      <c r="Y507">
        <f t="shared" si="136"/>
        <v>1018.4000000000001</v>
      </c>
      <c r="AA507" s="27">
        <f t="shared" si="139"/>
        <v>2016</v>
      </c>
      <c r="AB507" s="26">
        <f t="shared" si="140"/>
        <v>-6.5602348839343017E-2</v>
      </c>
      <c r="AC507" s="7">
        <f t="shared" si="141"/>
        <v>-1371363</v>
      </c>
    </row>
    <row r="508" spans="1:29" x14ac:dyDescent="0.2">
      <c r="A508" s="8"/>
      <c r="B508" s="8"/>
      <c r="C508" s="8"/>
    </row>
  </sheetData>
  <autoFilter ref="A3:V507"/>
  <conditionalFormatting sqref="A1:XFD1048576">
    <cfRule type="expression" dxfId="1" priority="1">
      <formula>_xlfn.ISFORMULA(A1)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H2" sqref="H2"/>
    </sheetView>
  </sheetViews>
  <sheetFormatPr defaultRowHeight="12.75" x14ac:dyDescent="0.2"/>
  <cols>
    <col min="1" max="1" width="5" bestFit="1" customWidth="1"/>
    <col min="2" max="2" width="17.42578125" bestFit="1" customWidth="1"/>
    <col min="3" max="3" width="20.28515625" bestFit="1" customWidth="1"/>
    <col min="6" max="6" width="11.5703125" bestFit="1" customWidth="1"/>
    <col min="7" max="7" width="10.5703125" bestFit="1" customWidth="1"/>
    <col min="8" max="9" width="9.28515625" bestFit="1" customWidth="1"/>
  </cols>
  <sheetData>
    <row r="1" spans="1:16" x14ac:dyDescent="0.2">
      <c r="A1" t="s">
        <v>413</v>
      </c>
      <c r="B1" t="s">
        <v>423</v>
      </c>
      <c r="C1" t="s">
        <v>420</v>
      </c>
    </row>
    <row r="2" spans="1:16" x14ac:dyDescent="0.2">
      <c r="A2">
        <v>1995</v>
      </c>
      <c r="B2">
        <v>1.8311993627232237</v>
      </c>
      <c r="C2">
        <v>-200246</v>
      </c>
      <c r="F2" s="23">
        <v>-49502.848924220802</v>
      </c>
      <c r="G2" s="23">
        <v>182661.14896135801</v>
      </c>
      <c r="H2" s="23">
        <v>-0.27100918397646301</v>
      </c>
      <c r="I2" s="23">
        <v>0.79420156334858805</v>
      </c>
      <c r="M2" s="23">
        <v>100568.76270182501</v>
      </c>
      <c r="N2" s="23">
        <v>155768.56094049101</v>
      </c>
      <c r="O2" s="23">
        <v>138989.41195681001</v>
      </c>
      <c r="P2" s="23">
        <v>257535.1</v>
      </c>
    </row>
    <row r="3" spans="1:16" x14ac:dyDescent="0.2">
      <c r="A3">
        <v>1996</v>
      </c>
      <c r="B3">
        <v>1.7305362372761479</v>
      </c>
      <c r="C3">
        <v>-271226</v>
      </c>
      <c r="F3" s="23">
        <v>100568.76270182501</v>
      </c>
      <c r="G3" s="23">
        <v>61974.820341336002</v>
      </c>
      <c r="H3" s="23">
        <v>1.6227358489774899</v>
      </c>
      <c r="I3" s="23">
        <v>0.148675550910641</v>
      </c>
      <c r="K3" s="23">
        <v>100568.76270182501</v>
      </c>
      <c r="L3" s="23">
        <v>61974.820341336002</v>
      </c>
      <c r="M3" s="21">
        <f>($K3-M$2)/$L3</f>
        <v>0</v>
      </c>
      <c r="N3" s="21">
        <f t="shared" ref="N3:P3" si="0">($K3-N$2)/$L3</f>
        <v>-0.89068105296061351</v>
      </c>
      <c r="O3" s="21">
        <f t="shared" si="0"/>
        <v>-0.61993966329191885</v>
      </c>
      <c r="P3" s="21">
        <f t="shared" si="0"/>
        <v>-2.5327437245264832</v>
      </c>
    </row>
    <row r="4" spans="1:16" x14ac:dyDescent="0.2">
      <c r="A4">
        <v>1997</v>
      </c>
      <c r="B4">
        <v>3.8879563378565019</v>
      </c>
      <c r="C4">
        <v>-35735</v>
      </c>
      <c r="F4" s="23"/>
      <c r="G4" s="23"/>
      <c r="H4" s="23"/>
      <c r="I4" s="23"/>
      <c r="K4" s="23">
        <v>155768.56094049101</v>
      </c>
      <c r="L4" s="23">
        <v>35017.139598708003</v>
      </c>
      <c r="M4" s="21">
        <f t="shared" ref="M4:P5" si="1">($K4-M$2)/$L4</f>
        <v>1.5763651420775289</v>
      </c>
      <c r="N4" s="21">
        <f t="shared" si="1"/>
        <v>0</v>
      </c>
      <c r="O4" s="21">
        <f t="shared" si="1"/>
        <v>0.47916960596918884</v>
      </c>
      <c r="P4" s="21">
        <f t="shared" si="1"/>
        <v>-2.9061922311685273</v>
      </c>
    </row>
    <row r="5" spans="1:16" x14ac:dyDescent="0.2">
      <c r="A5">
        <v>1998</v>
      </c>
      <c r="B5">
        <v>-2.0264842078658307</v>
      </c>
      <c r="C5">
        <v>-581745</v>
      </c>
      <c r="F5" s="23">
        <v>710485.91062898899</v>
      </c>
      <c r="G5" s="23">
        <v>197702.09558954899</v>
      </c>
      <c r="H5" s="23">
        <v>3.5937196745958402</v>
      </c>
      <c r="I5" s="23">
        <v>4.21605554413528E-3</v>
      </c>
      <c r="K5" s="23">
        <v>138989.41195681001</v>
      </c>
      <c r="L5" s="23">
        <v>34036.589720812</v>
      </c>
      <c r="M5" s="21">
        <f t="shared" si="1"/>
        <v>1.1288043123630664</v>
      </c>
      <c r="N5" s="21">
        <f t="shared" si="1"/>
        <v>-0.49297385905325353</v>
      </c>
      <c r="O5" s="21">
        <f t="shared" si="1"/>
        <v>0</v>
      </c>
      <c r="P5" s="21">
        <f t="shared" si="1"/>
        <v>-3.4828897082689836</v>
      </c>
    </row>
    <row r="6" spans="1:16" x14ac:dyDescent="0.2">
      <c r="A6">
        <v>1999</v>
      </c>
      <c r="B6">
        <v>-0.65322744108055053</v>
      </c>
      <c r="C6">
        <v>-222346</v>
      </c>
      <c r="F6" s="23">
        <v>155768.56094049101</v>
      </c>
      <c r="G6" s="23">
        <v>35017.139598708003</v>
      </c>
      <c r="H6" s="23">
        <v>4.4483519420940496</v>
      </c>
      <c r="I6" s="23">
        <v>9.8136565681016192E-4</v>
      </c>
    </row>
    <row r="7" spans="1:16" x14ac:dyDescent="0.2">
      <c r="A7">
        <v>2000</v>
      </c>
      <c r="B7">
        <v>6.640143189679959</v>
      </c>
      <c r="C7">
        <v>675194</v>
      </c>
      <c r="F7" s="23"/>
      <c r="G7" s="23"/>
      <c r="H7" s="23"/>
      <c r="I7" s="23"/>
      <c r="K7" s="23"/>
    </row>
    <row r="8" spans="1:16" x14ac:dyDescent="0.2">
      <c r="A8">
        <v>2001</v>
      </c>
      <c r="B8">
        <v>1.5775421996886418</v>
      </c>
      <c r="C8">
        <v>586511</v>
      </c>
      <c r="F8" s="23">
        <v>378563.52178595599</v>
      </c>
      <c r="G8" s="23">
        <v>161052.468866668</v>
      </c>
      <c r="H8" s="23">
        <v>2.3505601897935602</v>
      </c>
      <c r="I8" s="23">
        <v>2.9116783574991801E-2</v>
      </c>
      <c r="K8" s="23"/>
    </row>
    <row r="9" spans="1:16" x14ac:dyDescent="0.2">
      <c r="A9">
        <v>2002</v>
      </c>
      <c r="B9">
        <v>2.3448167413016474</v>
      </c>
      <c r="C9">
        <v>468672</v>
      </c>
      <c r="F9" s="23">
        <v>138989.41195681001</v>
      </c>
      <c r="G9" s="23">
        <v>34036.589720812</v>
      </c>
      <c r="H9" s="23">
        <v>4.0835293164468602</v>
      </c>
      <c r="I9" s="23">
        <v>5.7869113765710901E-4</v>
      </c>
    </row>
    <row r="10" spans="1:16" x14ac:dyDescent="0.2">
      <c r="A10">
        <v>2003</v>
      </c>
      <c r="B10">
        <v>0.3250498060186624</v>
      </c>
      <c r="C10">
        <v>710054</v>
      </c>
      <c r="F10" s="23"/>
      <c r="G10" s="23"/>
      <c r="H10" s="23"/>
      <c r="I10" s="23"/>
    </row>
    <row r="11" spans="1:16" x14ac:dyDescent="0.2">
      <c r="A11">
        <v>2004</v>
      </c>
      <c r="B11">
        <v>8.3403010033444858</v>
      </c>
      <c r="C11">
        <v>1523276</v>
      </c>
      <c r="G11" s="23"/>
      <c r="H11" s="23"/>
      <c r="I11" s="23"/>
    </row>
    <row r="12" spans="1:16" x14ac:dyDescent="0.2">
      <c r="A12">
        <v>2005</v>
      </c>
      <c r="B12">
        <v>2.8072544858190218</v>
      </c>
      <c r="C12">
        <v>1253999</v>
      </c>
      <c r="G12" s="23"/>
      <c r="H12" s="23"/>
      <c r="I12" s="23"/>
    </row>
    <row r="13" spans="1:16" x14ac:dyDescent="0.2">
      <c r="A13">
        <v>2006</v>
      </c>
      <c r="B13">
        <v>2.7024490944918877</v>
      </c>
      <c r="C13">
        <v>1228686</v>
      </c>
    </row>
    <row r="14" spans="1:16" x14ac:dyDescent="0.2">
      <c r="A14">
        <v>2007</v>
      </c>
      <c r="B14">
        <v>5.920511649154836</v>
      </c>
      <c r="C14">
        <v>1617392</v>
      </c>
    </row>
    <row r="15" spans="1:16" x14ac:dyDescent="0.2">
      <c r="A15">
        <v>2008</v>
      </c>
      <c r="B15">
        <v>3.0794444923660791</v>
      </c>
      <c r="C15">
        <v>1452205</v>
      </c>
    </row>
    <row r="16" spans="1:16" x14ac:dyDescent="0.2">
      <c r="A16">
        <v>2009</v>
      </c>
      <c r="B16">
        <v>-7.1213389121338677</v>
      </c>
      <c r="C16">
        <v>995111</v>
      </c>
    </row>
    <row r="17" spans="1:9" x14ac:dyDescent="0.2">
      <c r="A17">
        <v>2010</v>
      </c>
      <c r="B17">
        <v>10.217136678980076</v>
      </c>
      <c r="C17">
        <v>2136938</v>
      </c>
    </row>
    <row r="18" spans="1:9" x14ac:dyDescent="0.2">
      <c r="A18">
        <v>2011</v>
      </c>
      <c r="B18">
        <v>0.40873048311942384</v>
      </c>
      <c r="C18">
        <v>1566043</v>
      </c>
    </row>
    <row r="19" spans="1:9" x14ac:dyDescent="0.2">
      <c r="A19">
        <v>2012</v>
      </c>
      <c r="B19">
        <v>-2.3039973947732606</v>
      </c>
      <c r="C19">
        <v>868241</v>
      </c>
    </row>
    <row r="20" spans="1:9" x14ac:dyDescent="0.2">
      <c r="A20">
        <v>2013</v>
      </c>
      <c r="B20">
        <v>2.0749999999999824</v>
      </c>
      <c r="C20">
        <v>730687</v>
      </c>
      <c r="F20" t="s">
        <v>425</v>
      </c>
      <c r="G20" t="s">
        <v>425</v>
      </c>
      <c r="H20" t="s">
        <v>425</v>
      </c>
      <c r="I20" t="s">
        <v>434</v>
      </c>
    </row>
    <row r="21" spans="1:9" x14ac:dyDescent="0.2">
      <c r="A21">
        <v>2014</v>
      </c>
      <c r="B21">
        <v>-3.0206547473263123</v>
      </c>
      <c r="C21">
        <v>152714</v>
      </c>
      <c r="F21" t="s">
        <v>435</v>
      </c>
      <c r="G21" t="s">
        <v>436</v>
      </c>
      <c r="H21" t="s">
        <v>437</v>
      </c>
      <c r="I21" t="s">
        <v>439</v>
      </c>
    </row>
    <row r="22" spans="1:9" x14ac:dyDescent="0.2">
      <c r="A22">
        <v>2015</v>
      </c>
      <c r="B22">
        <v>-8.2498526812021069</v>
      </c>
      <c r="C22">
        <v>-1625551</v>
      </c>
      <c r="E22" t="s">
        <v>438</v>
      </c>
      <c r="F22" s="23">
        <v>-49502.848924220802</v>
      </c>
      <c r="G22" s="23">
        <v>710485.91062898899</v>
      </c>
      <c r="H22" s="23">
        <v>378563.52178595599</v>
      </c>
      <c r="I22" s="23">
        <v>693936.14694942534</v>
      </c>
    </row>
    <row r="23" spans="1:9" x14ac:dyDescent="0.2">
      <c r="A23">
        <v>2016</v>
      </c>
      <c r="B23">
        <v>-6.5602348839343012</v>
      </c>
      <c r="C23">
        <v>-1371363</v>
      </c>
      <c r="E23" t="s">
        <v>432</v>
      </c>
      <c r="F23" s="23">
        <v>100568.76270182501</v>
      </c>
      <c r="G23" s="23">
        <v>155768.56094049101</v>
      </c>
      <c r="H23" s="23">
        <v>138989.41195681001</v>
      </c>
      <c r="I23" s="23">
        <v>257535.08288872801</v>
      </c>
    </row>
    <row r="25" spans="1:9" x14ac:dyDescent="0.2">
      <c r="E25" t="s">
        <v>441</v>
      </c>
      <c r="F25">
        <v>0.27300000000000002</v>
      </c>
      <c r="G25">
        <v>0.64300000000000002</v>
      </c>
      <c r="H25">
        <v>0.45500000000000002</v>
      </c>
    </row>
    <row r="26" spans="1:9" x14ac:dyDescent="0.2">
      <c r="E26" t="s">
        <v>440</v>
      </c>
      <c r="F26">
        <v>0.17</v>
      </c>
      <c r="G26">
        <v>0.61</v>
      </c>
      <c r="H26">
        <v>0.42699999999999999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" sqref="C1:C22"/>
    </sheetView>
  </sheetViews>
  <sheetFormatPr defaultRowHeight="12.75" x14ac:dyDescent="0.2"/>
  <cols>
    <col min="2" max="2" width="10.140625" bestFit="1" customWidth="1"/>
  </cols>
  <sheetData>
    <row r="1" spans="1:3" x14ac:dyDescent="0.2">
      <c r="A1">
        <v>1995</v>
      </c>
      <c r="B1" s="23">
        <v>-200246</v>
      </c>
      <c r="C1" s="22">
        <v>836.2738512396694</v>
      </c>
    </row>
    <row r="2" spans="1:3" x14ac:dyDescent="0.2">
      <c r="A2">
        <v>1996</v>
      </c>
      <c r="B2" s="23">
        <v>-271226</v>
      </c>
      <c r="C2" s="22">
        <v>850.74587327823679</v>
      </c>
    </row>
    <row r="3" spans="1:3" x14ac:dyDescent="0.2">
      <c r="A3">
        <v>1997</v>
      </c>
      <c r="B3" s="23">
        <v>-35735</v>
      </c>
      <c r="C3" s="22">
        <v>883.82250137741062</v>
      </c>
    </row>
    <row r="4" spans="1:3" x14ac:dyDescent="0.2">
      <c r="A4">
        <v>1998</v>
      </c>
      <c r="B4" s="23">
        <v>-581745</v>
      </c>
      <c r="C4" s="22">
        <v>865.91197796143263</v>
      </c>
    </row>
    <row r="5" spans="1:3" x14ac:dyDescent="0.2">
      <c r="A5">
        <v>1999</v>
      </c>
      <c r="B5" s="23">
        <v>-222346</v>
      </c>
      <c r="C5" s="22">
        <v>860.25560330578514</v>
      </c>
    </row>
    <row r="6" spans="1:3" x14ac:dyDescent="0.2">
      <c r="A6">
        <v>2000</v>
      </c>
      <c r="B6" s="23">
        <v>675194</v>
      </c>
      <c r="C6" s="22">
        <v>917.37780716253451</v>
      </c>
    </row>
    <row r="7" spans="1:3" x14ac:dyDescent="0.2">
      <c r="A7">
        <v>2001</v>
      </c>
      <c r="B7" s="23">
        <v>586511</v>
      </c>
      <c r="C7" s="22">
        <v>931.84982920110178</v>
      </c>
    </row>
    <row r="8" spans="1:3" x14ac:dyDescent="0.2">
      <c r="A8">
        <v>2002</v>
      </c>
      <c r="B8" s="23">
        <v>468672</v>
      </c>
      <c r="C8" s="22">
        <v>953.7</v>
      </c>
    </row>
    <row r="9" spans="1:3" x14ac:dyDescent="0.2">
      <c r="A9">
        <v>2003</v>
      </c>
      <c r="B9" s="23">
        <v>710054</v>
      </c>
      <c r="C9" s="22">
        <v>956.80000000000007</v>
      </c>
    </row>
    <row r="10" spans="1:3" x14ac:dyDescent="0.2">
      <c r="A10">
        <v>2004</v>
      </c>
      <c r="B10" s="23">
        <v>1523276</v>
      </c>
      <c r="C10" s="22">
        <v>1036.6000000000001</v>
      </c>
    </row>
    <row r="11" spans="1:3" x14ac:dyDescent="0.2">
      <c r="A11">
        <v>2005</v>
      </c>
      <c r="B11" s="23">
        <v>1253999</v>
      </c>
      <c r="C11" s="22">
        <v>1065.7</v>
      </c>
    </row>
    <row r="12" spans="1:3" x14ac:dyDescent="0.2">
      <c r="A12">
        <v>2006</v>
      </c>
      <c r="B12" s="23">
        <v>1228686</v>
      </c>
      <c r="C12" s="22">
        <v>1094.5</v>
      </c>
    </row>
    <row r="13" spans="1:3" x14ac:dyDescent="0.2">
      <c r="A13">
        <v>2007</v>
      </c>
      <c r="B13" s="23">
        <v>1617392</v>
      </c>
      <c r="C13" s="22">
        <v>1159.2999999999997</v>
      </c>
    </row>
    <row r="14" spans="1:3" x14ac:dyDescent="0.2">
      <c r="A14">
        <v>2008</v>
      </c>
      <c r="B14" s="23">
        <v>1452205</v>
      </c>
      <c r="C14" s="22">
        <v>1194.9999999999998</v>
      </c>
    </row>
    <row r="15" spans="1:3" x14ac:dyDescent="0.2">
      <c r="A15">
        <v>2009</v>
      </c>
      <c r="B15" s="23">
        <v>995111</v>
      </c>
      <c r="C15" s="22">
        <v>1109.9000000000001</v>
      </c>
    </row>
    <row r="16" spans="1:3" x14ac:dyDescent="0.2">
      <c r="A16">
        <v>2010</v>
      </c>
      <c r="B16" s="23">
        <v>2136938</v>
      </c>
      <c r="C16" s="22">
        <v>1223.3</v>
      </c>
    </row>
    <row r="17" spans="1:3" x14ac:dyDescent="0.2">
      <c r="A17">
        <v>2011</v>
      </c>
      <c r="B17" s="23">
        <v>1566043</v>
      </c>
      <c r="C17" s="22">
        <v>1228.3</v>
      </c>
    </row>
    <row r="18" spans="1:3" x14ac:dyDescent="0.2">
      <c r="A18">
        <v>2012</v>
      </c>
      <c r="B18" s="23">
        <v>868241</v>
      </c>
      <c r="C18" s="22">
        <v>1200</v>
      </c>
    </row>
    <row r="19" spans="1:3" x14ac:dyDescent="0.2">
      <c r="A19">
        <v>2013</v>
      </c>
      <c r="B19" s="23">
        <v>730687</v>
      </c>
      <c r="C19" s="22">
        <v>1224.8999999999999</v>
      </c>
    </row>
    <row r="20" spans="1:3" x14ac:dyDescent="0.2">
      <c r="A20">
        <v>2014</v>
      </c>
      <c r="B20" s="23">
        <v>152714</v>
      </c>
      <c r="C20" s="22">
        <v>1187.8999999999999</v>
      </c>
    </row>
    <row r="21" spans="1:3" x14ac:dyDescent="0.2">
      <c r="A21">
        <v>2015</v>
      </c>
      <c r="B21" s="23">
        <v>-1625551</v>
      </c>
      <c r="C21" s="22">
        <v>1089.9000000000001</v>
      </c>
    </row>
    <row r="22" spans="1:3" x14ac:dyDescent="0.2">
      <c r="A22">
        <v>2016</v>
      </c>
      <c r="B22" s="23">
        <v>-1371363</v>
      </c>
      <c r="C22" s="22">
        <v>1018.4000000000001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Normal="100" workbookViewId="0">
      <selection activeCell="G35" sqref="G35:H35"/>
    </sheetView>
  </sheetViews>
  <sheetFormatPr defaultRowHeight="12.75" x14ac:dyDescent="0.2"/>
  <cols>
    <col min="1" max="1" width="11.7109375" bestFit="1" customWidth="1"/>
    <col min="2" max="2" width="17.5703125" bestFit="1" customWidth="1"/>
    <col min="3" max="3" width="20.42578125" bestFit="1" customWidth="1"/>
    <col min="4" max="4" width="11.5703125" bestFit="1" customWidth="1"/>
    <col min="5" max="5" width="19" bestFit="1" customWidth="1"/>
    <col min="7" max="7" width="13.28515625" bestFit="1" customWidth="1"/>
    <col min="8" max="8" width="10.5703125" bestFit="1" customWidth="1"/>
    <col min="9" max="9" width="9.5703125" bestFit="1" customWidth="1"/>
  </cols>
  <sheetData>
    <row r="1" spans="1:16" x14ac:dyDescent="0.2">
      <c r="B1">
        <v>20</v>
      </c>
      <c r="C1">
        <v>21</v>
      </c>
    </row>
    <row r="2" spans="1:16" x14ac:dyDescent="0.2">
      <c r="A2" t="s">
        <v>413</v>
      </c>
      <c r="B2" t="s">
        <v>423</v>
      </c>
      <c r="C2" t="s">
        <v>420</v>
      </c>
      <c r="D2" t="s">
        <v>425</v>
      </c>
      <c r="E2" t="s">
        <v>428</v>
      </c>
    </row>
    <row r="3" spans="1:16" x14ac:dyDescent="0.2">
      <c r="A3">
        <v>1995</v>
      </c>
      <c r="B3" s="31">
        <f>VLOOKUP(A3,MAIN!$B$4:$W$507,$B$1,FALSE)</f>
        <v>2.5854015006464042E-2</v>
      </c>
      <c r="C3" s="27">
        <f>VLOOKUP(A3,MAIN!$B$4:$W$507,$C$1,FALSE)</f>
        <v>-200246</v>
      </c>
      <c r="D3" s="7">
        <f>362014.066454871+13836575.3151153*B3</f>
        <v>719745.09228993184</v>
      </c>
      <c r="E3" s="22">
        <f>$G$35+$H$35*B3</f>
        <v>1359767.7367190379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6" x14ac:dyDescent="0.2">
      <c r="A4">
        <v>1996</v>
      </c>
      <c r="B4" s="31">
        <f>VLOOKUP(A4,MAIN!$B$4:$W$507,$B$1,FALSE)</f>
        <v>1.8044521750152864E-2</v>
      </c>
      <c r="C4" s="27">
        <f>VLOOKUP(A4,MAIN!$B$4:$W$507,$C$1,FALSE)</f>
        <v>-271226</v>
      </c>
      <c r="D4" s="7">
        <f t="shared" ref="D4:D24" si="0">362014.066454871+13836575.3151153*B4</f>
        <v>611688.45067609719</v>
      </c>
      <c r="E4" s="22">
        <f t="shared" ref="E4:E24" si="1">$G$35+$H$35*B4</f>
        <v>1158645.887410732</v>
      </c>
      <c r="P4">
        <v>1</v>
      </c>
    </row>
    <row r="5" spans="1:16" x14ac:dyDescent="0.2">
      <c r="A5">
        <v>1997</v>
      </c>
      <c r="B5" s="31">
        <f>VLOOKUP(A5,MAIN!$B$4:$W$507,$B$1,FALSE)</f>
        <v>3.9574538220679828E-2</v>
      </c>
      <c r="C5" s="27">
        <f>VLOOKUP(A5,MAIN!$B$4:$W$507,$C$1,FALSE)</f>
        <v>-35735</v>
      </c>
      <c r="D5" s="7">
        <f t="shared" si="0"/>
        <v>909590.14510621643</v>
      </c>
      <c r="E5" s="22">
        <f t="shared" si="1"/>
        <v>1713119.3450440154</v>
      </c>
      <c r="P5">
        <v>1</v>
      </c>
    </row>
    <row r="6" spans="1:16" x14ac:dyDescent="0.2">
      <c r="A6">
        <v>1998</v>
      </c>
      <c r="B6" s="31">
        <f>VLOOKUP(A6,MAIN!$B$4:$W$507,$B$1,FALSE)</f>
        <v>-1.9428258626988631E-2</v>
      </c>
      <c r="C6" s="27">
        <f>VLOOKUP(A6,MAIN!$B$4:$W$507,$C$1,FALSE)</f>
        <v>-581745</v>
      </c>
      <c r="D6" s="7">
        <f t="shared" si="0"/>
        <v>93193.502721004246</v>
      </c>
      <c r="E6" s="22">
        <f t="shared" si="1"/>
        <v>193590.32736090984</v>
      </c>
      <c r="P6">
        <v>1</v>
      </c>
    </row>
    <row r="7" spans="1:16" x14ac:dyDescent="0.2">
      <c r="A7">
        <v>1999</v>
      </c>
      <c r="B7" s="31">
        <f>VLOOKUP(A7,MAIN!$B$4:$W$507,$B$1,FALSE)</f>
        <v>-6.0710871066181242E-3</v>
      </c>
      <c r="C7" s="27">
        <f>VLOOKUP(A7,MAIN!$B$4:$W$507,$C$1,FALSE)</f>
        <v>-222346</v>
      </c>
      <c r="D7" s="7">
        <f t="shared" si="0"/>
        <v>278011.01245952386</v>
      </c>
      <c r="E7" s="22">
        <f t="shared" si="1"/>
        <v>537584.35482666688</v>
      </c>
      <c r="P7">
        <v>1</v>
      </c>
    </row>
    <row r="8" spans="1:16" x14ac:dyDescent="0.2">
      <c r="A8">
        <v>2000</v>
      </c>
      <c r="B8" s="31">
        <f>VLOOKUP(A8,MAIN!$B$4:$W$507,$B$1,FALSE)</f>
        <v>6.7490971959408966E-2</v>
      </c>
      <c r="C8" s="27">
        <f>VLOOKUP(A8,MAIN!$B$4:$W$507,$C$1,FALSE)</f>
        <v>675194</v>
      </c>
      <c r="D8" s="7">
        <f t="shared" si="0"/>
        <v>1295857.9830615679</v>
      </c>
      <c r="E8" s="22">
        <f t="shared" si="1"/>
        <v>2432065.4527301434</v>
      </c>
      <c r="P8">
        <v>1</v>
      </c>
    </row>
    <row r="9" spans="1:16" x14ac:dyDescent="0.2">
      <c r="A9">
        <v>2001</v>
      </c>
      <c r="B9" s="31">
        <f>VLOOKUP(A9,MAIN!$B$4:$W$507,$B$1,FALSE)</f>
        <v>1.8069759808308956E-2</v>
      </c>
      <c r="C9" s="27">
        <f>VLOOKUP(A9,MAIN!$B$4:$W$507,$C$1,FALSE)</f>
        <v>586511</v>
      </c>
      <c r="D9" s="7">
        <f t="shared" si="0"/>
        <v>612037.65896858124</v>
      </c>
      <c r="E9" s="22">
        <f t="shared" si="1"/>
        <v>1159295.8559506498</v>
      </c>
      <c r="P9">
        <v>1</v>
      </c>
    </row>
    <row r="10" spans="1:16" x14ac:dyDescent="0.2">
      <c r="A10">
        <v>2002</v>
      </c>
      <c r="B10" s="31">
        <f>VLOOKUP(A10,MAIN!$B$4:$W$507,$B$1,FALSE)</f>
        <v>2.3730583997346465E-2</v>
      </c>
      <c r="C10" s="27">
        <f>VLOOKUP(A10,MAIN!$B$4:$W$507,$C$1,FALSE)</f>
        <v>468672</v>
      </c>
      <c r="D10" s="7">
        <f t="shared" si="0"/>
        <v>690364.07920582523</v>
      </c>
      <c r="E10" s="22">
        <f t="shared" si="1"/>
        <v>1305081.9386248789</v>
      </c>
      <c r="P10">
        <v>1</v>
      </c>
    </row>
    <row r="11" spans="1:16" x14ac:dyDescent="0.2">
      <c r="A11">
        <v>2003</v>
      </c>
      <c r="B11" s="31">
        <f>VLOOKUP(A11,MAIN!$B$4:$W$507,$B$1,FALSE)</f>
        <v>3.8797688781345798E-3</v>
      </c>
      <c r="C11" s="27">
        <f>VLOOKUP(A11,MAIN!$B$4:$W$507,$C$1,FALSE)</f>
        <v>710054</v>
      </c>
      <c r="D11" s="7">
        <f t="shared" si="0"/>
        <v>415696.78074242047</v>
      </c>
      <c r="E11" s="22">
        <f t="shared" si="1"/>
        <v>793853.80691137479</v>
      </c>
      <c r="P11">
        <v>1</v>
      </c>
    </row>
    <row r="12" spans="1:16" x14ac:dyDescent="0.2">
      <c r="A12">
        <v>2004</v>
      </c>
      <c r="B12" s="31">
        <f>VLOOKUP(A12,MAIN!$B$4:$W$507,$B$1,FALSE)</f>
        <v>8.3321797679050999E-2</v>
      </c>
      <c r="C12" s="27">
        <f>VLOOKUP(A12,MAIN!$B$4:$W$507,$C$1,FALSE)</f>
        <v>1523276</v>
      </c>
      <c r="D12" s="7">
        <f t="shared" si="0"/>
        <v>1514902.3954318594</v>
      </c>
      <c r="E12" s="22">
        <f t="shared" si="1"/>
        <v>2839764.7541206446</v>
      </c>
      <c r="P12">
        <v>1</v>
      </c>
    </row>
    <row r="13" spans="1:16" x14ac:dyDescent="0.2">
      <c r="A13">
        <v>2005</v>
      </c>
      <c r="B13" s="31">
        <f>VLOOKUP(A13,MAIN!$B$4:$W$507,$B$1,FALSE)</f>
        <v>2.8984298879304603E-2</v>
      </c>
      <c r="C13" s="27">
        <f>VLOOKUP(A13,MAIN!$B$4:$W$507,$C$1,FALSE)</f>
        <v>1253999</v>
      </c>
      <c r="D13" s="7">
        <f t="shared" si="0"/>
        <v>763057.50085418113</v>
      </c>
      <c r="E13" s="22">
        <f t="shared" si="1"/>
        <v>1440383.5283847619</v>
      </c>
      <c r="P13">
        <v>1</v>
      </c>
    </row>
    <row r="14" spans="1:16" x14ac:dyDescent="0.2">
      <c r="A14">
        <v>2006</v>
      </c>
      <c r="B14" s="31">
        <f>VLOOKUP(A14,MAIN!$B$4:$W$507,$B$1,FALSE)</f>
        <v>2.716571957535931E-2</v>
      </c>
      <c r="C14" s="27">
        <f>VLOOKUP(A14,MAIN!$B$4:$W$507,$C$1,FALSE)</f>
        <v>1228686</v>
      </c>
      <c r="D14" s="7">
        <f t="shared" si="0"/>
        <v>737894.59134863201</v>
      </c>
      <c r="E14" s="22">
        <f t="shared" si="1"/>
        <v>1393548.7312066345</v>
      </c>
      <c r="P14">
        <v>1</v>
      </c>
    </row>
    <row r="15" spans="1:16" x14ac:dyDescent="0.2">
      <c r="A15">
        <v>2007</v>
      </c>
      <c r="B15" s="31">
        <f>VLOOKUP(A15,MAIN!$B$4:$W$507,$B$1,FALSE)</f>
        <v>5.8508019955925805E-2</v>
      </c>
      <c r="C15" s="27">
        <f>VLOOKUP(A15,MAIN!$B$4:$W$507,$C$1,FALSE)</f>
        <v>1617392</v>
      </c>
      <c r="D15" s="7">
        <f t="shared" si="0"/>
        <v>1171564.6911133071</v>
      </c>
      <c r="E15" s="22">
        <f t="shared" si="1"/>
        <v>2200722.9238498937</v>
      </c>
      <c r="P15">
        <v>1</v>
      </c>
    </row>
    <row r="16" spans="1:16" x14ac:dyDescent="0.2">
      <c r="A16">
        <v>2008</v>
      </c>
      <c r="B16" s="31">
        <f>VLOOKUP(A16,MAIN!$B$4:$W$507,$B$1,FALSE)</f>
        <v>3.2413365368966669E-2</v>
      </c>
      <c r="C16" s="27">
        <f>VLOOKUP(A16,MAIN!$B$4:$W$507,$C$1,FALSE)</f>
        <v>1452205</v>
      </c>
      <c r="D16" s="7">
        <f t="shared" si="0"/>
        <v>810504.0375989282</v>
      </c>
      <c r="E16" s="22">
        <f t="shared" si="1"/>
        <v>1528694.0206493698</v>
      </c>
      <c r="P16">
        <v>1</v>
      </c>
    </row>
    <row r="17" spans="1:16" x14ac:dyDescent="0.2">
      <c r="A17">
        <v>2009</v>
      </c>
      <c r="B17" s="31">
        <f>VLOOKUP(A17,MAIN!$B$4:$W$507,$B$1,FALSE)</f>
        <v>-6.7422877740722684E-2</v>
      </c>
      <c r="C17" s="27">
        <f>VLOOKUP(A17,MAIN!$B$4:$W$507,$C$1,FALSE)</f>
        <v>995111</v>
      </c>
      <c r="D17" s="7">
        <f t="shared" si="0"/>
        <v>-570887.65936644922</v>
      </c>
      <c r="E17" s="22">
        <f t="shared" si="1"/>
        <v>-1042439.4938059312</v>
      </c>
      <c r="P17">
        <v>1</v>
      </c>
    </row>
    <row r="18" spans="1:16" x14ac:dyDescent="0.2">
      <c r="A18">
        <v>2010</v>
      </c>
      <c r="B18" s="31">
        <f>VLOOKUP(A18,MAIN!$B$4:$W$507,$B$1,FALSE)</f>
        <v>0.10648093218221565</v>
      </c>
      <c r="C18" s="27">
        <f>VLOOKUP(A18,MAIN!$B$4:$W$507,$C$1,FALSE)</f>
        <v>2136938</v>
      </c>
      <c r="D18" s="7">
        <f t="shared" si="0"/>
        <v>1835345.5042177821</v>
      </c>
      <c r="E18" s="22">
        <f t="shared" si="1"/>
        <v>3436193.7165110144</v>
      </c>
      <c r="P18">
        <v>1</v>
      </c>
    </row>
    <row r="19" spans="1:16" x14ac:dyDescent="0.2">
      <c r="A19">
        <v>2011</v>
      </c>
      <c r="B19" s="31">
        <f>VLOOKUP(A19,MAIN!$B$4:$W$507,$B$1,FALSE)</f>
        <v>5.0171857457099829E-3</v>
      </c>
      <c r="C19" s="27">
        <f>VLOOKUP(A19,MAIN!$B$4:$W$507,$C$1,FALSE)</f>
        <v>1566043</v>
      </c>
      <c r="D19" s="7">
        <f t="shared" si="0"/>
        <v>431434.73489531007</v>
      </c>
      <c r="E19" s="22">
        <f t="shared" si="1"/>
        <v>823146.28163838165</v>
      </c>
    </row>
    <row r="20" spans="1:16" x14ac:dyDescent="0.2">
      <c r="A20">
        <v>2012</v>
      </c>
      <c r="B20" s="31">
        <f>VLOOKUP(A20,MAIN!$B$4:$W$507,$B$1,FALSE)</f>
        <v>-2.4010658287624626E-2</v>
      </c>
      <c r="C20" s="27">
        <f>VLOOKUP(A20,MAIN!$B$4:$W$507,$C$1,FALSE)</f>
        <v>868241</v>
      </c>
      <c r="D20" s="7">
        <f t="shared" si="0"/>
        <v>29788.784692655492</v>
      </c>
      <c r="E20" s="22">
        <f t="shared" si="1"/>
        <v>75577.459717793041</v>
      </c>
    </row>
    <row r="21" spans="1:16" x14ac:dyDescent="0.2">
      <c r="A21">
        <v>2013</v>
      </c>
      <c r="B21" s="31">
        <f>VLOOKUP(A21,MAIN!$B$4:$W$507,$B$1,FALSE)</f>
        <v>2.1236431978697717E-2</v>
      </c>
      <c r="C21" s="27">
        <f>VLOOKUP(A21,MAIN!$B$4:$W$507,$C$1,FALSE)</f>
        <v>730687</v>
      </c>
      <c r="D21" s="7">
        <f t="shared" si="0"/>
        <v>655853.55695244495</v>
      </c>
      <c r="E21" s="22">
        <f t="shared" si="1"/>
        <v>1240848.7739388996</v>
      </c>
    </row>
    <row r="22" spans="1:16" x14ac:dyDescent="0.2">
      <c r="A22">
        <v>2014</v>
      </c>
      <c r="B22" s="31">
        <f>VLOOKUP(A22,MAIN!$B$4:$W$507,$B$1,FALSE)</f>
        <v>-2.8932096633948589E-2</v>
      </c>
      <c r="C22" s="27">
        <f>VLOOKUP(A22,MAIN!$B$4:$W$507,$C$1,FALSE)</f>
        <v>152714</v>
      </c>
      <c r="D22" s="7">
        <f t="shared" si="0"/>
        <v>-38307.067644952505</v>
      </c>
      <c r="E22" s="22">
        <f t="shared" si="1"/>
        <v>-51166.843527437421</v>
      </c>
    </row>
    <row r="23" spans="1:16" x14ac:dyDescent="0.2">
      <c r="A23">
        <v>2015</v>
      </c>
      <c r="B23" s="31">
        <f>VLOOKUP(A23,MAIN!$B$4:$W$507,$B$1,FALSE)</f>
        <v>-8.2019250466017754E-2</v>
      </c>
      <c r="C23" s="27">
        <f>VLOOKUP(A23,MAIN!$B$4:$W$507,$C$1,FALSE)</f>
        <v>-1625551</v>
      </c>
      <c r="D23" s="7">
        <f t="shared" si="0"/>
        <v>-772851.46990748926</v>
      </c>
      <c r="E23" s="22">
        <f t="shared" si="1"/>
        <v>-1418347.2997742943</v>
      </c>
    </row>
    <row r="24" spans="1:16" x14ac:dyDescent="0.2">
      <c r="A24">
        <v>2016</v>
      </c>
      <c r="B24" s="31">
        <f>VLOOKUP(A24,MAIN!$B$4:$W$507,$B$1,FALSE)</f>
        <v>-6.4971812128265971E-2</v>
      </c>
      <c r="C24" s="27">
        <f>VLOOKUP(A24,MAIN!$B$4:$W$507,$C$1,FALSE)</f>
        <v>-1371363</v>
      </c>
      <c r="D24" s="7">
        <f t="shared" si="0"/>
        <v>-536973.30541740276</v>
      </c>
      <c r="E24" s="22">
        <f t="shared" si="1"/>
        <v>-979315.95523895626</v>
      </c>
    </row>
    <row r="25" spans="1:16" x14ac:dyDescent="0.2">
      <c r="O25">
        <v>1</v>
      </c>
      <c r="P25" t="s">
        <v>413</v>
      </c>
    </row>
    <row r="26" spans="1:16" x14ac:dyDescent="0.2">
      <c r="O26">
        <v>2</v>
      </c>
      <c r="P26" t="s">
        <v>414</v>
      </c>
    </row>
    <row r="27" spans="1:16" x14ac:dyDescent="0.2">
      <c r="B27" t="s">
        <v>427</v>
      </c>
      <c r="C27" t="s">
        <v>426</v>
      </c>
      <c r="D27" t="s">
        <v>430</v>
      </c>
      <c r="E27" t="s">
        <v>434</v>
      </c>
      <c r="O27">
        <v>3</v>
      </c>
      <c r="P27" t="s">
        <v>402</v>
      </c>
    </row>
    <row r="28" spans="1:16" x14ac:dyDescent="0.2">
      <c r="A28" t="s">
        <v>431</v>
      </c>
      <c r="B28" s="29">
        <v>-28619.258490566001</v>
      </c>
      <c r="C28" s="29">
        <v>677657.22791050398</v>
      </c>
      <c r="D28" s="29">
        <v>355628.94530343998</v>
      </c>
      <c r="E28" s="29">
        <v>693936.14690000005</v>
      </c>
      <c r="H28" s="22"/>
      <c r="I28" s="22"/>
      <c r="O28">
        <v>4</v>
      </c>
      <c r="P28" t="s">
        <v>403</v>
      </c>
    </row>
    <row r="29" spans="1:16" x14ac:dyDescent="0.2">
      <c r="B29" s="29">
        <v>191366.77517755801</v>
      </c>
      <c r="C29" s="29">
        <v>199046.678603523</v>
      </c>
      <c r="D29" s="29">
        <v>164013.32492950399</v>
      </c>
      <c r="E29" s="29"/>
      <c r="H29" s="22"/>
      <c r="I29" s="22"/>
      <c r="O29">
        <v>5</v>
      </c>
      <c r="P29" t="s">
        <v>402</v>
      </c>
    </row>
    <row r="30" spans="1:16" x14ac:dyDescent="0.2">
      <c r="B30" s="29"/>
      <c r="C30" s="29"/>
      <c r="D30" s="29"/>
      <c r="E30" s="29"/>
      <c r="O30">
        <v>6</v>
      </c>
      <c r="P30" t="s">
        <v>403</v>
      </c>
    </row>
    <row r="31" spans="1:16" x14ac:dyDescent="0.2">
      <c r="A31" t="s">
        <v>432</v>
      </c>
      <c r="B31" s="29">
        <v>81570.960377358497</v>
      </c>
      <c r="C31" s="29">
        <v>156257.639742131</v>
      </c>
      <c r="D31" s="29">
        <v>136916.935833011</v>
      </c>
      <c r="E31" s="30">
        <v>257535.08290000001</v>
      </c>
      <c r="O31">
        <v>7</v>
      </c>
      <c r="P31" t="s">
        <v>402</v>
      </c>
    </row>
    <row r="32" spans="1:16" x14ac:dyDescent="0.2">
      <c r="B32" s="29">
        <v>60182.066601302002</v>
      </c>
      <c r="C32" s="29">
        <v>35229.182297492203</v>
      </c>
      <c r="D32" s="29">
        <v>34199.142345228203</v>
      </c>
      <c r="E32" s="29"/>
      <c r="O32">
        <v>8</v>
      </c>
      <c r="P32" t="s">
        <v>403</v>
      </c>
    </row>
    <row r="33" spans="1:16" x14ac:dyDescent="0.2">
      <c r="O33">
        <v>9</v>
      </c>
      <c r="P33" t="s">
        <v>409</v>
      </c>
    </row>
    <row r="34" spans="1:16" x14ac:dyDescent="0.2">
      <c r="A34" t="s">
        <v>433</v>
      </c>
      <c r="B34" s="28">
        <v>0.20799999999999999</v>
      </c>
      <c r="C34" s="28">
        <v>0.64100000000000001</v>
      </c>
      <c r="D34" s="28">
        <v>0.44500000000000001</v>
      </c>
      <c r="O34">
        <v>10</v>
      </c>
      <c r="P34" t="s">
        <v>410</v>
      </c>
    </row>
    <row r="35" spans="1:16" x14ac:dyDescent="0.2">
      <c r="G35">
        <v>693936.14694942534</v>
      </c>
      <c r="H35">
        <v>25753508.288872764</v>
      </c>
      <c r="O35">
        <v>11</v>
      </c>
      <c r="P35" t="s">
        <v>411</v>
      </c>
    </row>
    <row r="36" spans="1:16" x14ac:dyDescent="0.2">
      <c r="J36" s="24">
        <v>10838680835062</v>
      </c>
      <c r="L36">
        <v>19820123671910.602</v>
      </c>
      <c r="M36">
        <v>8981442836848.5703</v>
      </c>
      <c r="O36">
        <v>12</v>
      </c>
      <c r="P36" t="s">
        <v>412</v>
      </c>
    </row>
    <row r="37" spans="1:16" x14ac:dyDescent="0.2">
      <c r="J37">
        <f>SQRT(J36)</f>
        <v>3292215.1866276907</v>
      </c>
      <c r="L37" s="25">
        <f>J36/L36</f>
        <v>0.54685233122045318</v>
      </c>
      <c r="M37" s="26">
        <f>M36/L36</f>
        <v>0.45314766877954527</v>
      </c>
      <c r="O37">
        <v>13</v>
      </c>
      <c r="P37" t="s">
        <v>415</v>
      </c>
    </row>
    <row r="38" spans="1:16" x14ac:dyDescent="0.2">
      <c r="O38">
        <v>14</v>
      </c>
      <c r="P38" t="s">
        <v>416</v>
      </c>
    </row>
    <row r="39" spans="1:16" x14ac:dyDescent="0.2">
      <c r="O39">
        <v>15</v>
      </c>
      <c r="P39" t="s">
        <v>422</v>
      </c>
    </row>
    <row r="40" spans="1:16" x14ac:dyDescent="0.2">
      <c r="O40">
        <v>16</v>
      </c>
      <c r="P40" t="s">
        <v>421</v>
      </c>
    </row>
    <row r="41" spans="1:16" x14ac:dyDescent="0.2">
      <c r="G41">
        <v>-0.14955186690067701</v>
      </c>
      <c r="H41">
        <v>0.88533584497268802</v>
      </c>
      <c r="O41">
        <v>17</v>
      </c>
      <c r="P41" t="s">
        <v>417</v>
      </c>
    </row>
    <row r="42" spans="1:16" x14ac:dyDescent="0.2">
      <c r="G42">
        <v>1.3554031123217301</v>
      </c>
      <c r="H42">
        <v>0.21739427636825001</v>
      </c>
      <c r="O42">
        <v>18</v>
      </c>
      <c r="P42" t="s">
        <v>418</v>
      </c>
    </row>
    <row r="43" spans="1:16" x14ac:dyDescent="0.2">
      <c r="O43">
        <v>19</v>
      </c>
      <c r="P43" t="s">
        <v>419</v>
      </c>
    </row>
    <row r="44" spans="1:16" x14ac:dyDescent="0.2">
      <c r="O44">
        <v>20</v>
      </c>
      <c r="P44" t="s">
        <v>423</v>
      </c>
    </row>
    <row r="45" spans="1:16" x14ac:dyDescent="0.2">
      <c r="O45">
        <v>21</v>
      </c>
      <c r="P45" t="s">
        <v>420</v>
      </c>
    </row>
    <row r="46" spans="1:16" x14ac:dyDescent="0.2">
      <c r="G46">
        <v>3.4045141203301101</v>
      </c>
      <c r="H46">
        <v>5.8819897911517203E-3</v>
      </c>
      <c r="O46">
        <v>22</v>
      </c>
      <c r="P46" t="s">
        <v>429</v>
      </c>
    </row>
    <row r="47" spans="1:16" x14ac:dyDescent="0.2">
      <c r="G47">
        <v>4.43546030738427</v>
      </c>
      <c r="H47">
        <v>1.00251692321288E-3</v>
      </c>
    </row>
    <row r="50" spans="7:8" x14ac:dyDescent="0.2">
      <c r="G50">
        <v>2.16829300580484</v>
      </c>
      <c r="H50">
        <v>4.2372350525153202E-2</v>
      </c>
    </row>
    <row r="51" spans="7:8" x14ac:dyDescent="0.2">
      <c r="G51">
        <v>4.0035195751660497</v>
      </c>
      <c r="H51">
        <v>6.9775748147069905E-4</v>
      </c>
    </row>
  </sheetData>
  <conditionalFormatting sqref="P25:P46">
    <cfRule type="expression" dxfId="0" priority="1">
      <formula>_xlfn.ISFORMULA(P25)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4" workbookViewId="0">
      <selection activeCell="F37" sqref="F37"/>
    </sheetView>
  </sheetViews>
  <sheetFormatPr defaultRowHeight="12.75" x14ac:dyDescent="0.2"/>
  <sheetData>
    <row r="1" spans="1:13" x14ac:dyDescent="0.2">
      <c r="K1" t="s">
        <v>413</v>
      </c>
      <c r="L1" t="s">
        <v>423</v>
      </c>
      <c r="M1" t="s">
        <v>420</v>
      </c>
    </row>
    <row r="2" spans="1:13" x14ac:dyDescent="0.2">
      <c r="A2">
        <v>1976</v>
      </c>
      <c r="B2">
        <v>0.11994057037818573</v>
      </c>
      <c r="K2">
        <v>1976</v>
      </c>
      <c r="L2">
        <v>0.11994057037818573</v>
      </c>
    </row>
    <row r="3" spans="1:13" x14ac:dyDescent="0.2">
      <c r="A3">
        <v>1977</v>
      </c>
      <c r="B3">
        <v>2.1080313866975332E-2</v>
      </c>
      <c r="K3">
        <v>1977</v>
      </c>
      <c r="L3">
        <v>2.1080313866975332E-2</v>
      </c>
    </row>
    <row r="4" spans="1:13" x14ac:dyDescent="0.2">
      <c r="A4">
        <v>1978</v>
      </c>
      <c r="B4">
        <v>6.1492149279961515E-2</v>
      </c>
      <c r="K4">
        <v>1978</v>
      </c>
      <c r="L4">
        <v>6.1492149279961515E-2</v>
      </c>
    </row>
    <row r="5" spans="1:13" x14ac:dyDescent="0.2">
      <c r="A5">
        <v>1979</v>
      </c>
      <c r="B5">
        <v>7.004910049369524E-2</v>
      </c>
      <c r="K5">
        <v>1979</v>
      </c>
      <c r="L5">
        <v>7.004910049369524E-2</v>
      </c>
    </row>
    <row r="6" spans="1:13" x14ac:dyDescent="0.2">
      <c r="A6">
        <v>1980</v>
      </c>
      <c r="B6">
        <v>9.2310142721229504E-2</v>
      </c>
      <c r="K6">
        <v>1980</v>
      </c>
      <c r="L6">
        <v>9.2310142721229504E-2</v>
      </c>
    </row>
    <row r="7" spans="1:13" x14ac:dyDescent="0.2">
      <c r="A7">
        <v>1981</v>
      </c>
      <c r="B7">
        <v>-9.8712194410515264E-2</v>
      </c>
      <c r="K7">
        <v>1981</v>
      </c>
      <c r="L7">
        <v>-9.8712194410515264E-2</v>
      </c>
    </row>
    <row r="8" spans="1:13" x14ac:dyDescent="0.2">
      <c r="A8">
        <v>1982</v>
      </c>
      <c r="B8">
        <v>2.4584611190541411E-4</v>
      </c>
      <c r="K8">
        <v>1982</v>
      </c>
      <c r="L8">
        <v>2.4584611190541411E-4</v>
      </c>
    </row>
    <row r="9" spans="1:13" x14ac:dyDescent="0.2">
      <c r="A9">
        <v>1983</v>
      </c>
      <c r="B9">
        <v>-5.0398151332013474E-2</v>
      </c>
      <c r="K9">
        <v>1983</v>
      </c>
      <c r="L9">
        <v>-5.0398151332013474E-2</v>
      </c>
    </row>
    <row r="10" spans="1:13" x14ac:dyDescent="0.2">
      <c r="A10">
        <v>1984</v>
      </c>
      <c r="B10">
        <v>7.0774781491381597E-2</v>
      </c>
      <c r="K10">
        <v>1984</v>
      </c>
      <c r="L10">
        <v>7.0774781491381597E-2</v>
      </c>
    </row>
    <row r="11" spans="1:13" x14ac:dyDescent="0.2">
      <c r="A11">
        <v>1985</v>
      </c>
      <c r="B11">
        <v>8.4242277805570198E-2</v>
      </c>
      <c r="K11">
        <v>1985</v>
      </c>
      <c r="L11">
        <v>8.4242277805570198E-2</v>
      </c>
    </row>
    <row r="12" spans="1:13" x14ac:dyDescent="0.2">
      <c r="A12">
        <v>1986</v>
      </c>
      <c r="B12">
        <v>0.11054656684779335</v>
      </c>
      <c r="K12">
        <v>1986</v>
      </c>
      <c r="L12">
        <v>0.11054656684779335</v>
      </c>
    </row>
    <row r="13" spans="1:13" x14ac:dyDescent="0.2">
      <c r="A13">
        <v>1987</v>
      </c>
      <c r="B13">
        <v>1.5387935060318389E-2</v>
      </c>
      <c r="K13">
        <v>1987</v>
      </c>
      <c r="L13">
        <v>1.5387935060318389E-2</v>
      </c>
    </row>
    <row r="14" spans="1:13" x14ac:dyDescent="0.2">
      <c r="A14">
        <v>1988</v>
      </c>
      <c r="B14">
        <v>-3.2879187948003319E-2</v>
      </c>
      <c r="K14">
        <v>1988</v>
      </c>
      <c r="L14">
        <v>-3.2879187948003319E-2</v>
      </c>
    </row>
    <row r="15" spans="1:13" x14ac:dyDescent="0.2">
      <c r="A15">
        <v>1989</v>
      </c>
      <c r="B15">
        <v>2.6708740104321033E-2</v>
      </c>
      <c r="K15">
        <v>1989</v>
      </c>
      <c r="L15">
        <v>2.6708740104321033E-2</v>
      </c>
    </row>
    <row r="16" spans="1:13" x14ac:dyDescent="0.2">
      <c r="A16">
        <v>1990</v>
      </c>
      <c r="B16">
        <v>-8.6185231796242531E-2</v>
      </c>
      <c r="K16">
        <v>1990</v>
      </c>
      <c r="L16">
        <v>-8.6185231796242531E-2</v>
      </c>
    </row>
    <row r="17" spans="1:13" x14ac:dyDescent="0.2">
      <c r="A17">
        <v>1991</v>
      </c>
      <c r="B17">
        <v>-1.6635893845082562E-2</v>
      </c>
      <c r="K17">
        <v>1991</v>
      </c>
      <c r="L17">
        <v>-1.6635893845082562E-2</v>
      </c>
    </row>
    <row r="18" spans="1:13" x14ac:dyDescent="0.2">
      <c r="A18">
        <v>1992</v>
      </c>
      <c r="B18">
        <v>-2.8451319933361984E-2</v>
      </c>
      <c r="K18">
        <v>1992</v>
      </c>
      <c r="L18">
        <v>-2.8451319933361984E-2</v>
      </c>
    </row>
    <row r="19" spans="1:13" x14ac:dyDescent="0.2">
      <c r="A19">
        <v>1993</v>
      </c>
      <c r="B19">
        <v>7.4603129469335241E-2</v>
      </c>
      <c r="K19">
        <v>1993</v>
      </c>
      <c r="L19">
        <v>7.4603129469335241E-2</v>
      </c>
    </row>
    <row r="20" spans="1:13" x14ac:dyDescent="0.2">
      <c r="A20">
        <v>1994</v>
      </c>
      <c r="B20">
        <v>7.5917620314110812E-2</v>
      </c>
      <c r="K20">
        <v>1994</v>
      </c>
      <c r="L20">
        <v>7.5917620314110812E-2</v>
      </c>
    </row>
    <row r="21" spans="1:13" x14ac:dyDescent="0.2">
      <c r="A21">
        <v>1995</v>
      </c>
      <c r="B21">
        <v>2.5854015006464042E-2</v>
      </c>
      <c r="K21">
        <v>1995</v>
      </c>
      <c r="L21">
        <v>2.5854015006464042E-2</v>
      </c>
      <c r="M21">
        <v>-200246</v>
      </c>
    </row>
    <row r="22" spans="1:13" x14ac:dyDescent="0.2">
      <c r="A22">
        <v>1996</v>
      </c>
      <c r="B22">
        <v>1.8044521750152864E-2</v>
      </c>
      <c r="K22">
        <v>1996</v>
      </c>
      <c r="L22">
        <v>1.8044521750152864E-2</v>
      </c>
      <c r="M22">
        <v>-271226</v>
      </c>
    </row>
    <row r="23" spans="1:13" x14ac:dyDescent="0.2">
      <c r="A23">
        <v>1997</v>
      </c>
      <c r="B23">
        <v>3.9574538220679828E-2</v>
      </c>
      <c r="K23">
        <v>1997</v>
      </c>
      <c r="L23">
        <v>3.9574538220679828E-2</v>
      </c>
      <c r="M23">
        <v>-35735</v>
      </c>
    </row>
    <row r="24" spans="1:13" x14ac:dyDescent="0.2">
      <c r="A24">
        <v>1998</v>
      </c>
      <c r="B24">
        <v>-1.9428258626988631E-2</v>
      </c>
      <c r="K24">
        <v>1998</v>
      </c>
      <c r="L24">
        <v>-1.9428258626988631E-2</v>
      </c>
      <c r="M24">
        <v>-581745</v>
      </c>
    </row>
    <row r="25" spans="1:13" x14ac:dyDescent="0.2">
      <c r="A25">
        <v>1999</v>
      </c>
      <c r="B25">
        <v>-6.0710871066181242E-3</v>
      </c>
      <c r="K25">
        <v>1999</v>
      </c>
      <c r="L25">
        <v>-6.0710871066181242E-3</v>
      </c>
      <c r="M25">
        <v>-222346</v>
      </c>
    </row>
    <row r="26" spans="1:13" x14ac:dyDescent="0.2">
      <c r="A26">
        <v>2000</v>
      </c>
      <c r="B26">
        <v>6.7490971959408966E-2</v>
      </c>
      <c r="K26">
        <v>2000</v>
      </c>
      <c r="L26">
        <v>6.7490971959408966E-2</v>
      </c>
      <c r="M26">
        <v>675194</v>
      </c>
    </row>
    <row r="27" spans="1:13" x14ac:dyDescent="0.2">
      <c r="A27">
        <v>2001</v>
      </c>
      <c r="B27">
        <v>1.8069759808308956E-2</v>
      </c>
      <c r="K27">
        <v>2001</v>
      </c>
      <c r="L27">
        <v>1.8069759808308956E-2</v>
      </c>
      <c r="M27">
        <v>586511</v>
      </c>
    </row>
    <row r="28" spans="1:13" x14ac:dyDescent="0.2">
      <c r="A28">
        <v>2002</v>
      </c>
      <c r="B28">
        <v>2.3730583997346465E-2</v>
      </c>
      <c r="K28">
        <v>2002</v>
      </c>
      <c r="L28">
        <v>2.3730583997346465E-2</v>
      </c>
      <c r="M28">
        <v>468672</v>
      </c>
    </row>
    <row r="29" spans="1:13" x14ac:dyDescent="0.2">
      <c r="A29">
        <v>2003</v>
      </c>
      <c r="B29">
        <v>3.8797688781345798E-3</v>
      </c>
      <c r="K29">
        <v>2003</v>
      </c>
      <c r="L29">
        <v>3.8797688781345798E-3</v>
      </c>
      <c r="M29">
        <v>710054</v>
      </c>
    </row>
    <row r="30" spans="1:13" x14ac:dyDescent="0.2">
      <c r="A30">
        <v>2004</v>
      </c>
      <c r="B30">
        <v>8.3321797679050999E-2</v>
      </c>
      <c r="K30">
        <v>2004</v>
      </c>
      <c r="L30">
        <v>8.3321797679050999E-2</v>
      </c>
      <c r="M30">
        <v>1523276</v>
      </c>
    </row>
    <row r="31" spans="1:13" x14ac:dyDescent="0.2">
      <c r="A31">
        <v>2005</v>
      </c>
      <c r="B31">
        <v>2.8984298879304603E-2</v>
      </c>
      <c r="K31">
        <v>2005</v>
      </c>
      <c r="L31">
        <v>2.8984298879304603E-2</v>
      </c>
      <c r="M31">
        <v>1253999</v>
      </c>
    </row>
    <row r="32" spans="1:13" x14ac:dyDescent="0.2">
      <c r="A32">
        <v>2006</v>
      </c>
      <c r="B32">
        <v>2.716571957535931E-2</v>
      </c>
      <c r="K32">
        <v>2006</v>
      </c>
      <c r="L32">
        <v>2.716571957535931E-2</v>
      </c>
      <c r="M32">
        <v>1228686</v>
      </c>
    </row>
    <row r="33" spans="1:13" x14ac:dyDescent="0.2">
      <c r="A33">
        <v>2007</v>
      </c>
      <c r="B33">
        <v>5.8508019955925805E-2</v>
      </c>
      <c r="K33">
        <v>2007</v>
      </c>
      <c r="L33">
        <v>5.8508019955925805E-2</v>
      </c>
      <c r="M33">
        <v>1617392</v>
      </c>
    </row>
    <row r="34" spans="1:13" x14ac:dyDescent="0.2">
      <c r="A34">
        <v>2008</v>
      </c>
      <c r="B34">
        <v>3.2413365368966669E-2</v>
      </c>
      <c r="K34">
        <v>2008</v>
      </c>
      <c r="L34">
        <v>3.2413365368966669E-2</v>
      </c>
      <c r="M34">
        <v>1452205</v>
      </c>
    </row>
    <row r="35" spans="1:13" x14ac:dyDescent="0.2">
      <c r="A35">
        <v>2009</v>
      </c>
      <c r="B35">
        <v>-6.7422877740722684E-2</v>
      </c>
      <c r="K35">
        <v>2009</v>
      </c>
      <c r="L35">
        <v>-6.7422877740722684E-2</v>
      </c>
      <c r="M35">
        <v>995111</v>
      </c>
    </row>
    <row r="36" spans="1:13" x14ac:dyDescent="0.2">
      <c r="A36">
        <v>2010</v>
      </c>
      <c r="B36">
        <v>0.10648093218221565</v>
      </c>
      <c r="K36">
        <v>2010</v>
      </c>
      <c r="L36">
        <v>0.10648093218221565</v>
      </c>
      <c r="M36">
        <v>2136938</v>
      </c>
    </row>
    <row r="37" spans="1:13" x14ac:dyDescent="0.2">
      <c r="A37">
        <v>2011</v>
      </c>
      <c r="B37">
        <v>5.0171857457099829E-3</v>
      </c>
      <c r="K37">
        <v>2011</v>
      </c>
      <c r="L37">
        <v>5.0171857457099829E-3</v>
      </c>
      <c r="M37">
        <v>1566043</v>
      </c>
    </row>
    <row r="38" spans="1:13" x14ac:dyDescent="0.2">
      <c r="A38">
        <v>2012</v>
      </c>
      <c r="B38">
        <v>-2.4010658287624626E-2</v>
      </c>
      <c r="K38">
        <v>2012</v>
      </c>
      <c r="L38">
        <v>-2.4010658287624626E-2</v>
      </c>
      <c r="M38">
        <v>868241</v>
      </c>
    </row>
    <row r="39" spans="1:13" x14ac:dyDescent="0.2">
      <c r="A39">
        <v>2013</v>
      </c>
      <c r="B39">
        <v>2.1236431978697717E-2</v>
      </c>
      <c r="K39">
        <v>2013</v>
      </c>
      <c r="L39">
        <v>2.1236431978697717E-2</v>
      </c>
      <c r="M39">
        <v>730687</v>
      </c>
    </row>
    <row r="40" spans="1:13" x14ac:dyDescent="0.2">
      <c r="A40">
        <v>2014</v>
      </c>
      <c r="B40">
        <v>-2.8932096633948589E-2</v>
      </c>
      <c r="K40">
        <v>2014</v>
      </c>
      <c r="L40">
        <v>-2.8932096633948589E-2</v>
      </c>
      <c r="M40">
        <v>152714</v>
      </c>
    </row>
    <row r="41" spans="1:13" x14ac:dyDescent="0.2">
      <c r="A41">
        <v>2015</v>
      </c>
      <c r="B41">
        <v>-8.2019250466017754E-2</v>
      </c>
      <c r="K41">
        <v>2015</v>
      </c>
      <c r="L41">
        <v>-8.2019250466017754E-2</v>
      </c>
      <c r="M41">
        <v>-1625551</v>
      </c>
    </row>
    <row r="42" spans="1:13" x14ac:dyDescent="0.2">
      <c r="A42">
        <v>2016</v>
      </c>
      <c r="B42">
        <v>-6.4971812128265971E-2</v>
      </c>
      <c r="K42">
        <v>2016</v>
      </c>
      <c r="L42">
        <v>-6.4971812128265971E-2</v>
      </c>
      <c r="M42">
        <v>-1371363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29" sqref="A2:B229"/>
    </sheetView>
  </sheetViews>
  <sheetFormatPr defaultRowHeight="12.75" x14ac:dyDescent="0.2"/>
  <cols>
    <col min="1" max="1" width="9.140625" style="5"/>
    <col min="2" max="2" width="12" style="5" bestFit="1" customWidth="1"/>
    <col min="3" max="3" width="11.7109375" style="5" bestFit="1" customWidth="1"/>
    <col min="4" max="16384" width="9.140625" style="5"/>
  </cols>
  <sheetData>
    <row r="1" spans="1:7" x14ac:dyDescent="0.2">
      <c r="A1" s="5" t="s">
        <v>401</v>
      </c>
      <c r="B1" s="10" t="s">
        <v>405</v>
      </c>
      <c r="C1" s="10" t="s">
        <v>406</v>
      </c>
      <c r="D1" s="10"/>
      <c r="E1" s="10"/>
      <c r="F1" s="10"/>
      <c r="G1" s="10"/>
    </row>
    <row r="2" spans="1:7" x14ac:dyDescent="0.2">
      <c r="A2" s="11">
        <v>27395</v>
      </c>
      <c r="B2" s="5">
        <v>40.694753593154104</v>
      </c>
      <c r="C2" s="5">
        <v>42.203499999999998</v>
      </c>
      <c r="D2" s="5">
        <f>LN(B2)</f>
        <v>3.7060991797945624</v>
      </c>
      <c r="E2" s="5">
        <f>LN(C2)</f>
        <v>3.7425031559913937</v>
      </c>
      <c r="F2" s="5">
        <f>D2-D1</f>
        <v>3.7060991797945624</v>
      </c>
      <c r="G2" s="5">
        <f>E2-E1</f>
        <v>3.7425031559913937</v>
      </c>
    </row>
    <row r="3" spans="1:7" x14ac:dyDescent="0.2">
      <c r="A3" s="11">
        <v>27426</v>
      </c>
      <c r="B3" s="5">
        <v>38.181290255854236</v>
      </c>
      <c r="C3" s="5">
        <v>42.02</v>
      </c>
      <c r="D3" s="5">
        <f t="shared" ref="D3:E66" si="0">LN(B3)</f>
        <v>3.6423456117510655</v>
      </c>
      <c r="E3" s="5">
        <f t="shared" si="0"/>
        <v>3.7381456954168546</v>
      </c>
      <c r="F3" s="5">
        <f t="shared" ref="F3:G66" si="1">D3-D2</f>
        <v>-6.3753568043496855E-2</v>
      </c>
      <c r="G3" s="5">
        <f t="shared" si="1"/>
        <v>-4.3574605745391182E-3</v>
      </c>
    </row>
    <row r="4" spans="1:7" x14ac:dyDescent="0.2">
      <c r="A4" s="11">
        <v>27454</v>
      </c>
      <c r="B4" s="5">
        <v>41.352310016359716</v>
      </c>
      <c r="C4" s="5">
        <v>41.602200000000003</v>
      </c>
      <c r="D4" s="5">
        <f t="shared" si="0"/>
        <v>3.7221282848756889</v>
      </c>
      <c r="E4" s="5">
        <f t="shared" si="0"/>
        <v>3.7281530504842602</v>
      </c>
      <c r="F4" s="5">
        <f t="shared" si="1"/>
        <v>7.9782673124623393E-2</v>
      </c>
      <c r="G4" s="5">
        <f t="shared" si="1"/>
        <v>-9.9926449325944411E-3</v>
      </c>
    </row>
    <row r="5" spans="1:7" x14ac:dyDescent="0.2">
      <c r="A5" s="11">
        <v>27485</v>
      </c>
      <c r="B5" s="5">
        <v>43.570794771287062</v>
      </c>
      <c r="C5" s="5">
        <v>41.706600000000002</v>
      </c>
      <c r="D5" s="5">
        <f t="shared" si="0"/>
        <v>3.7743870812135447</v>
      </c>
      <c r="E5" s="5">
        <f t="shared" si="0"/>
        <v>3.7306593896621405</v>
      </c>
      <c r="F5" s="5">
        <f t="shared" si="1"/>
        <v>5.2258796337855795E-2</v>
      </c>
      <c r="G5" s="5">
        <f t="shared" si="1"/>
        <v>2.5063391778803457E-3</v>
      </c>
    </row>
    <row r="6" spans="1:7" x14ac:dyDescent="0.2">
      <c r="A6" s="11">
        <v>27515</v>
      </c>
      <c r="B6" s="5">
        <v>43.724429449606092</v>
      </c>
      <c r="C6" s="5">
        <v>41.499899999999997</v>
      </c>
      <c r="D6" s="5">
        <f t="shared" si="0"/>
        <v>3.7779069722113237</v>
      </c>
      <c r="E6" s="5">
        <f t="shared" si="0"/>
        <v>3.7256910175951949</v>
      </c>
      <c r="F6" s="5">
        <f t="shared" si="1"/>
        <v>3.5198909977789405E-3</v>
      </c>
      <c r="G6" s="5">
        <f t="shared" si="1"/>
        <v>-4.9683720669455589E-3</v>
      </c>
    </row>
    <row r="7" spans="1:7" x14ac:dyDescent="0.2">
      <c r="A7" s="11">
        <v>27546</v>
      </c>
      <c r="B7" s="5">
        <v>45.174740812938033</v>
      </c>
      <c r="C7" s="5">
        <v>42.703600000000002</v>
      </c>
      <c r="D7" s="5">
        <f t="shared" si="0"/>
        <v>3.8105380990614575</v>
      </c>
      <c r="E7" s="5">
        <f t="shared" si="0"/>
        <v>3.7542832258142531</v>
      </c>
      <c r="F7" s="5">
        <f t="shared" si="1"/>
        <v>3.2631126850133807E-2</v>
      </c>
      <c r="G7" s="5">
        <f t="shared" si="1"/>
        <v>2.8592208219058168E-2</v>
      </c>
    </row>
    <row r="8" spans="1:7" x14ac:dyDescent="0.2">
      <c r="A8" s="11">
        <v>27576</v>
      </c>
      <c r="B8" s="5">
        <v>46.877013048713337</v>
      </c>
      <c r="C8" s="5">
        <v>40.905500000000004</v>
      </c>
      <c r="D8" s="5">
        <f t="shared" si="0"/>
        <v>3.8475274284076808</v>
      </c>
      <c r="E8" s="5">
        <f t="shared" si="0"/>
        <v>3.7112645283355228</v>
      </c>
      <c r="F8" s="5">
        <f t="shared" si="1"/>
        <v>3.6989329346223343E-2</v>
      </c>
      <c r="G8" s="5">
        <f t="shared" si="1"/>
        <v>-4.3018697478730328E-2</v>
      </c>
    </row>
    <row r="9" spans="1:7" x14ac:dyDescent="0.2">
      <c r="A9" s="11">
        <v>27607</v>
      </c>
      <c r="B9" s="5">
        <v>46.022804237259294</v>
      </c>
      <c r="C9" s="5">
        <v>42.557699999999997</v>
      </c>
      <c r="D9" s="5">
        <f t="shared" si="0"/>
        <v>3.8291370179367377</v>
      </c>
      <c r="E9" s="5">
        <f t="shared" si="0"/>
        <v>3.750860802219719</v>
      </c>
      <c r="F9" s="5">
        <f t="shared" si="1"/>
        <v>-1.8390410470943142E-2</v>
      </c>
      <c r="G9" s="5">
        <f t="shared" si="1"/>
        <v>3.9596273884196176E-2</v>
      </c>
    </row>
    <row r="10" spans="1:7" x14ac:dyDescent="0.2">
      <c r="A10" s="11">
        <v>27638</v>
      </c>
      <c r="B10" s="5">
        <v>47.178137018218628</v>
      </c>
      <c r="C10" s="5">
        <v>43.923200000000001</v>
      </c>
      <c r="D10" s="5">
        <f t="shared" si="0"/>
        <v>3.853930586515268</v>
      </c>
      <c r="E10" s="5">
        <f t="shared" si="0"/>
        <v>3.7824426542921237</v>
      </c>
      <c r="F10" s="5">
        <f t="shared" si="1"/>
        <v>2.4793568578530323E-2</v>
      </c>
      <c r="G10" s="5">
        <f t="shared" si="1"/>
        <v>3.1581852072404715E-2</v>
      </c>
    </row>
    <row r="11" spans="1:7" x14ac:dyDescent="0.2">
      <c r="A11" s="11">
        <v>27668</v>
      </c>
      <c r="B11" s="5">
        <v>48.812809995533541</v>
      </c>
      <c r="C11" s="5">
        <v>44.157899999999998</v>
      </c>
      <c r="D11" s="5">
        <f t="shared" si="0"/>
        <v>3.8879927783205028</v>
      </c>
      <c r="E11" s="5">
        <f t="shared" si="0"/>
        <v>3.7877718464902701</v>
      </c>
      <c r="F11" s="5">
        <f t="shared" si="1"/>
        <v>3.4062191805234843E-2</v>
      </c>
      <c r="G11" s="5">
        <f t="shared" si="1"/>
        <v>5.3291921981464263E-3</v>
      </c>
    </row>
    <row r="12" spans="1:7" x14ac:dyDescent="0.2">
      <c r="A12" s="11">
        <v>27699</v>
      </c>
      <c r="B12" s="5">
        <v>45.752407203417782</v>
      </c>
      <c r="C12" s="5">
        <v>43.698799999999999</v>
      </c>
      <c r="D12" s="5">
        <f t="shared" si="0"/>
        <v>3.8232444068054807</v>
      </c>
      <c r="E12" s="5">
        <f t="shared" si="0"/>
        <v>3.7773206417702796</v>
      </c>
      <c r="F12" s="5">
        <f t="shared" si="1"/>
        <v>-6.4748371515022107E-2</v>
      </c>
      <c r="G12" s="5">
        <f t="shared" si="1"/>
        <v>-1.0451204719990503E-2</v>
      </c>
    </row>
    <row r="13" spans="1:7" x14ac:dyDescent="0.2">
      <c r="A13" s="11">
        <v>27729</v>
      </c>
      <c r="B13" s="5">
        <v>44.39427664707717</v>
      </c>
      <c r="C13" s="5">
        <v>43.442300000000003</v>
      </c>
      <c r="D13" s="5">
        <f t="shared" si="0"/>
        <v>3.7931105567841912</v>
      </c>
      <c r="E13" s="5">
        <f t="shared" si="0"/>
        <v>3.7714336208170605</v>
      </c>
      <c r="F13" s="5">
        <f t="shared" si="1"/>
        <v>-3.0133850021289543E-2</v>
      </c>
      <c r="G13" s="5">
        <f t="shared" si="1"/>
        <v>-5.8870209532191353E-3</v>
      </c>
    </row>
    <row r="14" spans="1:7" x14ac:dyDescent="0.2">
      <c r="A14" s="11">
        <v>27760</v>
      </c>
      <c r="B14" s="5">
        <v>43.951808773518302</v>
      </c>
      <c r="C14" s="5">
        <v>43.846499999999999</v>
      </c>
      <c r="D14" s="5">
        <f t="shared" si="0"/>
        <v>3.7830937785407208</v>
      </c>
      <c r="E14" s="5">
        <f t="shared" si="0"/>
        <v>3.780694898072738</v>
      </c>
      <c r="F14" s="5">
        <f t="shared" si="1"/>
        <v>-1.0016778243470359E-2</v>
      </c>
      <c r="G14" s="5">
        <f t="shared" si="1"/>
        <v>9.2612772556774914E-3</v>
      </c>
    </row>
    <row r="15" spans="1:7" x14ac:dyDescent="0.2">
      <c r="A15" s="11">
        <v>27791</v>
      </c>
      <c r="B15" s="5">
        <v>45.076414618813857</v>
      </c>
      <c r="C15" s="5">
        <v>45.151000000000003</v>
      </c>
      <c r="D15" s="5">
        <f t="shared" si="0"/>
        <v>3.8083591522644529</v>
      </c>
      <c r="E15" s="5">
        <f t="shared" si="0"/>
        <v>3.810012428011964</v>
      </c>
      <c r="F15" s="5">
        <f t="shared" si="1"/>
        <v>2.5265373723732054E-2</v>
      </c>
      <c r="G15" s="5">
        <f t="shared" si="1"/>
        <v>2.9317529939226095E-2</v>
      </c>
    </row>
    <row r="16" spans="1:7" x14ac:dyDescent="0.2">
      <c r="A16" s="11">
        <v>27820</v>
      </c>
      <c r="B16" s="5">
        <v>48.155253572327929</v>
      </c>
      <c r="C16" s="5">
        <v>45.440199999999997</v>
      </c>
      <c r="D16" s="5">
        <f t="shared" si="0"/>
        <v>3.8744302407518019</v>
      </c>
      <c r="E16" s="5">
        <f t="shared" si="0"/>
        <v>3.8163971758116606</v>
      </c>
      <c r="F16" s="5">
        <f t="shared" si="1"/>
        <v>6.6071088487348995E-2</v>
      </c>
      <c r="G16" s="5">
        <f t="shared" si="1"/>
        <v>6.3847477996965551E-3</v>
      </c>
    </row>
    <row r="17" spans="1:7" x14ac:dyDescent="0.2">
      <c r="A17" s="11">
        <v>27851</v>
      </c>
      <c r="B17" s="5">
        <v>47.092101598360003</v>
      </c>
      <c r="C17" s="5">
        <v>45.061700000000002</v>
      </c>
      <c r="D17" s="5">
        <f t="shared" si="0"/>
        <v>3.8521052926577752</v>
      </c>
      <c r="E17" s="5">
        <f t="shared" si="0"/>
        <v>3.8080326617669136</v>
      </c>
      <c r="F17" s="5">
        <f t="shared" si="1"/>
        <v>-2.2324948094026631E-2</v>
      </c>
      <c r="G17" s="5">
        <f t="shared" si="1"/>
        <v>-8.364514044747029E-3</v>
      </c>
    </row>
    <row r="18" spans="1:7" x14ac:dyDescent="0.2">
      <c r="A18" s="11">
        <v>27881</v>
      </c>
      <c r="B18" s="5">
        <v>49.728472678315129</v>
      </c>
      <c r="C18" s="5">
        <v>45.791699999999999</v>
      </c>
      <c r="D18" s="5">
        <f t="shared" si="0"/>
        <v>3.9065776599750062</v>
      </c>
      <c r="E18" s="5">
        <f t="shared" si="0"/>
        <v>3.8241028519898967</v>
      </c>
      <c r="F18" s="5">
        <f t="shared" si="1"/>
        <v>5.447236731723093E-2</v>
      </c>
      <c r="G18" s="5">
        <f t="shared" si="1"/>
        <v>1.6070190222983172E-2</v>
      </c>
    </row>
    <row r="19" spans="1:7" x14ac:dyDescent="0.2">
      <c r="A19" s="11">
        <v>27912</v>
      </c>
      <c r="B19" s="5">
        <v>51.264819461505859</v>
      </c>
      <c r="C19" s="5">
        <v>46.774299999999997</v>
      </c>
      <c r="D19" s="5">
        <f t="shared" si="0"/>
        <v>3.937004736444262</v>
      </c>
      <c r="E19" s="5">
        <f t="shared" si="0"/>
        <v>3.8453339067889529</v>
      </c>
      <c r="F19" s="5">
        <f t="shared" si="1"/>
        <v>3.0427076469255798E-2</v>
      </c>
      <c r="G19" s="5">
        <f t="shared" si="1"/>
        <v>2.1231054799056182E-2</v>
      </c>
    </row>
    <row r="20" spans="1:7" x14ac:dyDescent="0.2">
      <c r="A20" s="11">
        <v>27942</v>
      </c>
      <c r="B20" s="5">
        <v>52.229645241349537</v>
      </c>
      <c r="C20" s="5">
        <v>44.566400000000002</v>
      </c>
      <c r="D20" s="5">
        <f t="shared" si="0"/>
        <v>3.9556502501859967</v>
      </c>
      <c r="E20" s="5">
        <f t="shared" si="0"/>
        <v>3.7969802118766358</v>
      </c>
      <c r="F20" s="5">
        <f t="shared" si="1"/>
        <v>1.8645513741734732E-2</v>
      </c>
      <c r="G20" s="5">
        <f t="shared" si="1"/>
        <v>-4.8353694912317113E-2</v>
      </c>
    </row>
    <row r="21" spans="1:7" x14ac:dyDescent="0.2">
      <c r="A21" s="11">
        <v>27973</v>
      </c>
      <c r="B21" s="5">
        <v>52.752003147634355</v>
      </c>
      <c r="C21" s="5">
        <v>45.85</v>
      </c>
      <c r="D21" s="5">
        <f t="shared" si="0"/>
        <v>3.9656017459979047</v>
      </c>
      <c r="E21" s="5">
        <f t="shared" si="0"/>
        <v>3.8253751987024738</v>
      </c>
      <c r="F21" s="5">
        <f t="shared" si="1"/>
        <v>9.9514958119080177E-3</v>
      </c>
      <c r="G21" s="5">
        <f t="shared" si="1"/>
        <v>2.8394986825837965E-2</v>
      </c>
    </row>
    <row r="22" spans="1:7" x14ac:dyDescent="0.2">
      <c r="A22" s="11">
        <v>28004</v>
      </c>
      <c r="B22" s="5">
        <v>51.897794336180397</v>
      </c>
      <c r="C22" s="5">
        <v>46.877600000000001</v>
      </c>
      <c r="D22" s="5">
        <f t="shared" si="0"/>
        <v>3.9492762909292716</v>
      </c>
      <c r="E22" s="5">
        <f t="shared" si="0"/>
        <v>3.8475399494190228</v>
      </c>
      <c r="F22" s="5">
        <f t="shared" si="1"/>
        <v>-1.6325455068633143E-2</v>
      </c>
      <c r="G22" s="5">
        <f t="shared" si="1"/>
        <v>2.2164750716548998E-2</v>
      </c>
    </row>
    <row r="23" spans="1:7" x14ac:dyDescent="0.2">
      <c r="A23" s="11">
        <v>28034</v>
      </c>
      <c r="B23" s="5">
        <v>53.557048862026299</v>
      </c>
      <c r="C23" s="5">
        <v>47.1648</v>
      </c>
      <c r="D23" s="5">
        <f t="shared" si="0"/>
        <v>3.9807474196414923</v>
      </c>
      <c r="E23" s="5">
        <f t="shared" si="0"/>
        <v>3.8536478516603019</v>
      </c>
      <c r="F23" s="5">
        <f t="shared" si="1"/>
        <v>3.1471128712220686E-2</v>
      </c>
      <c r="G23" s="5">
        <f t="shared" si="1"/>
        <v>6.1079022412791062E-3</v>
      </c>
    </row>
    <row r="24" spans="1:7" x14ac:dyDescent="0.2">
      <c r="A24" s="11">
        <v>28065</v>
      </c>
      <c r="B24" s="5">
        <v>50.386029101520741</v>
      </c>
      <c r="C24" s="5">
        <v>47.2136</v>
      </c>
      <c r="D24" s="5">
        <f t="shared" si="0"/>
        <v>3.9197139362835478</v>
      </c>
      <c r="E24" s="5">
        <f t="shared" si="0"/>
        <v>3.854681986681642</v>
      </c>
      <c r="F24" s="5">
        <f t="shared" si="1"/>
        <v>-6.1033483357944451E-2</v>
      </c>
      <c r="G24" s="5">
        <f t="shared" si="1"/>
        <v>1.0341350213400879E-3</v>
      </c>
    </row>
    <row r="25" spans="1:7" x14ac:dyDescent="0.2">
      <c r="A25" s="11">
        <v>28095</v>
      </c>
      <c r="B25" s="5">
        <v>48.935717738188799</v>
      </c>
      <c r="C25" s="5">
        <v>46.916699999999999</v>
      </c>
      <c r="D25" s="5">
        <f t="shared" si="0"/>
        <v>3.8905075539448157</v>
      </c>
      <c r="E25" s="5">
        <f t="shared" si="0"/>
        <v>3.8483736888310114</v>
      </c>
      <c r="F25" s="5">
        <f t="shared" si="1"/>
        <v>-2.9206382338732073E-2</v>
      </c>
      <c r="G25" s="5">
        <f t="shared" si="1"/>
        <v>-6.3082978506305842E-3</v>
      </c>
    </row>
    <row r="26" spans="1:7" x14ac:dyDescent="0.2">
      <c r="A26" s="11">
        <v>28126</v>
      </c>
      <c r="B26" s="5">
        <v>45.266921619929519</v>
      </c>
      <c r="C26" s="5">
        <v>46.460599999999999</v>
      </c>
      <c r="D26" s="5">
        <f t="shared" si="0"/>
        <v>3.8125765586923817</v>
      </c>
      <c r="E26" s="5">
        <f t="shared" si="0"/>
        <v>3.8386046415937853</v>
      </c>
      <c r="F26" s="5">
        <f t="shared" si="1"/>
        <v>-7.7930995252434077E-2</v>
      </c>
      <c r="G26" s="5">
        <f t="shared" si="1"/>
        <v>-9.7690472372260473E-3</v>
      </c>
    </row>
    <row r="27" spans="1:7" x14ac:dyDescent="0.2">
      <c r="A27" s="11">
        <v>28157</v>
      </c>
      <c r="B27" s="5">
        <v>43.828901030863044</v>
      </c>
      <c r="C27" s="5">
        <v>48.1051</v>
      </c>
      <c r="D27" s="5">
        <f t="shared" si="0"/>
        <v>3.7802934406704014</v>
      </c>
      <c r="E27" s="5">
        <f t="shared" si="0"/>
        <v>3.8733882005970561</v>
      </c>
      <c r="F27" s="5">
        <f t="shared" si="1"/>
        <v>-3.228311802198025E-2</v>
      </c>
      <c r="G27" s="5">
        <f t="shared" si="1"/>
        <v>3.4783559003270792E-2</v>
      </c>
    </row>
    <row r="28" spans="1:7" x14ac:dyDescent="0.2">
      <c r="A28" s="11">
        <v>28185</v>
      </c>
      <c r="B28" s="5">
        <v>51.375436429895579</v>
      </c>
      <c r="C28" s="5">
        <v>49.024700000000003</v>
      </c>
      <c r="D28" s="5">
        <f t="shared" si="0"/>
        <v>3.9391601677661185</v>
      </c>
      <c r="E28" s="5">
        <f t="shared" si="0"/>
        <v>3.8923242527368127</v>
      </c>
      <c r="F28" s="5">
        <f t="shared" si="1"/>
        <v>0.15886672709571714</v>
      </c>
      <c r="G28" s="5">
        <f t="shared" si="1"/>
        <v>1.8936052139756576E-2</v>
      </c>
    </row>
    <row r="29" spans="1:7" x14ac:dyDescent="0.2">
      <c r="A29" s="11">
        <v>28216</v>
      </c>
      <c r="B29" s="5">
        <v>47.700494924503523</v>
      </c>
      <c r="C29" s="5">
        <v>49.0105</v>
      </c>
      <c r="D29" s="5">
        <f t="shared" si="0"/>
        <v>3.8649417736162226</v>
      </c>
      <c r="E29" s="5">
        <f t="shared" si="0"/>
        <v>3.8920345608690079</v>
      </c>
      <c r="F29" s="5">
        <f t="shared" si="1"/>
        <v>-7.421839414989595E-2</v>
      </c>
      <c r="G29" s="5">
        <f t="shared" si="1"/>
        <v>-2.8969186780480882E-4</v>
      </c>
    </row>
    <row r="30" spans="1:7" x14ac:dyDescent="0.2">
      <c r="A30" s="11">
        <v>28246</v>
      </c>
      <c r="B30" s="5">
        <v>52.530769210854913</v>
      </c>
      <c r="C30" s="5">
        <v>49.581000000000003</v>
      </c>
      <c r="D30" s="5">
        <f t="shared" si="0"/>
        <v>3.9613990781264086</v>
      </c>
      <c r="E30" s="5">
        <f t="shared" si="0"/>
        <v>3.9036076958267989</v>
      </c>
      <c r="F30" s="5">
        <f t="shared" si="1"/>
        <v>9.6457304510185971E-2</v>
      </c>
      <c r="G30" s="5">
        <f t="shared" si="1"/>
        <v>1.1573134957790998E-2</v>
      </c>
    </row>
    <row r="31" spans="1:7" x14ac:dyDescent="0.2">
      <c r="A31" s="11">
        <v>28277</v>
      </c>
      <c r="B31" s="5">
        <v>52.493896888058366</v>
      </c>
      <c r="C31" s="5">
        <v>51.018000000000001</v>
      </c>
      <c r="D31" s="5">
        <f t="shared" si="0"/>
        <v>3.9606969130887828</v>
      </c>
      <c r="E31" s="5">
        <f t="shared" si="0"/>
        <v>3.9321785116317103</v>
      </c>
      <c r="F31" s="5">
        <f t="shared" si="1"/>
        <v>-7.0216503762576821E-4</v>
      </c>
      <c r="G31" s="5">
        <f t="shared" si="1"/>
        <v>2.8570815804911387E-2</v>
      </c>
    </row>
    <row r="32" spans="1:7" x14ac:dyDescent="0.2">
      <c r="A32" s="11">
        <v>28307</v>
      </c>
      <c r="B32" s="5">
        <v>52.284953725544405</v>
      </c>
      <c r="C32" s="5">
        <v>48.5381</v>
      </c>
      <c r="D32" s="5">
        <f t="shared" si="0"/>
        <v>3.9567086380074983</v>
      </c>
      <c r="E32" s="5">
        <f t="shared" si="0"/>
        <v>3.8823490565574832</v>
      </c>
      <c r="F32" s="5">
        <f t="shared" si="1"/>
        <v>-3.9882750812845202E-3</v>
      </c>
      <c r="G32" s="5">
        <f t="shared" si="1"/>
        <v>-4.9829455074227091E-2</v>
      </c>
    </row>
    <row r="33" spans="1:7" x14ac:dyDescent="0.2">
      <c r="A33" s="11">
        <v>28338</v>
      </c>
      <c r="B33" s="5">
        <v>54.362094576418187</v>
      </c>
      <c r="C33" s="5">
        <v>49.317999999999998</v>
      </c>
      <c r="D33" s="5">
        <f t="shared" si="0"/>
        <v>3.9956671201156428</v>
      </c>
      <c r="E33" s="5">
        <f t="shared" si="0"/>
        <v>3.8982891259735037</v>
      </c>
      <c r="F33" s="5">
        <f t="shared" si="1"/>
        <v>3.8958482108144565E-2</v>
      </c>
      <c r="G33" s="5">
        <f t="shared" si="1"/>
        <v>1.5940069416020552E-2</v>
      </c>
    </row>
    <row r="34" spans="1:7" x14ac:dyDescent="0.2">
      <c r="A34" s="11">
        <v>28369</v>
      </c>
      <c r="B34" s="5">
        <v>52.205063692818548</v>
      </c>
      <c r="C34" s="5">
        <v>50.667999999999999</v>
      </c>
      <c r="D34" s="5">
        <f t="shared" si="0"/>
        <v>3.9551794957934039</v>
      </c>
      <c r="E34" s="5">
        <f t="shared" si="0"/>
        <v>3.9252945476213861</v>
      </c>
      <c r="F34" s="5">
        <f t="shared" si="1"/>
        <v>-4.0487624322238958E-2</v>
      </c>
      <c r="G34" s="5">
        <f t="shared" si="1"/>
        <v>2.7005421647882333E-2</v>
      </c>
    </row>
    <row r="35" spans="1:7" x14ac:dyDescent="0.2">
      <c r="A35" s="11">
        <v>28399</v>
      </c>
      <c r="B35" s="5">
        <v>53.833591283000615</v>
      </c>
      <c r="C35" s="5">
        <v>51.005800000000001</v>
      </c>
      <c r="D35" s="5">
        <f t="shared" si="0"/>
        <v>3.9858976456178081</v>
      </c>
      <c r="E35" s="5">
        <f t="shared" si="0"/>
        <v>3.9319393517482686</v>
      </c>
      <c r="F35" s="5">
        <f t="shared" si="1"/>
        <v>3.0718149824404239E-2</v>
      </c>
      <c r="G35" s="5">
        <f t="shared" si="1"/>
        <v>6.6448041268825087E-3</v>
      </c>
    </row>
    <row r="36" spans="1:7" x14ac:dyDescent="0.2">
      <c r="A36" s="11">
        <v>28430</v>
      </c>
      <c r="B36" s="5">
        <v>52.155900595756464</v>
      </c>
      <c r="C36" s="5">
        <v>50.331200000000003</v>
      </c>
      <c r="D36" s="5">
        <f t="shared" si="0"/>
        <v>3.9542373216570486</v>
      </c>
      <c r="E36" s="5">
        <f t="shared" si="0"/>
        <v>3.918625163142623</v>
      </c>
      <c r="F36" s="5">
        <f t="shared" si="1"/>
        <v>-3.1660323960759573E-2</v>
      </c>
      <c r="G36" s="5">
        <f t="shared" si="1"/>
        <v>-1.3314188605645594E-2</v>
      </c>
    </row>
    <row r="37" spans="1:7" x14ac:dyDescent="0.2">
      <c r="A37" s="11">
        <v>28460</v>
      </c>
      <c r="B37" s="5">
        <v>49.562547225730654</v>
      </c>
      <c r="C37" s="5">
        <v>49.685200000000002</v>
      </c>
      <c r="D37" s="5">
        <f t="shared" si="0"/>
        <v>3.9032354522466814</v>
      </c>
      <c r="E37" s="5">
        <f t="shared" si="0"/>
        <v>3.9057071020349916</v>
      </c>
      <c r="F37" s="5">
        <f t="shared" si="1"/>
        <v>-5.1001869410367107E-2</v>
      </c>
      <c r="G37" s="5">
        <f t="shared" si="1"/>
        <v>-1.2918061107631384E-2</v>
      </c>
    </row>
    <row r="38" spans="1:7" x14ac:dyDescent="0.2">
      <c r="A38" s="11">
        <v>28491</v>
      </c>
      <c r="B38" s="5">
        <v>48.39492367050569</v>
      </c>
      <c r="C38" s="5">
        <v>48.846800000000002</v>
      </c>
      <c r="D38" s="5">
        <f t="shared" si="0"/>
        <v>3.8793949253812046</v>
      </c>
      <c r="E38" s="5">
        <f t="shared" si="0"/>
        <v>3.8886888696901178</v>
      </c>
      <c r="F38" s="5">
        <f t="shared" si="1"/>
        <v>-2.3840526865476885E-2</v>
      </c>
      <c r="G38" s="5">
        <f t="shared" si="1"/>
        <v>-1.7018232344873763E-2</v>
      </c>
    </row>
    <row r="39" spans="1:7" x14ac:dyDescent="0.2">
      <c r="A39" s="11">
        <v>28522</v>
      </c>
      <c r="B39" s="5">
        <v>45.942914204533452</v>
      </c>
      <c r="C39" s="5">
        <v>50.154699999999998</v>
      </c>
      <c r="D39" s="5">
        <f t="shared" si="0"/>
        <v>3.8273996302628253</v>
      </c>
      <c r="E39" s="5">
        <f t="shared" si="0"/>
        <v>3.9151122288600777</v>
      </c>
      <c r="F39" s="5">
        <f t="shared" si="1"/>
        <v>-5.1995295118379303E-2</v>
      </c>
      <c r="G39" s="5">
        <f t="shared" si="1"/>
        <v>2.6423359169959859E-2</v>
      </c>
    </row>
    <row r="40" spans="1:7" x14ac:dyDescent="0.2">
      <c r="A40" s="11">
        <v>28550</v>
      </c>
      <c r="B40" s="5">
        <v>52.788875470430987</v>
      </c>
      <c r="C40" s="5">
        <v>51.241700000000002</v>
      </c>
      <c r="D40" s="5">
        <f t="shared" si="0"/>
        <v>3.9663004766656722</v>
      </c>
      <c r="E40" s="5">
        <f t="shared" si="0"/>
        <v>3.9365536536834904</v>
      </c>
      <c r="F40" s="5">
        <f t="shared" si="1"/>
        <v>0.13890084640284694</v>
      </c>
      <c r="G40" s="5">
        <f t="shared" si="1"/>
        <v>2.1441424823412714E-2</v>
      </c>
    </row>
    <row r="41" spans="1:7" x14ac:dyDescent="0.2">
      <c r="A41" s="11">
        <v>28581</v>
      </c>
      <c r="B41" s="5">
        <v>51.00671320192982</v>
      </c>
      <c r="C41" s="5">
        <v>52.292499999999997</v>
      </c>
      <c r="D41" s="5">
        <f t="shared" si="0"/>
        <v>3.9319572554720605</v>
      </c>
      <c r="E41" s="5">
        <f t="shared" si="0"/>
        <v>3.9568529573459381</v>
      </c>
      <c r="F41" s="5">
        <f t="shared" si="1"/>
        <v>-3.4343221193611662E-2</v>
      </c>
      <c r="G41" s="5">
        <f t="shared" si="1"/>
        <v>2.0299303662447699E-2</v>
      </c>
    </row>
    <row r="42" spans="1:7" x14ac:dyDescent="0.2">
      <c r="A42" s="11">
        <v>28611</v>
      </c>
      <c r="B42" s="5">
        <v>53.913481315726557</v>
      </c>
      <c r="C42" s="5">
        <v>52.164200000000001</v>
      </c>
      <c r="D42" s="5">
        <f t="shared" si="0"/>
        <v>3.9873805638157553</v>
      </c>
      <c r="E42" s="5">
        <f t="shared" si="0"/>
        <v>3.9543964358491106</v>
      </c>
      <c r="F42" s="5">
        <f t="shared" si="1"/>
        <v>5.5423308343694799E-2</v>
      </c>
      <c r="G42" s="5">
        <f t="shared" si="1"/>
        <v>-2.4565214968275129E-3</v>
      </c>
    </row>
    <row r="43" spans="1:7" x14ac:dyDescent="0.2">
      <c r="A43" s="11">
        <v>28642</v>
      </c>
      <c r="B43" s="5">
        <v>54.300640705090636</v>
      </c>
      <c r="C43" s="5">
        <v>53.552399999999999</v>
      </c>
      <c r="D43" s="5">
        <f t="shared" si="0"/>
        <v>3.9945360262273799</v>
      </c>
      <c r="E43" s="5">
        <f t="shared" si="0"/>
        <v>3.9806606138166352</v>
      </c>
      <c r="F43" s="5">
        <f t="shared" si="1"/>
        <v>7.1554624116245691E-3</v>
      </c>
      <c r="G43" s="5">
        <f t="shared" si="1"/>
        <v>2.626417796752456E-2</v>
      </c>
    </row>
    <row r="44" spans="1:7" x14ac:dyDescent="0.2">
      <c r="A44" s="11">
        <v>28672</v>
      </c>
      <c r="B44" s="5">
        <v>55.154849516544594</v>
      </c>
      <c r="C44" s="5">
        <v>50.840800000000002</v>
      </c>
      <c r="D44" s="5">
        <f t="shared" si="0"/>
        <v>4.0101446750438505</v>
      </c>
      <c r="E44" s="5">
        <f t="shared" si="0"/>
        <v>3.9286991818386769</v>
      </c>
      <c r="F44" s="5">
        <f t="shared" si="1"/>
        <v>1.5608648816470616E-2</v>
      </c>
      <c r="G44" s="5">
        <f t="shared" si="1"/>
        <v>-5.1961431977958217E-2</v>
      </c>
    </row>
    <row r="45" spans="1:7" x14ac:dyDescent="0.2">
      <c r="A45" s="11">
        <v>28703</v>
      </c>
      <c r="B45" s="5">
        <v>59.143205765707563</v>
      </c>
      <c r="C45" s="5">
        <v>52.027500000000003</v>
      </c>
      <c r="D45" s="5">
        <f t="shared" si="0"/>
        <v>4.0799617193418865</v>
      </c>
      <c r="E45" s="5">
        <f t="shared" si="0"/>
        <v>3.9517724249454291</v>
      </c>
      <c r="F45" s="5">
        <f t="shared" si="1"/>
        <v>6.9817044298035924E-2</v>
      </c>
      <c r="G45" s="5">
        <f t="shared" si="1"/>
        <v>2.3073243106752184E-2</v>
      </c>
    </row>
    <row r="46" spans="1:7" x14ac:dyDescent="0.2">
      <c r="A46" s="11">
        <v>28734</v>
      </c>
      <c r="B46" s="5">
        <v>56.045930650795171</v>
      </c>
      <c r="C46" s="5">
        <v>53.371099999999998</v>
      </c>
      <c r="D46" s="5">
        <f t="shared" si="0"/>
        <v>4.0261715447557478</v>
      </c>
      <c r="E46" s="5">
        <f t="shared" si="0"/>
        <v>3.9772694009635075</v>
      </c>
      <c r="F46" s="5">
        <f t="shared" si="1"/>
        <v>-5.3790174586138662E-2</v>
      </c>
      <c r="G46" s="5">
        <f t="shared" si="1"/>
        <v>2.5496976018078321E-2</v>
      </c>
    </row>
    <row r="47" spans="1:7" x14ac:dyDescent="0.2">
      <c r="A47" s="11">
        <v>28764</v>
      </c>
      <c r="B47" s="5">
        <v>59.610255187797506</v>
      </c>
      <c r="C47" s="5">
        <v>54.019799999999996</v>
      </c>
      <c r="D47" s="5">
        <f t="shared" si="0"/>
        <v>4.0878276261788455</v>
      </c>
      <c r="E47" s="5">
        <f t="shared" si="0"/>
        <v>3.9893506460251462</v>
      </c>
      <c r="F47" s="5">
        <f t="shared" si="1"/>
        <v>6.1656081423097753E-2</v>
      </c>
      <c r="G47" s="5">
        <f t="shared" si="1"/>
        <v>1.2081245061638768E-2</v>
      </c>
    </row>
    <row r="48" spans="1:7" x14ac:dyDescent="0.2">
      <c r="A48" s="11">
        <v>28795</v>
      </c>
      <c r="B48" s="5">
        <v>55.941459069538219</v>
      </c>
      <c r="C48" s="5">
        <v>53.6175</v>
      </c>
      <c r="D48" s="5">
        <f t="shared" si="0"/>
        <v>4.0243057701926599</v>
      </c>
      <c r="E48" s="5">
        <f t="shared" si="0"/>
        <v>3.9818755073269796</v>
      </c>
      <c r="F48" s="5">
        <f t="shared" si="1"/>
        <v>-6.3521855986185649E-2</v>
      </c>
      <c r="G48" s="5">
        <f t="shared" si="1"/>
        <v>-7.4751386981666279E-3</v>
      </c>
    </row>
    <row r="49" spans="1:7" x14ac:dyDescent="0.2">
      <c r="A49" s="11">
        <v>28825</v>
      </c>
      <c r="B49" s="5">
        <v>52.868765503156922</v>
      </c>
      <c r="C49" s="5">
        <v>53.2104</v>
      </c>
      <c r="D49" s="5">
        <f t="shared" si="0"/>
        <v>3.9678127203087197</v>
      </c>
      <c r="E49" s="5">
        <f t="shared" si="0"/>
        <v>3.974253865963973</v>
      </c>
      <c r="F49" s="5">
        <f t="shared" si="1"/>
        <v>-5.6493049883940216E-2</v>
      </c>
      <c r="G49" s="5">
        <f t="shared" si="1"/>
        <v>-7.6216413630065816E-3</v>
      </c>
    </row>
    <row r="50" spans="1:7" x14ac:dyDescent="0.2">
      <c r="A50" s="11">
        <v>28856</v>
      </c>
      <c r="B50" s="5">
        <v>53.569339636291836</v>
      </c>
      <c r="C50" s="5">
        <v>52.588500000000003</v>
      </c>
      <c r="D50" s="5">
        <f t="shared" si="0"/>
        <v>3.9809768826989473</v>
      </c>
      <c r="E50" s="5">
        <f t="shared" si="0"/>
        <v>3.9624974646616766</v>
      </c>
      <c r="F50" s="5">
        <f t="shared" si="1"/>
        <v>1.3164162390227663E-2</v>
      </c>
      <c r="G50" s="5">
        <f t="shared" si="1"/>
        <v>-1.1756401302296382E-2</v>
      </c>
    </row>
    <row r="51" spans="1:7" x14ac:dyDescent="0.2">
      <c r="A51" s="11">
        <v>28887</v>
      </c>
      <c r="B51" s="5">
        <v>49.980433550758413</v>
      </c>
      <c r="C51" s="5">
        <v>54.075899999999997</v>
      </c>
      <c r="D51" s="5">
        <f t="shared" si="0"/>
        <v>3.9116315998541453</v>
      </c>
      <c r="E51" s="5">
        <f t="shared" si="0"/>
        <v>3.990388615251244</v>
      </c>
      <c r="F51" s="5">
        <f t="shared" si="1"/>
        <v>-6.9345282844802014E-2</v>
      </c>
      <c r="G51" s="5">
        <f t="shared" si="1"/>
        <v>2.7891150589567371E-2</v>
      </c>
    </row>
    <row r="52" spans="1:7" x14ac:dyDescent="0.2">
      <c r="A52" s="11">
        <v>28915</v>
      </c>
      <c r="B52" s="5">
        <v>55.726370519891468</v>
      </c>
      <c r="C52" s="5">
        <v>54.734000000000002</v>
      </c>
      <c r="D52" s="5">
        <f t="shared" si="0"/>
        <v>4.0204534733147899</v>
      </c>
      <c r="E52" s="5">
        <f t="shared" si="0"/>
        <v>4.0024850885440051</v>
      </c>
      <c r="F52" s="5">
        <f t="shared" si="1"/>
        <v>0.10882187346064454</v>
      </c>
      <c r="G52" s="5">
        <f t="shared" si="1"/>
        <v>1.209647329276109E-2</v>
      </c>
    </row>
    <row r="53" spans="1:7" x14ac:dyDescent="0.2">
      <c r="A53" s="11">
        <v>28946</v>
      </c>
      <c r="B53" s="5">
        <v>53.729119701743635</v>
      </c>
      <c r="C53" s="5">
        <v>53.040799999999997</v>
      </c>
      <c r="D53" s="5">
        <f t="shared" si="0"/>
        <v>3.9839551208682615</v>
      </c>
      <c r="E53" s="5">
        <f t="shared" si="0"/>
        <v>3.97106142872012</v>
      </c>
      <c r="F53" s="5">
        <f t="shared" si="1"/>
        <v>-3.6498352446528326E-2</v>
      </c>
      <c r="G53" s="5">
        <f t="shared" si="1"/>
        <v>-3.1423659823885064E-2</v>
      </c>
    </row>
    <row r="54" spans="1:7" x14ac:dyDescent="0.2">
      <c r="A54" s="11">
        <v>28976</v>
      </c>
      <c r="B54" s="5">
        <v>58.424195471174293</v>
      </c>
      <c r="C54" s="5">
        <v>53.898600000000002</v>
      </c>
      <c r="D54" s="5">
        <f t="shared" si="0"/>
        <v>4.0677301100464014</v>
      </c>
      <c r="E54" s="5">
        <f t="shared" si="0"/>
        <v>3.9871045035516466</v>
      </c>
      <c r="F54" s="5">
        <f t="shared" si="1"/>
        <v>8.3774989178139858E-2</v>
      </c>
      <c r="G54" s="5">
        <f t="shared" si="1"/>
        <v>1.604307483152656E-2</v>
      </c>
    </row>
    <row r="55" spans="1:7" x14ac:dyDescent="0.2">
      <c r="A55" s="11">
        <v>29007</v>
      </c>
      <c r="B55" s="5">
        <v>58.424195471174293</v>
      </c>
      <c r="C55" s="5">
        <v>54.911299999999997</v>
      </c>
      <c r="D55" s="5">
        <f t="shared" si="0"/>
        <v>4.0677301100464014</v>
      </c>
      <c r="E55" s="5">
        <f t="shared" si="0"/>
        <v>4.005719156115247</v>
      </c>
      <c r="F55" s="5">
        <f t="shared" si="1"/>
        <v>0</v>
      </c>
      <c r="G55" s="5">
        <f t="shared" si="1"/>
        <v>1.8614652563600398E-2</v>
      </c>
    </row>
    <row r="56" spans="1:7" x14ac:dyDescent="0.2">
      <c r="A56" s="11">
        <v>29037</v>
      </c>
      <c r="B56" s="5">
        <v>59.32756737969035</v>
      </c>
      <c r="C56" s="5">
        <v>52.276200000000003</v>
      </c>
      <c r="D56" s="5">
        <f t="shared" si="0"/>
        <v>4.0830740779078081</v>
      </c>
      <c r="E56" s="5">
        <f t="shared" si="0"/>
        <v>3.9565412005748963</v>
      </c>
      <c r="F56" s="5">
        <f t="shared" si="1"/>
        <v>1.5343967861406682E-2</v>
      </c>
      <c r="G56" s="5">
        <f t="shared" si="1"/>
        <v>-4.9177955540350649E-2</v>
      </c>
    </row>
    <row r="57" spans="1:7" x14ac:dyDescent="0.2">
      <c r="A57" s="11">
        <v>29068</v>
      </c>
      <c r="B57" s="5">
        <v>63.002508885082392</v>
      </c>
      <c r="C57" s="5">
        <v>53.045400000000001</v>
      </c>
      <c r="D57" s="5">
        <f t="shared" si="0"/>
        <v>4.1431745491713317</v>
      </c>
      <c r="E57" s="5">
        <f t="shared" si="0"/>
        <v>3.9711481506500763</v>
      </c>
      <c r="F57" s="5">
        <f t="shared" si="1"/>
        <v>6.010047126352358E-2</v>
      </c>
      <c r="G57" s="5">
        <f t="shared" si="1"/>
        <v>1.4606950075179981E-2</v>
      </c>
    </row>
    <row r="58" spans="1:7" x14ac:dyDescent="0.2">
      <c r="A58" s="11">
        <v>29099</v>
      </c>
      <c r="B58" s="5">
        <v>57.98172759761534</v>
      </c>
      <c r="C58" s="5">
        <v>54.078899999999997</v>
      </c>
      <c r="D58" s="5">
        <f t="shared" si="0"/>
        <v>4.0601279194900206</v>
      </c>
      <c r="E58" s="5">
        <f t="shared" si="0"/>
        <v>3.990444091291157</v>
      </c>
      <c r="F58" s="5">
        <f t="shared" si="1"/>
        <v>-8.3046629681311046E-2</v>
      </c>
      <c r="G58" s="5">
        <f t="shared" si="1"/>
        <v>1.9295940641080644E-2</v>
      </c>
    </row>
    <row r="59" spans="1:7" x14ac:dyDescent="0.2">
      <c r="A59" s="11">
        <v>29129</v>
      </c>
      <c r="B59" s="5">
        <v>64.876851960574953</v>
      </c>
      <c r="C59" s="5">
        <v>54.450899999999997</v>
      </c>
      <c r="D59" s="5">
        <f t="shared" si="0"/>
        <v>4.1724908876770641</v>
      </c>
      <c r="E59" s="5">
        <f t="shared" si="0"/>
        <v>3.997299378167988</v>
      </c>
      <c r="F59" s="5">
        <f t="shared" si="1"/>
        <v>0.1123629681870435</v>
      </c>
      <c r="G59" s="5">
        <f t="shared" si="1"/>
        <v>6.8552868768310127E-3</v>
      </c>
    </row>
    <row r="60" spans="1:7" x14ac:dyDescent="0.2">
      <c r="A60" s="11">
        <v>29160</v>
      </c>
      <c r="B60" s="5">
        <v>59.714726769054415</v>
      </c>
      <c r="C60" s="5">
        <v>53.691600000000001</v>
      </c>
      <c r="D60" s="5">
        <f t="shared" si="0"/>
        <v>4.0895786695268095</v>
      </c>
      <c r="E60" s="5">
        <f t="shared" si="0"/>
        <v>3.9832565646982125</v>
      </c>
      <c r="F60" s="5">
        <f t="shared" si="1"/>
        <v>-8.2912218150254624E-2</v>
      </c>
      <c r="G60" s="5">
        <f t="shared" si="1"/>
        <v>-1.4042813469775428E-2</v>
      </c>
    </row>
    <row r="61" spans="1:7" x14ac:dyDescent="0.2">
      <c r="A61" s="11">
        <v>29190</v>
      </c>
      <c r="B61" s="5">
        <v>55.296193420598044</v>
      </c>
      <c r="C61" s="5">
        <v>53.203000000000003</v>
      </c>
      <c r="D61" s="5">
        <f t="shared" si="0"/>
        <v>4.0127040710884874</v>
      </c>
      <c r="E61" s="5">
        <f t="shared" si="0"/>
        <v>3.9741147857351309</v>
      </c>
      <c r="F61" s="5">
        <f t="shared" si="1"/>
        <v>-7.6874598438322117E-2</v>
      </c>
      <c r="G61" s="5">
        <f t="shared" si="1"/>
        <v>-9.1417789630816593E-3</v>
      </c>
    </row>
    <row r="62" spans="1:7" x14ac:dyDescent="0.2">
      <c r="A62" s="11">
        <v>29221</v>
      </c>
      <c r="B62" s="5">
        <v>57.096791850497517</v>
      </c>
      <c r="C62" s="5">
        <v>53.202300000000001</v>
      </c>
      <c r="D62" s="5">
        <f t="shared" si="0"/>
        <v>4.0447479303286826</v>
      </c>
      <c r="E62" s="5">
        <f t="shared" si="0"/>
        <v>3.9741016284957826</v>
      </c>
      <c r="F62" s="5">
        <f t="shared" si="1"/>
        <v>3.204385924019526E-2</v>
      </c>
      <c r="G62" s="5">
        <f t="shared" si="1"/>
        <v>-1.3157239348249306E-5</v>
      </c>
    </row>
    <row r="63" spans="1:7" x14ac:dyDescent="0.2">
      <c r="A63" s="11">
        <v>29252</v>
      </c>
      <c r="B63" s="5">
        <v>55.966040618069187</v>
      </c>
      <c r="C63" s="5">
        <v>54.2363</v>
      </c>
      <c r="D63" s="5">
        <f t="shared" si="0"/>
        <v>4.0247450892551884</v>
      </c>
      <c r="E63" s="5">
        <f t="shared" si="0"/>
        <v>3.9933504259661352</v>
      </c>
      <c r="F63" s="5">
        <f t="shared" si="1"/>
        <v>-2.000284107349426E-2</v>
      </c>
      <c r="G63" s="5">
        <f t="shared" si="1"/>
        <v>1.9248797470352574E-2</v>
      </c>
    </row>
    <row r="64" spans="1:7" x14ac:dyDescent="0.2">
      <c r="A64" s="11">
        <v>29281</v>
      </c>
      <c r="B64" s="5">
        <v>61.798013007060959</v>
      </c>
      <c r="C64" s="5">
        <v>54.461799999999997</v>
      </c>
      <c r="D64" s="5">
        <f t="shared" si="0"/>
        <v>4.1238712119574537</v>
      </c>
      <c r="E64" s="5">
        <f t="shared" si="0"/>
        <v>3.9974995384805392</v>
      </c>
      <c r="F64" s="5">
        <f t="shared" si="1"/>
        <v>9.9126122702265285E-2</v>
      </c>
      <c r="G64" s="5">
        <f t="shared" si="1"/>
        <v>4.1491125144039742E-3</v>
      </c>
    </row>
    <row r="65" spans="1:7" x14ac:dyDescent="0.2">
      <c r="A65" s="11">
        <v>29312</v>
      </c>
      <c r="B65" s="5">
        <v>57.490096626994294</v>
      </c>
      <c r="C65" s="5">
        <v>52.591700000000003</v>
      </c>
      <c r="D65" s="5">
        <f t="shared" si="0"/>
        <v>4.0516127003955598</v>
      </c>
      <c r="E65" s="5">
        <f t="shared" si="0"/>
        <v>3.9625583126159682</v>
      </c>
      <c r="F65" s="5">
        <f t="shared" si="1"/>
        <v>-7.225851156189389E-2</v>
      </c>
      <c r="G65" s="5">
        <f t="shared" si="1"/>
        <v>-3.4941225864570935E-2</v>
      </c>
    </row>
    <row r="66" spans="1:7" x14ac:dyDescent="0.2">
      <c r="A66" s="11">
        <v>29342</v>
      </c>
      <c r="B66" s="5">
        <v>63.186870499065265</v>
      </c>
      <c r="C66" s="5">
        <v>51.205500000000001</v>
      </c>
      <c r="D66" s="5">
        <f t="shared" si="0"/>
        <v>4.1460965343028198</v>
      </c>
      <c r="E66" s="5">
        <f t="shared" si="0"/>
        <v>3.9358469481511458</v>
      </c>
      <c r="F66" s="5">
        <f t="shared" si="1"/>
        <v>9.4483833907260006E-2</v>
      </c>
      <c r="G66" s="5">
        <f t="shared" si="1"/>
        <v>-2.6711364464822474E-2</v>
      </c>
    </row>
    <row r="67" spans="1:7" x14ac:dyDescent="0.2">
      <c r="A67" s="11">
        <v>29373</v>
      </c>
      <c r="B67" s="5">
        <v>64.016497761988219</v>
      </c>
      <c r="C67" s="5">
        <v>51.501300000000001</v>
      </c>
      <c r="D67" s="5">
        <f t="shared" ref="D67:E130" si="2">LN(B67)</f>
        <v>4.1591408276718189</v>
      </c>
      <c r="E67" s="5">
        <f t="shared" si="2"/>
        <v>3.9416070500695448</v>
      </c>
      <c r="F67" s="5">
        <f t="shared" ref="F67:G130" si="3">D67-D66</f>
        <v>1.3044293368999149E-2</v>
      </c>
      <c r="G67" s="5">
        <f t="shared" si="3"/>
        <v>5.760101918399041E-3</v>
      </c>
    </row>
    <row r="68" spans="1:7" x14ac:dyDescent="0.2">
      <c r="A68" s="11">
        <v>29403</v>
      </c>
      <c r="B68" s="5">
        <v>67.132209038298839</v>
      </c>
      <c r="C68" s="5">
        <v>49.051600000000001</v>
      </c>
      <c r="D68" s="5">
        <f t="shared" si="2"/>
        <v>4.2066639442809652</v>
      </c>
      <c r="E68" s="5">
        <f t="shared" si="2"/>
        <v>3.8928728052550978</v>
      </c>
      <c r="F68" s="5">
        <f t="shared" si="3"/>
        <v>4.7523116609146321E-2</v>
      </c>
      <c r="G68" s="5">
        <f t="shared" si="3"/>
        <v>-4.8734244814446992E-2</v>
      </c>
    </row>
    <row r="69" spans="1:7" x14ac:dyDescent="0.2">
      <c r="A69" s="11">
        <v>29434</v>
      </c>
      <c r="B69" s="5">
        <v>66.394762582367363</v>
      </c>
      <c r="C69" s="5">
        <v>50.597000000000001</v>
      </c>
      <c r="D69" s="5">
        <f t="shared" si="2"/>
        <v>4.1956181765998766</v>
      </c>
      <c r="E69" s="5">
        <f t="shared" si="2"/>
        <v>3.9238922859982357</v>
      </c>
      <c r="F69" s="5">
        <f t="shared" si="3"/>
        <v>-1.104576768108867E-2</v>
      </c>
      <c r="G69" s="5">
        <f t="shared" si="3"/>
        <v>3.1019480743137873E-2</v>
      </c>
    </row>
    <row r="70" spans="1:7" x14ac:dyDescent="0.2">
      <c r="A70" s="11">
        <v>29465</v>
      </c>
      <c r="B70" s="5">
        <v>68.090889431009828</v>
      </c>
      <c r="C70" s="5">
        <v>52.056100000000001</v>
      </c>
      <c r="D70" s="5">
        <f t="shared" si="2"/>
        <v>4.2208434219886444</v>
      </c>
      <c r="E70" s="5">
        <f t="shared" si="2"/>
        <v>3.9523219831989831</v>
      </c>
      <c r="F70" s="5">
        <f t="shared" si="3"/>
        <v>2.5225245388767803E-2</v>
      </c>
      <c r="G70" s="5">
        <f t="shared" si="3"/>
        <v>2.8429697200747395E-2</v>
      </c>
    </row>
    <row r="71" spans="1:7" x14ac:dyDescent="0.2">
      <c r="A71" s="11">
        <v>29495</v>
      </c>
      <c r="B71" s="5">
        <v>69.375275341757259</v>
      </c>
      <c r="C71" s="5">
        <v>52.631500000000003</v>
      </c>
      <c r="D71" s="5">
        <f t="shared" si="2"/>
        <v>4.239530540948917</v>
      </c>
      <c r="E71" s="5">
        <f t="shared" si="2"/>
        <v>3.9633147998145715</v>
      </c>
      <c r="F71" s="5">
        <f t="shared" si="3"/>
        <v>1.8687118960272642E-2</v>
      </c>
      <c r="G71" s="5">
        <f t="shared" si="3"/>
        <v>1.0992816615588374E-2</v>
      </c>
    </row>
    <row r="72" spans="1:7" x14ac:dyDescent="0.2">
      <c r="A72" s="11">
        <v>29526</v>
      </c>
      <c r="B72" s="5">
        <v>64.342203280024677</v>
      </c>
      <c r="C72" s="5">
        <v>52.954599999999999</v>
      </c>
      <c r="D72" s="5">
        <f t="shared" si="2"/>
        <v>4.1642157655519529</v>
      </c>
      <c r="E72" s="5">
        <f t="shared" si="2"/>
        <v>3.9694349426838729</v>
      </c>
      <c r="F72" s="5">
        <f t="shared" si="3"/>
        <v>-7.5314775396964073E-2</v>
      </c>
      <c r="G72" s="5">
        <f t="shared" si="3"/>
        <v>6.1201428693014037E-3</v>
      </c>
    </row>
    <row r="73" spans="1:7" x14ac:dyDescent="0.2">
      <c r="A73" s="11">
        <v>29556</v>
      </c>
      <c r="B73" s="5">
        <v>58.577830149493316</v>
      </c>
      <c r="C73" s="5">
        <v>52.888800000000003</v>
      </c>
      <c r="D73" s="5">
        <f t="shared" si="2"/>
        <v>4.0703562999060026</v>
      </c>
      <c r="E73" s="5">
        <f t="shared" si="2"/>
        <v>3.9681915962215193</v>
      </c>
      <c r="F73" s="5">
        <f t="shared" si="3"/>
        <v>-9.385946564595038E-2</v>
      </c>
      <c r="G73" s="5">
        <f t="shared" si="3"/>
        <v>-1.2433464623535784E-3</v>
      </c>
    </row>
    <row r="74" spans="1:7" x14ac:dyDescent="0.2">
      <c r="A74" s="11">
        <v>29587</v>
      </c>
      <c r="B74" s="5">
        <v>57.188972657488925</v>
      </c>
      <c r="C74" s="5">
        <v>52.526299999999999</v>
      </c>
      <c r="D74" s="5">
        <f t="shared" si="2"/>
        <v>4.0463610940919637</v>
      </c>
      <c r="E74" s="5">
        <f t="shared" si="2"/>
        <v>3.961313996543776</v>
      </c>
      <c r="F74" s="5">
        <f t="shared" si="3"/>
        <v>-2.3995205814038911E-2</v>
      </c>
      <c r="G74" s="5">
        <f t="shared" si="3"/>
        <v>-6.8775996777432624E-3</v>
      </c>
    </row>
    <row r="75" spans="1:7" x14ac:dyDescent="0.2">
      <c r="A75" s="11">
        <v>29618</v>
      </c>
      <c r="B75" s="5">
        <v>56.912430236514631</v>
      </c>
      <c r="C75" s="5">
        <v>53.074599999999997</v>
      </c>
      <c r="D75" s="5">
        <f t="shared" si="2"/>
        <v>4.0415137748576386</v>
      </c>
      <c r="E75" s="5">
        <f t="shared" si="2"/>
        <v>3.9716984710559742</v>
      </c>
      <c r="F75" s="5">
        <f t="shared" si="3"/>
        <v>-4.8473192343250204E-3</v>
      </c>
      <c r="G75" s="5">
        <f t="shared" si="3"/>
        <v>1.038447451219815E-2</v>
      </c>
    </row>
    <row r="76" spans="1:7" x14ac:dyDescent="0.2">
      <c r="A76" s="11">
        <v>29646</v>
      </c>
      <c r="B76" s="5">
        <v>57.539259724056393</v>
      </c>
      <c r="C76" s="5">
        <v>53.657699999999998</v>
      </c>
      <c r="D76" s="5">
        <f t="shared" si="2"/>
        <v>4.0524674926262589</v>
      </c>
      <c r="E76" s="5">
        <f t="shared" si="2"/>
        <v>3.9826249816114689</v>
      </c>
      <c r="F76" s="5">
        <f t="shared" si="3"/>
        <v>1.0953717768620308E-2</v>
      </c>
      <c r="G76" s="5">
        <f t="shared" si="3"/>
        <v>1.0926510555494762E-2</v>
      </c>
    </row>
    <row r="77" spans="1:7" x14ac:dyDescent="0.2">
      <c r="A77" s="11">
        <v>29677</v>
      </c>
      <c r="B77" s="5">
        <v>53.735265088876396</v>
      </c>
      <c r="C77" s="5">
        <v>52.546999999999997</v>
      </c>
      <c r="D77" s="5">
        <f t="shared" si="2"/>
        <v>3.9840694915437451</v>
      </c>
      <c r="E77" s="5">
        <f t="shared" si="2"/>
        <v>3.9617080072061954</v>
      </c>
      <c r="F77" s="5">
        <f t="shared" si="3"/>
        <v>-6.8398001082513815E-2</v>
      </c>
      <c r="G77" s="5">
        <f t="shared" si="3"/>
        <v>-2.0916974405273514E-2</v>
      </c>
    </row>
    <row r="78" spans="1:7" x14ac:dyDescent="0.2">
      <c r="A78" s="11">
        <v>29707</v>
      </c>
      <c r="B78" s="5">
        <v>55.695643584227604</v>
      </c>
      <c r="C78" s="5">
        <v>52.8476</v>
      </c>
      <c r="D78" s="5">
        <f t="shared" si="2"/>
        <v>4.0199019317421509</v>
      </c>
      <c r="E78" s="5">
        <f t="shared" si="2"/>
        <v>3.9674122997430112</v>
      </c>
      <c r="F78" s="5">
        <f t="shared" si="3"/>
        <v>3.5832440198405813E-2</v>
      </c>
      <c r="G78" s="5">
        <f t="shared" si="3"/>
        <v>5.7042925368158137E-3</v>
      </c>
    </row>
    <row r="79" spans="1:7" x14ac:dyDescent="0.2">
      <c r="A79" s="11">
        <v>29738</v>
      </c>
      <c r="B79" s="5">
        <v>57.821947532163549</v>
      </c>
      <c r="C79" s="5">
        <v>54.043700000000001</v>
      </c>
      <c r="D79" s="5">
        <f t="shared" si="2"/>
        <v>4.0573684186941366</v>
      </c>
      <c r="E79" s="5">
        <f t="shared" si="2"/>
        <v>3.9897929785498136</v>
      </c>
      <c r="F79" s="5">
        <f t="shared" si="3"/>
        <v>3.7466486951985623E-2</v>
      </c>
      <c r="G79" s="5">
        <f t="shared" si="3"/>
        <v>2.238067880680239E-2</v>
      </c>
    </row>
    <row r="80" spans="1:7" x14ac:dyDescent="0.2">
      <c r="A80" s="11">
        <v>29768</v>
      </c>
      <c r="B80" s="5">
        <v>59.942106092966625</v>
      </c>
      <c r="C80" s="5">
        <v>52.405700000000003</v>
      </c>
      <c r="D80" s="5">
        <f t="shared" si="2"/>
        <v>4.0933791979573684</v>
      </c>
      <c r="E80" s="5">
        <f t="shared" si="2"/>
        <v>3.959015364036985</v>
      </c>
      <c r="F80" s="5">
        <f t="shared" si="3"/>
        <v>3.6010779263231818E-2</v>
      </c>
      <c r="G80" s="5">
        <f t="shared" si="3"/>
        <v>-3.0777614512828677E-2</v>
      </c>
    </row>
    <row r="81" spans="1:7" x14ac:dyDescent="0.2">
      <c r="A81" s="11">
        <v>29799</v>
      </c>
      <c r="B81" s="5">
        <v>58.368886986979348</v>
      </c>
      <c r="C81" s="5">
        <v>53.600499999999997</v>
      </c>
      <c r="D81" s="5">
        <f t="shared" si="2"/>
        <v>4.0667829907964368</v>
      </c>
      <c r="E81" s="5">
        <f t="shared" si="2"/>
        <v>3.9815583963914563</v>
      </c>
      <c r="F81" s="5">
        <f t="shared" si="3"/>
        <v>-2.6596207160931584E-2</v>
      </c>
      <c r="G81" s="5">
        <f t="shared" si="3"/>
        <v>2.2543032354471304E-2</v>
      </c>
    </row>
    <row r="82" spans="1:7" x14ac:dyDescent="0.2">
      <c r="A82" s="11">
        <v>29830</v>
      </c>
      <c r="B82" s="5">
        <v>56.758795558195615</v>
      </c>
      <c r="C82" s="5">
        <v>53.619599999999998</v>
      </c>
      <c r="D82" s="5">
        <f t="shared" si="2"/>
        <v>4.0388106321617565</v>
      </c>
      <c r="E82" s="5">
        <f t="shared" si="2"/>
        <v>3.9819146728769668</v>
      </c>
      <c r="F82" s="5">
        <f t="shared" si="3"/>
        <v>-2.7972358634680283E-2</v>
      </c>
      <c r="G82" s="5">
        <f t="shared" si="3"/>
        <v>3.5627648551050939E-4</v>
      </c>
    </row>
    <row r="83" spans="1:7" x14ac:dyDescent="0.2">
      <c r="A83" s="11">
        <v>29860</v>
      </c>
      <c r="B83" s="5">
        <v>58.282851567120723</v>
      </c>
      <c r="C83" s="5">
        <v>53.3889</v>
      </c>
      <c r="D83" s="5">
        <f t="shared" si="2"/>
        <v>4.0653079088726667</v>
      </c>
      <c r="E83" s="5">
        <f t="shared" si="2"/>
        <v>3.9776028591906516</v>
      </c>
      <c r="F83" s="5">
        <f t="shared" si="3"/>
        <v>2.6497276710910178E-2</v>
      </c>
      <c r="G83" s="5">
        <f t="shared" si="3"/>
        <v>-4.311813686315169E-3</v>
      </c>
    </row>
    <row r="84" spans="1:7" x14ac:dyDescent="0.2">
      <c r="A84" s="11">
        <v>29891</v>
      </c>
      <c r="B84" s="5">
        <v>54.614055448861436</v>
      </c>
      <c r="C84" s="5">
        <v>52.287799999999997</v>
      </c>
      <c r="D84" s="5">
        <f t="shared" si="2"/>
        <v>4.0002912754258455</v>
      </c>
      <c r="E84" s="5">
        <f t="shared" si="2"/>
        <v>3.956763074260822</v>
      </c>
      <c r="F84" s="5">
        <f t="shared" si="3"/>
        <v>-6.5016633446821182E-2</v>
      </c>
      <c r="G84" s="5">
        <f t="shared" si="3"/>
        <v>-2.083978492982963E-2</v>
      </c>
    </row>
    <row r="85" spans="1:7" x14ac:dyDescent="0.2">
      <c r="A85" s="11">
        <v>29921</v>
      </c>
      <c r="B85" s="5">
        <v>49.906688905165225</v>
      </c>
      <c r="C85" s="5">
        <v>51.530700000000003</v>
      </c>
      <c r="D85" s="5">
        <f t="shared" si="2"/>
        <v>3.9101550399697804</v>
      </c>
      <c r="E85" s="5">
        <f t="shared" si="2"/>
        <v>3.9421777465676806</v>
      </c>
      <c r="F85" s="5">
        <f t="shared" si="3"/>
        <v>-9.0136235456065084E-2</v>
      </c>
      <c r="G85" s="5">
        <f t="shared" si="3"/>
        <v>-1.4585327693141359E-2</v>
      </c>
    </row>
    <row r="86" spans="1:7" x14ac:dyDescent="0.2">
      <c r="A86" s="11">
        <v>29952</v>
      </c>
      <c r="B86" s="5">
        <v>48.597721445886783</v>
      </c>
      <c r="C86" s="5">
        <v>50.627099999999999</v>
      </c>
      <c r="D86" s="5">
        <f t="shared" si="2"/>
        <v>3.8835766459778771</v>
      </c>
      <c r="E86" s="5">
        <f t="shared" si="2"/>
        <v>3.9244870060478516</v>
      </c>
      <c r="F86" s="5">
        <f t="shared" si="3"/>
        <v>-2.6578393991903315E-2</v>
      </c>
      <c r="G86" s="5">
        <f t="shared" si="3"/>
        <v>-1.7690740519828996E-2</v>
      </c>
    </row>
    <row r="87" spans="1:7" x14ac:dyDescent="0.2">
      <c r="A87" s="11">
        <v>29983</v>
      </c>
      <c r="B87" s="5">
        <v>48.136817410929609</v>
      </c>
      <c r="C87" s="5">
        <v>52.182000000000002</v>
      </c>
      <c r="D87" s="5">
        <f t="shared" si="2"/>
        <v>3.8740473190546085</v>
      </c>
      <c r="E87" s="5">
        <f t="shared" si="2"/>
        <v>3.9547376078356833</v>
      </c>
      <c r="F87" s="5">
        <f t="shared" si="3"/>
        <v>-9.5293269232685773E-3</v>
      </c>
      <c r="G87" s="5">
        <f t="shared" si="3"/>
        <v>3.0250601787831677E-2</v>
      </c>
    </row>
    <row r="88" spans="1:7" x14ac:dyDescent="0.2">
      <c r="A88" s="11">
        <v>30011</v>
      </c>
      <c r="B88" s="5">
        <v>57.053774140568216</v>
      </c>
      <c r="C88" s="5">
        <v>51.8934</v>
      </c>
      <c r="D88" s="5">
        <f t="shared" si="2"/>
        <v>4.0439942290816981</v>
      </c>
      <c r="E88" s="5">
        <f t="shared" si="2"/>
        <v>3.9491916144552963</v>
      </c>
      <c r="F88" s="5">
        <f t="shared" si="3"/>
        <v>0.16994691002708961</v>
      </c>
      <c r="G88" s="5">
        <f t="shared" si="3"/>
        <v>-5.545993380386971E-3</v>
      </c>
    </row>
    <row r="89" spans="1:7" x14ac:dyDescent="0.2">
      <c r="A89" s="11">
        <v>30042</v>
      </c>
      <c r="B89" s="5">
        <v>53.630793507619373</v>
      </c>
      <c r="C89" s="5">
        <v>50.6205</v>
      </c>
      <c r="D89" s="5">
        <f t="shared" si="2"/>
        <v>3.9821234088506809</v>
      </c>
      <c r="E89" s="5">
        <f t="shared" si="2"/>
        <v>3.9243566325869628</v>
      </c>
      <c r="F89" s="5">
        <f t="shared" si="3"/>
        <v>-6.1870820231017198E-2</v>
      </c>
      <c r="G89" s="5">
        <f t="shared" si="3"/>
        <v>-2.483498186833355E-2</v>
      </c>
    </row>
    <row r="90" spans="1:7" x14ac:dyDescent="0.2">
      <c r="A90" s="11">
        <v>30072</v>
      </c>
      <c r="B90" s="5">
        <v>56.930866397912958</v>
      </c>
      <c r="C90" s="5">
        <v>50.202500000000001</v>
      </c>
      <c r="D90" s="5">
        <f t="shared" si="2"/>
        <v>4.0418376615001472</v>
      </c>
      <c r="E90" s="5">
        <f t="shared" si="2"/>
        <v>3.9160648262544777</v>
      </c>
      <c r="F90" s="5">
        <f t="shared" si="3"/>
        <v>5.9714252649466282E-2</v>
      </c>
      <c r="G90" s="5">
        <f t="shared" si="3"/>
        <v>-8.2918063324850522E-3</v>
      </c>
    </row>
    <row r="91" spans="1:7" x14ac:dyDescent="0.2">
      <c r="A91" s="11">
        <v>30103</v>
      </c>
      <c r="B91" s="5">
        <v>59.73930831758544</v>
      </c>
      <c r="C91" s="5">
        <v>51.030099999999997</v>
      </c>
      <c r="D91" s="5">
        <f t="shared" si="2"/>
        <v>4.0899902345084387</v>
      </c>
      <c r="E91" s="5">
        <f t="shared" si="2"/>
        <v>3.9324156547055491</v>
      </c>
      <c r="F91" s="5">
        <f t="shared" si="3"/>
        <v>4.8152573008291455E-2</v>
      </c>
      <c r="G91" s="5">
        <f t="shared" si="3"/>
        <v>1.6350828451071386E-2</v>
      </c>
    </row>
    <row r="92" spans="1:7" x14ac:dyDescent="0.2">
      <c r="A92" s="11">
        <v>30133</v>
      </c>
      <c r="B92" s="5">
        <v>61.865612265521285</v>
      </c>
      <c r="C92" s="5">
        <v>49.148299999999999</v>
      </c>
      <c r="D92" s="5">
        <f t="shared" si="2"/>
        <v>4.1249644884167926</v>
      </c>
      <c r="E92" s="5">
        <f t="shared" si="2"/>
        <v>3.8948422579990662</v>
      </c>
      <c r="F92" s="5">
        <f t="shared" si="3"/>
        <v>3.4974253908353958E-2</v>
      </c>
      <c r="G92" s="5">
        <f t="shared" si="3"/>
        <v>-3.7573396706482853E-2</v>
      </c>
    </row>
    <row r="93" spans="1:7" x14ac:dyDescent="0.2">
      <c r="A93" s="11">
        <v>30164</v>
      </c>
      <c r="B93" s="5">
        <v>63.199161273330823</v>
      </c>
      <c r="C93" s="5">
        <v>49.895400000000002</v>
      </c>
      <c r="D93" s="5">
        <f t="shared" si="2"/>
        <v>4.1462910300731508</v>
      </c>
      <c r="E93" s="5">
        <f t="shared" si="2"/>
        <v>3.9099288141394957</v>
      </c>
      <c r="F93" s="5">
        <f t="shared" si="3"/>
        <v>2.1326541656358167E-2</v>
      </c>
      <c r="G93" s="5">
        <f t="shared" si="3"/>
        <v>1.5086556140429419E-2</v>
      </c>
    </row>
    <row r="94" spans="1:7" x14ac:dyDescent="0.2">
      <c r="A94" s="11">
        <v>30195</v>
      </c>
      <c r="B94" s="5">
        <v>61.091293486793198</v>
      </c>
      <c r="C94" s="5">
        <v>50.1205</v>
      </c>
      <c r="D94" s="5">
        <f t="shared" si="2"/>
        <v>4.1123693598995148</v>
      </c>
      <c r="E94" s="5">
        <f t="shared" si="2"/>
        <v>3.9144301060355691</v>
      </c>
      <c r="F94" s="5">
        <f t="shared" si="3"/>
        <v>-3.3921670173636009E-2</v>
      </c>
      <c r="G94" s="5">
        <f t="shared" si="3"/>
        <v>4.5012918960734005E-3</v>
      </c>
    </row>
    <row r="95" spans="1:7" x14ac:dyDescent="0.2">
      <c r="A95" s="11">
        <v>30225</v>
      </c>
      <c r="B95" s="5">
        <v>59.899088383037309</v>
      </c>
      <c r="C95" s="5">
        <v>49.642400000000002</v>
      </c>
      <c r="D95" s="5">
        <f t="shared" si="2"/>
        <v>4.0926612860245806</v>
      </c>
      <c r="E95" s="5">
        <f t="shared" si="2"/>
        <v>3.9048453072740403</v>
      </c>
      <c r="F95" s="5">
        <f t="shared" si="3"/>
        <v>-1.9708073874934229E-2</v>
      </c>
      <c r="G95" s="5">
        <f t="shared" si="3"/>
        <v>-9.5847987615287344E-3</v>
      </c>
    </row>
    <row r="96" spans="1:7" x14ac:dyDescent="0.2">
      <c r="A96" s="11">
        <v>30256</v>
      </c>
      <c r="B96" s="5">
        <v>56.230292264777958</v>
      </c>
      <c r="C96" s="5">
        <v>48.909599999999998</v>
      </c>
      <c r="D96" s="5">
        <f t="shared" si="2"/>
        <v>4.0294556199569369</v>
      </c>
      <c r="E96" s="5">
        <f t="shared" si="2"/>
        <v>3.8899736962311744</v>
      </c>
      <c r="F96" s="5">
        <f t="shared" si="3"/>
        <v>-6.3205666067643662E-2</v>
      </c>
      <c r="G96" s="5">
        <f t="shared" si="3"/>
        <v>-1.487161104286594E-2</v>
      </c>
    </row>
    <row r="97" spans="1:7" x14ac:dyDescent="0.2">
      <c r="A97" s="11">
        <v>30286</v>
      </c>
      <c r="B97" s="5">
        <v>50.601117651167385</v>
      </c>
      <c r="C97" s="5">
        <v>48.288800000000002</v>
      </c>
      <c r="D97" s="5">
        <f t="shared" si="2"/>
        <v>3.9239736640172191</v>
      </c>
      <c r="E97" s="5">
        <f t="shared" si="2"/>
        <v>3.8771996497112911</v>
      </c>
      <c r="F97" s="5">
        <f t="shared" si="3"/>
        <v>-0.10548195593971776</v>
      </c>
      <c r="G97" s="5">
        <f t="shared" si="3"/>
        <v>-1.2774046519883342E-2</v>
      </c>
    </row>
    <row r="98" spans="1:7" x14ac:dyDescent="0.2">
      <c r="A98" s="11">
        <v>30317</v>
      </c>
      <c r="B98" s="5">
        <v>47.313335535139423</v>
      </c>
      <c r="C98" s="5">
        <v>49.619</v>
      </c>
      <c r="D98" s="5">
        <f t="shared" si="2"/>
        <v>3.8567921909654195</v>
      </c>
      <c r="E98" s="5">
        <f t="shared" si="2"/>
        <v>3.9043738248965303</v>
      </c>
      <c r="F98" s="5">
        <f t="shared" si="3"/>
        <v>-6.7181473051799667E-2</v>
      </c>
      <c r="G98" s="5">
        <f t="shared" si="3"/>
        <v>2.7174175185239235E-2</v>
      </c>
    </row>
    <row r="99" spans="1:7" x14ac:dyDescent="0.2">
      <c r="A99" s="11">
        <v>30348</v>
      </c>
      <c r="B99" s="5">
        <v>45.568045589434803</v>
      </c>
      <c r="C99" s="5">
        <v>49.755699999999997</v>
      </c>
      <c r="D99" s="5">
        <f t="shared" si="2"/>
        <v>3.8192067162594014</v>
      </c>
      <c r="E99" s="5">
        <f t="shared" si="2"/>
        <v>3.9071250299059539</v>
      </c>
      <c r="F99" s="5">
        <f t="shared" si="3"/>
        <v>-3.7585474706018029E-2</v>
      </c>
      <c r="G99" s="5">
        <f t="shared" si="3"/>
        <v>2.7512050094236074E-3</v>
      </c>
    </row>
    <row r="100" spans="1:7" x14ac:dyDescent="0.2">
      <c r="A100" s="11">
        <v>30376</v>
      </c>
      <c r="B100" s="5">
        <v>53.815155121602267</v>
      </c>
      <c r="C100" s="5">
        <v>50.262</v>
      </c>
      <c r="D100" s="5">
        <f t="shared" si="2"/>
        <v>3.9855551212095941</v>
      </c>
      <c r="E100" s="5">
        <f t="shared" si="2"/>
        <v>3.9172493243997275</v>
      </c>
      <c r="F100" s="5">
        <f t="shared" si="3"/>
        <v>0.16634840495019265</v>
      </c>
      <c r="G100" s="5">
        <f t="shared" si="3"/>
        <v>1.0124294493773611E-2</v>
      </c>
    </row>
    <row r="101" spans="1:7" x14ac:dyDescent="0.2">
      <c r="A101" s="11">
        <v>30407</v>
      </c>
      <c r="B101" s="5">
        <v>48.74521073707313</v>
      </c>
      <c r="C101" s="5">
        <v>50.160699999999999</v>
      </c>
      <c r="D101" s="5">
        <f t="shared" si="2"/>
        <v>3.8866069513270567</v>
      </c>
      <c r="E101" s="5">
        <f t="shared" si="2"/>
        <v>3.9152318515701929</v>
      </c>
      <c r="F101" s="5">
        <f t="shared" si="3"/>
        <v>-9.8948169882537407E-2</v>
      </c>
      <c r="G101" s="5">
        <f t="shared" si="3"/>
        <v>-2.0174728295345723E-3</v>
      </c>
    </row>
    <row r="102" spans="1:7" x14ac:dyDescent="0.2">
      <c r="A102" s="11">
        <v>30437</v>
      </c>
      <c r="B102" s="5">
        <v>54.030243671249004</v>
      </c>
      <c r="C102" s="5">
        <v>50.2956</v>
      </c>
      <c r="D102" s="5">
        <f t="shared" si="2"/>
        <v>3.9895439577708278</v>
      </c>
      <c r="E102" s="5">
        <f t="shared" si="2"/>
        <v>3.9179175981304142</v>
      </c>
      <c r="F102" s="5">
        <f t="shared" si="3"/>
        <v>0.10293700644377113</v>
      </c>
      <c r="G102" s="5">
        <f t="shared" si="3"/>
        <v>2.6857465602212471E-3</v>
      </c>
    </row>
    <row r="103" spans="1:7" x14ac:dyDescent="0.2">
      <c r="A103" s="11">
        <v>30468</v>
      </c>
      <c r="B103" s="5">
        <v>54.435839222011317</v>
      </c>
      <c r="C103" s="5">
        <v>51.6648</v>
      </c>
      <c r="D103" s="5">
        <f t="shared" si="2"/>
        <v>3.9970227461705137</v>
      </c>
      <c r="E103" s="5">
        <f t="shared" si="2"/>
        <v>3.9447766985662098</v>
      </c>
      <c r="F103" s="5">
        <f t="shared" si="3"/>
        <v>7.478788399685854E-3</v>
      </c>
      <c r="G103" s="5">
        <f t="shared" si="3"/>
        <v>2.6859100435795646E-2</v>
      </c>
    </row>
    <row r="104" spans="1:7" x14ac:dyDescent="0.2">
      <c r="A104" s="11">
        <v>30498</v>
      </c>
      <c r="B104" s="5">
        <v>55.025796386756532</v>
      </c>
      <c r="C104" s="5">
        <v>50.612400000000001</v>
      </c>
      <c r="D104" s="5">
        <f t="shared" si="2"/>
        <v>4.0078021004882816</v>
      </c>
      <c r="E104" s="5">
        <f t="shared" si="2"/>
        <v>3.9241966055598345</v>
      </c>
      <c r="F104" s="5">
        <f t="shared" si="3"/>
        <v>1.0779354317767886E-2</v>
      </c>
      <c r="G104" s="5">
        <f t="shared" si="3"/>
        <v>-2.0580093006375311E-2</v>
      </c>
    </row>
    <row r="105" spans="1:7" x14ac:dyDescent="0.2">
      <c r="A105" s="11">
        <v>30529</v>
      </c>
      <c r="B105" s="5">
        <v>59.364439702486962</v>
      </c>
      <c r="C105" s="5">
        <v>52.325299999999999</v>
      </c>
      <c r="D105" s="5">
        <f t="shared" si="2"/>
        <v>4.0836953888939345</v>
      </c>
      <c r="E105" s="5">
        <f t="shared" si="2"/>
        <v>3.9574800017126655</v>
      </c>
      <c r="F105" s="5">
        <f t="shared" si="3"/>
        <v>7.5893288405652903E-2</v>
      </c>
      <c r="G105" s="5">
        <f t="shared" si="3"/>
        <v>3.3283396152830935E-2</v>
      </c>
    </row>
    <row r="106" spans="1:7" x14ac:dyDescent="0.2">
      <c r="A106" s="11">
        <v>30560</v>
      </c>
      <c r="B106" s="5">
        <v>57.268862690214888</v>
      </c>
      <c r="C106" s="5">
        <v>53.664499999999997</v>
      </c>
      <c r="D106" s="5">
        <f t="shared" si="2"/>
        <v>4.0477570674730261</v>
      </c>
      <c r="E106" s="5">
        <f t="shared" si="2"/>
        <v>3.9827517028305475</v>
      </c>
      <c r="F106" s="5">
        <f t="shared" si="3"/>
        <v>-3.5938321420908359E-2</v>
      </c>
      <c r="G106" s="5">
        <f t="shared" si="3"/>
        <v>2.5271701117882017E-2</v>
      </c>
    </row>
    <row r="107" spans="1:7" x14ac:dyDescent="0.2">
      <c r="A107" s="11">
        <v>30590</v>
      </c>
      <c r="B107" s="5">
        <v>58.516376278165701</v>
      </c>
      <c r="C107" s="5">
        <v>53.934899999999999</v>
      </c>
      <c r="D107" s="5">
        <f t="shared" si="2"/>
        <v>4.0693066514418348</v>
      </c>
      <c r="E107" s="5">
        <f t="shared" si="2"/>
        <v>3.9877777637420544</v>
      </c>
      <c r="F107" s="5">
        <f t="shared" si="3"/>
        <v>2.1549583968808683E-2</v>
      </c>
      <c r="G107" s="5">
        <f t="shared" si="3"/>
        <v>5.0260609115069244E-3</v>
      </c>
    </row>
    <row r="108" spans="1:7" x14ac:dyDescent="0.2">
      <c r="A108" s="11">
        <v>30621</v>
      </c>
      <c r="B108" s="5">
        <v>56.38392694309708</v>
      </c>
      <c r="C108" s="5">
        <v>53.416200000000003</v>
      </c>
      <c r="D108" s="5">
        <f t="shared" si="2"/>
        <v>4.0321841346101417</v>
      </c>
      <c r="E108" s="5">
        <f t="shared" si="2"/>
        <v>3.9781140707450535</v>
      </c>
      <c r="F108" s="5">
        <f t="shared" si="3"/>
        <v>-3.7122516831693098E-2</v>
      </c>
      <c r="G108" s="5">
        <f t="shared" si="3"/>
        <v>-9.6636929970008723E-3</v>
      </c>
    </row>
    <row r="109" spans="1:7" x14ac:dyDescent="0.2">
      <c r="A109" s="11">
        <v>30651</v>
      </c>
      <c r="B109" s="5">
        <v>51.449181075488667</v>
      </c>
      <c r="C109" s="5">
        <v>53.368699999999997</v>
      </c>
      <c r="D109" s="5">
        <f t="shared" si="2"/>
        <v>3.9405945452532603</v>
      </c>
      <c r="E109" s="5">
        <f t="shared" si="2"/>
        <v>3.9772244317954857</v>
      </c>
      <c r="F109" s="5">
        <f t="shared" si="3"/>
        <v>-9.158958935688144E-2</v>
      </c>
      <c r="G109" s="5">
        <f t="shared" si="3"/>
        <v>-8.8963894956783918E-4</v>
      </c>
    </row>
    <row r="110" spans="1:7" x14ac:dyDescent="0.2">
      <c r="A110" s="11">
        <v>30682</v>
      </c>
      <c r="B110" s="5">
        <v>49.175387836366539</v>
      </c>
      <c r="C110" s="5">
        <v>55.121099999999998</v>
      </c>
      <c r="D110" s="5">
        <f t="shared" si="2"/>
        <v>3.8953932511045513</v>
      </c>
      <c r="E110" s="5">
        <f t="shared" si="2"/>
        <v>4.0095325829649111</v>
      </c>
      <c r="F110" s="5">
        <f t="shared" si="3"/>
        <v>-4.5201294148708993E-2</v>
      </c>
      <c r="G110" s="5">
        <f t="shared" si="3"/>
        <v>3.2308151169425425E-2</v>
      </c>
    </row>
    <row r="111" spans="1:7" x14ac:dyDescent="0.2">
      <c r="A111" s="11">
        <v>30713</v>
      </c>
      <c r="B111" s="5">
        <v>51.283255622904093</v>
      </c>
      <c r="C111" s="5">
        <v>55.866399999999999</v>
      </c>
      <c r="D111" s="5">
        <f t="shared" si="2"/>
        <v>3.9373642977833057</v>
      </c>
      <c r="E111" s="5">
        <f t="shared" si="2"/>
        <v>4.0229631260987908</v>
      </c>
      <c r="F111" s="5">
        <f t="shared" si="3"/>
        <v>4.1971046678754398E-2</v>
      </c>
      <c r="G111" s="5">
        <f t="shared" si="3"/>
        <v>1.3430543133879702E-2</v>
      </c>
    </row>
    <row r="112" spans="1:7" x14ac:dyDescent="0.2">
      <c r="A112" s="11">
        <v>30742</v>
      </c>
      <c r="B112" s="5">
        <v>52.616804630713624</v>
      </c>
      <c r="C112" s="5">
        <v>56.238399999999999</v>
      </c>
      <c r="D112" s="5">
        <f t="shared" si="2"/>
        <v>3.9630355483922624</v>
      </c>
      <c r="E112" s="5">
        <f t="shared" si="2"/>
        <v>4.0295997975955808</v>
      </c>
      <c r="F112" s="5">
        <f t="shared" si="3"/>
        <v>2.5671250608956697E-2</v>
      </c>
      <c r="G112" s="5">
        <f t="shared" si="3"/>
        <v>6.6366714967900364E-3</v>
      </c>
    </row>
    <row r="113" spans="1:7" x14ac:dyDescent="0.2">
      <c r="A113" s="11">
        <v>30773</v>
      </c>
      <c r="B113" s="5">
        <v>50.736316168088202</v>
      </c>
      <c r="C113" s="5">
        <v>55.831600000000002</v>
      </c>
      <c r="D113" s="5">
        <f t="shared" si="2"/>
        <v>3.9266419494087139</v>
      </c>
      <c r="E113" s="5">
        <f t="shared" si="2"/>
        <v>4.0223400173389932</v>
      </c>
      <c r="F113" s="5">
        <f t="shared" si="3"/>
        <v>-3.6393598983548436E-2</v>
      </c>
      <c r="G113" s="5">
        <f t="shared" si="3"/>
        <v>-7.259780256587689E-3</v>
      </c>
    </row>
    <row r="114" spans="1:7" x14ac:dyDescent="0.2">
      <c r="A114" s="11">
        <v>30803</v>
      </c>
      <c r="B114" s="5">
        <v>57.791220596499713</v>
      </c>
      <c r="C114" s="5">
        <v>55.7898</v>
      </c>
      <c r="D114" s="5">
        <f t="shared" si="2"/>
        <v>4.0568368713473308</v>
      </c>
      <c r="E114" s="5">
        <f t="shared" si="2"/>
        <v>4.0215910569791706</v>
      </c>
      <c r="F114" s="5">
        <f t="shared" si="3"/>
        <v>0.13019492193861693</v>
      </c>
      <c r="G114" s="5">
        <f t="shared" si="3"/>
        <v>-7.4896035982252585E-4</v>
      </c>
    </row>
    <row r="115" spans="1:7" x14ac:dyDescent="0.2">
      <c r="A115" s="11">
        <v>30834</v>
      </c>
      <c r="B115" s="5">
        <v>59.456620509478384</v>
      </c>
      <c r="C115" s="5">
        <v>57.145200000000003</v>
      </c>
      <c r="D115" s="5">
        <f t="shared" si="2"/>
        <v>4.085246979585353</v>
      </c>
      <c r="E115" s="5">
        <f t="shared" si="2"/>
        <v>4.0455953972121916</v>
      </c>
      <c r="F115" s="5">
        <f t="shared" si="3"/>
        <v>2.8410108238022147E-2</v>
      </c>
      <c r="G115" s="5">
        <f t="shared" si="3"/>
        <v>2.4004340233021004E-2</v>
      </c>
    </row>
    <row r="116" spans="1:7" x14ac:dyDescent="0.2">
      <c r="A116" s="11">
        <v>30864</v>
      </c>
      <c r="B116" s="5">
        <v>61.711977587202284</v>
      </c>
      <c r="C116" s="5">
        <v>55.269500000000001</v>
      </c>
      <c r="D116" s="5">
        <f t="shared" si="2"/>
        <v>4.1224780382820212</v>
      </c>
      <c r="E116" s="5">
        <f t="shared" si="2"/>
        <v>4.0122212193052471</v>
      </c>
      <c r="F116" s="5">
        <f t="shared" si="3"/>
        <v>3.7231058696668207E-2</v>
      </c>
      <c r="G116" s="5">
        <f t="shared" si="3"/>
        <v>-3.3374177906944524E-2</v>
      </c>
    </row>
    <row r="117" spans="1:7" x14ac:dyDescent="0.2">
      <c r="A117" s="11">
        <v>30895</v>
      </c>
      <c r="B117" s="5">
        <v>63.457267532906819</v>
      </c>
      <c r="C117" s="5">
        <v>56.647100000000002</v>
      </c>
      <c r="D117" s="5">
        <f t="shared" si="2"/>
        <v>4.150366727126964</v>
      </c>
      <c r="E117" s="5">
        <f t="shared" si="2"/>
        <v>4.036840794636765</v>
      </c>
      <c r="F117" s="5">
        <f t="shared" si="3"/>
        <v>2.7888688844942777E-2</v>
      </c>
      <c r="G117" s="5">
        <f t="shared" si="3"/>
        <v>2.4619575331517929E-2</v>
      </c>
    </row>
    <row r="118" spans="1:7" x14ac:dyDescent="0.2">
      <c r="A118" s="11">
        <v>30926</v>
      </c>
      <c r="B118" s="5">
        <v>60.15719464261332</v>
      </c>
      <c r="C118" s="5">
        <v>57.1858</v>
      </c>
      <c r="D118" s="5">
        <f t="shared" si="2"/>
        <v>4.0969610469488007</v>
      </c>
      <c r="E118" s="5">
        <f t="shared" si="2"/>
        <v>4.0463056158179347</v>
      </c>
      <c r="F118" s="5">
        <f t="shared" si="3"/>
        <v>-5.3405680178163273E-2</v>
      </c>
      <c r="G118" s="5">
        <f t="shared" si="3"/>
        <v>9.464821181169647E-3</v>
      </c>
    </row>
    <row r="119" spans="1:7" x14ac:dyDescent="0.2">
      <c r="A119" s="11">
        <v>30956</v>
      </c>
      <c r="B119" s="5">
        <v>65.350046769797785</v>
      </c>
      <c r="C119" s="5">
        <v>56.808900000000001</v>
      </c>
      <c r="D119" s="5">
        <f t="shared" si="2"/>
        <v>4.1797581557516548</v>
      </c>
      <c r="E119" s="5">
        <f t="shared" si="2"/>
        <v>4.0396930035933325</v>
      </c>
      <c r="F119" s="5">
        <f t="shared" si="3"/>
        <v>8.2797108802854069E-2</v>
      </c>
      <c r="G119" s="5">
        <f t="shared" si="3"/>
        <v>-6.6126122246021879E-3</v>
      </c>
    </row>
    <row r="120" spans="1:7" x14ac:dyDescent="0.2">
      <c r="A120" s="11">
        <v>30987</v>
      </c>
      <c r="B120" s="5">
        <v>60.814751065818925</v>
      </c>
      <c r="C120" s="5">
        <v>56.319299999999998</v>
      </c>
      <c r="D120" s="5">
        <f t="shared" si="2"/>
        <v>4.1078323757596937</v>
      </c>
      <c r="E120" s="5">
        <f t="shared" si="2"/>
        <v>4.0310372827952738</v>
      </c>
      <c r="F120" s="5">
        <f t="shared" si="3"/>
        <v>-7.1925779991961036E-2</v>
      </c>
      <c r="G120" s="5">
        <f t="shared" si="3"/>
        <v>-8.6557207980586526E-3</v>
      </c>
    </row>
    <row r="121" spans="1:7" x14ac:dyDescent="0.2">
      <c r="A121" s="11">
        <v>31017</v>
      </c>
      <c r="B121" s="5">
        <v>54.939760966897907</v>
      </c>
      <c r="C121" s="5">
        <v>56.066200000000002</v>
      </c>
      <c r="D121" s="5">
        <f t="shared" si="2"/>
        <v>4.0062373298549314</v>
      </c>
      <c r="E121" s="5">
        <f t="shared" si="2"/>
        <v>4.0265331354116034</v>
      </c>
      <c r="F121" s="5">
        <f t="shared" si="3"/>
        <v>-0.10159504590476232</v>
      </c>
      <c r="G121" s="5">
        <f t="shared" si="3"/>
        <v>-4.5041473836704427E-3</v>
      </c>
    </row>
    <row r="122" spans="1:7" x14ac:dyDescent="0.2">
      <c r="A122" s="11">
        <v>31048</v>
      </c>
      <c r="B122" s="5">
        <v>56.451526201557478</v>
      </c>
      <c r="C122" s="5">
        <v>56.655099999999997</v>
      </c>
      <c r="D122" s="5">
        <f t="shared" si="2"/>
        <v>4.0333823265731095</v>
      </c>
      <c r="E122" s="5">
        <f t="shared" si="2"/>
        <v>4.0369820099002514</v>
      </c>
      <c r="F122" s="5">
        <f t="shared" si="3"/>
        <v>2.7144996718178049E-2</v>
      </c>
      <c r="G122" s="5">
        <f t="shared" si="3"/>
        <v>1.0448874488647952E-2</v>
      </c>
    </row>
    <row r="123" spans="1:7" x14ac:dyDescent="0.2">
      <c r="A123" s="11">
        <v>31079</v>
      </c>
      <c r="B123" s="5">
        <v>52.229645241349537</v>
      </c>
      <c r="C123" s="5">
        <v>57.452300000000001</v>
      </c>
      <c r="D123" s="5">
        <f t="shared" si="2"/>
        <v>3.9556502501859967</v>
      </c>
      <c r="E123" s="5">
        <f t="shared" si="2"/>
        <v>4.0509550383062738</v>
      </c>
      <c r="F123" s="5">
        <f t="shared" si="3"/>
        <v>-7.773207638711277E-2</v>
      </c>
      <c r="G123" s="5">
        <f t="shared" si="3"/>
        <v>1.3973028406022436E-2</v>
      </c>
    </row>
    <row r="124" spans="1:7" x14ac:dyDescent="0.2">
      <c r="A124" s="11">
        <v>31107</v>
      </c>
      <c r="B124" s="5">
        <v>58.344305438448373</v>
      </c>
      <c r="C124" s="5">
        <v>57.456600000000002</v>
      </c>
      <c r="D124" s="5">
        <f t="shared" si="2"/>
        <v>4.0663617607986344</v>
      </c>
      <c r="E124" s="5">
        <f t="shared" si="2"/>
        <v>4.051029880202802</v>
      </c>
      <c r="F124" s="5">
        <f t="shared" si="3"/>
        <v>0.11071151061263773</v>
      </c>
      <c r="G124" s="5">
        <f t="shared" si="3"/>
        <v>7.4841896528177188E-5</v>
      </c>
    </row>
    <row r="125" spans="1:7" x14ac:dyDescent="0.2">
      <c r="A125" s="11">
        <v>31138</v>
      </c>
      <c r="B125" s="5">
        <v>52.364843758270339</v>
      </c>
      <c r="C125" s="5">
        <v>56.4482</v>
      </c>
      <c r="D125" s="5">
        <f t="shared" si="2"/>
        <v>3.9582354455153266</v>
      </c>
      <c r="E125" s="5">
        <f t="shared" si="2"/>
        <v>4.0333234034619494</v>
      </c>
      <c r="F125" s="5">
        <f t="shared" si="3"/>
        <v>-0.10812631528330785</v>
      </c>
      <c r="G125" s="5">
        <f t="shared" si="3"/>
        <v>-1.7706476740852573E-2</v>
      </c>
    </row>
    <row r="126" spans="1:7" x14ac:dyDescent="0.2">
      <c r="A126" s="11">
        <v>31168</v>
      </c>
      <c r="B126" s="5">
        <v>59.180078088504096</v>
      </c>
      <c r="C126" s="5">
        <v>56.403100000000002</v>
      </c>
      <c r="D126" s="5">
        <f t="shared" si="2"/>
        <v>4.0805849664795417</v>
      </c>
      <c r="E126" s="5">
        <f t="shared" si="2"/>
        <v>4.0325241215325258</v>
      </c>
      <c r="F126" s="5">
        <f t="shared" si="3"/>
        <v>0.12234952096421514</v>
      </c>
      <c r="G126" s="5">
        <f t="shared" si="3"/>
        <v>-7.9928192942357867E-4</v>
      </c>
    </row>
    <row r="127" spans="1:7" x14ac:dyDescent="0.2">
      <c r="A127" s="11">
        <v>31199</v>
      </c>
      <c r="B127" s="5">
        <v>61.054421163996672</v>
      </c>
      <c r="C127" s="5">
        <v>57.666800000000002</v>
      </c>
      <c r="D127" s="5">
        <f t="shared" si="2"/>
        <v>4.1117656166732877</v>
      </c>
      <c r="E127" s="5">
        <f t="shared" si="2"/>
        <v>4.0546816179657243</v>
      </c>
      <c r="F127" s="5">
        <f t="shared" si="3"/>
        <v>3.118065019374594E-2</v>
      </c>
      <c r="G127" s="5">
        <f t="shared" si="3"/>
        <v>2.2157496433198531E-2</v>
      </c>
    </row>
    <row r="128" spans="1:7" x14ac:dyDescent="0.2">
      <c r="A128" s="11">
        <v>31229</v>
      </c>
      <c r="B128" s="5">
        <v>67.507077653397431</v>
      </c>
      <c r="C128" s="5">
        <v>55.265000000000001</v>
      </c>
      <c r="D128" s="5">
        <f t="shared" si="2"/>
        <v>4.2122324465060812</v>
      </c>
      <c r="E128" s="5">
        <f t="shared" si="2"/>
        <v>4.0121397967629191</v>
      </c>
      <c r="F128" s="5">
        <f t="shared" si="3"/>
        <v>0.10046682983279354</v>
      </c>
      <c r="G128" s="5">
        <f t="shared" si="3"/>
        <v>-4.2541821202805252E-2</v>
      </c>
    </row>
    <row r="129" spans="1:7" x14ac:dyDescent="0.2">
      <c r="A129" s="11">
        <v>31260</v>
      </c>
      <c r="B129" s="5">
        <v>68.809899725543104</v>
      </c>
      <c r="C129" s="5">
        <v>56.858800000000002</v>
      </c>
      <c r="D129" s="5">
        <f t="shared" si="2"/>
        <v>4.2313476259475671</v>
      </c>
      <c r="E129" s="5">
        <f t="shared" si="2"/>
        <v>4.0405710015330394</v>
      </c>
      <c r="F129" s="5">
        <f t="shared" si="3"/>
        <v>1.9115179441485886E-2</v>
      </c>
      <c r="G129" s="5">
        <f t="shared" si="3"/>
        <v>2.8431204770120289E-2</v>
      </c>
    </row>
    <row r="130" spans="1:7" x14ac:dyDescent="0.2">
      <c r="A130" s="11">
        <v>31291</v>
      </c>
      <c r="B130" s="5">
        <v>67.691439267380332</v>
      </c>
      <c r="C130" s="5">
        <v>57.681600000000003</v>
      </c>
      <c r="D130" s="5">
        <f t="shared" si="2"/>
        <v>4.2149597209238143</v>
      </c>
      <c r="E130" s="5">
        <f t="shared" si="2"/>
        <v>4.0549382318430078</v>
      </c>
      <c r="F130" s="5">
        <f t="shared" si="3"/>
        <v>-1.6387905023752758E-2</v>
      </c>
      <c r="G130" s="5">
        <f t="shared" si="3"/>
        <v>1.4367230309968448E-2</v>
      </c>
    </row>
    <row r="131" spans="1:7" x14ac:dyDescent="0.2">
      <c r="A131" s="11">
        <v>31321</v>
      </c>
      <c r="B131" s="5">
        <v>73.929007207134347</v>
      </c>
      <c r="C131" s="5">
        <v>57.1096</v>
      </c>
      <c r="D131" s="5">
        <f t="shared" ref="D131:E194" si="4">LN(B131)</f>
        <v>4.3031052706560944</v>
      </c>
      <c r="E131" s="5">
        <f t="shared" si="4"/>
        <v>4.0449722286249274</v>
      </c>
      <c r="F131" s="5">
        <f t="shared" ref="F131:G194" si="5">D131-D130</f>
        <v>8.814554973228006E-2</v>
      </c>
      <c r="G131" s="5">
        <f t="shared" si="5"/>
        <v>-9.9660032180803881E-3</v>
      </c>
    </row>
    <row r="132" spans="1:7" x14ac:dyDescent="0.2">
      <c r="A132" s="11">
        <v>31352</v>
      </c>
      <c r="B132" s="5">
        <v>66.88024816585569</v>
      </c>
      <c r="C132" s="5">
        <v>56.588000000000001</v>
      </c>
      <c r="D132" s="5">
        <f t="shared" si="4"/>
        <v>4.2029036793834331</v>
      </c>
      <c r="E132" s="5">
        <f t="shared" si="4"/>
        <v>4.0357969485966878</v>
      </c>
      <c r="F132" s="5">
        <f t="shared" si="5"/>
        <v>-0.10020159127266126</v>
      </c>
      <c r="G132" s="5">
        <f t="shared" si="5"/>
        <v>-9.1752800282396407E-3</v>
      </c>
    </row>
    <row r="133" spans="1:7" x14ac:dyDescent="0.2">
      <c r="A133" s="11">
        <v>31382</v>
      </c>
      <c r="B133" s="5">
        <v>61.429289779095235</v>
      </c>
      <c r="C133" s="5">
        <v>57.000599999999999</v>
      </c>
      <c r="D133" s="5">
        <f t="shared" si="4"/>
        <v>4.1178867536422139</v>
      </c>
      <c r="E133" s="5">
        <f t="shared" si="4"/>
        <v>4.043061794094938</v>
      </c>
      <c r="F133" s="5">
        <f t="shared" si="5"/>
        <v>-8.5016925741219218E-2</v>
      </c>
      <c r="G133" s="5">
        <f t="shared" si="5"/>
        <v>7.2648454982502386E-3</v>
      </c>
    </row>
    <row r="134" spans="1:7" x14ac:dyDescent="0.2">
      <c r="A134" s="11">
        <v>31413</v>
      </c>
      <c r="B134" s="5">
        <v>62.725966464108154</v>
      </c>
      <c r="C134" s="5">
        <v>57.923699999999997</v>
      </c>
      <c r="D134" s="5">
        <f t="shared" si="4"/>
        <v>4.1387755000908699</v>
      </c>
      <c r="E134" s="5">
        <f t="shared" si="4"/>
        <v>4.0591266272526125</v>
      </c>
      <c r="F134" s="5">
        <f t="shared" si="5"/>
        <v>2.0888746448656015E-2</v>
      </c>
      <c r="G134" s="5">
        <f t="shared" si="5"/>
        <v>1.6064833157674485E-2</v>
      </c>
    </row>
    <row r="135" spans="1:7" x14ac:dyDescent="0.2">
      <c r="A135" s="11">
        <v>31444</v>
      </c>
      <c r="B135" s="5">
        <v>59.02644341018501</v>
      </c>
      <c r="C135" s="5">
        <v>58.052500000000002</v>
      </c>
      <c r="D135" s="5">
        <f t="shared" si="4"/>
        <v>4.0779855368900275</v>
      </c>
      <c r="E135" s="5">
        <f t="shared" si="4"/>
        <v>4.0613477735387091</v>
      </c>
      <c r="F135" s="5">
        <f t="shared" si="5"/>
        <v>-6.0789963200842401E-2</v>
      </c>
      <c r="G135" s="5">
        <f t="shared" si="5"/>
        <v>2.221146286096598E-3</v>
      </c>
    </row>
    <row r="136" spans="1:7" x14ac:dyDescent="0.2">
      <c r="A136" s="11">
        <v>31472</v>
      </c>
      <c r="B136" s="5">
        <v>60.366137805127302</v>
      </c>
      <c r="C136" s="5">
        <v>57.243299999999998</v>
      </c>
      <c r="D136" s="5">
        <f t="shared" si="4"/>
        <v>4.1004283153622412</v>
      </c>
      <c r="E136" s="5">
        <f t="shared" si="4"/>
        <v>4.0473106050180521</v>
      </c>
      <c r="F136" s="5">
        <f t="shared" si="5"/>
        <v>2.2442778472213654E-2</v>
      </c>
      <c r="G136" s="5">
        <f t="shared" si="5"/>
        <v>-1.4037168520657062E-2</v>
      </c>
    </row>
    <row r="137" spans="1:7" x14ac:dyDescent="0.2">
      <c r="A137" s="11">
        <v>31503</v>
      </c>
      <c r="B137" s="5">
        <v>62.842728819630622</v>
      </c>
      <c r="C137" s="5">
        <v>57.045699999999997</v>
      </c>
      <c r="D137" s="5">
        <f t="shared" si="4"/>
        <v>4.1406352373273156</v>
      </c>
      <c r="E137" s="5">
        <f t="shared" si="4"/>
        <v>4.0438527009871557</v>
      </c>
      <c r="F137" s="5">
        <f t="shared" si="5"/>
        <v>4.0206921965074471E-2</v>
      </c>
      <c r="G137" s="5">
        <f t="shared" si="5"/>
        <v>-3.4579040308964082E-3</v>
      </c>
    </row>
    <row r="138" spans="1:7" x14ac:dyDescent="0.2">
      <c r="A138" s="11">
        <v>31533</v>
      </c>
      <c r="B138" s="5">
        <v>65.522117609515078</v>
      </c>
      <c r="C138" s="5">
        <v>56.668399999999998</v>
      </c>
      <c r="D138" s="5">
        <f t="shared" si="4"/>
        <v>4.1823877590700764</v>
      </c>
      <c r="E138" s="5">
        <f t="shared" si="4"/>
        <v>4.0372167361496354</v>
      </c>
      <c r="F138" s="5">
        <f t="shared" si="5"/>
        <v>4.1752521742760784E-2</v>
      </c>
      <c r="G138" s="5">
        <f t="shared" si="5"/>
        <v>-6.6359648375202696E-3</v>
      </c>
    </row>
    <row r="139" spans="1:7" x14ac:dyDescent="0.2">
      <c r="A139" s="11">
        <v>31564</v>
      </c>
      <c r="B139" s="5">
        <v>69.362984567491793</v>
      </c>
      <c r="C139" s="5">
        <v>57.844299999999997</v>
      </c>
      <c r="D139" s="5">
        <f t="shared" si="4"/>
        <v>4.2393533616429977</v>
      </c>
      <c r="E139" s="5">
        <f t="shared" si="4"/>
        <v>4.0577549181024182</v>
      </c>
      <c r="F139" s="5">
        <f t="shared" si="5"/>
        <v>5.696560257292127E-2</v>
      </c>
      <c r="G139" s="5">
        <f t="shared" si="5"/>
        <v>2.0538181952782786E-2</v>
      </c>
    </row>
    <row r="140" spans="1:7" x14ac:dyDescent="0.2">
      <c r="A140" s="11">
        <v>31594</v>
      </c>
      <c r="B140" s="5">
        <v>75.0597584395627</v>
      </c>
      <c r="C140" s="5">
        <v>55.9375</v>
      </c>
      <c r="D140" s="5">
        <f t="shared" si="4"/>
        <v>4.3182845754704502</v>
      </c>
      <c r="E140" s="5">
        <f t="shared" si="4"/>
        <v>4.0242349960350738</v>
      </c>
      <c r="F140" s="5">
        <f t="shared" si="5"/>
        <v>7.8931213827452495E-2</v>
      </c>
      <c r="G140" s="5">
        <f t="shared" si="5"/>
        <v>-3.3519922067344332E-2</v>
      </c>
    </row>
    <row r="141" spans="1:7" x14ac:dyDescent="0.2">
      <c r="A141" s="11">
        <v>31625</v>
      </c>
      <c r="B141" s="5">
        <v>74.36532969356054</v>
      </c>
      <c r="C141" s="5">
        <v>57.5002</v>
      </c>
      <c r="D141" s="5">
        <f t="shared" si="4"/>
        <v>4.3089898344854234</v>
      </c>
      <c r="E141" s="5">
        <f t="shared" si="4"/>
        <v>4.0517884260581249</v>
      </c>
      <c r="F141" s="5">
        <f t="shared" si="5"/>
        <v>-9.2947409850268059E-3</v>
      </c>
      <c r="G141" s="5">
        <f t="shared" si="5"/>
        <v>2.7553430023051106E-2</v>
      </c>
    </row>
    <row r="142" spans="1:7" x14ac:dyDescent="0.2">
      <c r="A142" s="11">
        <v>31656</v>
      </c>
      <c r="B142" s="5">
        <v>78.304522845661424</v>
      </c>
      <c r="C142" s="5">
        <v>58.129899999999999</v>
      </c>
      <c r="D142" s="5">
        <f t="shared" si="4"/>
        <v>4.3606053643638045</v>
      </c>
      <c r="E142" s="5">
        <f t="shared" si="4"/>
        <v>4.062680161429653</v>
      </c>
      <c r="F142" s="5">
        <f t="shared" si="5"/>
        <v>5.1615529878381139E-2</v>
      </c>
      <c r="G142" s="5">
        <f t="shared" si="5"/>
        <v>1.08917353715281E-2</v>
      </c>
    </row>
    <row r="143" spans="1:7" x14ac:dyDescent="0.2">
      <c r="A143" s="11">
        <v>31686</v>
      </c>
      <c r="B143" s="5">
        <v>81.770521188539277</v>
      </c>
      <c r="C143" s="5">
        <v>57.961599999999997</v>
      </c>
      <c r="D143" s="5">
        <f t="shared" si="4"/>
        <v>4.403916801989201</v>
      </c>
      <c r="E143" s="5">
        <f t="shared" si="4"/>
        <v>4.0597807223164599</v>
      </c>
      <c r="F143" s="5">
        <f t="shared" si="5"/>
        <v>4.3311437625396465E-2</v>
      </c>
      <c r="G143" s="5">
        <f t="shared" si="5"/>
        <v>-2.8994391131931252E-3</v>
      </c>
    </row>
    <row r="144" spans="1:7" x14ac:dyDescent="0.2">
      <c r="A144" s="11">
        <v>31717</v>
      </c>
      <c r="B144" s="5">
        <v>72.49713200520074</v>
      </c>
      <c r="C144" s="5">
        <v>57.483600000000003</v>
      </c>
      <c r="D144" s="5">
        <f t="shared" si="4"/>
        <v>4.2835470025292137</v>
      </c>
      <c r="E144" s="5">
        <f t="shared" si="4"/>
        <v>4.051499689729785</v>
      </c>
      <c r="F144" s="5">
        <f t="shared" si="5"/>
        <v>-0.12036979945998727</v>
      </c>
      <c r="G144" s="5">
        <f t="shared" si="5"/>
        <v>-8.2810325866748968E-3</v>
      </c>
    </row>
    <row r="145" spans="1:7" x14ac:dyDescent="0.2">
      <c r="A145" s="11">
        <v>31747</v>
      </c>
      <c r="B145" s="5">
        <v>65.595862255108258</v>
      </c>
      <c r="C145" s="5">
        <v>57.675800000000002</v>
      </c>
      <c r="D145" s="5">
        <f t="shared" si="4"/>
        <v>4.1835126185812603</v>
      </c>
      <c r="E145" s="5">
        <f t="shared" si="4"/>
        <v>4.0548376747915338</v>
      </c>
      <c r="F145" s="5">
        <f t="shared" si="5"/>
        <v>-0.10003438394795339</v>
      </c>
      <c r="G145" s="5">
        <f t="shared" si="5"/>
        <v>3.3379850617487605E-3</v>
      </c>
    </row>
    <row r="146" spans="1:7" x14ac:dyDescent="0.2">
      <c r="A146" s="11">
        <v>31778</v>
      </c>
      <c r="B146" s="5">
        <v>66.720468100403821</v>
      </c>
      <c r="C146" s="5">
        <v>58.1586</v>
      </c>
      <c r="D146" s="5">
        <f t="shared" si="4"/>
        <v>4.2005117739192226</v>
      </c>
      <c r="E146" s="5">
        <f t="shared" si="4"/>
        <v>4.0631737614087173</v>
      </c>
      <c r="F146" s="5">
        <f t="shared" si="5"/>
        <v>1.6999155337962257E-2</v>
      </c>
      <c r="G146" s="5">
        <f t="shared" si="5"/>
        <v>8.3360866171835468E-3</v>
      </c>
    </row>
    <row r="147" spans="1:7" x14ac:dyDescent="0.2">
      <c r="A147" s="11">
        <v>31809</v>
      </c>
      <c r="B147" s="5">
        <v>66.284145613977714</v>
      </c>
      <c r="C147" s="5">
        <v>59.514000000000003</v>
      </c>
      <c r="D147" s="5">
        <f t="shared" si="4"/>
        <v>4.1939507375845437</v>
      </c>
      <c r="E147" s="5">
        <f t="shared" si="4"/>
        <v>4.0862115789919118</v>
      </c>
      <c r="F147" s="5">
        <f t="shared" si="5"/>
        <v>-6.5610363346788603E-3</v>
      </c>
      <c r="G147" s="5">
        <f t="shared" si="5"/>
        <v>2.3037817583194453E-2</v>
      </c>
    </row>
    <row r="148" spans="1:7" x14ac:dyDescent="0.2">
      <c r="A148" s="11">
        <v>31837</v>
      </c>
      <c r="B148" s="5">
        <v>68.828335886941446</v>
      </c>
      <c r="C148" s="5">
        <v>59.518500000000003</v>
      </c>
      <c r="D148" s="5">
        <f t="shared" si="4"/>
        <v>4.2316155189705569</v>
      </c>
      <c r="E148" s="5">
        <f t="shared" si="4"/>
        <v>4.0862871885943672</v>
      </c>
      <c r="F148" s="5">
        <f t="shared" si="5"/>
        <v>3.7664781386013146E-2</v>
      </c>
      <c r="G148" s="5">
        <f t="shared" si="5"/>
        <v>7.5609602455450897E-5</v>
      </c>
    </row>
    <row r="149" spans="1:7" x14ac:dyDescent="0.2">
      <c r="A149" s="11">
        <v>31868</v>
      </c>
      <c r="B149" s="5">
        <v>68.152343302337528</v>
      </c>
      <c r="C149" s="5">
        <v>58.784799999999997</v>
      </c>
      <c r="D149" s="5">
        <f t="shared" si="4"/>
        <v>4.2217455420317833</v>
      </c>
      <c r="E149" s="5">
        <f t="shared" si="4"/>
        <v>4.073883318085457</v>
      </c>
      <c r="F149" s="5">
        <f t="shared" si="5"/>
        <v>-9.8699769387735614E-3</v>
      </c>
      <c r="G149" s="5">
        <f t="shared" si="5"/>
        <v>-1.2403870508910231E-2</v>
      </c>
    </row>
    <row r="150" spans="1:7" x14ac:dyDescent="0.2">
      <c r="A150" s="11">
        <v>31898</v>
      </c>
      <c r="B150" s="5">
        <v>68.975825178127707</v>
      </c>
      <c r="C150" s="5">
        <v>59.301699999999997</v>
      </c>
      <c r="D150" s="5">
        <f t="shared" si="4"/>
        <v>4.2337560834696673</v>
      </c>
      <c r="E150" s="5">
        <f t="shared" si="4"/>
        <v>4.08263797338366</v>
      </c>
      <c r="F150" s="5">
        <f t="shared" si="5"/>
        <v>1.2010541437883937E-2</v>
      </c>
      <c r="G150" s="5">
        <f t="shared" si="5"/>
        <v>8.7546552982029624E-3</v>
      </c>
    </row>
    <row r="151" spans="1:7" x14ac:dyDescent="0.2">
      <c r="A151" s="11">
        <v>31929</v>
      </c>
      <c r="B151" s="5">
        <v>70.524462735583896</v>
      </c>
      <c r="C151" s="5">
        <v>61.117199999999997</v>
      </c>
      <c r="D151" s="5">
        <f t="shared" si="4"/>
        <v>4.2559596387886263</v>
      </c>
      <c r="E151" s="5">
        <f t="shared" si="4"/>
        <v>4.1127933322905603</v>
      </c>
      <c r="F151" s="5">
        <f t="shared" si="5"/>
        <v>2.2203555318959012E-2</v>
      </c>
      <c r="G151" s="5">
        <f t="shared" si="5"/>
        <v>3.0155358906900354E-2</v>
      </c>
    </row>
    <row r="152" spans="1:7" x14ac:dyDescent="0.2">
      <c r="A152" s="11">
        <v>31959</v>
      </c>
      <c r="B152" s="5">
        <v>70.321664960202767</v>
      </c>
      <c r="C152" s="5">
        <v>59.162300000000002</v>
      </c>
      <c r="D152" s="5">
        <f t="shared" si="4"/>
        <v>4.2530799300050859</v>
      </c>
      <c r="E152" s="5">
        <f t="shared" si="4"/>
        <v>4.0802845147068973</v>
      </c>
      <c r="F152" s="5">
        <f t="shared" si="5"/>
        <v>-2.8797087835403801E-3</v>
      </c>
      <c r="G152" s="5">
        <f t="shared" si="5"/>
        <v>-3.2508817583662974E-2</v>
      </c>
    </row>
    <row r="153" spans="1:7" x14ac:dyDescent="0.2">
      <c r="A153" s="11">
        <v>31990</v>
      </c>
      <c r="B153" s="5">
        <v>70.856313640753044</v>
      </c>
      <c r="C153" s="5">
        <v>61.464500000000001</v>
      </c>
      <c r="D153" s="5">
        <f t="shared" si="4"/>
        <v>4.2606540749504749</v>
      </c>
      <c r="E153" s="5">
        <f t="shared" si="4"/>
        <v>4.1184597723754068</v>
      </c>
      <c r="F153" s="5">
        <f t="shared" si="5"/>
        <v>7.5741449453889942E-3</v>
      </c>
      <c r="G153" s="5">
        <f t="shared" si="5"/>
        <v>3.8175257668509488E-2</v>
      </c>
    </row>
    <row r="154" spans="1:7" x14ac:dyDescent="0.2">
      <c r="A154" s="11">
        <v>32021</v>
      </c>
      <c r="B154" s="5">
        <v>74.113368821117234</v>
      </c>
      <c r="C154" s="5">
        <v>61.8001</v>
      </c>
      <c r="D154" s="5">
        <f t="shared" si="4"/>
        <v>4.3055959319685471</v>
      </c>
      <c r="E154" s="5">
        <f t="shared" si="4"/>
        <v>4.1239049825853131</v>
      </c>
      <c r="F154" s="5">
        <f t="shared" si="5"/>
        <v>4.4941857018072184E-2</v>
      </c>
      <c r="G154" s="5">
        <f t="shared" si="5"/>
        <v>5.4452102099062927E-3</v>
      </c>
    </row>
    <row r="155" spans="1:7" x14ac:dyDescent="0.2">
      <c r="A155" s="11">
        <v>32051</v>
      </c>
      <c r="B155" s="5">
        <v>75.901676476751177</v>
      </c>
      <c r="C155" s="5">
        <v>62.5349</v>
      </c>
      <c r="D155" s="5">
        <f t="shared" si="4"/>
        <v>4.3294387721253846</v>
      </c>
      <c r="E155" s="5">
        <f t="shared" si="4"/>
        <v>4.1357248008950895</v>
      </c>
      <c r="F155" s="5">
        <f t="shared" si="5"/>
        <v>2.3842840156837575E-2</v>
      </c>
      <c r="G155" s="5">
        <f t="shared" si="5"/>
        <v>1.1819818309776409E-2</v>
      </c>
    </row>
    <row r="156" spans="1:7" x14ac:dyDescent="0.2">
      <c r="A156" s="11">
        <v>32082</v>
      </c>
      <c r="B156" s="5">
        <v>70.807150543690952</v>
      </c>
      <c r="C156" s="5">
        <v>62.050800000000002</v>
      </c>
      <c r="D156" s="5">
        <f t="shared" si="4"/>
        <v>4.2599599919796987</v>
      </c>
      <c r="E156" s="5">
        <f t="shared" si="4"/>
        <v>4.1279534043958686</v>
      </c>
      <c r="F156" s="5">
        <f t="shared" si="5"/>
        <v>-6.9478780145685981E-2</v>
      </c>
      <c r="G156" s="5">
        <f t="shared" si="5"/>
        <v>-7.7713964992209839E-3</v>
      </c>
    </row>
    <row r="157" spans="1:7" x14ac:dyDescent="0.2">
      <c r="A157" s="11">
        <v>32112</v>
      </c>
      <c r="B157" s="5">
        <v>63.15614356340155</v>
      </c>
      <c r="C157" s="5">
        <v>61.858199999999997</v>
      </c>
      <c r="D157" s="5">
        <f t="shared" si="4"/>
        <v>4.1456101293124448</v>
      </c>
      <c r="E157" s="5">
        <f t="shared" si="4"/>
        <v>4.124844668870427</v>
      </c>
      <c r="F157" s="5">
        <f t="shared" si="5"/>
        <v>-0.11434986266725389</v>
      </c>
      <c r="G157" s="5">
        <f t="shared" si="5"/>
        <v>-3.1087355254415527E-3</v>
      </c>
    </row>
    <row r="158" spans="1:7" x14ac:dyDescent="0.2">
      <c r="A158" s="11">
        <v>32143</v>
      </c>
      <c r="B158" s="5">
        <v>60.802460291553409</v>
      </c>
      <c r="C158" s="5">
        <v>62.565600000000003</v>
      </c>
      <c r="D158" s="5">
        <f t="shared" si="4"/>
        <v>4.1076302534750244</v>
      </c>
      <c r="E158" s="5">
        <f t="shared" si="4"/>
        <v>4.1362156062974069</v>
      </c>
      <c r="F158" s="5">
        <f t="shared" si="5"/>
        <v>-3.7979875837420352E-2</v>
      </c>
      <c r="G158" s="5">
        <f t="shared" si="5"/>
        <v>1.1370937426979921E-2</v>
      </c>
    </row>
    <row r="159" spans="1:7" x14ac:dyDescent="0.2">
      <c r="A159" s="11">
        <v>32174</v>
      </c>
      <c r="B159" s="5">
        <v>60.575080967641199</v>
      </c>
      <c r="C159" s="5">
        <v>63.313400000000001</v>
      </c>
      <c r="D159" s="5">
        <f t="shared" si="4"/>
        <v>4.1038836033528092</v>
      </c>
      <c r="E159" s="5">
        <f t="shared" si="4"/>
        <v>4.1480969971102359</v>
      </c>
      <c r="F159" s="5">
        <f t="shared" si="5"/>
        <v>-3.7466501222152004E-3</v>
      </c>
      <c r="G159" s="5">
        <f t="shared" si="5"/>
        <v>1.1881390812829018E-2</v>
      </c>
    </row>
    <row r="160" spans="1:7" x14ac:dyDescent="0.2">
      <c r="A160" s="11">
        <v>32203</v>
      </c>
      <c r="B160" s="5">
        <v>68.895935145401836</v>
      </c>
      <c r="C160" s="5">
        <v>63.372700000000002</v>
      </c>
      <c r="D160" s="5">
        <f t="shared" si="4"/>
        <v>4.2325971798409645</v>
      </c>
      <c r="E160" s="5">
        <f t="shared" si="4"/>
        <v>4.1490331693395648</v>
      </c>
      <c r="F160" s="5">
        <f t="shared" si="5"/>
        <v>0.12871357648815529</v>
      </c>
      <c r="G160" s="5">
        <f t="shared" si="5"/>
        <v>9.3617222932884658E-4</v>
      </c>
    </row>
    <row r="161" spans="1:7" x14ac:dyDescent="0.2">
      <c r="A161" s="11">
        <v>32234</v>
      </c>
      <c r="B161" s="5">
        <v>62.842728819630622</v>
      </c>
      <c r="C161" s="5">
        <v>62.882800000000003</v>
      </c>
      <c r="D161" s="5">
        <f t="shared" si="4"/>
        <v>4.1406352373273156</v>
      </c>
      <c r="E161" s="5">
        <f t="shared" si="4"/>
        <v>4.1412726763916394</v>
      </c>
      <c r="F161" s="5">
        <f t="shared" si="5"/>
        <v>-9.1961942513648864E-2</v>
      </c>
      <c r="G161" s="5">
        <f t="shared" si="5"/>
        <v>-7.760492947925357E-3</v>
      </c>
    </row>
    <row r="162" spans="1:7" x14ac:dyDescent="0.2">
      <c r="A162" s="11">
        <v>32264</v>
      </c>
      <c r="B162" s="5">
        <v>65.036632026026894</v>
      </c>
      <c r="C162" s="5">
        <v>62.851799999999997</v>
      </c>
      <c r="D162" s="5">
        <f t="shared" si="4"/>
        <v>4.1749506807810954</v>
      </c>
      <c r="E162" s="5">
        <f t="shared" si="4"/>
        <v>4.1407795742442888</v>
      </c>
      <c r="F162" s="5">
        <f t="shared" si="5"/>
        <v>3.4315443453779793E-2</v>
      </c>
      <c r="G162" s="5">
        <f t="shared" si="5"/>
        <v>-4.9310214735065472E-4</v>
      </c>
    </row>
    <row r="163" spans="1:7" x14ac:dyDescent="0.2">
      <c r="A163" s="11">
        <v>32295</v>
      </c>
      <c r="B163" s="5">
        <v>71.716667839339848</v>
      </c>
      <c r="C163" s="5">
        <v>64.706999999999994</v>
      </c>
      <c r="D163" s="5">
        <f t="shared" si="4"/>
        <v>4.2727231869679727</v>
      </c>
      <c r="E163" s="5">
        <f t="shared" si="4"/>
        <v>4.1698693873083466</v>
      </c>
      <c r="F163" s="5">
        <f t="shared" si="5"/>
        <v>9.7772506186877273E-2</v>
      </c>
      <c r="G163" s="5">
        <f t="shared" si="5"/>
        <v>2.9089813064057779E-2</v>
      </c>
    </row>
    <row r="164" spans="1:7" x14ac:dyDescent="0.2">
      <c r="A164" s="11">
        <v>32325</v>
      </c>
      <c r="B164" s="5">
        <v>71.741249387870937</v>
      </c>
      <c r="C164" s="5">
        <v>62.297800000000002</v>
      </c>
      <c r="D164" s="5">
        <f t="shared" si="4"/>
        <v>4.273065887451108</v>
      </c>
      <c r="E164" s="5">
        <f t="shared" si="4"/>
        <v>4.1319261121682835</v>
      </c>
      <c r="F164" s="5">
        <f t="shared" si="5"/>
        <v>3.4270048313533863E-4</v>
      </c>
      <c r="G164" s="5">
        <f t="shared" si="5"/>
        <v>-3.7943275140063015E-2</v>
      </c>
    </row>
    <row r="165" spans="1:7" x14ac:dyDescent="0.2">
      <c r="A165" s="11">
        <v>32356</v>
      </c>
      <c r="B165" s="5">
        <v>76.092183477866826</v>
      </c>
      <c r="C165" s="5">
        <v>64.417100000000005</v>
      </c>
      <c r="D165" s="5">
        <f t="shared" si="4"/>
        <v>4.3319455457665477</v>
      </c>
      <c r="E165" s="5">
        <f t="shared" si="4"/>
        <v>4.1653791258143116</v>
      </c>
      <c r="F165" s="5">
        <f t="shared" si="5"/>
        <v>5.887965831543962E-2</v>
      </c>
      <c r="G165" s="5">
        <f t="shared" si="5"/>
        <v>3.345301364602804E-2</v>
      </c>
    </row>
    <row r="166" spans="1:7" x14ac:dyDescent="0.2">
      <c r="A166" s="11">
        <v>32387</v>
      </c>
      <c r="B166" s="5">
        <v>73.148543041273555</v>
      </c>
      <c r="C166" s="5">
        <v>64.678200000000004</v>
      </c>
      <c r="D166" s="5">
        <f t="shared" si="4"/>
        <v>4.2924922098552507</v>
      </c>
      <c r="E166" s="5">
        <f t="shared" si="4"/>
        <v>4.1694242050081201</v>
      </c>
      <c r="F166" s="5">
        <f t="shared" si="5"/>
        <v>-3.9453335911296961E-2</v>
      </c>
      <c r="G166" s="5">
        <f t="shared" si="5"/>
        <v>4.0450791938084762E-3</v>
      </c>
    </row>
    <row r="167" spans="1:7" x14ac:dyDescent="0.2">
      <c r="A167" s="11">
        <v>32417</v>
      </c>
      <c r="B167" s="5">
        <v>69.860760925245515</v>
      </c>
      <c r="C167" s="5">
        <v>64.647199999999998</v>
      </c>
      <c r="D167" s="5">
        <f t="shared" si="4"/>
        <v>4.2465041314643068</v>
      </c>
      <c r="E167" s="5">
        <f t="shared" si="4"/>
        <v>4.1689447941484783</v>
      </c>
      <c r="F167" s="5">
        <f t="shared" si="5"/>
        <v>-4.5988078390943876E-2</v>
      </c>
      <c r="G167" s="5">
        <f t="shared" si="5"/>
        <v>-4.7941085964176011E-4</v>
      </c>
    </row>
    <row r="168" spans="1:7" x14ac:dyDescent="0.2">
      <c r="A168" s="11">
        <v>32448</v>
      </c>
      <c r="B168" s="5">
        <v>65.829386966153308</v>
      </c>
      <c r="C168" s="5">
        <v>63.814399999999999</v>
      </c>
      <c r="D168" s="5">
        <f t="shared" si="4"/>
        <v>4.1870663490583802</v>
      </c>
      <c r="E168" s="5">
        <f t="shared" si="4"/>
        <v>4.155978870212282</v>
      </c>
      <c r="F168" s="5">
        <f t="shared" si="5"/>
        <v>-5.9437782405926676E-2</v>
      </c>
      <c r="G168" s="5">
        <f t="shared" si="5"/>
        <v>-1.2965923936196333E-2</v>
      </c>
    </row>
    <row r="169" spans="1:7" x14ac:dyDescent="0.2">
      <c r="A169" s="11">
        <v>32478</v>
      </c>
      <c r="B169" s="5">
        <v>61.023694228332921</v>
      </c>
      <c r="C169" s="5">
        <v>63.5364</v>
      </c>
      <c r="D169" s="5">
        <f t="shared" si="4"/>
        <v>4.1112622187265897</v>
      </c>
      <c r="E169" s="5">
        <f t="shared" si="4"/>
        <v>4.1516129700124926</v>
      </c>
      <c r="F169" s="5">
        <f t="shared" si="5"/>
        <v>-7.5804130331790454E-2</v>
      </c>
      <c r="G169" s="5">
        <f t="shared" si="5"/>
        <v>-4.3659001997893299E-3</v>
      </c>
    </row>
    <row r="170" spans="1:7" x14ac:dyDescent="0.2">
      <c r="A170" s="11">
        <v>32509</v>
      </c>
      <c r="B170" s="5">
        <v>59.573382865000902</v>
      </c>
      <c r="C170" s="5">
        <v>64.293400000000005</v>
      </c>
      <c r="D170" s="5">
        <f t="shared" si="4"/>
        <v>4.0872088780926923</v>
      </c>
      <c r="E170" s="5">
        <f t="shared" si="4"/>
        <v>4.1634569821184115</v>
      </c>
      <c r="F170" s="5">
        <f t="shared" si="5"/>
        <v>-2.4053340633897413E-2</v>
      </c>
      <c r="G170" s="5">
        <f t="shared" si="5"/>
        <v>1.18440121059189E-2</v>
      </c>
    </row>
    <row r="171" spans="1:7" x14ac:dyDescent="0.2">
      <c r="A171" s="11">
        <v>32540</v>
      </c>
      <c r="B171" s="5">
        <v>54.638636997392489</v>
      </c>
      <c r="C171" s="5">
        <v>64.540300000000002</v>
      </c>
      <c r="D171" s="5">
        <f t="shared" si="4"/>
        <v>4.0007412698085094</v>
      </c>
      <c r="E171" s="5">
        <f t="shared" si="4"/>
        <v>4.1672898348931486</v>
      </c>
      <c r="F171" s="5">
        <f t="shared" si="5"/>
        <v>-8.6467608284182873E-2</v>
      </c>
      <c r="G171" s="5">
        <f t="shared" si="5"/>
        <v>3.8328527747371055E-3</v>
      </c>
    </row>
    <row r="172" spans="1:7" x14ac:dyDescent="0.2">
      <c r="A172" s="11">
        <v>32568</v>
      </c>
      <c r="B172" s="5">
        <v>62.670657979913294</v>
      </c>
      <c r="C172" s="5">
        <v>64.225999999999999</v>
      </c>
      <c r="D172" s="5">
        <f t="shared" si="4"/>
        <v>4.1378933633024726</v>
      </c>
      <c r="E172" s="5">
        <f t="shared" si="4"/>
        <v>4.1624081131355339</v>
      </c>
      <c r="F172" s="5">
        <f t="shared" si="5"/>
        <v>0.13715209349396318</v>
      </c>
      <c r="G172" s="5">
        <f t="shared" si="5"/>
        <v>-4.8817217576146987E-3</v>
      </c>
    </row>
    <row r="173" spans="1:7" x14ac:dyDescent="0.2">
      <c r="A173" s="11">
        <v>32599</v>
      </c>
      <c r="B173" s="5">
        <v>61.367835907767613</v>
      </c>
      <c r="C173" s="5">
        <v>64.342500000000001</v>
      </c>
      <c r="D173" s="5">
        <f t="shared" si="4"/>
        <v>4.1168858527479255</v>
      </c>
      <c r="E173" s="5">
        <f t="shared" si="4"/>
        <v>4.164220377133093</v>
      </c>
      <c r="F173" s="5">
        <f t="shared" si="5"/>
        <v>-2.1007510554547082E-2</v>
      </c>
      <c r="G173" s="5">
        <f t="shared" si="5"/>
        <v>1.8122639975590715E-3</v>
      </c>
    </row>
    <row r="174" spans="1:7" x14ac:dyDescent="0.2">
      <c r="A174" s="11">
        <v>32629</v>
      </c>
      <c r="B174" s="5">
        <v>68.637828885825797</v>
      </c>
      <c r="C174" s="5">
        <v>63.446399999999997</v>
      </c>
      <c r="D174" s="5">
        <f t="shared" si="4"/>
        <v>4.228843824228198</v>
      </c>
      <c r="E174" s="5">
        <f t="shared" si="4"/>
        <v>4.1501954549621063</v>
      </c>
      <c r="F174" s="5">
        <f t="shared" si="5"/>
        <v>0.11195797148027253</v>
      </c>
      <c r="G174" s="5">
        <f t="shared" si="5"/>
        <v>-1.402492217098672E-2</v>
      </c>
    </row>
    <row r="175" spans="1:7" x14ac:dyDescent="0.2">
      <c r="A175" s="11">
        <v>32660</v>
      </c>
      <c r="B175" s="5">
        <v>74.936850696907527</v>
      </c>
      <c r="C175" s="5">
        <v>65.186700000000002</v>
      </c>
      <c r="D175" s="5">
        <f t="shared" si="4"/>
        <v>4.3166457681551327</v>
      </c>
      <c r="E175" s="5">
        <f t="shared" si="4"/>
        <v>4.1772554603942194</v>
      </c>
      <c r="F175" s="5">
        <f t="shared" si="5"/>
        <v>8.7801943926934634E-2</v>
      </c>
      <c r="G175" s="5">
        <f t="shared" si="5"/>
        <v>2.7060005432113066E-2</v>
      </c>
    </row>
    <row r="176" spans="1:7" x14ac:dyDescent="0.2">
      <c r="A176" s="11">
        <v>32690</v>
      </c>
      <c r="B176" s="5">
        <v>77.044718483445067</v>
      </c>
      <c r="C176" s="5">
        <v>62.100999999999999</v>
      </c>
      <c r="D176" s="5">
        <f t="shared" si="4"/>
        <v>4.3443860128033958</v>
      </c>
      <c r="E176" s="5">
        <f t="shared" si="4"/>
        <v>4.1287620918693619</v>
      </c>
      <c r="F176" s="5">
        <f t="shared" si="5"/>
        <v>2.7740244648263079E-2</v>
      </c>
      <c r="G176" s="5">
        <f t="shared" si="5"/>
        <v>-4.8493368524857416E-2</v>
      </c>
    </row>
    <row r="177" spans="1:7" x14ac:dyDescent="0.2">
      <c r="A177" s="11">
        <v>32721</v>
      </c>
      <c r="B177" s="5">
        <v>81.807393511336372</v>
      </c>
      <c r="C177" s="5">
        <v>64.7714</v>
      </c>
      <c r="D177" s="5">
        <f t="shared" si="4"/>
        <v>4.4043676247483639</v>
      </c>
      <c r="E177" s="5">
        <f t="shared" si="4"/>
        <v>4.1708641479064168</v>
      </c>
      <c r="F177" s="5">
        <f t="shared" si="5"/>
        <v>5.9981611944968094E-2</v>
      </c>
      <c r="G177" s="5">
        <f t="shared" si="5"/>
        <v>4.2102056037054858E-2</v>
      </c>
    </row>
    <row r="178" spans="1:7" x14ac:dyDescent="0.2">
      <c r="A178" s="11">
        <v>32752</v>
      </c>
      <c r="B178" s="5">
        <v>76.424034383036073</v>
      </c>
      <c r="C178" s="5">
        <v>64.865200000000002</v>
      </c>
      <c r="D178" s="5">
        <f t="shared" si="4"/>
        <v>4.3362972328660163</v>
      </c>
      <c r="E178" s="5">
        <f t="shared" si="4"/>
        <v>4.1723112703451317</v>
      </c>
      <c r="F178" s="5">
        <f t="shared" si="5"/>
        <v>-6.8070391882347536E-2</v>
      </c>
      <c r="G178" s="5">
        <f t="shared" si="5"/>
        <v>1.4471224387149206E-3</v>
      </c>
    </row>
    <row r="179" spans="1:7" x14ac:dyDescent="0.2">
      <c r="A179" s="11">
        <v>32782</v>
      </c>
      <c r="B179" s="5">
        <v>78.697827622158187</v>
      </c>
      <c r="C179" s="5">
        <v>64.500100000000003</v>
      </c>
      <c r="D179" s="5">
        <f t="shared" si="4"/>
        <v>4.3656155517661182</v>
      </c>
      <c r="E179" s="5">
        <f t="shared" si="4"/>
        <v>4.1666667741881218</v>
      </c>
      <c r="F179" s="5">
        <f t="shared" si="5"/>
        <v>2.9318318900101836E-2</v>
      </c>
      <c r="G179" s="5">
        <f t="shared" si="5"/>
        <v>-5.6444961570099039E-3</v>
      </c>
    </row>
    <row r="180" spans="1:7" x14ac:dyDescent="0.2">
      <c r="A180" s="11">
        <v>32813</v>
      </c>
      <c r="B180" s="5">
        <v>72.527858940864505</v>
      </c>
      <c r="C180" s="5">
        <v>63.796799999999998</v>
      </c>
      <c r="D180" s="5">
        <f t="shared" si="4"/>
        <v>4.2839707493044843</v>
      </c>
      <c r="E180" s="5">
        <f t="shared" si="4"/>
        <v>4.1557030323530411</v>
      </c>
      <c r="F180" s="5">
        <f t="shared" si="5"/>
        <v>-8.1644802461633859E-2</v>
      </c>
      <c r="G180" s="5">
        <f t="shared" si="5"/>
        <v>-1.0963741835080754E-2</v>
      </c>
    </row>
    <row r="181" spans="1:7" x14ac:dyDescent="0.2">
      <c r="A181" s="11">
        <v>32843</v>
      </c>
      <c r="B181" s="5">
        <v>62.867310368161718</v>
      </c>
      <c r="C181" s="5">
        <v>63.823</v>
      </c>
      <c r="D181" s="5">
        <f t="shared" si="4"/>
        <v>4.1410263206330438</v>
      </c>
      <c r="E181" s="5">
        <f t="shared" si="4"/>
        <v>4.156113626953065</v>
      </c>
      <c r="F181" s="5">
        <f t="shared" si="5"/>
        <v>-0.14294442867144053</v>
      </c>
      <c r="G181" s="5">
        <f t="shared" si="5"/>
        <v>4.105946000239058E-4</v>
      </c>
    </row>
    <row r="182" spans="1:7" x14ac:dyDescent="0.2">
      <c r="A182" s="11">
        <v>32874</v>
      </c>
      <c r="B182" s="5">
        <v>62.566186398656342</v>
      </c>
      <c r="C182" s="5">
        <v>63.792999999999999</v>
      </c>
      <c r="D182" s="5">
        <f t="shared" si="4"/>
        <v>4.1362249787945675</v>
      </c>
      <c r="E182" s="5">
        <f t="shared" si="4"/>
        <v>4.1556434664629602</v>
      </c>
      <c r="F182" s="5">
        <f t="shared" si="5"/>
        <v>-4.8013418384762474E-3</v>
      </c>
      <c r="G182" s="5">
        <f t="shared" si="5"/>
        <v>-4.7016049010473182E-4</v>
      </c>
    </row>
    <row r="183" spans="1:7" x14ac:dyDescent="0.2">
      <c r="A183" s="11">
        <v>32905</v>
      </c>
      <c r="B183" s="5">
        <v>59.302985831159383</v>
      </c>
      <c r="C183" s="5">
        <v>64.740399999999994</v>
      </c>
      <c r="D183" s="5">
        <f t="shared" si="4"/>
        <v>4.0826596560204029</v>
      </c>
      <c r="E183" s="5">
        <f t="shared" si="4"/>
        <v>4.1703854270394061</v>
      </c>
      <c r="F183" s="5">
        <f t="shared" si="5"/>
        <v>-5.3565322774164592E-2</v>
      </c>
      <c r="G183" s="5">
        <f t="shared" si="5"/>
        <v>1.4741960576445834E-2</v>
      </c>
    </row>
    <row r="184" spans="1:7" x14ac:dyDescent="0.2">
      <c r="A184" s="11">
        <v>32933</v>
      </c>
      <c r="B184" s="5">
        <v>60.54435403197742</v>
      </c>
      <c r="C184" s="5">
        <v>65.078800000000001</v>
      </c>
      <c r="D184" s="5">
        <f t="shared" si="4"/>
        <v>4.1033762209277995</v>
      </c>
      <c r="E184" s="5">
        <f t="shared" si="4"/>
        <v>4.1755988433363402</v>
      </c>
      <c r="F184" s="5">
        <f t="shared" si="5"/>
        <v>2.0716564907396595E-2</v>
      </c>
      <c r="G184" s="5">
        <f t="shared" si="5"/>
        <v>5.2134162969341702E-3</v>
      </c>
    </row>
    <row r="185" spans="1:7" x14ac:dyDescent="0.2">
      <c r="A185" s="11">
        <v>32964</v>
      </c>
      <c r="B185" s="5">
        <v>44.37584048567895</v>
      </c>
      <c r="C185" s="5">
        <v>63.743400000000001</v>
      </c>
      <c r="D185" s="5">
        <f t="shared" si="4"/>
        <v>3.7926951881385529</v>
      </c>
      <c r="E185" s="5">
        <f t="shared" si="4"/>
        <v>4.1548656492672311</v>
      </c>
      <c r="F185" s="5">
        <f t="shared" si="5"/>
        <v>-0.31068103278924664</v>
      </c>
      <c r="G185" s="5">
        <f t="shared" si="5"/>
        <v>-2.0733194069109118E-2</v>
      </c>
    </row>
    <row r="186" spans="1:7" x14ac:dyDescent="0.2">
      <c r="A186" s="11">
        <v>32994</v>
      </c>
      <c r="B186" s="5">
        <v>61.220346616581345</v>
      </c>
      <c r="C186" s="5">
        <v>64.403599999999997</v>
      </c>
      <c r="D186" s="5">
        <f t="shared" si="4"/>
        <v>4.1144795953206001</v>
      </c>
      <c r="E186" s="5">
        <f t="shared" si="4"/>
        <v>4.1651695321690445</v>
      </c>
      <c r="F186" s="5">
        <f t="shared" si="5"/>
        <v>0.32178440718204726</v>
      </c>
      <c r="G186" s="5">
        <f t="shared" si="5"/>
        <v>1.0303882901813388E-2</v>
      </c>
    </row>
    <row r="187" spans="1:7" x14ac:dyDescent="0.2">
      <c r="A187" s="11">
        <v>33025</v>
      </c>
      <c r="B187" s="5">
        <v>62.603058721452882</v>
      </c>
      <c r="C187" s="5">
        <v>66.392499999999998</v>
      </c>
      <c r="D187" s="5">
        <f t="shared" si="4"/>
        <v>4.1368141382774368</v>
      </c>
      <c r="E187" s="5">
        <f t="shared" si="4"/>
        <v>4.1955840982956234</v>
      </c>
      <c r="F187" s="5">
        <f t="shared" si="5"/>
        <v>2.2334542956836678E-2</v>
      </c>
      <c r="G187" s="5">
        <f t="shared" si="5"/>
        <v>3.041456612657889E-2</v>
      </c>
    </row>
    <row r="188" spans="1:7" x14ac:dyDescent="0.2">
      <c r="A188" s="11">
        <v>33055</v>
      </c>
      <c r="B188" s="5">
        <v>70.659661252504691</v>
      </c>
      <c r="C188" s="5">
        <v>63.935000000000002</v>
      </c>
      <c r="D188" s="5">
        <f t="shared" si="4"/>
        <v>4.2578748478706068</v>
      </c>
      <c r="E188" s="5">
        <f t="shared" si="4"/>
        <v>4.1578669422631318</v>
      </c>
      <c r="F188" s="5">
        <f t="shared" si="5"/>
        <v>0.12106070959316995</v>
      </c>
      <c r="G188" s="5">
        <f t="shared" si="5"/>
        <v>-3.7717156032491594E-2</v>
      </c>
    </row>
    <row r="189" spans="1:7" x14ac:dyDescent="0.2">
      <c r="A189" s="11">
        <v>33086</v>
      </c>
      <c r="B189" s="5">
        <v>75.004449955367903</v>
      </c>
      <c r="C189" s="5">
        <v>66.143699999999995</v>
      </c>
      <c r="D189" s="5">
        <f t="shared" si="4"/>
        <v>4.3175474445144317</v>
      </c>
      <c r="E189" s="5">
        <f t="shared" si="4"/>
        <v>4.191829647930291</v>
      </c>
      <c r="F189" s="5">
        <f t="shared" si="5"/>
        <v>5.967259664382496E-2</v>
      </c>
      <c r="G189" s="5">
        <f t="shared" si="5"/>
        <v>3.3962705667159199E-2</v>
      </c>
    </row>
    <row r="190" spans="1:7" x14ac:dyDescent="0.2">
      <c r="A190" s="11">
        <v>33117</v>
      </c>
      <c r="B190" s="5">
        <v>70.573625832646059</v>
      </c>
      <c r="C190" s="5">
        <v>66.628399999999999</v>
      </c>
      <c r="D190" s="5">
        <f t="shared" si="4"/>
        <v>4.2566565029283261</v>
      </c>
      <c r="E190" s="5">
        <f t="shared" si="4"/>
        <v>4.1991309130788599</v>
      </c>
      <c r="F190" s="5">
        <f t="shared" si="5"/>
        <v>-6.089094158610564E-2</v>
      </c>
      <c r="G190" s="5">
        <f t="shared" si="5"/>
        <v>7.3012651485688806E-3</v>
      </c>
    </row>
    <row r="191" spans="1:7" x14ac:dyDescent="0.2">
      <c r="A191" s="11">
        <v>33147</v>
      </c>
      <c r="B191" s="5">
        <v>72.773674426175006</v>
      </c>
      <c r="C191" s="5">
        <v>65.686599999999999</v>
      </c>
      <c r="D191" s="5">
        <f t="shared" si="4"/>
        <v>4.2873542747790916</v>
      </c>
      <c r="E191" s="5">
        <f t="shared" si="4"/>
        <v>4.1848949473063897</v>
      </c>
      <c r="F191" s="5">
        <f t="shared" si="5"/>
        <v>3.0697771850765498E-2</v>
      </c>
      <c r="G191" s="5">
        <f t="shared" si="5"/>
        <v>-1.4235965772470216E-2</v>
      </c>
    </row>
    <row r="192" spans="1:7" x14ac:dyDescent="0.2">
      <c r="A192" s="11">
        <v>33178</v>
      </c>
      <c r="B192" s="5">
        <v>65.546699158046152</v>
      </c>
      <c r="C192" s="5">
        <v>63.977600000000002</v>
      </c>
      <c r="D192" s="5">
        <f t="shared" si="4"/>
        <v>4.1827628528479179</v>
      </c>
      <c r="E192" s="5">
        <f t="shared" si="4"/>
        <v>4.1585330220953765</v>
      </c>
      <c r="F192" s="5">
        <f t="shared" si="5"/>
        <v>-0.10459142193117366</v>
      </c>
      <c r="G192" s="5">
        <f t="shared" si="5"/>
        <v>-2.6361925211013215E-2</v>
      </c>
    </row>
    <row r="193" spans="1:7" x14ac:dyDescent="0.2">
      <c r="A193" s="11">
        <v>33208</v>
      </c>
      <c r="B193" s="5">
        <v>52.039138240233974</v>
      </c>
      <c r="C193" s="5">
        <v>63.084699999999998</v>
      </c>
      <c r="D193" s="5">
        <f t="shared" si="4"/>
        <v>3.9519960939421277</v>
      </c>
      <c r="E193" s="5">
        <f t="shared" si="4"/>
        <v>4.1444782678797711</v>
      </c>
      <c r="F193" s="5">
        <f t="shared" si="5"/>
        <v>-0.23076675890579024</v>
      </c>
      <c r="G193" s="5">
        <f t="shared" si="5"/>
        <v>-1.4054754215605314E-2</v>
      </c>
    </row>
    <row r="194" spans="1:7" x14ac:dyDescent="0.2">
      <c r="A194" s="11">
        <v>33239</v>
      </c>
      <c r="B194" s="5">
        <v>52.838038567493086</v>
      </c>
      <c r="C194" s="5">
        <v>63.376300000000001</v>
      </c>
      <c r="D194" s="5">
        <f t="shared" si="4"/>
        <v>3.9672313587435979</v>
      </c>
      <c r="E194" s="5">
        <f t="shared" si="4"/>
        <v>4.1490899745214751</v>
      </c>
      <c r="F194" s="5">
        <f t="shared" si="5"/>
        <v>1.5235264801470194E-2</v>
      </c>
      <c r="G194" s="5">
        <f t="shared" si="5"/>
        <v>4.6117066417039609E-3</v>
      </c>
    </row>
    <row r="195" spans="1:7" x14ac:dyDescent="0.2">
      <c r="A195" s="11">
        <v>33270</v>
      </c>
      <c r="B195" s="5">
        <v>48.466115702479307</v>
      </c>
      <c r="C195" s="5">
        <v>63.129399999999997</v>
      </c>
      <c r="D195" s="5">
        <f t="shared" ref="D195:E258" si="6">LN(B195)</f>
        <v>3.8808649084673679</v>
      </c>
      <c r="E195" s="5">
        <f t="shared" si="6"/>
        <v>4.1451865881366814</v>
      </c>
      <c r="F195" s="5">
        <f t="shared" ref="F195:G258" si="7">D195-D194</f>
        <v>-8.6366450276230022E-2</v>
      </c>
      <c r="G195" s="5">
        <f t="shared" si="7"/>
        <v>-3.9033863847937056E-3</v>
      </c>
    </row>
    <row r="196" spans="1:7" x14ac:dyDescent="0.2">
      <c r="A196" s="11">
        <v>33298</v>
      </c>
      <c r="B196" s="5">
        <v>53.428407713498586</v>
      </c>
      <c r="C196" s="5">
        <v>62.412799999999997</v>
      </c>
      <c r="D196" s="5">
        <f t="shared" si="6"/>
        <v>3.9783425841686686</v>
      </c>
      <c r="E196" s="5">
        <f t="shared" si="6"/>
        <v>4.1337703825445962</v>
      </c>
      <c r="F196" s="5">
        <f t="shared" si="7"/>
        <v>9.7477675701300726E-2</v>
      </c>
      <c r="G196" s="5">
        <f t="shared" si="7"/>
        <v>-1.1416205592085227E-2</v>
      </c>
    </row>
    <row r="197" spans="1:7" x14ac:dyDescent="0.2">
      <c r="A197" s="11">
        <v>33329</v>
      </c>
      <c r="B197" s="5">
        <v>60.88780165289252</v>
      </c>
      <c r="C197" s="5">
        <v>62.413800000000002</v>
      </c>
      <c r="D197" s="5">
        <f t="shared" si="6"/>
        <v>4.1090328533867408</v>
      </c>
      <c r="E197" s="5">
        <f t="shared" si="6"/>
        <v>4.1337864047706292</v>
      </c>
      <c r="F197" s="5">
        <f t="shared" si="7"/>
        <v>0.13069026921807225</v>
      </c>
      <c r="G197" s="5">
        <f t="shared" si="7"/>
        <v>1.6022226033030051E-5</v>
      </c>
    </row>
    <row r="198" spans="1:7" x14ac:dyDescent="0.2">
      <c r="A198" s="11">
        <v>33359</v>
      </c>
      <c r="B198" s="5">
        <v>64.461928374655614</v>
      </c>
      <c r="C198" s="5">
        <v>62.825499999999998</v>
      </c>
      <c r="D198" s="5">
        <f t="shared" si="6"/>
        <v>4.1660747917737595</v>
      </c>
      <c r="E198" s="5">
        <f t="shared" si="6"/>
        <v>4.1403610420131871</v>
      </c>
      <c r="F198" s="5">
        <f t="shared" si="7"/>
        <v>5.7041938387018654E-2</v>
      </c>
      <c r="G198" s="5">
        <f t="shared" si="7"/>
        <v>6.5746372425579125E-3</v>
      </c>
    </row>
    <row r="199" spans="1:7" x14ac:dyDescent="0.2">
      <c r="A199" s="11">
        <v>33390</v>
      </c>
      <c r="B199" s="5">
        <v>65.028363636363608</v>
      </c>
      <c r="C199" s="5">
        <v>65.195499999999996</v>
      </c>
      <c r="D199" s="5">
        <f t="shared" si="6"/>
        <v>4.1748235383530758</v>
      </c>
      <c r="E199" s="5">
        <f t="shared" si="6"/>
        <v>4.1773904481458199</v>
      </c>
      <c r="F199" s="5">
        <f t="shared" si="7"/>
        <v>8.7487465793163466E-3</v>
      </c>
      <c r="G199" s="5">
        <f t="shared" si="7"/>
        <v>3.7029406132632836E-2</v>
      </c>
    </row>
    <row r="200" spans="1:7" x14ac:dyDescent="0.2">
      <c r="A200" s="11">
        <v>33420</v>
      </c>
      <c r="B200" s="5">
        <v>71.55433608815423</v>
      </c>
      <c r="C200" s="5">
        <v>62.862200000000001</v>
      </c>
      <c r="D200" s="5">
        <f t="shared" si="6"/>
        <v>4.2704571063766217</v>
      </c>
      <c r="E200" s="5">
        <f t="shared" si="6"/>
        <v>4.1409450291661551</v>
      </c>
      <c r="F200" s="5">
        <f t="shared" si="7"/>
        <v>9.5633568023545834E-2</v>
      </c>
      <c r="G200" s="5">
        <f t="shared" si="7"/>
        <v>-3.6445418979664801E-2</v>
      </c>
    </row>
    <row r="201" spans="1:7" x14ac:dyDescent="0.2">
      <c r="A201" s="11">
        <v>33451</v>
      </c>
      <c r="B201" s="5">
        <v>72.136727272727242</v>
      </c>
      <c r="C201" s="5">
        <v>65.123500000000007</v>
      </c>
      <c r="D201" s="5">
        <f t="shared" si="6"/>
        <v>4.2785633081131689</v>
      </c>
      <c r="E201" s="5">
        <f t="shared" si="6"/>
        <v>4.1762854671787171</v>
      </c>
      <c r="F201" s="5">
        <f t="shared" si="7"/>
        <v>8.1062017365471917E-3</v>
      </c>
      <c r="G201" s="5">
        <f t="shared" si="7"/>
        <v>3.5340438012561926E-2</v>
      </c>
    </row>
    <row r="202" spans="1:7" x14ac:dyDescent="0.2">
      <c r="A202" s="11">
        <v>33482</v>
      </c>
      <c r="B202" s="5">
        <v>65.7064903581267</v>
      </c>
      <c r="C202" s="5">
        <v>65.803399999999996</v>
      </c>
      <c r="D202" s="5">
        <f t="shared" si="6"/>
        <v>4.1851977084062986</v>
      </c>
      <c r="E202" s="5">
        <f t="shared" si="6"/>
        <v>4.186671508728856</v>
      </c>
      <c r="F202" s="5">
        <f t="shared" si="7"/>
        <v>-9.3365599706870306E-2</v>
      </c>
      <c r="G202" s="5">
        <f t="shared" si="7"/>
        <v>1.0386041550138891E-2</v>
      </c>
    </row>
    <row r="203" spans="1:7" x14ac:dyDescent="0.2">
      <c r="A203" s="11">
        <v>33512</v>
      </c>
      <c r="B203" s="5">
        <v>69.990655647382908</v>
      </c>
      <c r="C203" s="5">
        <v>65.3125</v>
      </c>
      <c r="D203" s="5">
        <f t="shared" si="6"/>
        <v>4.2483617423870026</v>
      </c>
      <c r="E203" s="5">
        <f t="shared" si="6"/>
        <v>4.1791834421591298</v>
      </c>
      <c r="F203" s="5">
        <f t="shared" si="7"/>
        <v>6.3164033980704026E-2</v>
      </c>
      <c r="G203" s="5">
        <f t="shared" si="7"/>
        <v>-7.4880665697261151E-3</v>
      </c>
    </row>
    <row r="204" spans="1:7" x14ac:dyDescent="0.2">
      <c r="A204" s="11">
        <v>33543</v>
      </c>
      <c r="B204" s="5">
        <v>61.853134986225882</v>
      </c>
      <c r="C204" s="5">
        <v>64.176500000000004</v>
      </c>
      <c r="D204" s="5">
        <f t="shared" si="6"/>
        <v>4.1247627844775776</v>
      </c>
      <c r="E204" s="5">
        <f t="shared" si="6"/>
        <v>4.1616371000718919</v>
      </c>
      <c r="F204" s="5">
        <f t="shared" si="7"/>
        <v>-0.12359895790942499</v>
      </c>
      <c r="G204" s="5">
        <f t="shared" si="7"/>
        <v>-1.7546342087237932E-2</v>
      </c>
    </row>
    <row r="205" spans="1:7" x14ac:dyDescent="0.2">
      <c r="A205" s="11">
        <v>33573</v>
      </c>
      <c r="B205" s="5">
        <v>51.074909090909081</v>
      </c>
      <c r="C205" s="5">
        <v>63.324800000000003</v>
      </c>
      <c r="D205" s="5">
        <f t="shared" si="6"/>
        <v>3.9332933607884275</v>
      </c>
      <c r="E205" s="5">
        <f t="shared" si="6"/>
        <v>4.1482770375724476</v>
      </c>
      <c r="F205" s="5">
        <f t="shared" si="7"/>
        <v>-0.1914694236891501</v>
      </c>
      <c r="G205" s="5">
        <f t="shared" si="7"/>
        <v>-1.3360062499444325E-2</v>
      </c>
    </row>
    <row r="206" spans="1:7" x14ac:dyDescent="0.2">
      <c r="A206" s="11">
        <v>33604</v>
      </c>
      <c r="B206" s="5">
        <v>51.872705234159767</v>
      </c>
      <c r="C206" s="5">
        <v>63.555199999999999</v>
      </c>
      <c r="D206" s="5">
        <f t="shared" si="6"/>
        <v>3.9487927411224697</v>
      </c>
      <c r="E206" s="5">
        <f t="shared" si="6"/>
        <v>4.151908819622335</v>
      </c>
      <c r="F206" s="5">
        <f t="shared" si="7"/>
        <v>1.549938033404219E-2</v>
      </c>
      <c r="G206" s="5">
        <f t="shared" si="7"/>
        <v>3.6317820498874553E-3</v>
      </c>
    </row>
    <row r="207" spans="1:7" x14ac:dyDescent="0.2">
      <c r="A207" s="11">
        <v>33635</v>
      </c>
      <c r="B207" s="5">
        <v>54.601168044077127</v>
      </c>
      <c r="C207" s="5">
        <v>64.444900000000004</v>
      </c>
      <c r="D207" s="5">
        <f t="shared" si="6"/>
        <v>4.0000552752707028</v>
      </c>
      <c r="E207" s="5">
        <f t="shared" si="6"/>
        <v>4.1658105951447784</v>
      </c>
      <c r="F207" s="5">
        <f t="shared" si="7"/>
        <v>5.1262534148233119E-2</v>
      </c>
      <c r="G207" s="5">
        <f t="shared" si="7"/>
        <v>1.3901775522443316E-2</v>
      </c>
    </row>
    <row r="208" spans="1:7" x14ac:dyDescent="0.2">
      <c r="A208" s="11">
        <v>33664</v>
      </c>
      <c r="B208" s="5">
        <v>56.858931129476574</v>
      </c>
      <c r="C208" s="5">
        <v>65.131299999999996</v>
      </c>
      <c r="D208" s="5">
        <f t="shared" si="6"/>
        <v>4.0405733077604893</v>
      </c>
      <c r="E208" s="5">
        <f t="shared" si="6"/>
        <v>4.1764052324389507</v>
      </c>
      <c r="F208" s="5">
        <f t="shared" si="7"/>
        <v>4.0518032489786471E-2</v>
      </c>
      <c r="G208" s="5">
        <f t="shared" si="7"/>
        <v>1.0594637294172315E-2</v>
      </c>
    </row>
    <row r="209" spans="1:7" x14ac:dyDescent="0.2">
      <c r="A209" s="11">
        <v>33695</v>
      </c>
      <c r="B209" s="5">
        <v>56.045179063360877</v>
      </c>
      <c r="C209" s="5">
        <v>64.429500000000004</v>
      </c>
      <c r="D209" s="5">
        <f t="shared" si="6"/>
        <v>4.0261581344605659</v>
      </c>
      <c r="E209" s="5">
        <f t="shared" si="6"/>
        <v>4.1655716027603589</v>
      </c>
      <c r="F209" s="5">
        <f t="shared" si="7"/>
        <v>-1.4415173299923367E-2</v>
      </c>
      <c r="G209" s="5">
        <f t="shared" si="7"/>
        <v>-1.0833629678591805E-2</v>
      </c>
    </row>
    <row r="210" spans="1:7" x14ac:dyDescent="0.2">
      <c r="A210" s="11">
        <v>33725</v>
      </c>
      <c r="B210" s="5">
        <v>58.294964187327814</v>
      </c>
      <c r="C210" s="5">
        <v>64.941800000000001</v>
      </c>
      <c r="D210" s="5">
        <f t="shared" si="6"/>
        <v>4.0655157120498364</v>
      </c>
      <c r="E210" s="5">
        <f t="shared" si="6"/>
        <v>4.1734914841840061</v>
      </c>
      <c r="F210" s="5">
        <f t="shared" si="7"/>
        <v>3.9357577589270498E-2</v>
      </c>
      <c r="G210" s="5">
        <f t="shared" si="7"/>
        <v>7.9198814236471904E-3</v>
      </c>
    </row>
    <row r="211" spans="1:7" x14ac:dyDescent="0.2">
      <c r="A211" s="11">
        <v>33756</v>
      </c>
      <c r="B211" s="5">
        <v>61.318611570247924</v>
      </c>
      <c r="C211" s="5">
        <v>66.739900000000006</v>
      </c>
      <c r="D211" s="5">
        <f t="shared" si="6"/>
        <v>4.1160834113834079</v>
      </c>
      <c r="E211" s="5">
        <f t="shared" si="6"/>
        <v>4.2008029749702924</v>
      </c>
      <c r="F211" s="5">
        <f t="shared" si="7"/>
        <v>5.0567699333571525E-2</v>
      </c>
      <c r="G211" s="5">
        <f t="shared" si="7"/>
        <v>2.7311490786286363E-2</v>
      </c>
    </row>
    <row r="212" spans="1:7" x14ac:dyDescent="0.2">
      <c r="A212" s="11">
        <v>33786</v>
      </c>
      <c r="B212" s="5">
        <v>64.270457300275481</v>
      </c>
      <c r="C212" s="5">
        <v>64.691699999999997</v>
      </c>
      <c r="D212" s="5">
        <f t="shared" si="6"/>
        <v>4.1631000746570175</v>
      </c>
      <c r="E212" s="5">
        <f t="shared" si="6"/>
        <v>4.1696329088882189</v>
      </c>
      <c r="F212" s="5">
        <f t="shared" si="7"/>
        <v>4.7016663273609538E-2</v>
      </c>
      <c r="G212" s="5">
        <f t="shared" si="7"/>
        <v>-3.1170066082073511E-2</v>
      </c>
    </row>
    <row r="213" spans="1:7" x14ac:dyDescent="0.2">
      <c r="A213" s="11">
        <v>33817</v>
      </c>
      <c r="B213" s="5">
        <v>62.978027548209361</v>
      </c>
      <c r="C213" s="5">
        <v>66.764799999999994</v>
      </c>
      <c r="D213" s="5">
        <f t="shared" si="6"/>
        <v>4.1427858964814117</v>
      </c>
      <c r="E213" s="5">
        <f t="shared" si="6"/>
        <v>4.2011759955499235</v>
      </c>
      <c r="F213" s="5">
        <f t="shared" si="7"/>
        <v>-2.0314178175605768E-2</v>
      </c>
      <c r="G213" s="5">
        <f t="shared" si="7"/>
        <v>3.1543086661704578E-2</v>
      </c>
    </row>
    <row r="214" spans="1:7" x14ac:dyDescent="0.2">
      <c r="A214" s="11">
        <v>33848</v>
      </c>
      <c r="B214" s="5">
        <v>62.754644628099172</v>
      </c>
      <c r="C214" s="5">
        <v>66.951400000000007</v>
      </c>
      <c r="D214" s="5">
        <f t="shared" si="6"/>
        <v>4.139232593250374</v>
      </c>
      <c r="E214" s="5">
        <f t="shared" si="6"/>
        <v>4.2039669830462545</v>
      </c>
      <c r="F214" s="5">
        <f t="shared" si="7"/>
        <v>-3.5533032310377521E-3</v>
      </c>
      <c r="G214" s="5">
        <f t="shared" si="7"/>
        <v>2.7909874963309989E-3</v>
      </c>
    </row>
    <row r="215" spans="1:7" x14ac:dyDescent="0.2">
      <c r="A215" s="11">
        <v>33878</v>
      </c>
      <c r="B215" s="5">
        <v>63.959316804407706</v>
      </c>
      <c r="C215" s="5">
        <v>67.2483</v>
      </c>
      <c r="D215" s="5">
        <f t="shared" si="6"/>
        <v>4.1582472063015707</v>
      </c>
      <c r="E215" s="5">
        <f t="shared" si="6"/>
        <v>4.2083917393520247</v>
      </c>
      <c r="F215" s="5">
        <f t="shared" si="7"/>
        <v>1.9014613051196783E-2</v>
      </c>
      <c r="G215" s="5">
        <f t="shared" si="7"/>
        <v>4.4247563057702166E-3</v>
      </c>
    </row>
    <row r="216" spans="1:7" x14ac:dyDescent="0.2">
      <c r="A216" s="11">
        <v>33909</v>
      </c>
      <c r="B216" s="5">
        <v>61.924936639118449</v>
      </c>
      <c r="C216" s="5">
        <v>66.735500000000002</v>
      </c>
      <c r="D216" s="5">
        <f t="shared" si="6"/>
        <v>4.1259229521874703</v>
      </c>
      <c r="E216" s="5">
        <f t="shared" si="6"/>
        <v>4.2007370452184194</v>
      </c>
      <c r="F216" s="5">
        <f t="shared" si="7"/>
        <v>-3.2324254114100448E-2</v>
      </c>
      <c r="G216" s="5">
        <f t="shared" si="7"/>
        <v>-7.6546941336053109E-3</v>
      </c>
    </row>
    <row r="217" spans="1:7" x14ac:dyDescent="0.2">
      <c r="A217" s="11">
        <v>33939</v>
      </c>
      <c r="B217" s="5">
        <v>55.008044077134983</v>
      </c>
      <c r="C217" s="5">
        <v>66.328900000000004</v>
      </c>
      <c r="D217" s="5">
        <f t="shared" si="6"/>
        <v>4.0074794304860211</v>
      </c>
      <c r="E217" s="5">
        <f t="shared" si="6"/>
        <v>4.1946256996520255</v>
      </c>
      <c r="F217" s="5">
        <f t="shared" si="7"/>
        <v>-0.11844352170144923</v>
      </c>
      <c r="G217" s="5">
        <f t="shared" si="7"/>
        <v>-6.111345566393922E-3</v>
      </c>
    </row>
    <row r="218" spans="1:7" x14ac:dyDescent="0.2">
      <c r="A218" s="11">
        <v>33970</v>
      </c>
      <c r="B218" s="5">
        <v>54.018776859504122</v>
      </c>
      <c r="C218" s="5">
        <v>66.668099999999995</v>
      </c>
      <c r="D218" s="5">
        <f t="shared" si="6"/>
        <v>3.9893317057442643</v>
      </c>
      <c r="E218" s="5">
        <f t="shared" si="6"/>
        <v>4.1997265776488053</v>
      </c>
      <c r="F218" s="5">
        <f t="shared" si="7"/>
        <v>-1.8147724741756743E-2</v>
      </c>
      <c r="G218" s="5">
        <f t="shared" si="7"/>
        <v>5.100877996779829E-3</v>
      </c>
    </row>
    <row r="219" spans="1:7" x14ac:dyDescent="0.2">
      <c r="A219" s="11">
        <v>34001</v>
      </c>
      <c r="B219" s="5">
        <v>53.907085399449024</v>
      </c>
      <c r="C219" s="5">
        <v>67.633399999999995</v>
      </c>
      <c r="D219" s="5">
        <f t="shared" si="6"/>
        <v>3.9872619238107934</v>
      </c>
      <c r="E219" s="5">
        <f t="shared" si="6"/>
        <v>4.2141019438704186</v>
      </c>
      <c r="F219" s="5">
        <f t="shared" si="7"/>
        <v>-2.06978193347096E-3</v>
      </c>
      <c r="G219" s="5">
        <f t="shared" si="7"/>
        <v>1.4375366221613284E-2</v>
      </c>
    </row>
    <row r="220" spans="1:7" x14ac:dyDescent="0.2">
      <c r="A220" s="11">
        <v>34029</v>
      </c>
      <c r="B220" s="5">
        <v>64.262479338842965</v>
      </c>
      <c r="C220" s="5">
        <v>67.6601</v>
      </c>
      <c r="D220" s="5">
        <f t="shared" si="6"/>
        <v>4.1629759358696941</v>
      </c>
      <c r="E220" s="5">
        <f t="shared" si="6"/>
        <v>4.2144966413295961</v>
      </c>
      <c r="F220" s="5">
        <f t="shared" si="7"/>
        <v>0.17571401205890069</v>
      </c>
      <c r="G220" s="5">
        <f t="shared" si="7"/>
        <v>3.9469745917752874E-4</v>
      </c>
    </row>
    <row r="221" spans="1:7" x14ac:dyDescent="0.2">
      <c r="A221" s="11">
        <v>34060</v>
      </c>
      <c r="B221" s="5">
        <v>60.728242424242424</v>
      </c>
      <c r="C221" s="5">
        <v>66.626499999999993</v>
      </c>
      <c r="D221" s="5">
        <f t="shared" si="6"/>
        <v>4.1064088686746594</v>
      </c>
      <c r="E221" s="5">
        <f t="shared" si="6"/>
        <v>4.1991023963038652</v>
      </c>
      <c r="F221" s="5">
        <f t="shared" si="7"/>
        <v>-5.6567067195034682E-2</v>
      </c>
      <c r="G221" s="5">
        <f t="shared" si="7"/>
        <v>-1.5394245025730946E-2</v>
      </c>
    </row>
    <row r="222" spans="1:7" x14ac:dyDescent="0.2">
      <c r="A222" s="11">
        <v>34090</v>
      </c>
      <c r="B222" s="5">
        <v>65.594798898071616</v>
      </c>
      <c r="C222" s="5">
        <v>66.659000000000006</v>
      </c>
      <c r="D222" s="5">
        <f t="shared" si="6"/>
        <v>4.1834964077164427</v>
      </c>
      <c r="E222" s="5">
        <f t="shared" si="6"/>
        <v>4.1995900712669201</v>
      </c>
      <c r="F222" s="5">
        <f t="shared" si="7"/>
        <v>7.7087539041783337E-2</v>
      </c>
      <c r="G222" s="5">
        <f t="shared" si="7"/>
        <v>4.876749630549071E-4</v>
      </c>
    </row>
    <row r="223" spans="1:7" x14ac:dyDescent="0.2">
      <c r="A223" s="11">
        <v>34121</v>
      </c>
      <c r="B223" s="5">
        <v>66.073476584022032</v>
      </c>
      <c r="C223" s="5">
        <v>68.622100000000003</v>
      </c>
      <c r="D223" s="5">
        <f t="shared" si="6"/>
        <v>4.1907674043641316</v>
      </c>
      <c r="E223" s="5">
        <f t="shared" si="6"/>
        <v>4.228614640284678</v>
      </c>
      <c r="F223" s="5">
        <f t="shared" si="7"/>
        <v>7.2709966476889321E-3</v>
      </c>
      <c r="G223" s="5">
        <f t="shared" si="7"/>
        <v>2.9024569017757962E-2</v>
      </c>
    </row>
    <row r="224" spans="1:7" x14ac:dyDescent="0.2">
      <c r="A224" s="11">
        <v>34151</v>
      </c>
      <c r="B224" s="5">
        <v>69.105101928374651</v>
      </c>
      <c r="C224" s="5">
        <v>66.290599999999998</v>
      </c>
      <c r="D224" s="5">
        <f t="shared" si="6"/>
        <v>4.2356285620331908</v>
      </c>
      <c r="E224" s="5">
        <f t="shared" si="6"/>
        <v>4.1940481073512741</v>
      </c>
      <c r="F224" s="5">
        <f t="shared" si="7"/>
        <v>4.4861157669059182E-2</v>
      </c>
      <c r="G224" s="5">
        <f t="shared" si="7"/>
        <v>-3.4566532933403948E-2</v>
      </c>
    </row>
    <row r="225" spans="1:7" x14ac:dyDescent="0.2">
      <c r="A225" s="11">
        <v>34182</v>
      </c>
      <c r="B225" s="5">
        <v>69.496022038567475</v>
      </c>
      <c r="C225" s="5">
        <v>68.603399999999993</v>
      </c>
      <c r="D225" s="5">
        <f t="shared" si="6"/>
        <v>4.2412695140775112</v>
      </c>
      <c r="E225" s="5">
        <f t="shared" si="6"/>
        <v>4.228342096185866</v>
      </c>
      <c r="F225" s="5">
        <f t="shared" si="7"/>
        <v>5.6409520443203576E-3</v>
      </c>
      <c r="G225" s="5">
        <f t="shared" si="7"/>
        <v>3.4293988834591893E-2</v>
      </c>
    </row>
    <row r="226" spans="1:7" x14ac:dyDescent="0.2">
      <c r="A226" s="11">
        <v>34213</v>
      </c>
      <c r="B226" s="5">
        <v>66.887228650137729</v>
      </c>
      <c r="C226" s="5">
        <v>68.933599999999998</v>
      </c>
      <c r="D226" s="5">
        <f t="shared" si="6"/>
        <v>4.2030080468194422</v>
      </c>
      <c r="E226" s="5">
        <f t="shared" si="6"/>
        <v>4.2331437224306354</v>
      </c>
      <c r="F226" s="5">
        <f t="shared" si="7"/>
        <v>-3.8261467258069004E-2</v>
      </c>
      <c r="G226" s="5">
        <f t="shared" si="7"/>
        <v>4.8016262447694302E-3</v>
      </c>
    </row>
    <row r="227" spans="1:7" x14ac:dyDescent="0.2">
      <c r="A227" s="11">
        <v>34243</v>
      </c>
      <c r="B227" s="5">
        <v>67.206347107437992</v>
      </c>
      <c r="C227" s="5">
        <v>69.089299999999994</v>
      </c>
      <c r="D227" s="5">
        <f t="shared" si="6"/>
        <v>4.2077676940724302</v>
      </c>
      <c r="E227" s="5">
        <f t="shared" si="6"/>
        <v>4.2353998707371181</v>
      </c>
      <c r="F227" s="5">
        <f t="shared" si="7"/>
        <v>4.7596472529880529E-3</v>
      </c>
      <c r="G227" s="5">
        <f t="shared" si="7"/>
        <v>2.2561483064826859E-3</v>
      </c>
    </row>
    <row r="228" spans="1:7" x14ac:dyDescent="0.2">
      <c r="A228" s="11">
        <v>34274</v>
      </c>
      <c r="B228" s="5">
        <v>66.233035812672156</v>
      </c>
      <c r="C228" s="5">
        <v>68.610299999999995</v>
      </c>
      <c r="D228" s="5">
        <f t="shared" si="6"/>
        <v>4.1931793688716033</v>
      </c>
      <c r="E228" s="5">
        <f t="shared" si="6"/>
        <v>4.2284426692336856</v>
      </c>
      <c r="F228" s="5">
        <f t="shared" si="7"/>
        <v>-1.4588325200826979E-2</v>
      </c>
      <c r="G228" s="5">
        <f t="shared" si="7"/>
        <v>-6.9572015034324863E-3</v>
      </c>
    </row>
    <row r="229" spans="1:7" x14ac:dyDescent="0.2">
      <c r="A229" s="11">
        <v>34304</v>
      </c>
      <c r="B229" s="5">
        <v>59.691107438016509</v>
      </c>
      <c r="C229" s="5">
        <v>68.372500000000002</v>
      </c>
      <c r="D229" s="5">
        <f t="shared" si="6"/>
        <v>4.0891830551667105</v>
      </c>
      <c r="E229" s="5">
        <f t="shared" si="6"/>
        <v>4.2249706970024024</v>
      </c>
      <c r="F229" s="5">
        <f t="shared" si="7"/>
        <v>-0.10399631370489271</v>
      </c>
      <c r="G229" s="5">
        <f t="shared" si="7"/>
        <v>-3.4719722312832602E-3</v>
      </c>
    </row>
    <row r="230" spans="1:7" x14ac:dyDescent="0.2">
      <c r="A230" s="11">
        <v>34335</v>
      </c>
      <c r="B230" s="5">
        <v>58.701840220385655</v>
      </c>
      <c r="C230" s="5">
        <v>68.945300000000003</v>
      </c>
      <c r="D230" s="5">
        <f t="shared" si="6"/>
        <v>4.0724710759233389</v>
      </c>
      <c r="E230" s="5">
        <f t="shared" si="6"/>
        <v>4.2333134365787481</v>
      </c>
      <c r="F230" s="5">
        <f t="shared" si="7"/>
        <v>-1.6711979243371644E-2</v>
      </c>
      <c r="G230" s="5">
        <f t="shared" si="7"/>
        <v>8.3427395763457923E-3</v>
      </c>
    </row>
    <row r="231" spans="1:7" x14ac:dyDescent="0.2">
      <c r="A231" s="11">
        <v>34366</v>
      </c>
      <c r="B231" s="5">
        <v>55.89359779614324</v>
      </c>
      <c r="C231" s="5">
        <v>69.530199999999994</v>
      </c>
      <c r="D231" s="5">
        <f t="shared" si="6"/>
        <v>4.0234498440160511</v>
      </c>
      <c r="E231" s="5">
        <f t="shared" si="6"/>
        <v>4.2417611905629951</v>
      </c>
      <c r="F231" s="5">
        <f t="shared" si="7"/>
        <v>-4.9021231907287799E-2</v>
      </c>
      <c r="G231" s="5">
        <f t="shared" si="7"/>
        <v>8.4477539842469085E-3</v>
      </c>
    </row>
    <row r="232" spans="1:7" x14ac:dyDescent="0.2">
      <c r="A232" s="11">
        <v>34394</v>
      </c>
      <c r="B232" s="5">
        <v>67.421752066115687</v>
      </c>
      <c r="C232" s="5">
        <v>70.371899999999997</v>
      </c>
      <c r="D232" s="5">
        <f t="shared" si="6"/>
        <v>4.2109676968031016</v>
      </c>
      <c r="E232" s="5">
        <f t="shared" si="6"/>
        <v>4.2537940357560666</v>
      </c>
      <c r="F232" s="5">
        <f t="shared" si="7"/>
        <v>0.18751785278705047</v>
      </c>
      <c r="G232" s="5">
        <f t="shared" si="7"/>
        <v>1.2032845193071573E-2</v>
      </c>
    </row>
    <row r="233" spans="1:7" x14ac:dyDescent="0.2">
      <c r="A233" s="11">
        <v>34425</v>
      </c>
      <c r="B233" s="5">
        <v>61.390413223140477</v>
      </c>
      <c r="C233" s="5">
        <v>69.565100000000001</v>
      </c>
      <c r="D233" s="5">
        <f t="shared" si="6"/>
        <v>4.1172536865315985</v>
      </c>
      <c r="E233" s="5">
        <f t="shared" si="6"/>
        <v>4.2422630047972989</v>
      </c>
      <c r="F233" s="5">
        <f t="shared" si="7"/>
        <v>-9.3714010271503057E-2</v>
      </c>
      <c r="G233" s="5">
        <f t="shared" si="7"/>
        <v>-1.153103095876773E-2</v>
      </c>
    </row>
    <row r="234" spans="1:7" x14ac:dyDescent="0.2">
      <c r="A234" s="11">
        <v>34455</v>
      </c>
      <c r="B234" s="5">
        <v>68.865763085399422</v>
      </c>
      <c r="C234" s="5">
        <v>70.033199999999994</v>
      </c>
      <c r="D234" s="5">
        <f t="shared" si="6"/>
        <v>4.2321591471965894</v>
      </c>
      <c r="E234" s="5">
        <f t="shared" si="6"/>
        <v>4.2489694153257256</v>
      </c>
      <c r="F234" s="5">
        <f t="shared" si="7"/>
        <v>0.11490546066499085</v>
      </c>
      <c r="G234" s="5">
        <f t="shared" si="7"/>
        <v>6.7064105284266873E-3</v>
      </c>
    </row>
    <row r="235" spans="1:7" x14ac:dyDescent="0.2">
      <c r="A235" s="11">
        <v>34486</v>
      </c>
      <c r="B235" s="5">
        <v>68.754071625344338</v>
      </c>
      <c r="C235" s="5">
        <v>72.504900000000006</v>
      </c>
      <c r="D235" s="5">
        <f t="shared" si="6"/>
        <v>4.2305359584344027</v>
      </c>
      <c r="E235" s="5">
        <f t="shared" si="6"/>
        <v>4.2836541457836805</v>
      </c>
      <c r="F235" s="5">
        <f t="shared" si="7"/>
        <v>-1.6231887621867003E-3</v>
      </c>
      <c r="G235" s="5">
        <f t="shared" si="7"/>
        <v>3.4684730457954949E-2</v>
      </c>
    </row>
    <row r="236" spans="1:7" x14ac:dyDescent="0.2">
      <c r="A236" s="11">
        <v>34516</v>
      </c>
      <c r="B236" s="5">
        <v>70.222016528925593</v>
      </c>
      <c r="C236" s="5">
        <v>69.581999999999994</v>
      </c>
      <c r="D236" s="5">
        <f t="shared" si="6"/>
        <v>4.2516618876296555</v>
      </c>
      <c r="E236" s="5">
        <f t="shared" si="6"/>
        <v>4.2425059132026215</v>
      </c>
      <c r="F236" s="5">
        <f t="shared" si="7"/>
        <v>2.1125929195252802E-2</v>
      </c>
      <c r="G236" s="5">
        <f t="shared" si="7"/>
        <v>-4.1148232581059041E-2</v>
      </c>
    </row>
    <row r="237" spans="1:7" x14ac:dyDescent="0.2">
      <c r="A237" s="11">
        <v>34547</v>
      </c>
      <c r="B237" s="5">
        <v>76.636297520661131</v>
      </c>
      <c r="C237" s="5">
        <v>72.782700000000006</v>
      </c>
      <c r="D237" s="5">
        <f t="shared" si="6"/>
        <v>4.3390708224833885</v>
      </c>
      <c r="E237" s="5">
        <f t="shared" si="6"/>
        <v>4.287478289599771</v>
      </c>
      <c r="F237" s="5">
        <f t="shared" si="7"/>
        <v>8.7408934853733022E-2</v>
      </c>
      <c r="G237" s="5">
        <f t="shared" si="7"/>
        <v>4.4972376397149461E-2</v>
      </c>
    </row>
    <row r="238" spans="1:7" x14ac:dyDescent="0.2">
      <c r="A238" s="11">
        <v>34578</v>
      </c>
      <c r="B238" s="5">
        <v>74.522137741046805</v>
      </c>
      <c r="C238" s="5">
        <v>73.375200000000007</v>
      </c>
      <c r="D238" s="5">
        <f t="shared" si="6"/>
        <v>4.3110962321314679</v>
      </c>
      <c r="E238" s="5">
        <f t="shared" si="6"/>
        <v>4.295586003868566</v>
      </c>
      <c r="F238" s="5">
        <f t="shared" si="7"/>
        <v>-2.7974590351920625E-2</v>
      </c>
      <c r="G238" s="5">
        <f t="shared" si="7"/>
        <v>8.1077142687950854E-3</v>
      </c>
    </row>
    <row r="239" spans="1:7" x14ac:dyDescent="0.2">
      <c r="A239" s="11">
        <v>34608</v>
      </c>
      <c r="B239" s="5">
        <v>74.266842975206586</v>
      </c>
      <c r="C239" s="5">
        <v>73.3977</v>
      </c>
      <c r="D239" s="5">
        <f t="shared" si="6"/>
        <v>4.307664593375109</v>
      </c>
      <c r="E239" s="5">
        <f t="shared" si="6"/>
        <v>4.2958925999796502</v>
      </c>
      <c r="F239" s="5">
        <f t="shared" si="7"/>
        <v>-3.431638756358879E-3</v>
      </c>
      <c r="G239" s="5">
        <f t="shared" si="7"/>
        <v>3.0659611108418972E-4</v>
      </c>
    </row>
    <row r="240" spans="1:7" x14ac:dyDescent="0.2">
      <c r="A240" s="11">
        <v>34639</v>
      </c>
      <c r="B240" s="5">
        <v>74.306732782369124</v>
      </c>
      <c r="C240" s="5">
        <v>73.036900000000003</v>
      </c>
      <c r="D240" s="5">
        <f t="shared" si="6"/>
        <v>4.3082015638009414</v>
      </c>
      <c r="E240" s="5">
        <f t="shared" si="6"/>
        <v>4.2909647928887429</v>
      </c>
      <c r="F240" s="5">
        <f t="shared" si="7"/>
        <v>5.3697042583245036E-4</v>
      </c>
      <c r="G240" s="5">
        <f t="shared" si="7"/>
        <v>-4.9278070909073435E-3</v>
      </c>
    </row>
    <row r="241" spans="1:7" x14ac:dyDescent="0.2">
      <c r="A241" s="11">
        <v>34669</v>
      </c>
      <c r="B241" s="5">
        <v>70.253928374655629</v>
      </c>
      <c r="C241" s="5">
        <v>73.175600000000003</v>
      </c>
      <c r="D241" s="5">
        <f t="shared" si="6"/>
        <v>4.2521162265743184</v>
      </c>
      <c r="E241" s="5">
        <f t="shared" si="6"/>
        <v>4.2928620320660285</v>
      </c>
      <c r="F241" s="5">
        <f t="shared" si="7"/>
        <v>-5.6085337226623011E-2</v>
      </c>
      <c r="G241" s="5">
        <f t="shared" si="7"/>
        <v>1.8972391772855701E-3</v>
      </c>
    </row>
    <row r="242" spans="1:7" x14ac:dyDescent="0.2">
      <c r="A242" s="11">
        <v>34700</v>
      </c>
      <c r="B242" s="5">
        <v>68.650358126721741</v>
      </c>
      <c r="C242" s="5">
        <v>73.3322</v>
      </c>
      <c r="D242" s="5">
        <f t="shared" si="6"/>
        <v>4.2290263489042585</v>
      </c>
      <c r="E242" s="5">
        <f t="shared" si="6"/>
        <v>4.2949998030193743</v>
      </c>
      <c r="F242" s="5">
        <f t="shared" si="7"/>
        <v>-2.3089877670059877E-2</v>
      </c>
      <c r="G242" s="5">
        <f t="shared" si="7"/>
        <v>2.1377709533458855E-3</v>
      </c>
    </row>
    <row r="243" spans="1:7" x14ac:dyDescent="0.2">
      <c r="A243" s="11">
        <v>34731</v>
      </c>
      <c r="B243" s="5">
        <v>65.435239669421463</v>
      </c>
      <c r="C243" s="5">
        <v>74.106700000000004</v>
      </c>
      <c r="D243" s="5">
        <f t="shared" si="6"/>
        <v>4.1810609462106232</v>
      </c>
      <c r="E243" s="5">
        <f t="shared" si="6"/>
        <v>4.3055059465681245</v>
      </c>
      <c r="F243" s="5">
        <f t="shared" si="7"/>
        <v>-4.7965402693635362E-2</v>
      </c>
      <c r="G243" s="5">
        <f t="shared" si="7"/>
        <v>1.0506143548750124E-2</v>
      </c>
    </row>
    <row r="244" spans="1:7" x14ac:dyDescent="0.2">
      <c r="A244" s="11">
        <v>34759</v>
      </c>
      <c r="B244" s="5">
        <v>76.34909090909089</v>
      </c>
      <c r="C244" s="5">
        <v>74.580500000000001</v>
      </c>
      <c r="D244" s="5">
        <f t="shared" si="6"/>
        <v>4.3353161247056189</v>
      </c>
      <c r="E244" s="5">
        <f t="shared" si="6"/>
        <v>4.3118790789384454</v>
      </c>
      <c r="F244" s="5">
        <f t="shared" si="7"/>
        <v>0.1542551784949957</v>
      </c>
      <c r="G244" s="5">
        <f t="shared" si="7"/>
        <v>6.3731323703208886E-3</v>
      </c>
    </row>
    <row r="245" spans="1:7" x14ac:dyDescent="0.2">
      <c r="A245" s="11">
        <v>34790</v>
      </c>
      <c r="B245" s="5">
        <v>68.546644628099159</v>
      </c>
      <c r="C245" s="5">
        <v>72.598799999999997</v>
      </c>
      <c r="D245" s="5">
        <f t="shared" si="6"/>
        <v>4.2275144570072651</v>
      </c>
      <c r="E245" s="5">
        <f t="shared" si="6"/>
        <v>4.2849483927685261</v>
      </c>
      <c r="F245" s="5">
        <f t="shared" si="7"/>
        <v>-0.10780166769835375</v>
      </c>
      <c r="G245" s="5">
        <f t="shared" si="7"/>
        <v>-2.6930686169919227E-2</v>
      </c>
    </row>
    <row r="246" spans="1:7" x14ac:dyDescent="0.2">
      <c r="A246" s="11">
        <v>34820</v>
      </c>
      <c r="B246" s="5">
        <v>67.956275482093659</v>
      </c>
      <c r="C246" s="5">
        <v>73.269099999999995</v>
      </c>
      <c r="D246" s="5">
        <f t="shared" si="6"/>
        <v>4.2188644907417778</v>
      </c>
      <c r="E246" s="5">
        <f t="shared" si="6"/>
        <v>4.2941389647608235</v>
      </c>
      <c r="F246" s="5">
        <f t="shared" si="7"/>
        <v>-8.6499662654873077E-3</v>
      </c>
      <c r="G246" s="5">
        <f t="shared" si="7"/>
        <v>9.1905719922973361E-3</v>
      </c>
    </row>
    <row r="247" spans="1:7" x14ac:dyDescent="0.2">
      <c r="A247" s="11">
        <v>34851</v>
      </c>
      <c r="B247" s="5">
        <v>71.322975206611559</v>
      </c>
      <c r="C247" s="5">
        <v>75.869399999999999</v>
      </c>
      <c r="D247" s="5">
        <f t="shared" si="6"/>
        <v>4.2672185084261791</v>
      </c>
      <c r="E247" s="5">
        <f t="shared" si="6"/>
        <v>4.3290134410545766</v>
      </c>
      <c r="F247" s="5">
        <f t="shared" si="7"/>
        <v>4.8354017684401285E-2</v>
      </c>
      <c r="G247" s="5">
        <f t="shared" si="7"/>
        <v>3.4874476293753176E-2</v>
      </c>
    </row>
    <row r="248" spans="1:7" x14ac:dyDescent="0.2">
      <c r="A248" s="11">
        <v>34881</v>
      </c>
      <c r="B248" s="5">
        <v>70.604958677685943</v>
      </c>
      <c r="C248" s="5">
        <v>72.534999999999997</v>
      </c>
      <c r="D248" s="5">
        <f t="shared" si="6"/>
        <v>4.2571003782605938</v>
      </c>
      <c r="E248" s="5">
        <f t="shared" si="6"/>
        <v>4.2840692039908657</v>
      </c>
      <c r="F248" s="5">
        <f t="shared" si="7"/>
        <v>-1.0118130165585271E-2</v>
      </c>
      <c r="G248" s="5">
        <f t="shared" si="7"/>
        <v>-4.4944237063710979E-2</v>
      </c>
    </row>
    <row r="249" spans="1:7" x14ac:dyDescent="0.2">
      <c r="A249" s="11">
        <v>34912</v>
      </c>
      <c r="B249" s="5">
        <v>72.647316804407708</v>
      </c>
      <c r="C249" s="5">
        <v>76.267399999999995</v>
      </c>
      <c r="D249" s="5">
        <f t="shared" si="6"/>
        <v>4.2856164561533463</v>
      </c>
      <c r="E249" s="5">
        <f t="shared" si="6"/>
        <v>4.3342455861759213</v>
      </c>
      <c r="F249" s="5">
        <f t="shared" si="7"/>
        <v>2.8516077892752456E-2</v>
      </c>
      <c r="G249" s="5">
        <f t="shared" si="7"/>
        <v>5.0176382185055601E-2</v>
      </c>
    </row>
    <row r="250" spans="1:7" x14ac:dyDescent="0.2">
      <c r="A250" s="11">
        <v>34943</v>
      </c>
      <c r="B250" s="5">
        <v>69.527933884297511</v>
      </c>
      <c r="C250" s="5">
        <v>76.952299999999994</v>
      </c>
      <c r="D250" s="5">
        <f t="shared" si="6"/>
        <v>4.24172859821274</v>
      </c>
      <c r="E250" s="5">
        <f t="shared" si="6"/>
        <v>4.3431857493768664</v>
      </c>
      <c r="F250" s="5">
        <f t="shared" si="7"/>
        <v>-4.3887857940606345E-2</v>
      </c>
      <c r="G250" s="5">
        <f t="shared" si="7"/>
        <v>8.9401632009451504E-3</v>
      </c>
    </row>
    <row r="251" spans="1:7" x14ac:dyDescent="0.2">
      <c r="A251" s="11">
        <v>34973</v>
      </c>
      <c r="B251" s="5">
        <v>72.447867768595032</v>
      </c>
      <c r="C251" s="5">
        <v>75.983000000000004</v>
      </c>
      <c r="D251" s="5">
        <f t="shared" si="6"/>
        <v>4.2828672379484471</v>
      </c>
      <c r="E251" s="5">
        <f t="shared" si="6"/>
        <v>4.3305096310547606</v>
      </c>
      <c r="F251" s="5">
        <f t="shared" si="7"/>
        <v>4.1138639735707194E-2</v>
      </c>
      <c r="G251" s="5">
        <f t="shared" si="7"/>
        <v>-1.26761183221058E-2</v>
      </c>
    </row>
    <row r="252" spans="1:7" x14ac:dyDescent="0.2">
      <c r="A252" s="11">
        <v>35004</v>
      </c>
      <c r="B252" s="5">
        <v>70.9001432506887</v>
      </c>
      <c r="C252" s="5">
        <v>75.396199999999993</v>
      </c>
      <c r="D252" s="5">
        <f t="shared" si="6"/>
        <v>4.2612724539970941</v>
      </c>
      <c r="E252" s="5">
        <f t="shared" si="6"/>
        <v>4.3227568758659105</v>
      </c>
      <c r="F252" s="5">
        <f t="shared" si="7"/>
        <v>-2.1594783951353058E-2</v>
      </c>
      <c r="G252" s="5">
        <f t="shared" si="7"/>
        <v>-7.7527551888501023E-3</v>
      </c>
    </row>
    <row r="253" spans="1:7" x14ac:dyDescent="0.2">
      <c r="A253" s="11">
        <v>35034</v>
      </c>
      <c r="B253" s="5">
        <v>61.885046831955904</v>
      </c>
      <c r="C253" s="5">
        <v>75.235799999999998</v>
      </c>
      <c r="D253" s="5">
        <f t="shared" si="6"/>
        <v>4.1252785807494901</v>
      </c>
      <c r="E253" s="5">
        <f t="shared" si="6"/>
        <v>4.3206271815031476</v>
      </c>
      <c r="F253" s="5">
        <f t="shared" si="7"/>
        <v>-0.13599387324760404</v>
      </c>
      <c r="G253" s="5">
        <f t="shared" si="7"/>
        <v>-2.1296943627628906E-3</v>
      </c>
    </row>
    <row r="254" spans="1:7" x14ac:dyDescent="0.2">
      <c r="A254" s="11">
        <v>35065</v>
      </c>
      <c r="B254" s="5">
        <v>62.587107438016524</v>
      </c>
      <c r="C254" s="5">
        <v>74.680300000000003</v>
      </c>
      <c r="D254" s="5">
        <f t="shared" si="6"/>
        <v>4.1365593054257523</v>
      </c>
      <c r="E254" s="5">
        <f t="shared" si="6"/>
        <v>4.31321633580525</v>
      </c>
      <c r="F254" s="5">
        <f t="shared" si="7"/>
        <v>1.1280724676262288E-2</v>
      </c>
      <c r="G254" s="5">
        <f t="shared" si="7"/>
        <v>-7.4108456978976278E-3</v>
      </c>
    </row>
    <row r="255" spans="1:7" x14ac:dyDescent="0.2">
      <c r="A255" s="11">
        <v>35096</v>
      </c>
      <c r="B255" s="5">
        <v>61.334567493112935</v>
      </c>
      <c r="C255" s="5">
        <v>76.506399999999999</v>
      </c>
      <c r="D255" s="5">
        <f t="shared" si="6"/>
        <v>4.1163435909087474</v>
      </c>
      <c r="E255" s="5">
        <f t="shared" si="6"/>
        <v>4.3373743974638952</v>
      </c>
      <c r="F255" s="5">
        <f t="shared" si="7"/>
        <v>-2.021571451700499E-2</v>
      </c>
      <c r="G255" s="5">
        <f t="shared" si="7"/>
        <v>2.4158061658645202E-2</v>
      </c>
    </row>
    <row r="256" spans="1:7" x14ac:dyDescent="0.2">
      <c r="A256" s="11">
        <v>35125</v>
      </c>
      <c r="B256" s="5">
        <v>67.429730027548203</v>
      </c>
      <c r="C256" s="5">
        <v>76.899799999999999</v>
      </c>
      <c r="D256" s="5">
        <f t="shared" si="6"/>
        <v>4.2110860189945667</v>
      </c>
      <c r="E256" s="5">
        <f t="shared" si="6"/>
        <v>4.3425032757279824</v>
      </c>
      <c r="F256" s="5">
        <f t="shared" si="7"/>
        <v>9.4742428085819341E-2</v>
      </c>
      <c r="G256" s="5">
        <f t="shared" si="7"/>
        <v>5.1288782640872554E-3</v>
      </c>
    </row>
    <row r="257" spans="1:7" x14ac:dyDescent="0.2">
      <c r="A257" s="11">
        <v>35156</v>
      </c>
      <c r="B257" s="5">
        <v>66.919140495867765</v>
      </c>
      <c r="C257" s="5">
        <v>75.8964</v>
      </c>
      <c r="D257" s="5">
        <f t="shared" si="6"/>
        <v>4.2034850322804296</v>
      </c>
      <c r="E257" s="5">
        <f t="shared" si="6"/>
        <v>4.3293692524466669</v>
      </c>
      <c r="F257" s="5">
        <f t="shared" si="7"/>
        <v>-7.6009867141371146E-3</v>
      </c>
      <c r="G257" s="5">
        <f t="shared" si="7"/>
        <v>-1.3134023281315521E-2</v>
      </c>
    </row>
    <row r="258" spans="1:7" x14ac:dyDescent="0.2">
      <c r="A258" s="11">
        <v>35186</v>
      </c>
      <c r="B258" s="5">
        <v>72.407977961432508</v>
      </c>
      <c r="C258" s="5">
        <v>76.554000000000002</v>
      </c>
      <c r="D258" s="5">
        <f t="shared" si="6"/>
        <v>4.2823164861583516</v>
      </c>
      <c r="E258" s="5">
        <f t="shared" si="6"/>
        <v>4.3379963741676608</v>
      </c>
      <c r="F258" s="5">
        <f t="shared" si="7"/>
        <v>7.8831453877922009E-2</v>
      </c>
      <c r="G258" s="5">
        <f t="shared" si="7"/>
        <v>8.6271217209938911E-3</v>
      </c>
    </row>
    <row r="259" spans="1:7" x14ac:dyDescent="0.2">
      <c r="A259" s="11">
        <v>35217</v>
      </c>
      <c r="B259" s="5">
        <v>68.74609366391185</v>
      </c>
      <c r="C259" s="5">
        <v>79.692099999999996</v>
      </c>
      <c r="D259" s="5">
        <f t="shared" ref="D259:E322" si="8">LN(B259)</f>
        <v>4.2304199154983859</v>
      </c>
      <c r="E259" s="5">
        <f t="shared" si="8"/>
        <v>4.3781704591768893</v>
      </c>
      <c r="F259" s="5">
        <f t="shared" ref="F259:G322" si="9">D259-D258</f>
        <v>-5.1896570659965668E-2</v>
      </c>
      <c r="G259" s="5">
        <f t="shared" si="9"/>
        <v>4.0174085009228477E-2</v>
      </c>
    </row>
    <row r="260" spans="1:7" x14ac:dyDescent="0.2">
      <c r="A260" s="11">
        <v>35247</v>
      </c>
      <c r="B260" s="5">
        <v>77.697366391184573</v>
      </c>
      <c r="C260" s="5">
        <v>76.225800000000007</v>
      </c>
      <c r="D260" s="5">
        <f t="shared" si="8"/>
        <v>4.3528213622198182</v>
      </c>
      <c r="E260" s="5">
        <f t="shared" si="8"/>
        <v>4.3336999880635867</v>
      </c>
      <c r="F260" s="5">
        <f t="shared" si="9"/>
        <v>0.12240144672143227</v>
      </c>
      <c r="G260" s="5">
        <f t="shared" si="9"/>
        <v>-4.4470471113302601E-2</v>
      </c>
    </row>
    <row r="261" spans="1:7" x14ac:dyDescent="0.2">
      <c r="A261" s="11">
        <v>35278</v>
      </c>
      <c r="B261" s="5">
        <v>77.186776859504135</v>
      </c>
      <c r="C261" s="5">
        <v>79.870199999999997</v>
      </c>
      <c r="D261" s="5">
        <f t="shared" si="8"/>
        <v>4.3462281581566016</v>
      </c>
      <c r="E261" s="5">
        <f t="shared" si="8"/>
        <v>4.3804028169952742</v>
      </c>
      <c r="F261" s="5">
        <f t="shared" si="9"/>
        <v>-6.5932040632166178E-3</v>
      </c>
      <c r="G261" s="5">
        <f t="shared" si="9"/>
        <v>4.6702828931687534E-2</v>
      </c>
    </row>
    <row r="262" spans="1:7" x14ac:dyDescent="0.2">
      <c r="A262" s="11">
        <v>35309</v>
      </c>
      <c r="B262" s="5">
        <v>75.431625344352625</v>
      </c>
      <c r="C262" s="5">
        <v>80.947500000000005</v>
      </c>
      <c r="D262" s="5">
        <f t="shared" si="8"/>
        <v>4.3232266213511767</v>
      </c>
      <c r="E262" s="5">
        <f t="shared" si="8"/>
        <v>4.3938007963854737</v>
      </c>
      <c r="F262" s="5">
        <f t="shared" si="9"/>
        <v>-2.3001536805424827E-2</v>
      </c>
      <c r="G262" s="5">
        <f t="shared" si="9"/>
        <v>1.3397979390199488E-2</v>
      </c>
    </row>
    <row r="263" spans="1:7" x14ac:dyDescent="0.2">
      <c r="A263" s="11">
        <v>35339</v>
      </c>
      <c r="B263" s="5">
        <v>78.838214876033064</v>
      </c>
      <c r="C263" s="5">
        <v>79.9619</v>
      </c>
      <c r="D263" s="5">
        <f t="shared" si="8"/>
        <v>4.3673978396643145</v>
      </c>
      <c r="E263" s="5">
        <f t="shared" si="8"/>
        <v>4.3815502712308305</v>
      </c>
      <c r="F263" s="5">
        <f t="shared" si="9"/>
        <v>4.417121831313775E-2</v>
      </c>
      <c r="G263" s="5">
        <f t="shared" si="9"/>
        <v>-1.2250525154643199E-2</v>
      </c>
    </row>
    <row r="264" spans="1:7" x14ac:dyDescent="0.2">
      <c r="A264" s="11">
        <v>35370</v>
      </c>
      <c r="B264" s="5">
        <v>75.256110192837468</v>
      </c>
      <c r="C264" s="5">
        <v>79.871700000000004</v>
      </c>
      <c r="D264" s="5">
        <f t="shared" si="8"/>
        <v>4.3208970989084721</v>
      </c>
      <c r="E264" s="5">
        <f t="shared" si="8"/>
        <v>4.3804215972902387</v>
      </c>
      <c r="F264" s="5">
        <f t="shared" si="9"/>
        <v>-4.6500740755842429E-2</v>
      </c>
      <c r="G264" s="5">
        <f t="shared" si="9"/>
        <v>-1.1286739405917956E-3</v>
      </c>
    </row>
    <row r="265" spans="1:7" x14ac:dyDescent="0.2">
      <c r="A265" s="11">
        <v>35400</v>
      </c>
      <c r="B265" s="5">
        <v>66.911162534435277</v>
      </c>
      <c r="C265" s="5">
        <v>79.697199999999995</v>
      </c>
      <c r="D265" s="5">
        <f t="shared" si="8"/>
        <v>4.2033658072430313</v>
      </c>
      <c r="E265" s="5">
        <f t="shared" si="8"/>
        <v>4.3782344534349953</v>
      </c>
      <c r="F265" s="5">
        <f t="shared" si="9"/>
        <v>-0.11753129166544074</v>
      </c>
      <c r="G265" s="5">
        <f t="shared" si="9"/>
        <v>-2.1871438552434341E-3</v>
      </c>
    </row>
    <row r="266" spans="1:7" x14ac:dyDescent="0.2">
      <c r="A266" s="11">
        <v>35431</v>
      </c>
      <c r="B266" s="5">
        <v>66.919140495867765</v>
      </c>
      <c r="C266" s="5">
        <v>79.762299999999996</v>
      </c>
      <c r="D266" s="5">
        <f t="shared" si="8"/>
        <v>4.2034850322804296</v>
      </c>
      <c r="E266" s="5">
        <f t="shared" si="8"/>
        <v>4.379050961747347</v>
      </c>
      <c r="F266" s="5">
        <f t="shared" si="9"/>
        <v>1.1922503739825174E-4</v>
      </c>
      <c r="G266" s="5">
        <f t="shared" si="9"/>
        <v>8.1650831235169363E-4</v>
      </c>
    </row>
    <row r="267" spans="1:7" x14ac:dyDescent="0.2">
      <c r="A267" s="11">
        <v>35462</v>
      </c>
      <c r="B267" s="5">
        <v>63.424793388429755</v>
      </c>
      <c r="C267" s="5">
        <v>81.440700000000007</v>
      </c>
      <c r="D267" s="5">
        <f t="shared" si="8"/>
        <v>4.1498548479069965</v>
      </c>
      <c r="E267" s="5">
        <f t="shared" si="8"/>
        <v>4.3998751480501461</v>
      </c>
      <c r="F267" s="5">
        <f t="shared" si="9"/>
        <v>-5.3630184373433032E-2</v>
      </c>
      <c r="G267" s="5">
        <f t="shared" si="9"/>
        <v>2.0824186302799141E-2</v>
      </c>
    </row>
    <row r="268" spans="1:7" x14ac:dyDescent="0.2">
      <c r="A268" s="11">
        <v>35490</v>
      </c>
      <c r="B268" s="5">
        <v>70.876209366391194</v>
      </c>
      <c r="C268" s="5">
        <v>82.321100000000001</v>
      </c>
      <c r="D268" s="5">
        <f t="shared" si="8"/>
        <v>4.2609348252729378</v>
      </c>
      <c r="E268" s="5">
        <f t="shared" si="8"/>
        <v>4.4106274539243691</v>
      </c>
      <c r="F268" s="5">
        <f t="shared" si="9"/>
        <v>0.11107997736594122</v>
      </c>
      <c r="G268" s="5">
        <f t="shared" si="9"/>
        <v>1.0752305874222934E-2</v>
      </c>
    </row>
    <row r="269" spans="1:7" x14ac:dyDescent="0.2">
      <c r="A269" s="11">
        <v>35521</v>
      </c>
      <c r="B269" s="5">
        <v>72.607426997245184</v>
      </c>
      <c r="C269" s="5">
        <v>81.412300000000002</v>
      </c>
      <c r="D269" s="5">
        <f t="shared" si="8"/>
        <v>4.2850672168359747</v>
      </c>
      <c r="E269" s="5">
        <f t="shared" si="8"/>
        <v>4.3995263672442917</v>
      </c>
      <c r="F269" s="5">
        <f t="shared" si="9"/>
        <v>2.4132391563036926E-2</v>
      </c>
      <c r="G269" s="5">
        <f t="shared" si="9"/>
        <v>-1.1101086680077366E-2</v>
      </c>
    </row>
    <row r="270" spans="1:7" x14ac:dyDescent="0.2">
      <c r="A270" s="11">
        <v>35551</v>
      </c>
      <c r="B270" s="5">
        <v>74.53011570247935</v>
      </c>
      <c r="C270" s="5">
        <v>81.5137</v>
      </c>
      <c r="D270" s="5">
        <f t="shared" si="8"/>
        <v>4.3112032813206724</v>
      </c>
      <c r="E270" s="5">
        <f t="shared" si="8"/>
        <v>4.4007711042794133</v>
      </c>
      <c r="F270" s="5">
        <f t="shared" si="9"/>
        <v>2.6136064484697741E-2</v>
      </c>
      <c r="G270" s="5">
        <f t="shared" si="9"/>
        <v>1.2447370351216236E-3</v>
      </c>
    </row>
    <row r="271" spans="1:7" x14ac:dyDescent="0.2">
      <c r="A271" s="11">
        <v>35582</v>
      </c>
      <c r="B271" s="5">
        <v>75.631074380165302</v>
      </c>
      <c r="C271" s="5">
        <v>84.075999999999993</v>
      </c>
      <c r="D271" s="5">
        <f t="shared" si="8"/>
        <v>4.3258672355076868</v>
      </c>
      <c r="E271" s="5">
        <f t="shared" si="8"/>
        <v>4.4317211516977331</v>
      </c>
      <c r="F271" s="5">
        <f t="shared" si="9"/>
        <v>1.4663954187014383E-2</v>
      </c>
      <c r="G271" s="5">
        <f t="shared" si="9"/>
        <v>3.0950047418319748E-2</v>
      </c>
    </row>
    <row r="272" spans="1:7" x14ac:dyDescent="0.2">
      <c r="A272" s="11">
        <v>35612</v>
      </c>
      <c r="B272" s="5">
        <v>78.806303030303056</v>
      </c>
      <c r="C272" s="5">
        <v>80.716300000000004</v>
      </c>
      <c r="D272" s="5">
        <f t="shared" si="8"/>
        <v>4.3669929813591892</v>
      </c>
      <c r="E272" s="5">
        <f t="shared" si="8"/>
        <v>4.3909405375319501</v>
      </c>
      <c r="F272" s="5">
        <f t="shared" si="9"/>
        <v>4.1125745851502415E-2</v>
      </c>
      <c r="G272" s="5">
        <f t="shared" si="9"/>
        <v>-4.0780614165782936E-2</v>
      </c>
    </row>
    <row r="273" spans="1:7" x14ac:dyDescent="0.2">
      <c r="A273" s="11">
        <v>35643</v>
      </c>
      <c r="B273" s="5">
        <v>78.886082644628118</v>
      </c>
      <c r="C273" s="5">
        <v>85.2607</v>
      </c>
      <c r="D273" s="5">
        <f t="shared" si="8"/>
        <v>4.3680048199560915</v>
      </c>
      <c r="E273" s="5">
        <f t="shared" si="8"/>
        <v>4.4457136214839847</v>
      </c>
      <c r="F273" s="5">
        <f t="shared" si="9"/>
        <v>1.011838596902237E-3</v>
      </c>
      <c r="G273" s="5">
        <f t="shared" si="9"/>
        <v>5.4773083952034618E-2</v>
      </c>
    </row>
    <row r="274" spans="1:7" x14ac:dyDescent="0.2">
      <c r="A274" s="11">
        <v>35674</v>
      </c>
      <c r="B274" s="5">
        <v>80.609322314049621</v>
      </c>
      <c r="C274" s="5">
        <v>86.751499999999993</v>
      </c>
      <c r="D274" s="5">
        <f t="shared" si="8"/>
        <v>4.3896143042889468</v>
      </c>
      <c r="E274" s="5">
        <f t="shared" si="8"/>
        <v>4.463047709743762</v>
      </c>
      <c r="F274" s="5">
        <f t="shared" si="9"/>
        <v>2.1609484332855367E-2</v>
      </c>
      <c r="G274" s="5">
        <f t="shared" si="9"/>
        <v>1.7334088259777225E-2</v>
      </c>
    </row>
    <row r="275" spans="1:7" x14ac:dyDescent="0.2">
      <c r="A275" s="11">
        <v>35704</v>
      </c>
      <c r="B275" s="5">
        <v>82.675614325068892</v>
      </c>
      <c r="C275" s="5">
        <v>86.739800000000002</v>
      </c>
      <c r="D275" s="5">
        <f t="shared" si="8"/>
        <v>4.4149246894428371</v>
      </c>
      <c r="E275" s="5">
        <f t="shared" si="8"/>
        <v>4.4629128326632665</v>
      </c>
      <c r="F275" s="5">
        <f t="shared" si="9"/>
        <v>2.531038515389028E-2</v>
      </c>
      <c r="G275" s="5">
        <f t="shared" si="9"/>
        <v>-1.3487708049542135E-4</v>
      </c>
    </row>
    <row r="276" spans="1:7" x14ac:dyDescent="0.2">
      <c r="A276" s="11">
        <v>35735</v>
      </c>
      <c r="B276" s="5">
        <v>74.107283746556504</v>
      </c>
      <c r="C276" s="5">
        <v>87.084100000000007</v>
      </c>
      <c r="D276" s="5">
        <f t="shared" si="8"/>
        <v>4.3055138236461401</v>
      </c>
      <c r="E276" s="5">
        <f t="shared" si="8"/>
        <v>4.4668743183999089</v>
      </c>
      <c r="F276" s="5">
        <f t="shared" si="9"/>
        <v>-0.10941086579669701</v>
      </c>
      <c r="G276" s="5">
        <f t="shared" si="9"/>
        <v>3.961485736642345E-3</v>
      </c>
    </row>
    <row r="277" spans="1:7" x14ac:dyDescent="0.2">
      <c r="A277" s="11">
        <v>35765</v>
      </c>
      <c r="B277" s="5">
        <v>64.749134986225911</v>
      </c>
      <c r="C277" s="5">
        <v>86.895099999999999</v>
      </c>
      <c r="D277" s="5">
        <f t="shared" si="8"/>
        <v>4.170520341204325</v>
      </c>
      <c r="E277" s="5">
        <f t="shared" si="8"/>
        <v>4.4647016440302361</v>
      </c>
      <c r="F277" s="5">
        <f t="shared" si="9"/>
        <v>-0.13499348244181508</v>
      </c>
      <c r="G277" s="5">
        <f t="shared" si="9"/>
        <v>-2.1726743696728334E-3</v>
      </c>
    </row>
    <row r="278" spans="1:7" x14ac:dyDescent="0.2">
      <c r="A278" s="11">
        <v>35796</v>
      </c>
      <c r="B278" s="5">
        <v>64.477884297520674</v>
      </c>
      <c r="C278" s="5">
        <v>86.482100000000003</v>
      </c>
      <c r="D278" s="5">
        <f t="shared" si="8"/>
        <v>4.1663222858970386</v>
      </c>
      <c r="E278" s="5">
        <f t="shared" si="8"/>
        <v>4.4599374561073546</v>
      </c>
      <c r="F278" s="5">
        <f t="shared" si="9"/>
        <v>-4.1980553072864524E-3</v>
      </c>
      <c r="G278" s="5">
        <f t="shared" si="9"/>
        <v>-4.7641879228814688E-3</v>
      </c>
    </row>
    <row r="279" spans="1:7" x14ac:dyDescent="0.2">
      <c r="A279" s="11">
        <v>35827</v>
      </c>
      <c r="B279" s="5">
        <v>62.818468319559244</v>
      </c>
      <c r="C279" s="5">
        <v>87.638099999999994</v>
      </c>
      <c r="D279" s="5">
        <f t="shared" si="8"/>
        <v>4.1402491117623024</v>
      </c>
      <c r="E279" s="5">
        <f t="shared" si="8"/>
        <v>4.4732158348939031</v>
      </c>
      <c r="F279" s="5">
        <f t="shared" si="9"/>
        <v>-2.6073174134736199E-2</v>
      </c>
      <c r="G279" s="5">
        <f t="shared" si="9"/>
        <v>1.3278378786548473E-2</v>
      </c>
    </row>
    <row r="280" spans="1:7" x14ac:dyDescent="0.2">
      <c r="A280" s="11">
        <v>35855</v>
      </c>
      <c r="B280" s="5">
        <v>73.133972451790655</v>
      </c>
      <c r="C280" s="5">
        <v>88.436499999999995</v>
      </c>
      <c r="D280" s="5">
        <f t="shared" si="8"/>
        <v>4.292292998220395</v>
      </c>
      <c r="E280" s="5">
        <f t="shared" si="8"/>
        <v>4.4822847803531323</v>
      </c>
      <c r="F280" s="5">
        <f t="shared" si="9"/>
        <v>0.15204388645809264</v>
      </c>
      <c r="G280" s="5">
        <f t="shared" si="9"/>
        <v>9.0689454592292051E-3</v>
      </c>
    </row>
    <row r="281" spans="1:7" x14ac:dyDescent="0.2">
      <c r="A281" s="11">
        <v>35886</v>
      </c>
      <c r="B281" s="5">
        <v>70.357641873278254</v>
      </c>
      <c r="C281" s="5">
        <v>86.300799999999995</v>
      </c>
      <c r="D281" s="5">
        <f t="shared" si="8"/>
        <v>4.2535914041468006</v>
      </c>
      <c r="E281" s="5">
        <f t="shared" si="8"/>
        <v>4.4578388680348286</v>
      </c>
      <c r="F281" s="5">
        <f t="shared" si="9"/>
        <v>-3.8701594073594414E-2</v>
      </c>
      <c r="G281" s="5">
        <f t="shared" si="9"/>
        <v>-2.444591231830362E-2</v>
      </c>
    </row>
    <row r="282" spans="1:7" x14ac:dyDescent="0.2">
      <c r="A282" s="11">
        <v>35916</v>
      </c>
      <c r="B282" s="5">
        <v>75.519382920110203</v>
      </c>
      <c r="C282" s="5">
        <v>87.599400000000003</v>
      </c>
      <c r="D282" s="5">
        <f t="shared" si="8"/>
        <v>4.3243893507248128</v>
      </c>
      <c r="E282" s="5">
        <f t="shared" si="8"/>
        <v>4.4727741486038211</v>
      </c>
      <c r="F282" s="5">
        <f t="shared" si="9"/>
        <v>7.0797946578012194E-2</v>
      </c>
      <c r="G282" s="5">
        <f t="shared" si="9"/>
        <v>1.4935280568992404E-2</v>
      </c>
    </row>
    <row r="283" spans="1:7" x14ac:dyDescent="0.2">
      <c r="A283" s="11">
        <v>35947</v>
      </c>
      <c r="B283" s="5">
        <v>75.511404958677701</v>
      </c>
      <c r="C283" s="5">
        <v>89.001900000000006</v>
      </c>
      <c r="D283" s="5">
        <f t="shared" si="8"/>
        <v>4.3242837039020428</v>
      </c>
      <c r="E283" s="5">
        <f t="shared" si="8"/>
        <v>4.4886577178188745</v>
      </c>
      <c r="F283" s="5">
        <f t="shared" si="9"/>
        <v>-1.0564682277003357E-4</v>
      </c>
      <c r="G283" s="5">
        <f t="shared" si="9"/>
        <v>1.5883569215053406E-2</v>
      </c>
    </row>
    <row r="284" spans="1:7" x14ac:dyDescent="0.2">
      <c r="A284" s="11">
        <v>35977</v>
      </c>
      <c r="B284" s="5">
        <v>78.8701267217631</v>
      </c>
      <c r="C284" s="5">
        <v>85.706100000000006</v>
      </c>
      <c r="D284" s="5">
        <f t="shared" si="8"/>
        <v>4.3678025341255236</v>
      </c>
      <c r="E284" s="5">
        <f t="shared" si="8"/>
        <v>4.4509240016004181</v>
      </c>
      <c r="F284" s="5">
        <f t="shared" si="9"/>
        <v>4.3518830223480798E-2</v>
      </c>
      <c r="G284" s="5">
        <f t="shared" si="9"/>
        <v>-3.7733716218456337E-2</v>
      </c>
    </row>
    <row r="285" spans="1:7" x14ac:dyDescent="0.2">
      <c r="A285" s="11">
        <v>36008</v>
      </c>
      <c r="B285" s="5">
        <v>77.338358126721772</v>
      </c>
      <c r="C285" s="5">
        <v>90.473399999999998</v>
      </c>
      <c r="D285" s="5">
        <f t="shared" si="8"/>
        <v>4.3481900566639409</v>
      </c>
      <c r="E285" s="5">
        <f t="shared" si="8"/>
        <v>4.5050558848502185</v>
      </c>
      <c r="F285" s="5">
        <f t="shared" si="9"/>
        <v>-1.9612477461582678E-2</v>
      </c>
      <c r="G285" s="5">
        <f t="shared" si="9"/>
        <v>5.4131883249800339E-2</v>
      </c>
    </row>
    <row r="286" spans="1:7" x14ac:dyDescent="0.2">
      <c r="A286" s="11">
        <v>36039</v>
      </c>
      <c r="B286" s="5">
        <v>76.301223140495878</v>
      </c>
      <c r="C286" s="5">
        <v>90.215100000000007</v>
      </c>
      <c r="D286" s="5">
        <f t="shared" si="8"/>
        <v>4.3346889688368346</v>
      </c>
      <c r="E286" s="5">
        <f t="shared" si="8"/>
        <v>4.502196818822763</v>
      </c>
      <c r="F286" s="5">
        <f t="shared" si="9"/>
        <v>-1.350108782710624E-2</v>
      </c>
      <c r="G286" s="5">
        <f t="shared" si="9"/>
        <v>-2.859066027455448E-3</v>
      </c>
    </row>
    <row r="287" spans="1:7" x14ac:dyDescent="0.2">
      <c r="A287" s="11">
        <v>36069</v>
      </c>
      <c r="B287" s="5">
        <v>75.670964187327826</v>
      </c>
      <c r="C287" s="5">
        <v>90.847499999999997</v>
      </c>
      <c r="D287" s="5">
        <f t="shared" si="8"/>
        <v>4.3263945226277336</v>
      </c>
      <c r="E287" s="5">
        <f t="shared" si="8"/>
        <v>4.5091822765769303</v>
      </c>
      <c r="F287" s="5">
        <f t="shared" si="9"/>
        <v>-8.2944462091010251E-3</v>
      </c>
      <c r="G287" s="5">
        <f t="shared" si="9"/>
        <v>6.9854577541672569E-3</v>
      </c>
    </row>
    <row r="288" spans="1:7" x14ac:dyDescent="0.2">
      <c r="A288" s="11">
        <v>36100</v>
      </c>
      <c r="B288" s="5">
        <v>72.679228650137745</v>
      </c>
      <c r="C288" s="5">
        <v>89.981499999999997</v>
      </c>
      <c r="D288" s="5">
        <f t="shared" si="8"/>
        <v>4.2860556305126236</v>
      </c>
      <c r="E288" s="5">
        <f t="shared" si="8"/>
        <v>4.4996040936452708</v>
      </c>
      <c r="F288" s="5">
        <f t="shared" si="9"/>
        <v>-4.0338892115109992E-2</v>
      </c>
      <c r="G288" s="5">
        <f t="shared" si="9"/>
        <v>-9.5781829316594624E-3</v>
      </c>
    </row>
    <row r="289" spans="1:7" x14ac:dyDescent="0.2">
      <c r="A289" s="11">
        <v>36130</v>
      </c>
      <c r="B289" s="5">
        <v>63.233322314049602</v>
      </c>
      <c r="C289" s="5">
        <v>89.849400000000003</v>
      </c>
      <c r="D289" s="5">
        <f t="shared" si="8"/>
        <v>4.1468314140090001</v>
      </c>
      <c r="E289" s="5">
        <f t="shared" si="8"/>
        <v>4.4981349354109446</v>
      </c>
      <c r="F289" s="5">
        <f t="shared" si="9"/>
        <v>-0.13922421650362349</v>
      </c>
      <c r="G289" s="5">
        <f t="shared" si="9"/>
        <v>-1.469158234326251E-3</v>
      </c>
    </row>
    <row r="290" spans="1:7" x14ac:dyDescent="0.2">
      <c r="A290" s="11">
        <v>36161</v>
      </c>
      <c r="B290" s="5">
        <v>62.283944903581272</v>
      </c>
      <c r="C290" s="5">
        <v>89.878799999999998</v>
      </c>
      <c r="D290" s="5">
        <f t="shared" si="8"/>
        <v>4.1317036863789101</v>
      </c>
      <c r="E290" s="5">
        <f t="shared" si="8"/>
        <v>4.4984620960931547</v>
      </c>
      <c r="F290" s="5">
        <f t="shared" si="9"/>
        <v>-1.5127727630090071E-2</v>
      </c>
      <c r="G290" s="5">
        <f t="shared" si="9"/>
        <v>3.2716068221017025E-4</v>
      </c>
    </row>
    <row r="291" spans="1:7" x14ac:dyDescent="0.2">
      <c r="A291" s="11">
        <v>36192</v>
      </c>
      <c r="B291" s="5">
        <v>59.730997245179076</v>
      </c>
      <c r="C291" s="5">
        <v>90.911100000000005</v>
      </c>
      <c r="D291" s="5">
        <f t="shared" si="8"/>
        <v>4.0898511024893045</v>
      </c>
      <c r="E291" s="5">
        <f t="shared" si="8"/>
        <v>4.5098821059395648</v>
      </c>
      <c r="F291" s="5">
        <f t="shared" si="9"/>
        <v>-4.1852583889605555E-2</v>
      </c>
      <c r="G291" s="5">
        <f t="shared" si="9"/>
        <v>1.1420009846410117E-2</v>
      </c>
    </row>
    <row r="292" spans="1:7" x14ac:dyDescent="0.2">
      <c r="A292" s="11">
        <v>36220</v>
      </c>
      <c r="B292" s="5">
        <v>71.147460055096431</v>
      </c>
      <c r="C292" s="5">
        <v>92.314999999999998</v>
      </c>
      <c r="D292" s="5">
        <f t="shared" si="8"/>
        <v>4.2647546254460416</v>
      </c>
      <c r="E292" s="5">
        <f t="shared" si="8"/>
        <v>4.5252066418477064</v>
      </c>
      <c r="F292" s="5">
        <f t="shared" si="9"/>
        <v>0.17490352295673706</v>
      </c>
      <c r="G292" s="5">
        <f t="shared" si="9"/>
        <v>1.5324535908141534E-2</v>
      </c>
    </row>
    <row r="293" spans="1:7" x14ac:dyDescent="0.2">
      <c r="A293" s="11">
        <v>36251</v>
      </c>
      <c r="B293" s="5">
        <v>68.570578512396693</v>
      </c>
      <c r="C293" s="5">
        <v>90.366399999999999</v>
      </c>
      <c r="D293" s="5">
        <f t="shared" si="8"/>
        <v>4.227863558075569</v>
      </c>
      <c r="E293" s="5">
        <f t="shared" si="8"/>
        <v>4.5038725168915441</v>
      </c>
      <c r="F293" s="5">
        <f t="shared" si="9"/>
        <v>-3.6891067370472541E-2</v>
      </c>
      <c r="G293" s="5">
        <f t="shared" si="9"/>
        <v>-2.133412495616227E-2</v>
      </c>
    </row>
    <row r="294" spans="1:7" x14ac:dyDescent="0.2">
      <c r="A294" s="11">
        <v>36281</v>
      </c>
      <c r="B294" s="5">
        <v>73.237685950413223</v>
      </c>
      <c r="C294" s="5">
        <v>91.286799999999999</v>
      </c>
      <c r="D294" s="5">
        <f t="shared" si="8"/>
        <v>4.2937101238731552</v>
      </c>
      <c r="E294" s="5">
        <f t="shared" si="8"/>
        <v>4.5140061988352178</v>
      </c>
      <c r="F294" s="5">
        <f t="shared" si="9"/>
        <v>6.5846565797586187E-2</v>
      </c>
      <c r="G294" s="5">
        <f t="shared" si="9"/>
        <v>1.01336819436737E-2</v>
      </c>
    </row>
    <row r="295" spans="1:7" x14ac:dyDescent="0.2">
      <c r="A295" s="11">
        <v>36312</v>
      </c>
      <c r="B295" s="5">
        <v>73.221730027548219</v>
      </c>
      <c r="C295" s="5">
        <v>93.722399999999993</v>
      </c>
      <c r="D295" s="5">
        <f t="shared" si="8"/>
        <v>4.2934922352133977</v>
      </c>
      <c r="E295" s="5">
        <f t="shared" si="8"/>
        <v>4.5403372215063325</v>
      </c>
      <c r="F295" s="5">
        <f t="shared" si="9"/>
        <v>-2.1788865975747029E-4</v>
      </c>
      <c r="G295" s="5">
        <f t="shared" si="9"/>
        <v>2.6331022671114646E-2</v>
      </c>
    </row>
    <row r="296" spans="1:7" x14ac:dyDescent="0.2">
      <c r="A296" s="11">
        <v>36342</v>
      </c>
      <c r="B296" s="5">
        <v>74.857212121212115</v>
      </c>
      <c r="C296" s="5">
        <v>89.908500000000004</v>
      </c>
      <c r="D296" s="5">
        <f t="shared" si="8"/>
        <v>4.3155824605486686</v>
      </c>
      <c r="E296" s="5">
        <f t="shared" si="8"/>
        <v>4.4987924865074964</v>
      </c>
      <c r="F296" s="5">
        <f t="shared" si="9"/>
        <v>2.209022533527083E-2</v>
      </c>
      <c r="G296" s="5">
        <f t="shared" si="9"/>
        <v>-4.1544734998836041E-2</v>
      </c>
    </row>
    <row r="297" spans="1:7" x14ac:dyDescent="0.2">
      <c r="A297" s="11">
        <v>36373</v>
      </c>
      <c r="B297" s="5">
        <v>77.529829201101933</v>
      </c>
      <c r="C297" s="5">
        <v>94.292599999999993</v>
      </c>
      <c r="D297" s="5">
        <f t="shared" si="8"/>
        <v>4.3506627552244677</v>
      </c>
      <c r="E297" s="5">
        <f t="shared" si="8"/>
        <v>4.546402713601605</v>
      </c>
      <c r="F297" s="5">
        <f t="shared" si="9"/>
        <v>3.5080294675799095E-2</v>
      </c>
      <c r="G297" s="5">
        <f t="shared" si="9"/>
        <v>4.7610227094108559E-2</v>
      </c>
    </row>
    <row r="298" spans="1:7" x14ac:dyDescent="0.2">
      <c r="A298" s="11">
        <v>36404</v>
      </c>
      <c r="B298" s="5">
        <v>76.6841652892562</v>
      </c>
      <c r="C298" s="5">
        <v>93.817300000000003</v>
      </c>
      <c r="D298" s="5">
        <f t="shared" si="8"/>
        <v>4.3396952371149791</v>
      </c>
      <c r="E298" s="5">
        <f t="shared" si="8"/>
        <v>4.5413492739741583</v>
      </c>
      <c r="F298" s="5">
        <f t="shared" si="9"/>
        <v>-1.0967518109488594E-2</v>
      </c>
      <c r="G298" s="5">
        <f t="shared" si="9"/>
        <v>-5.0534396274466431E-3</v>
      </c>
    </row>
    <row r="299" spans="1:7" x14ac:dyDescent="0.2">
      <c r="A299" s="11">
        <v>36434</v>
      </c>
      <c r="B299" s="5">
        <v>78.088286501377411</v>
      </c>
      <c r="C299" s="5">
        <v>94.794700000000006</v>
      </c>
      <c r="D299" s="5">
        <f t="shared" si="8"/>
        <v>4.3578400648211817</v>
      </c>
      <c r="E299" s="5">
        <f t="shared" si="8"/>
        <v>4.5517135005251159</v>
      </c>
      <c r="F299" s="5">
        <f t="shared" si="9"/>
        <v>1.8144827706202626E-2</v>
      </c>
      <c r="G299" s="5">
        <f t="shared" si="9"/>
        <v>1.0364226550957589E-2</v>
      </c>
    </row>
    <row r="300" spans="1:7" x14ac:dyDescent="0.2">
      <c r="A300" s="11">
        <v>36465</v>
      </c>
      <c r="B300" s="5">
        <v>76.245377410468322</v>
      </c>
      <c r="C300" s="5">
        <v>94.173900000000003</v>
      </c>
      <c r="D300" s="5">
        <f t="shared" si="8"/>
        <v>4.333956789524799</v>
      </c>
      <c r="E300" s="5">
        <f t="shared" si="8"/>
        <v>4.5451430731276217</v>
      </c>
      <c r="F300" s="5">
        <f t="shared" si="9"/>
        <v>-2.3883275296382678E-2</v>
      </c>
      <c r="G300" s="5">
        <f t="shared" si="9"/>
        <v>-6.5704273974942495E-3</v>
      </c>
    </row>
    <row r="301" spans="1:7" x14ac:dyDescent="0.2">
      <c r="A301" s="11">
        <v>36495</v>
      </c>
      <c r="B301" s="5">
        <v>68.658336088154272</v>
      </c>
      <c r="C301" s="5">
        <v>94.250900000000001</v>
      </c>
      <c r="D301" s="5">
        <f t="shared" si="8"/>
        <v>4.2291425536571641</v>
      </c>
      <c r="E301" s="5">
        <f t="shared" si="8"/>
        <v>4.545960375354146</v>
      </c>
      <c r="F301" s="5">
        <f t="shared" si="9"/>
        <v>-0.10481423586763494</v>
      </c>
      <c r="G301" s="5">
        <f t="shared" si="9"/>
        <v>8.1730222652431905E-4</v>
      </c>
    </row>
    <row r="302" spans="1:7" x14ac:dyDescent="0.2">
      <c r="A302" s="11">
        <v>36526</v>
      </c>
      <c r="B302" s="5">
        <v>65.331526170798895</v>
      </c>
      <c r="C302" s="5">
        <v>93.992199999999997</v>
      </c>
      <c r="D302" s="5">
        <f t="shared" si="8"/>
        <v>4.1794747095288072</v>
      </c>
      <c r="E302" s="5">
        <f t="shared" si="8"/>
        <v>4.5432118001036752</v>
      </c>
      <c r="F302" s="5">
        <f t="shared" si="9"/>
        <v>-4.9667844128356897E-2</v>
      </c>
      <c r="G302" s="5">
        <f t="shared" si="9"/>
        <v>-2.7485752504707861E-3</v>
      </c>
    </row>
    <row r="303" spans="1:7" x14ac:dyDescent="0.2">
      <c r="A303" s="11">
        <v>36557</v>
      </c>
      <c r="B303" s="5">
        <v>69.248705234159772</v>
      </c>
      <c r="C303" s="5">
        <v>94.7928</v>
      </c>
      <c r="D303" s="5">
        <f t="shared" si="8"/>
        <v>4.237704447913015</v>
      </c>
      <c r="E303" s="5">
        <f t="shared" si="8"/>
        <v>4.5516934570095886</v>
      </c>
      <c r="F303" s="5">
        <f t="shared" si="9"/>
        <v>5.8229738384207863E-2</v>
      </c>
      <c r="G303" s="5">
        <f t="shared" si="9"/>
        <v>8.4816569059134039E-3</v>
      </c>
    </row>
    <row r="304" spans="1:7" x14ac:dyDescent="0.2">
      <c r="A304" s="11">
        <v>36586</v>
      </c>
      <c r="B304" s="5">
        <v>73.987614325068861</v>
      </c>
      <c r="C304" s="5">
        <v>96.501300000000001</v>
      </c>
      <c r="D304" s="5">
        <f t="shared" si="8"/>
        <v>4.3038977052100256</v>
      </c>
      <c r="E304" s="5">
        <f t="shared" si="8"/>
        <v>4.5695564797567911</v>
      </c>
      <c r="F304" s="5">
        <f t="shared" si="9"/>
        <v>6.6193257297010533E-2</v>
      </c>
      <c r="G304" s="5">
        <f t="shared" si="9"/>
        <v>1.7863022747202528E-2</v>
      </c>
    </row>
    <row r="305" spans="1:7" x14ac:dyDescent="0.2">
      <c r="A305" s="11">
        <v>36617</v>
      </c>
      <c r="B305" s="5">
        <v>70.932055096418722</v>
      </c>
      <c r="C305" s="5">
        <v>95.156499999999994</v>
      </c>
      <c r="D305" s="5">
        <f t="shared" si="8"/>
        <v>4.261722448379758</v>
      </c>
      <c r="E305" s="5">
        <f t="shared" si="8"/>
        <v>4.555522904598619</v>
      </c>
      <c r="F305" s="5">
        <f t="shared" si="9"/>
        <v>-4.2175256830267571E-2</v>
      </c>
      <c r="G305" s="5">
        <f t="shared" si="9"/>
        <v>-1.4033575158172162E-2</v>
      </c>
    </row>
    <row r="306" spans="1:7" x14ac:dyDescent="0.2">
      <c r="A306" s="11">
        <v>36647</v>
      </c>
      <c r="B306" s="5">
        <v>77.952661157024778</v>
      </c>
      <c r="C306" s="5">
        <v>95.5304</v>
      </c>
      <c r="D306" s="5">
        <f t="shared" si="8"/>
        <v>4.3561017342029622</v>
      </c>
      <c r="E306" s="5">
        <f t="shared" si="8"/>
        <v>4.5594445214394863</v>
      </c>
      <c r="F306" s="5">
        <f t="shared" si="9"/>
        <v>9.4379285823204206E-2</v>
      </c>
      <c r="G306" s="5">
        <f t="shared" si="9"/>
        <v>3.9216168408673369E-3</v>
      </c>
    </row>
    <row r="307" spans="1:7" x14ac:dyDescent="0.2">
      <c r="A307" s="11">
        <v>36678</v>
      </c>
      <c r="B307" s="5">
        <v>78.686633608815413</v>
      </c>
      <c r="C307" s="5">
        <v>98.6524</v>
      </c>
      <c r="D307" s="5">
        <f t="shared" si="8"/>
        <v>4.3654733012126128</v>
      </c>
      <c r="E307" s="5">
        <f t="shared" si="8"/>
        <v>4.5916025606065496</v>
      </c>
      <c r="F307" s="5">
        <f t="shared" si="9"/>
        <v>9.3715670096505832E-3</v>
      </c>
      <c r="G307" s="5">
        <f t="shared" si="9"/>
        <v>3.2158039167063279E-2</v>
      </c>
    </row>
    <row r="308" spans="1:7" x14ac:dyDescent="0.2">
      <c r="A308" s="11">
        <v>36708</v>
      </c>
      <c r="B308" s="5">
        <v>80.114688705234144</v>
      </c>
      <c r="C308" s="5">
        <v>93.926900000000003</v>
      </c>
      <c r="D308" s="5">
        <f t="shared" si="8"/>
        <v>4.3834592168532698</v>
      </c>
      <c r="E308" s="5">
        <f t="shared" si="8"/>
        <v>4.542516820161473</v>
      </c>
      <c r="F308" s="5">
        <f t="shared" si="9"/>
        <v>1.7985915640656991E-2</v>
      </c>
      <c r="G308" s="5">
        <f t="shared" si="9"/>
        <v>-4.9085740445076631E-2</v>
      </c>
    </row>
    <row r="309" spans="1:7" x14ac:dyDescent="0.2">
      <c r="A309" s="11">
        <v>36739</v>
      </c>
      <c r="B309" s="5">
        <v>83.752639118457296</v>
      </c>
      <c r="C309" s="5">
        <v>97.557100000000005</v>
      </c>
      <c r="D309" s="5">
        <f t="shared" si="8"/>
        <v>4.4278676820708638</v>
      </c>
      <c r="E309" s="5">
        <f t="shared" si="8"/>
        <v>4.5804378476086614</v>
      </c>
      <c r="F309" s="5">
        <f t="shared" si="9"/>
        <v>4.4408465217594006E-2</v>
      </c>
      <c r="G309" s="5">
        <f t="shared" si="9"/>
        <v>3.7921027447188393E-2</v>
      </c>
    </row>
    <row r="310" spans="1:7" x14ac:dyDescent="0.2">
      <c r="A310" s="11">
        <v>36770</v>
      </c>
      <c r="B310" s="5">
        <v>79.41262809917356</v>
      </c>
      <c r="C310" s="5">
        <v>98.060299999999998</v>
      </c>
      <c r="D310" s="5">
        <f t="shared" si="8"/>
        <v>4.374657399677119</v>
      </c>
      <c r="E310" s="5">
        <f t="shared" si="8"/>
        <v>4.5855825955698251</v>
      </c>
      <c r="F310" s="5">
        <f t="shared" si="9"/>
        <v>-5.3210282393744812E-2</v>
      </c>
      <c r="G310" s="5">
        <f t="shared" si="9"/>
        <v>5.1447479611637092E-3</v>
      </c>
    </row>
    <row r="311" spans="1:7" x14ac:dyDescent="0.2">
      <c r="A311" s="11">
        <v>36800</v>
      </c>
      <c r="B311" s="5">
        <v>83.768595041322314</v>
      </c>
      <c r="C311" s="5">
        <v>97.144999999999996</v>
      </c>
      <c r="D311" s="5">
        <f t="shared" si="8"/>
        <v>4.4280581764042335</v>
      </c>
      <c r="E311" s="5">
        <f t="shared" si="8"/>
        <v>4.5762047076950765</v>
      </c>
      <c r="F311" s="5">
        <f t="shared" si="9"/>
        <v>5.3400776727114518E-2</v>
      </c>
      <c r="G311" s="5">
        <f t="shared" si="9"/>
        <v>-9.3778878747485805E-3</v>
      </c>
    </row>
    <row r="312" spans="1:7" x14ac:dyDescent="0.2">
      <c r="A312" s="11">
        <v>36831</v>
      </c>
      <c r="B312" s="5">
        <v>80.266269972451781</v>
      </c>
      <c r="C312" s="5">
        <v>96.061499999999995</v>
      </c>
      <c r="D312" s="5">
        <f t="shared" si="8"/>
        <v>4.3853494825506694</v>
      </c>
      <c r="E312" s="5">
        <f t="shared" si="8"/>
        <v>4.5649886113552363</v>
      </c>
      <c r="F312" s="5">
        <f t="shared" si="9"/>
        <v>-4.2708693853564128E-2</v>
      </c>
      <c r="G312" s="5">
        <f t="shared" si="9"/>
        <v>-1.121609633984022E-2</v>
      </c>
    </row>
    <row r="313" spans="1:7" x14ac:dyDescent="0.2">
      <c r="A313" s="11">
        <v>36861</v>
      </c>
      <c r="B313" s="5">
        <v>73.923790633608803</v>
      </c>
      <c r="C313" s="5">
        <v>95.621799999999993</v>
      </c>
      <c r="D313" s="5">
        <f t="shared" si="8"/>
        <v>4.3030347062352128</v>
      </c>
      <c r="E313" s="5">
        <f t="shared" si="8"/>
        <v>4.5604008275344787</v>
      </c>
      <c r="F313" s="5">
        <f t="shared" si="9"/>
        <v>-8.2314776315456584E-2</v>
      </c>
      <c r="G313" s="5">
        <f t="shared" si="9"/>
        <v>-4.5877838207575294E-3</v>
      </c>
    </row>
    <row r="314" spans="1:7" x14ac:dyDescent="0.2">
      <c r="A314" s="11">
        <v>36892</v>
      </c>
      <c r="B314" s="5">
        <v>73.261619834710729</v>
      </c>
      <c r="C314" s="5">
        <v>94.373800000000003</v>
      </c>
      <c r="D314" s="5">
        <f t="shared" si="8"/>
        <v>4.2940368678721414</v>
      </c>
      <c r="E314" s="5">
        <f t="shared" si="8"/>
        <v>4.5472634922565618</v>
      </c>
      <c r="F314" s="5">
        <f t="shared" si="9"/>
        <v>-8.997838363071331E-3</v>
      </c>
      <c r="G314" s="5">
        <f t="shared" si="9"/>
        <v>-1.3137335277916939E-2</v>
      </c>
    </row>
    <row r="315" spans="1:7" x14ac:dyDescent="0.2">
      <c r="A315" s="11">
        <v>36923</v>
      </c>
      <c r="B315" s="5">
        <v>70.684738292011005</v>
      </c>
      <c r="C315" s="5">
        <v>94.546099999999996</v>
      </c>
      <c r="D315" s="5">
        <f t="shared" si="8"/>
        <v>4.2582296838577456</v>
      </c>
      <c r="E315" s="5">
        <f t="shared" si="8"/>
        <v>4.5490875462368212</v>
      </c>
      <c r="F315" s="5">
        <f t="shared" si="9"/>
        <v>-3.5807184014395865E-2</v>
      </c>
      <c r="G315" s="5">
        <f t="shared" si="9"/>
        <v>1.8240539802594213E-3</v>
      </c>
    </row>
    <row r="316" spans="1:7" x14ac:dyDescent="0.2">
      <c r="A316" s="11">
        <v>36951</v>
      </c>
      <c r="B316" s="5">
        <v>80.186490358126719</v>
      </c>
      <c r="C316" s="5">
        <v>95.468999999999994</v>
      </c>
      <c r="D316" s="5">
        <f t="shared" si="8"/>
        <v>4.3843550512833591</v>
      </c>
      <c r="E316" s="5">
        <f t="shared" si="8"/>
        <v>4.5588015874604784</v>
      </c>
      <c r="F316" s="5">
        <f t="shared" si="9"/>
        <v>0.12612536742561353</v>
      </c>
      <c r="G316" s="5">
        <f t="shared" si="9"/>
        <v>9.7140412236571549E-3</v>
      </c>
    </row>
    <row r="317" spans="1:7" x14ac:dyDescent="0.2">
      <c r="A317" s="11">
        <v>36982</v>
      </c>
      <c r="B317" s="5">
        <v>75.33588980716253</v>
      </c>
      <c r="C317" s="5">
        <v>92.240200000000002</v>
      </c>
      <c r="D317" s="5">
        <f t="shared" si="8"/>
        <v>4.3219566455216887</v>
      </c>
      <c r="E317" s="5">
        <f t="shared" si="8"/>
        <v>4.5243960442151749</v>
      </c>
      <c r="F317" s="5">
        <f t="shared" si="9"/>
        <v>-6.2398405761670439E-2</v>
      </c>
      <c r="G317" s="5">
        <f t="shared" si="9"/>
        <v>-3.4405543245303427E-2</v>
      </c>
    </row>
    <row r="318" spans="1:7" x14ac:dyDescent="0.2">
      <c r="A318" s="11">
        <v>37012</v>
      </c>
      <c r="B318" s="5">
        <v>81.726236914600548</v>
      </c>
      <c r="C318" s="5">
        <v>93.028800000000004</v>
      </c>
      <c r="D318" s="5">
        <f t="shared" si="8"/>
        <v>4.4033750875780351</v>
      </c>
      <c r="E318" s="5">
        <f t="shared" si="8"/>
        <v>4.5329091226324563</v>
      </c>
      <c r="F318" s="5">
        <f t="shared" si="9"/>
        <v>8.1418442056346407E-2</v>
      </c>
      <c r="G318" s="5">
        <f t="shared" si="9"/>
        <v>8.5130784172813279E-3</v>
      </c>
    </row>
    <row r="319" spans="1:7" x14ac:dyDescent="0.2">
      <c r="A319" s="11">
        <v>37043</v>
      </c>
      <c r="B319" s="5">
        <v>77.96861707988981</v>
      </c>
      <c r="C319" s="5">
        <v>95.281599999999997</v>
      </c>
      <c r="D319" s="5">
        <f t="shared" si="8"/>
        <v>4.3563064005974548</v>
      </c>
      <c r="E319" s="5">
        <f t="shared" si="8"/>
        <v>4.5568367175173012</v>
      </c>
      <c r="F319" s="5">
        <f t="shared" si="9"/>
        <v>-4.706868698058031E-2</v>
      </c>
      <c r="G319" s="5">
        <f t="shared" si="9"/>
        <v>2.3927594884844972E-2</v>
      </c>
    </row>
    <row r="320" spans="1:7" x14ac:dyDescent="0.2">
      <c r="A320" s="11">
        <v>37073</v>
      </c>
      <c r="B320" s="5">
        <v>81.351272727272729</v>
      </c>
      <c r="C320" s="5">
        <v>90.755200000000002</v>
      </c>
      <c r="D320" s="5">
        <f t="shared" si="8"/>
        <v>4.3987764786228452</v>
      </c>
      <c r="E320" s="5">
        <f t="shared" si="8"/>
        <v>4.5081657717788444</v>
      </c>
      <c r="F320" s="5">
        <f t="shared" si="9"/>
        <v>4.2470078025390379E-2</v>
      </c>
      <c r="G320" s="5">
        <f t="shared" si="9"/>
        <v>-4.8670945738456872E-2</v>
      </c>
    </row>
    <row r="321" spans="1:7" x14ac:dyDescent="0.2">
      <c r="A321" s="11">
        <v>37104</v>
      </c>
      <c r="B321" s="5">
        <v>83.712749311294772</v>
      </c>
      <c r="C321" s="5">
        <v>94.307299999999998</v>
      </c>
      <c r="D321" s="5">
        <f t="shared" si="8"/>
        <v>4.4273912874165307</v>
      </c>
      <c r="E321" s="5">
        <f t="shared" si="8"/>
        <v>4.546558599156473</v>
      </c>
      <c r="F321" s="5">
        <f t="shared" si="9"/>
        <v>2.8614808793685498E-2</v>
      </c>
      <c r="G321" s="5">
        <f t="shared" si="9"/>
        <v>3.8392827377628613E-2</v>
      </c>
    </row>
    <row r="322" spans="1:7" x14ac:dyDescent="0.2">
      <c r="A322" s="11">
        <v>37135</v>
      </c>
      <c r="B322" s="5">
        <v>78.279757575757586</v>
      </c>
      <c r="C322" s="5">
        <v>93.504499999999993</v>
      </c>
      <c r="D322" s="5">
        <f t="shared" si="8"/>
        <v>4.3602890456369989</v>
      </c>
      <c r="E322" s="5">
        <f t="shared" si="8"/>
        <v>4.5380095634787558</v>
      </c>
      <c r="F322" s="5">
        <f t="shared" si="9"/>
        <v>-6.7102241779531724E-2</v>
      </c>
      <c r="G322" s="5">
        <f t="shared" si="9"/>
        <v>-8.5490356777171428E-3</v>
      </c>
    </row>
    <row r="323" spans="1:7" x14ac:dyDescent="0.2">
      <c r="A323" s="11">
        <v>37165</v>
      </c>
      <c r="B323" s="5">
        <v>81.255537190082649</v>
      </c>
      <c r="C323" s="5">
        <v>92.373099999999994</v>
      </c>
      <c r="D323" s="5">
        <f t="shared" ref="D323:E386" si="10">LN(B323)</f>
        <v>4.3975989689195254</v>
      </c>
      <c r="E323" s="5">
        <f t="shared" si="10"/>
        <v>4.5258358107212464</v>
      </c>
      <c r="F323" s="5">
        <f t="shared" ref="F323:G386" si="11">D323-D322</f>
        <v>3.7309923282526469E-2</v>
      </c>
      <c r="G323" s="5">
        <f t="shared" si="11"/>
        <v>-1.2173752757509426E-2</v>
      </c>
    </row>
    <row r="324" spans="1:7" x14ac:dyDescent="0.2">
      <c r="A324" s="11">
        <v>37196</v>
      </c>
      <c r="B324" s="5">
        <v>78.925972451790642</v>
      </c>
      <c r="C324" s="5">
        <v>90.792500000000004</v>
      </c>
      <c r="D324" s="5">
        <f t="shared" si="10"/>
        <v>4.3685103555818419</v>
      </c>
      <c r="E324" s="5">
        <f t="shared" si="10"/>
        <v>4.5085766830768099</v>
      </c>
      <c r="F324" s="5">
        <f t="shared" si="11"/>
        <v>-2.9088613337683533E-2</v>
      </c>
      <c r="G324" s="5">
        <f t="shared" si="11"/>
        <v>-1.7259127644436489E-2</v>
      </c>
    </row>
    <row r="325" spans="1:7" x14ac:dyDescent="0.2">
      <c r="A325" s="11">
        <v>37226</v>
      </c>
      <c r="B325" s="5">
        <v>69.160947658402208</v>
      </c>
      <c r="C325" s="5">
        <v>90.366</v>
      </c>
      <c r="D325" s="5">
        <f t="shared" si="10"/>
        <v>4.2364363631272592</v>
      </c>
      <c r="E325" s="5">
        <f t="shared" si="10"/>
        <v>4.5038680904577664</v>
      </c>
      <c r="F325" s="5">
        <f t="shared" si="11"/>
        <v>-0.13207399245458262</v>
      </c>
      <c r="G325" s="5">
        <f t="shared" si="11"/>
        <v>-4.7085926190435501E-3</v>
      </c>
    </row>
    <row r="326" spans="1:7" x14ac:dyDescent="0.2">
      <c r="A326" s="11">
        <v>37257</v>
      </c>
      <c r="B326" s="5">
        <v>72.400000000000006</v>
      </c>
      <c r="C326" s="5">
        <v>90.781800000000004</v>
      </c>
      <c r="D326" s="5">
        <f t="shared" si="10"/>
        <v>4.282206299391671</v>
      </c>
      <c r="E326" s="5">
        <f t="shared" si="10"/>
        <v>4.5084588249877262</v>
      </c>
      <c r="F326" s="5">
        <f t="shared" si="11"/>
        <v>4.5769936264411726E-2</v>
      </c>
      <c r="G326" s="5">
        <f t="shared" si="11"/>
        <v>4.590734529959839E-3</v>
      </c>
    </row>
    <row r="327" spans="1:7" x14ac:dyDescent="0.2">
      <c r="A327" s="11">
        <v>37288</v>
      </c>
      <c r="B327" s="5">
        <v>69.7</v>
      </c>
      <c r="C327" s="5">
        <v>91.490399999999994</v>
      </c>
      <c r="D327" s="5">
        <f t="shared" si="10"/>
        <v>4.2442003177664782</v>
      </c>
      <c r="E327" s="5">
        <f t="shared" si="10"/>
        <v>4.5162340487444066</v>
      </c>
      <c r="F327" s="5">
        <f t="shared" si="11"/>
        <v>-3.8005981625192753E-2</v>
      </c>
      <c r="G327" s="5">
        <f t="shared" si="11"/>
        <v>7.7752237566803828E-3</v>
      </c>
    </row>
    <row r="328" spans="1:7" x14ac:dyDescent="0.2">
      <c r="A328" s="11">
        <v>37316</v>
      </c>
      <c r="B328" s="5">
        <v>77.400000000000006</v>
      </c>
      <c r="C328" s="5">
        <v>93.037000000000006</v>
      </c>
      <c r="D328" s="5">
        <f t="shared" si="10"/>
        <v>4.3489867805956814</v>
      </c>
      <c r="E328" s="5">
        <f t="shared" si="10"/>
        <v>4.5329972634945088</v>
      </c>
      <c r="F328" s="5">
        <f t="shared" si="11"/>
        <v>0.10478646282920323</v>
      </c>
      <c r="G328" s="5">
        <f t="shared" si="11"/>
        <v>1.6763214750102229E-2</v>
      </c>
    </row>
    <row r="329" spans="1:7" x14ac:dyDescent="0.2">
      <c r="A329" s="11">
        <v>37347</v>
      </c>
      <c r="B329" s="5">
        <v>79.599999999999994</v>
      </c>
      <c r="C329" s="5">
        <v>92.090800000000002</v>
      </c>
      <c r="D329" s="5">
        <f t="shared" si="10"/>
        <v>4.3770140928503372</v>
      </c>
      <c r="E329" s="5">
        <f t="shared" si="10"/>
        <v>4.5227750468494134</v>
      </c>
      <c r="F329" s="5">
        <f t="shared" si="11"/>
        <v>2.8027312254655712E-2</v>
      </c>
      <c r="G329" s="5">
        <f t="shared" si="11"/>
        <v>-1.0222216645095372E-2</v>
      </c>
    </row>
    <row r="330" spans="1:7" x14ac:dyDescent="0.2">
      <c r="A330" s="11">
        <v>37377</v>
      </c>
      <c r="B330" s="5">
        <v>80.400000000000006</v>
      </c>
      <c r="C330" s="5">
        <v>92.603399999999993</v>
      </c>
      <c r="D330" s="5">
        <f t="shared" si="10"/>
        <v>4.3870141761849206</v>
      </c>
      <c r="E330" s="5">
        <f t="shared" si="10"/>
        <v>4.5283258580407137</v>
      </c>
      <c r="F330" s="5">
        <f t="shared" si="11"/>
        <v>1.0000083334583465E-2</v>
      </c>
      <c r="G330" s="5">
        <f t="shared" si="11"/>
        <v>5.5508111913002978E-3</v>
      </c>
    </row>
    <row r="331" spans="1:7" x14ac:dyDescent="0.2">
      <c r="A331" s="11">
        <v>37408</v>
      </c>
      <c r="B331" s="5">
        <v>77.5</v>
      </c>
      <c r="C331" s="5">
        <v>96.425700000000006</v>
      </c>
      <c r="D331" s="5">
        <f t="shared" si="10"/>
        <v>4.3502779363593014</v>
      </c>
      <c r="E331" s="5">
        <f t="shared" si="10"/>
        <v>4.5687727635960718</v>
      </c>
      <c r="F331" s="5">
        <f t="shared" si="11"/>
        <v>-3.6736239825619244E-2</v>
      </c>
      <c r="G331" s="5">
        <f t="shared" si="11"/>
        <v>4.0446905555358015E-2</v>
      </c>
    </row>
    <row r="332" spans="1:7" x14ac:dyDescent="0.2">
      <c r="A332" s="11">
        <v>37438</v>
      </c>
      <c r="B332" s="5">
        <v>83.3</v>
      </c>
      <c r="C332" s="5">
        <v>91.649199999999993</v>
      </c>
      <c r="D332" s="5">
        <f t="shared" si="10"/>
        <v>4.4224485491727972</v>
      </c>
      <c r="E332" s="5">
        <f t="shared" si="10"/>
        <v>4.5179682453878245</v>
      </c>
      <c r="F332" s="5">
        <f t="shared" si="11"/>
        <v>7.2170612813495794E-2</v>
      </c>
      <c r="G332" s="5">
        <f t="shared" si="11"/>
        <v>-5.0804518208247273E-2</v>
      </c>
    </row>
    <row r="333" spans="1:7" x14ac:dyDescent="0.2">
      <c r="A333" s="11">
        <v>37469</v>
      </c>
      <c r="B333" s="5">
        <v>83.6</v>
      </c>
      <c r="C333" s="5">
        <v>95.8827</v>
      </c>
      <c r="D333" s="5">
        <f t="shared" si="10"/>
        <v>4.4260435200906558</v>
      </c>
      <c r="E333" s="5">
        <f t="shared" si="10"/>
        <v>4.5631255693699426</v>
      </c>
      <c r="F333" s="5">
        <f t="shared" si="11"/>
        <v>3.5949709178586531E-3</v>
      </c>
      <c r="G333" s="5">
        <f t="shared" si="11"/>
        <v>4.5157323982118136E-2</v>
      </c>
    </row>
    <row r="334" spans="1:7" x14ac:dyDescent="0.2">
      <c r="A334" s="11">
        <v>37500</v>
      </c>
      <c r="B334" s="5">
        <v>82.1</v>
      </c>
      <c r="C334" s="5">
        <v>95.781999999999996</v>
      </c>
      <c r="D334" s="5">
        <f t="shared" si="10"/>
        <v>4.4079380164583828</v>
      </c>
      <c r="E334" s="5">
        <f t="shared" si="10"/>
        <v>4.5620747758825058</v>
      </c>
      <c r="F334" s="5">
        <f t="shared" si="11"/>
        <v>-1.8105503632273034E-2</v>
      </c>
      <c r="G334" s="5">
        <f t="shared" si="11"/>
        <v>-1.050793487436863E-3</v>
      </c>
    </row>
    <row r="335" spans="1:7" x14ac:dyDescent="0.2">
      <c r="A335" s="11">
        <v>37530</v>
      </c>
      <c r="B335" s="5">
        <v>89.2</v>
      </c>
      <c r="C335" s="5">
        <v>94.534599999999998</v>
      </c>
      <c r="D335" s="5">
        <f t="shared" si="10"/>
        <v>4.4908810395859637</v>
      </c>
      <c r="E335" s="5">
        <f t="shared" si="10"/>
        <v>4.5489659050538327</v>
      </c>
      <c r="F335" s="5">
        <f t="shared" si="11"/>
        <v>8.294302312758095E-2</v>
      </c>
      <c r="G335" s="5">
        <f t="shared" si="11"/>
        <v>-1.3108870828673069E-2</v>
      </c>
    </row>
    <row r="336" spans="1:7" x14ac:dyDescent="0.2">
      <c r="A336" s="11">
        <v>37561</v>
      </c>
      <c r="B336" s="5">
        <v>83.9</v>
      </c>
      <c r="C336" s="5">
        <v>93.5441</v>
      </c>
      <c r="D336" s="5">
        <f t="shared" si="10"/>
        <v>4.4296256134731609</v>
      </c>
      <c r="E336" s="5">
        <f t="shared" si="10"/>
        <v>4.538432982853096</v>
      </c>
      <c r="F336" s="5">
        <f t="shared" si="11"/>
        <v>-6.125542611280288E-2</v>
      </c>
      <c r="G336" s="5">
        <f t="shared" si="11"/>
        <v>-1.053292220073665E-2</v>
      </c>
    </row>
    <row r="337" spans="1:17" x14ac:dyDescent="0.2">
      <c r="A337" s="11">
        <v>37591</v>
      </c>
      <c r="B337" s="5">
        <v>74.599999999999994</v>
      </c>
      <c r="C337" s="5">
        <v>92.710800000000006</v>
      </c>
      <c r="D337" s="5">
        <f t="shared" si="10"/>
        <v>4.3121405072097154</v>
      </c>
      <c r="E337" s="5">
        <f t="shared" si="10"/>
        <v>4.5294849706400147</v>
      </c>
      <c r="F337" s="5">
        <f t="shared" si="11"/>
        <v>-0.11748510626344544</v>
      </c>
      <c r="G337" s="5">
        <f t="shared" si="11"/>
        <v>-8.9480122130813911E-3</v>
      </c>
    </row>
    <row r="338" spans="1:17" x14ac:dyDescent="0.2">
      <c r="A338" s="11">
        <v>37622</v>
      </c>
      <c r="B338" s="5">
        <v>74</v>
      </c>
      <c r="C338" s="5">
        <v>93.242500000000007</v>
      </c>
      <c r="D338" s="5">
        <f t="shared" si="10"/>
        <v>4.3040650932041702</v>
      </c>
      <c r="E338" s="5">
        <f t="shared" si="10"/>
        <v>4.53520362633492</v>
      </c>
      <c r="F338" s="5">
        <f t="shared" si="11"/>
        <v>-8.0754140055452339E-3</v>
      </c>
      <c r="G338" s="5">
        <f t="shared" si="11"/>
        <v>5.7186556949053724E-3</v>
      </c>
    </row>
    <row r="339" spans="1:17" x14ac:dyDescent="0.2">
      <c r="A339" s="11">
        <v>37653</v>
      </c>
      <c r="B339" s="5">
        <v>71.8</v>
      </c>
      <c r="C339" s="5">
        <v>94.432199999999995</v>
      </c>
      <c r="D339" s="5">
        <f t="shared" si="10"/>
        <v>4.2738844760541781</v>
      </c>
      <c r="E339" s="5">
        <f t="shared" si="10"/>
        <v>4.5478821166844128</v>
      </c>
      <c r="F339" s="5">
        <f t="shared" si="11"/>
        <v>-3.0180617149992095E-2</v>
      </c>
      <c r="G339" s="5">
        <f t="shared" si="11"/>
        <v>1.2678490349492755E-2</v>
      </c>
    </row>
    <row r="340" spans="1:17" x14ac:dyDescent="0.2">
      <c r="A340" s="11">
        <v>37681</v>
      </c>
      <c r="B340" s="5">
        <v>77.400000000000006</v>
      </c>
      <c r="C340" s="5">
        <v>95.154499999999999</v>
      </c>
      <c r="D340" s="5">
        <f t="shared" si="10"/>
        <v>4.3489867805956814</v>
      </c>
      <c r="E340" s="5">
        <f t="shared" si="10"/>
        <v>4.5555018863705605</v>
      </c>
      <c r="F340" s="5">
        <f t="shared" si="11"/>
        <v>7.5102304541503351E-2</v>
      </c>
      <c r="G340" s="5">
        <f t="shared" si="11"/>
        <v>7.6197696861477482E-3</v>
      </c>
    </row>
    <row r="341" spans="1:17" x14ac:dyDescent="0.2">
      <c r="A341" s="11">
        <v>37712</v>
      </c>
      <c r="B341" s="5">
        <v>76.5</v>
      </c>
      <c r="C341" s="5">
        <v>92.493899999999996</v>
      </c>
      <c r="D341" s="5">
        <f t="shared" si="10"/>
        <v>4.3372907408324899</v>
      </c>
      <c r="E341" s="5">
        <f t="shared" si="10"/>
        <v>4.5271426963979042</v>
      </c>
      <c r="F341" s="5">
        <f t="shared" si="11"/>
        <v>-1.1696039763191557E-2</v>
      </c>
      <c r="G341" s="5">
        <f t="shared" si="11"/>
        <v>-2.8359189972656296E-2</v>
      </c>
    </row>
    <row r="342" spans="1:17" x14ac:dyDescent="0.2">
      <c r="A342" s="11">
        <v>37742</v>
      </c>
      <c r="B342" s="5">
        <v>79.7</v>
      </c>
      <c r="C342" s="5">
        <v>93.114999999999995</v>
      </c>
      <c r="D342" s="5">
        <f t="shared" si="10"/>
        <v>4.3782695857961693</v>
      </c>
      <c r="E342" s="5">
        <f t="shared" si="10"/>
        <v>4.5338352883834689</v>
      </c>
      <c r="F342" s="5">
        <f t="shared" si="11"/>
        <v>4.0978844963679428E-2</v>
      </c>
      <c r="G342" s="5">
        <f t="shared" si="11"/>
        <v>6.6925919855647109E-3</v>
      </c>
    </row>
    <row r="343" spans="1:17" x14ac:dyDescent="0.2">
      <c r="A343" s="11">
        <v>37773</v>
      </c>
      <c r="B343" s="5">
        <v>76.3</v>
      </c>
      <c r="C343" s="5">
        <v>96.022999999999996</v>
      </c>
      <c r="D343" s="5">
        <f t="shared" si="10"/>
        <v>4.334672938290411</v>
      </c>
      <c r="E343" s="5">
        <f t="shared" si="10"/>
        <v>4.5645877461056656</v>
      </c>
      <c r="F343" s="5">
        <f t="shared" si="11"/>
        <v>-4.3596647505758312E-2</v>
      </c>
      <c r="G343" s="5">
        <f t="shared" si="11"/>
        <v>3.0752457722196702E-2</v>
      </c>
    </row>
    <row r="344" spans="1:17" x14ac:dyDescent="0.2">
      <c r="A344" s="11">
        <v>37803</v>
      </c>
      <c r="B344" s="5">
        <v>81.3</v>
      </c>
      <c r="C344" s="5">
        <v>91.774699999999996</v>
      </c>
      <c r="D344" s="5">
        <f t="shared" si="10"/>
        <v>4.3981460165537651</v>
      </c>
      <c r="E344" s="5">
        <f t="shared" si="10"/>
        <v>4.5193366605134857</v>
      </c>
      <c r="F344" s="5">
        <f t="shared" si="11"/>
        <v>6.3473078263354132E-2</v>
      </c>
      <c r="G344" s="5">
        <f t="shared" si="11"/>
        <v>-4.525108559217994E-2</v>
      </c>
    </row>
    <row r="345" spans="1:17" x14ac:dyDescent="0.2">
      <c r="A345" s="11">
        <v>37834</v>
      </c>
      <c r="B345" s="5">
        <v>81.599999999999994</v>
      </c>
      <c r="C345" s="5">
        <v>96.146199999999993</v>
      </c>
      <c r="D345" s="5">
        <f t="shared" si="10"/>
        <v>4.401829261970061</v>
      </c>
      <c r="E345" s="5">
        <f t="shared" si="10"/>
        <v>4.5658699496729271</v>
      </c>
      <c r="F345" s="5">
        <f t="shared" si="11"/>
        <v>3.6832454162958328E-3</v>
      </c>
      <c r="G345" s="5">
        <f t="shared" si="11"/>
        <v>4.6533289159441438E-2</v>
      </c>
    </row>
    <row r="346" spans="1:17" x14ac:dyDescent="0.2">
      <c r="A346" s="11">
        <v>37865</v>
      </c>
      <c r="B346" s="5">
        <v>85.7</v>
      </c>
      <c r="C346" s="5">
        <v>96.442499999999995</v>
      </c>
      <c r="D346" s="5">
        <f t="shared" si="10"/>
        <v>4.4508528256037341</v>
      </c>
      <c r="E346" s="5">
        <f t="shared" si="10"/>
        <v>4.568946975830567</v>
      </c>
      <c r="F346" s="5">
        <f t="shared" si="11"/>
        <v>4.9023563633673106E-2</v>
      </c>
      <c r="G346" s="5">
        <f t="shared" si="11"/>
        <v>3.0770261576398283E-3</v>
      </c>
    </row>
    <row r="347" spans="1:17" x14ac:dyDescent="0.2">
      <c r="A347" s="11">
        <v>37895</v>
      </c>
      <c r="B347" s="5">
        <v>90</v>
      </c>
      <c r="C347" s="5">
        <v>95.513400000000004</v>
      </c>
      <c r="D347" s="5">
        <f t="shared" si="10"/>
        <v>4.499809670330265</v>
      </c>
      <c r="E347" s="5">
        <f t="shared" si="10"/>
        <v>4.5592665517797029</v>
      </c>
      <c r="F347" s="5">
        <f t="shared" si="11"/>
        <v>4.8956844726530946E-2</v>
      </c>
      <c r="G347" s="5">
        <f t="shared" si="11"/>
        <v>-9.6804240508641115E-3</v>
      </c>
    </row>
    <row r="348" spans="1:17" x14ac:dyDescent="0.2">
      <c r="A348" s="11">
        <v>37926</v>
      </c>
      <c r="B348" s="5">
        <v>84.6</v>
      </c>
      <c r="C348" s="5">
        <v>95.169700000000006</v>
      </c>
      <c r="D348" s="5">
        <f t="shared" si="10"/>
        <v>4.4379342666121779</v>
      </c>
      <c r="E348" s="5">
        <f t="shared" si="10"/>
        <v>4.5556616138254222</v>
      </c>
      <c r="F348" s="5">
        <f t="shared" si="11"/>
        <v>-6.1875403718087085E-2</v>
      </c>
      <c r="G348" s="5">
        <f t="shared" si="11"/>
        <v>-3.6049379542806292E-3</v>
      </c>
    </row>
    <row r="349" spans="1:17" x14ac:dyDescent="0.2">
      <c r="A349" s="11">
        <v>37956</v>
      </c>
      <c r="B349" s="5">
        <v>77.900000000000006</v>
      </c>
      <c r="C349" s="5">
        <v>94.642499999999998</v>
      </c>
      <c r="D349" s="5">
        <f t="shared" si="10"/>
        <v>4.3554259528767023</v>
      </c>
      <c r="E349" s="5">
        <f t="shared" si="10"/>
        <v>4.5501066352130382</v>
      </c>
      <c r="F349" s="5">
        <f t="shared" si="11"/>
        <v>-8.2508313735475625E-2</v>
      </c>
      <c r="G349" s="5">
        <f t="shared" si="11"/>
        <v>-5.5549786123840761E-3</v>
      </c>
    </row>
    <row r="350" spans="1:17" s="13" customFormat="1" x14ac:dyDescent="0.2">
      <c r="A350" s="12">
        <v>37987</v>
      </c>
      <c r="B350" s="13">
        <v>76.8</v>
      </c>
      <c r="C350" s="13">
        <v>94.410200000000003</v>
      </c>
      <c r="D350" s="13">
        <f t="shared" si="10"/>
        <v>4.3412046401536264</v>
      </c>
      <c r="E350" s="13">
        <f t="shared" si="10"/>
        <v>4.5476491181618401</v>
      </c>
      <c r="F350" s="13">
        <f t="shared" si="11"/>
        <v>-1.4221312723075918E-2</v>
      </c>
      <c r="G350" s="13">
        <f t="shared" si="11"/>
        <v>-2.4575170511980104E-3</v>
      </c>
      <c r="H350" s="14" t="s">
        <v>407</v>
      </c>
      <c r="I350" s="14" t="s">
        <v>408</v>
      </c>
      <c r="J350" s="14" t="s">
        <v>407</v>
      </c>
      <c r="K350" s="14" t="s">
        <v>408</v>
      </c>
      <c r="L350" s="14" t="s">
        <v>407</v>
      </c>
      <c r="M350" s="14" t="s">
        <v>408</v>
      </c>
      <c r="N350" s="14" t="s">
        <v>407</v>
      </c>
      <c r="O350" s="14" t="s">
        <v>408</v>
      </c>
      <c r="P350" s="14" t="s">
        <v>407</v>
      </c>
      <c r="Q350" s="14" t="s">
        <v>408</v>
      </c>
    </row>
    <row r="351" spans="1:17" x14ac:dyDescent="0.2">
      <c r="A351" s="11">
        <v>38018</v>
      </c>
      <c r="B351" s="5">
        <v>74</v>
      </c>
      <c r="C351" s="5">
        <v>96.258899999999997</v>
      </c>
      <c r="D351" s="5">
        <f t="shared" si="10"/>
        <v>4.3040650932041702</v>
      </c>
      <c r="E351" s="5">
        <f t="shared" si="10"/>
        <v>4.5670414364255025</v>
      </c>
      <c r="F351" s="5">
        <f t="shared" si="11"/>
        <v>-3.7139546949456204E-2</v>
      </c>
      <c r="G351" s="5">
        <f t="shared" si="11"/>
        <v>1.9392318263662389E-2</v>
      </c>
    </row>
    <row r="352" spans="1:17" x14ac:dyDescent="0.2">
      <c r="A352" s="11">
        <v>38047</v>
      </c>
      <c r="B352" s="5">
        <v>86.9</v>
      </c>
      <c r="C352" s="5">
        <v>96.618300000000005</v>
      </c>
      <c r="D352" s="5">
        <f t="shared" si="10"/>
        <v>4.4647580322713463</v>
      </c>
      <c r="E352" s="5">
        <f t="shared" si="10"/>
        <v>4.5707681642705822</v>
      </c>
      <c r="F352" s="5">
        <f t="shared" si="11"/>
        <v>0.16069293906717608</v>
      </c>
      <c r="G352" s="5">
        <f t="shared" si="11"/>
        <v>3.7267278450796582E-3</v>
      </c>
    </row>
    <row r="353" spans="1:7" x14ac:dyDescent="0.2">
      <c r="A353" s="11">
        <v>38078</v>
      </c>
      <c r="B353" s="5">
        <v>82.2</v>
      </c>
      <c r="C353" s="5">
        <v>94.837100000000007</v>
      </c>
      <c r="D353" s="5">
        <f t="shared" si="10"/>
        <v>4.4091553020621346</v>
      </c>
      <c r="E353" s="5">
        <f t="shared" si="10"/>
        <v>4.5521606829144261</v>
      </c>
      <c r="F353" s="5">
        <f t="shared" si="11"/>
        <v>-5.5602730209211693E-2</v>
      </c>
      <c r="G353" s="5">
        <f t="shared" si="11"/>
        <v>-1.8607481356156086E-2</v>
      </c>
    </row>
    <row r="354" spans="1:7" x14ac:dyDescent="0.2">
      <c r="A354" s="11">
        <v>38108</v>
      </c>
      <c r="B354" s="5">
        <v>86.3</v>
      </c>
      <c r="C354" s="5">
        <v>96.379199999999997</v>
      </c>
      <c r="D354" s="5">
        <f t="shared" si="10"/>
        <v>4.4578295980893818</v>
      </c>
      <c r="E354" s="5">
        <f t="shared" si="10"/>
        <v>4.5682904107004605</v>
      </c>
      <c r="F354" s="5">
        <f t="shared" si="11"/>
        <v>4.8674296027247266E-2</v>
      </c>
      <c r="G354" s="5">
        <f t="shared" si="11"/>
        <v>1.6129727786034387E-2</v>
      </c>
    </row>
    <row r="355" spans="1:7" x14ac:dyDescent="0.2">
      <c r="A355" s="11">
        <v>38139</v>
      </c>
      <c r="B355" s="5">
        <v>86.1</v>
      </c>
      <c r="C355" s="5">
        <v>98.580600000000004</v>
      </c>
      <c r="D355" s="5">
        <f t="shared" si="10"/>
        <v>4.4555094114336846</v>
      </c>
      <c r="E355" s="5">
        <f t="shared" si="10"/>
        <v>4.5908744876859764</v>
      </c>
      <c r="F355" s="5">
        <f t="shared" si="11"/>
        <v>-2.3201866556972206E-3</v>
      </c>
      <c r="G355" s="5">
        <f t="shared" si="11"/>
        <v>2.25840769855159E-2</v>
      </c>
    </row>
    <row r="356" spans="1:7" x14ac:dyDescent="0.2">
      <c r="A356" s="11">
        <v>38169</v>
      </c>
      <c r="B356" s="5">
        <v>90.1</v>
      </c>
      <c r="C356" s="5">
        <v>95.402799999999999</v>
      </c>
      <c r="D356" s="5">
        <f t="shared" si="10"/>
        <v>4.5009201646142918</v>
      </c>
      <c r="E356" s="5">
        <f t="shared" si="10"/>
        <v>4.558107928128357</v>
      </c>
      <c r="F356" s="5">
        <f t="shared" si="11"/>
        <v>4.5410753180607166E-2</v>
      </c>
      <c r="G356" s="5">
        <f t="shared" si="11"/>
        <v>-3.2766559557619424E-2</v>
      </c>
    </row>
    <row r="357" spans="1:7" x14ac:dyDescent="0.2">
      <c r="A357" s="11">
        <v>38200</v>
      </c>
      <c r="B357" s="5">
        <v>92.1</v>
      </c>
      <c r="C357" s="5">
        <v>98.990200000000002</v>
      </c>
      <c r="D357" s="5">
        <f t="shared" si="10"/>
        <v>4.5228749432612609</v>
      </c>
      <c r="E357" s="5">
        <f t="shared" si="10"/>
        <v>4.5950208553357763</v>
      </c>
      <c r="F357" s="5">
        <f t="shared" si="11"/>
        <v>2.1954778646969153E-2</v>
      </c>
      <c r="G357" s="5">
        <f t="shared" si="11"/>
        <v>3.6912927207419344E-2</v>
      </c>
    </row>
    <row r="358" spans="1:7" x14ac:dyDescent="0.2">
      <c r="A358" s="11">
        <v>38231</v>
      </c>
      <c r="B358" s="5">
        <v>92.1</v>
      </c>
      <c r="C358" s="5">
        <v>98.380200000000002</v>
      </c>
      <c r="D358" s="5">
        <f t="shared" si="10"/>
        <v>4.5228749432612609</v>
      </c>
      <c r="E358" s="5">
        <f t="shared" si="10"/>
        <v>4.5888395642986506</v>
      </c>
      <c r="F358" s="5">
        <f t="shared" si="11"/>
        <v>0</v>
      </c>
      <c r="G358" s="5">
        <f t="shared" si="11"/>
        <v>-6.1812910371257246E-3</v>
      </c>
    </row>
    <row r="359" spans="1:7" x14ac:dyDescent="0.2">
      <c r="A359" s="11">
        <v>38261</v>
      </c>
      <c r="B359" s="5">
        <v>93.5</v>
      </c>
      <c r="C359" s="5">
        <v>98.572999999999993</v>
      </c>
      <c r="D359" s="5">
        <f t="shared" si="10"/>
        <v>4.5379614362946414</v>
      </c>
      <c r="E359" s="5">
        <f t="shared" si="10"/>
        <v>4.5907973904379045</v>
      </c>
      <c r="F359" s="5">
        <f t="shared" si="11"/>
        <v>1.5086493033380499E-2</v>
      </c>
      <c r="G359" s="5">
        <f t="shared" si="11"/>
        <v>1.957826139253882E-3</v>
      </c>
    </row>
    <row r="360" spans="1:7" x14ac:dyDescent="0.2">
      <c r="A360" s="11">
        <v>38292</v>
      </c>
      <c r="B360" s="5">
        <v>91.8</v>
      </c>
      <c r="C360" s="5">
        <v>97.627899999999997</v>
      </c>
      <c r="D360" s="5">
        <f t="shared" si="10"/>
        <v>4.5196122976264448</v>
      </c>
      <c r="E360" s="5">
        <f t="shared" si="10"/>
        <v>4.5811633132244118</v>
      </c>
      <c r="F360" s="5">
        <f t="shared" si="11"/>
        <v>-1.8349138668196652E-2</v>
      </c>
      <c r="G360" s="5">
        <f t="shared" si="11"/>
        <v>-9.6340772134926311E-3</v>
      </c>
    </row>
    <row r="361" spans="1:7" x14ac:dyDescent="0.2">
      <c r="A361" s="11">
        <v>38322</v>
      </c>
      <c r="B361" s="5">
        <v>84.7</v>
      </c>
      <c r="C361" s="5">
        <v>98.001499999999993</v>
      </c>
      <c r="D361" s="5">
        <f t="shared" si="10"/>
        <v>4.4391156016580089</v>
      </c>
      <c r="E361" s="5">
        <f t="shared" si="10"/>
        <v>4.5849827846758835</v>
      </c>
      <c r="F361" s="5">
        <f t="shared" si="11"/>
        <v>-8.0496695968435894E-2</v>
      </c>
      <c r="G361" s="5">
        <f t="shared" si="11"/>
        <v>3.8194714514716566E-3</v>
      </c>
    </row>
    <row r="362" spans="1:7" x14ac:dyDescent="0.2">
      <c r="A362" s="11">
        <v>38353</v>
      </c>
      <c r="B362" s="5">
        <v>81</v>
      </c>
      <c r="C362" s="5">
        <v>98.228899999999996</v>
      </c>
      <c r="D362" s="5">
        <f t="shared" si="10"/>
        <v>4.3944491546724391</v>
      </c>
      <c r="E362" s="5">
        <f t="shared" si="10"/>
        <v>4.5873004694157915</v>
      </c>
      <c r="F362" s="5">
        <f t="shared" si="11"/>
        <v>-4.4666446985569763E-2</v>
      </c>
      <c r="G362" s="5">
        <f t="shared" si="11"/>
        <v>2.3176847399080103E-3</v>
      </c>
    </row>
    <row r="363" spans="1:7" x14ac:dyDescent="0.2">
      <c r="A363" s="11">
        <v>38384</v>
      </c>
      <c r="B363" s="5">
        <v>76.400000000000006</v>
      </c>
      <c r="C363" s="5">
        <v>99.461399999999998</v>
      </c>
      <c r="D363" s="5">
        <f t="shared" si="10"/>
        <v>4.3359826961724748</v>
      </c>
      <c r="E363" s="5">
        <f t="shared" si="10"/>
        <v>4.5997696291979828</v>
      </c>
      <c r="F363" s="5">
        <f t="shared" si="11"/>
        <v>-5.8466458499964347E-2</v>
      </c>
      <c r="G363" s="5">
        <f t="shared" si="11"/>
        <v>1.2469159782191319E-2</v>
      </c>
    </row>
    <row r="364" spans="1:7" x14ac:dyDescent="0.2">
      <c r="A364" s="11">
        <v>38412</v>
      </c>
      <c r="B364" s="5">
        <v>88</v>
      </c>
      <c r="C364" s="5">
        <v>99.956500000000005</v>
      </c>
      <c r="D364" s="5">
        <f t="shared" si="10"/>
        <v>4.4773368144782069</v>
      </c>
      <c r="E364" s="5">
        <f t="shared" si="10"/>
        <v>4.6047350913481448</v>
      </c>
      <c r="F364" s="5">
        <f t="shared" si="11"/>
        <v>0.14135411830573208</v>
      </c>
      <c r="G364" s="5">
        <f t="shared" si="11"/>
        <v>4.9654621501620255E-3</v>
      </c>
    </row>
    <row r="365" spans="1:7" x14ac:dyDescent="0.2">
      <c r="A365" s="11">
        <v>38443</v>
      </c>
      <c r="B365" s="5">
        <v>87</v>
      </c>
      <c r="C365" s="5">
        <v>99.208399999999997</v>
      </c>
      <c r="D365" s="5">
        <f t="shared" si="10"/>
        <v>4.4659081186545837</v>
      </c>
      <c r="E365" s="5">
        <f t="shared" si="10"/>
        <v>4.5972226881252514</v>
      </c>
      <c r="F365" s="5">
        <f t="shared" si="11"/>
        <v>-1.1428695823623158E-2</v>
      </c>
      <c r="G365" s="5">
        <f t="shared" si="11"/>
        <v>-7.5124032228934823E-3</v>
      </c>
    </row>
    <row r="366" spans="1:7" x14ac:dyDescent="0.2">
      <c r="A366" s="11">
        <v>38473</v>
      </c>
      <c r="B366" s="5">
        <v>91.1</v>
      </c>
      <c r="C366" s="5">
        <v>99.552499999999995</v>
      </c>
      <c r="D366" s="5">
        <f t="shared" si="10"/>
        <v>4.5119578042659123</v>
      </c>
      <c r="E366" s="5">
        <f t="shared" si="10"/>
        <v>4.6006851432034175</v>
      </c>
      <c r="F366" s="5">
        <f t="shared" si="11"/>
        <v>4.6049685611328606E-2</v>
      </c>
      <c r="G366" s="5">
        <f t="shared" si="11"/>
        <v>3.4624550781661156E-3</v>
      </c>
    </row>
    <row r="367" spans="1:7" x14ac:dyDescent="0.2">
      <c r="A367" s="11">
        <v>38504</v>
      </c>
      <c r="B367" s="5">
        <v>91.4</v>
      </c>
      <c r="C367" s="5">
        <v>102.9842</v>
      </c>
      <c r="D367" s="5">
        <f t="shared" si="10"/>
        <v>4.5152454784601046</v>
      </c>
      <c r="E367" s="5">
        <f t="shared" si="10"/>
        <v>4.6345755784046982</v>
      </c>
      <c r="F367" s="5">
        <f t="shared" si="11"/>
        <v>3.2876741941922916E-3</v>
      </c>
      <c r="G367" s="5">
        <f t="shared" si="11"/>
        <v>3.3890435201280766E-2</v>
      </c>
    </row>
    <row r="368" spans="1:7" x14ac:dyDescent="0.2">
      <c r="A368" s="11">
        <v>38534</v>
      </c>
      <c r="B368" s="5">
        <v>90.5</v>
      </c>
      <c r="C368" s="5">
        <v>99.074200000000005</v>
      </c>
      <c r="D368" s="5">
        <f t="shared" si="10"/>
        <v>4.5053498507058807</v>
      </c>
      <c r="E368" s="5">
        <f t="shared" si="10"/>
        <v>4.5958690643530078</v>
      </c>
      <c r="F368" s="5">
        <f t="shared" si="11"/>
        <v>-9.8956277542239235E-3</v>
      </c>
      <c r="G368" s="5">
        <f t="shared" si="11"/>
        <v>-3.8706514051690455E-2</v>
      </c>
    </row>
    <row r="369" spans="1:7" x14ac:dyDescent="0.2">
      <c r="A369" s="11">
        <v>38565</v>
      </c>
      <c r="B369" s="5">
        <v>95.6</v>
      </c>
      <c r="C369" s="5">
        <v>102.61669999999999</v>
      </c>
      <c r="D369" s="5">
        <f t="shared" si="10"/>
        <v>4.5601728200573559</v>
      </c>
      <c r="E369" s="5">
        <f t="shared" si="10"/>
        <v>4.6310006875225795</v>
      </c>
      <c r="F369" s="5">
        <f t="shared" si="11"/>
        <v>5.4822969351475237E-2</v>
      </c>
      <c r="G369" s="5">
        <f t="shared" si="11"/>
        <v>3.5131623169571746E-2</v>
      </c>
    </row>
    <row r="370" spans="1:7" x14ac:dyDescent="0.2">
      <c r="A370" s="11">
        <v>38596</v>
      </c>
      <c r="B370" s="5">
        <v>92</v>
      </c>
      <c r="C370" s="5">
        <v>100.1392</v>
      </c>
      <c r="D370" s="5">
        <f t="shared" si="10"/>
        <v>4.5217885770490405</v>
      </c>
      <c r="E370" s="5">
        <f t="shared" si="10"/>
        <v>4.6065612180542299</v>
      </c>
      <c r="F370" s="5">
        <f t="shared" si="11"/>
        <v>-3.8384243008315444E-2</v>
      </c>
      <c r="G370" s="5">
        <f t="shared" si="11"/>
        <v>-2.4439469468349628E-2</v>
      </c>
    </row>
    <row r="371" spans="1:7" x14ac:dyDescent="0.2">
      <c r="A371" s="11">
        <v>38626</v>
      </c>
      <c r="B371" s="5">
        <v>93.7</v>
      </c>
      <c r="C371" s="5">
        <v>100.23520000000001</v>
      </c>
      <c r="D371" s="5">
        <f t="shared" si="10"/>
        <v>4.5400981892443761</v>
      </c>
      <c r="E371" s="5">
        <f t="shared" si="10"/>
        <v>4.607519424365468</v>
      </c>
      <c r="F371" s="5">
        <f t="shared" si="11"/>
        <v>1.8309612195335667E-2</v>
      </c>
      <c r="G371" s="5">
        <f t="shared" si="11"/>
        <v>9.5820631123810784E-4</v>
      </c>
    </row>
    <row r="372" spans="1:7" x14ac:dyDescent="0.2">
      <c r="A372" s="11">
        <v>38657</v>
      </c>
      <c r="B372" s="5">
        <v>92.4</v>
      </c>
      <c r="C372" s="5">
        <v>100.07040000000001</v>
      </c>
      <c r="D372" s="5">
        <f t="shared" si="10"/>
        <v>4.5261269786476381</v>
      </c>
      <c r="E372" s="5">
        <f t="shared" si="10"/>
        <v>4.6058739382963347</v>
      </c>
      <c r="F372" s="5">
        <f t="shared" si="11"/>
        <v>-1.3971210596738004E-2</v>
      </c>
      <c r="G372" s="5">
        <f t="shared" si="11"/>
        <v>-1.645486069133284E-3</v>
      </c>
    </row>
    <row r="373" spans="1:7" x14ac:dyDescent="0.2">
      <c r="A373" s="11">
        <v>38687</v>
      </c>
      <c r="B373" s="5">
        <v>86.6</v>
      </c>
      <c r="C373" s="5">
        <v>100.57989999999999</v>
      </c>
      <c r="D373" s="5">
        <f t="shared" si="10"/>
        <v>4.4612998155683892</v>
      </c>
      <c r="E373" s="5">
        <f t="shared" si="10"/>
        <v>4.6109524365098782</v>
      </c>
      <c r="F373" s="5">
        <f t="shared" si="11"/>
        <v>-6.4827163079248962E-2</v>
      </c>
      <c r="G373" s="5">
        <f t="shared" si="11"/>
        <v>5.0784982135434475E-3</v>
      </c>
    </row>
    <row r="374" spans="1:7" x14ac:dyDescent="0.2">
      <c r="A374" s="11">
        <v>38718</v>
      </c>
      <c r="B374" s="5">
        <v>83.7</v>
      </c>
      <c r="C374" s="5">
        <v>99.902799999999999</v>
      </c>
      <c r="D374" s="5">
        <f t="shared" si="10"/>
        <v>4.4272389774954295</v>
      </c>
      <c r="E374" s="5">
        <f t="shared" si="10"/>
        <v>4.604197713289758</v>
      </c>
      <c r="F374" s="5">
        <f t="shared" si="11"/>
        <v>-3.4060838072959676E-2</v>
      </c>
      <c r="G374" s="5">
        <f t="shared" si="11"/>
        <v>-6.7547232201201624E-3</v>
      </c>
    </row>
    <row r="375" spans="1:7" x14ac:dyDescent="0.2">
      <c r="A375" s="11">
        <v>38749</v>
      </c>
      <c r="B375" s="5">
        <v>80.2</v>
      </c>
      <c r="C375" s="5">
        <v>100.7886</v>
      </c>
      <c r="D375" s="5">
        <f t="shared" si="10"/>
        <v>4.3845235148724688</v>
      </c>
      <c r="E375" s="5">
        <f t="shared" si="10"/>
        <v>4.613025254003424</v>
      </c>
      <c r="F375" s="5">
        <f t="shared" si="11"/>
        <v>-4.2715462622960665E-2</v>
      </c>
      <c r="G375" s="5">
        <f t="shared" si="11"/>
        <v>8.8275407136659823E-3</v>
      </c>
    </row>
    <row r="376" spans="1:7" x14ac:dyDescent="0.2">
      <c r="A376" s="11">
        <v>38777</v>
      </c>
      <c r="B376" s="5">
        <v>92.4</v>
      </c>
      <c r="C376" s="5">
        <v>102.1181</v>
      </c>
      <c r="D376" s="5">
        <f t="shared" si="10"/>
        <v>4.5261269786476381</v>
      </c>
      <c r="E376" s="5">
        <f t="shared" si="10"/>
        <v>4.626129986638114</v>
      </c>
      <c r="F376" s="5">
        <f t="shared" si="11"/>
        <v>0.1416034637751693</v>
      </c>
      <c r="G376" s="5">
        <f t="shared" si="11"/>
        <v>1.3104732634690031E-2</v>
      </c>
    </row>
    <row r="377" spans="1:7" x14ac:dyDescent="0.2">
      <c r="A377" s="11">
        <v>38808</v>
      </c>
      <c r="B377" s="5">
        <v>85.7</v>
      </c>
      <c r="C377" s="5">
        <v>100.13330000000001</v>
      </c>
      <c r="D377" s="5">
        <f t="shared" si="10"/>
        <v>4.4508528256037341</v>
      </c>
      <c r="E377" s="5">
        <f t="shared" si="10"/>
        <v>4.6065022983323338</v>
      </c>
      <c r="F377" s="5">
        <f t="shared" si="11"/>
        <v>-7.5274153043904057E-2</v>
      </c>
      <c r="G377" s="5">
        <f t="shared" si="11"/>
        <v>-1.9627688305780211E-2</v>
      </c>
    </row>
    <row r="378" spans="1:7" x14ac:dyDescent="0.2">
      <c r="A378" s="11">
        <v>38838</v>
      </c>
      <c r="B378" s="5">
        <v>95.4</v>
      </c>
      <c r="C378" s="5">
        <v>101.6305</v>
      </c>
      <c r="D378" s="5">
        <f t="shared" si="10"/>
        <v>4.558078578454241</v>
      </c>
      <c r="E378" s="5">
        <f t="shared" si="10"/>
        <v>4.6213436869447166</v>
      </c>
      <c r="F378" s="5">
        <f t="shared" si="11"/>
        <v>0.10722575285050695</v>
      </c>
      <c r="G378" s="5">
        <f t="shared" si="11"/>
        <v>1.4841388612382822E-2</v>
      </c>
    </row>
    <row r="379" spans="1:7" x14ac:dyDescent="0.2">
      <c r="A379" s="11">
        <v>38869</v>
      </c>
      <c r="B379" s="5">
        <v>91.1</v>
      </c>
      <c r="C379" s="5">
        <v>105.0911</v>
      </c>
      <c r="D379" s="5">
        <f t="shared" si="10"/>
        <v>4.5119578042659123</v>
      </c>
      <c r="E379" s="5">
        <f t="shared" si="10"/>
        <v>4.6548275930412988</v>
      </c>
      <c r="F379" s="5">
        <f t="shared" si="11"/>
        <v>-4.6120774188328717E-2</v>
      </c>
      <c r="G379" s="5">
        <f t="shared" si="11"/>
        <v>3.3483906096582139E-2</v>
      </c>
    </row>
    <row r="380" spans="1:7" x14ac:dyDescent="0.2">
      <c r="A380" s="11">
        <v>38899</v>
      </c>
      <c r="B380" s="5">
        <v>93.8</v>
      </c>
      <c r="C380" s="5">
        <v>101.8612</v>
      </c>
      <c r="D380" s="5">
        <f t="shared" si="10"/>
        <v>4.5411648560121787</v>
      </c>
      <c r="E380" s="5">
        <f t="shared" si="10"/>
        <v>4.6236111022627764</v>
      </c>
      <c r="F380" s="5">
        <f t="shared" si="11"/>
        <v>2.9207051746266366E-2</v>
      </c>
      <c r="G380" s="5">
        <f t="shared" si="11"/>
        <v>-3.1216490778522399E-2</v>
      </c>
    </row>
    <row r="381" spans="1:7" x14ac:dyDescent="0.2">
      <c r="A381" s="11">
        <v>38930</v>
      </c>
      <c r="B381" s="5">
        <v>98.6</v>
      </c>
      <c r="C381" s="5">
        <v>105.29649999999999</v>
      </c>
      <c r="D381" s="5">
        <f t="shared" si="10"/>
        <v>4.5910712616085894</v>
      </c>
      <c r="E381" s="5">
        <f t="shared" si="10"/>
        <v>4.6567801802209514</v>
      </c>
      <c r="F381" s="5">
        <f t="shared" si="11"/>
        <v>4.9906405596410686E-2</v>
      </c>
      <c r="G381" s="5">
        <f t="shared" si="11"/>
        <v>3.3169077958175031E-2</v>
      </c>
    </row>
    <row r="382" spans="1:7" x14ac:dyDescent="0.2">
      <c r="A382" s="11">
        <v>38961</v>
      </c>
      <c r="B382" s="5">
        <v>93.2</v>
      </c>
      <c r="C382" s="5">
        <v>104.31959999999999</v>
      </c>
      <c r="D382" s="5">
        <f t="shared" si="10"/>
        <v>4.5347477216915459</v>
      </c>
      <c r="E382" s="5">
        <f t="shared" si="10"/>
        <v>4.6474592638151631</v>
      </c>
      <c r="F382" s="5">
        <f t="shared" si="11"/>
        <v>-5.6323539917043419E-2</v>
      </c>
      <c r="G382" s="5">
        <f t="shared" si="11"/>
        <v>-9.3209164057883598E-3</v>
      </c>
    </row>
    <row r="383" spans="1:7" x14ac:dyDescent="0.2">
      <c r="A383" s="11">
        <v>38991</v>
      </c>
      <c r="B383" s="5">
        <v>97.5</v>
      </c>
      <c r="C383" s="5">
        <v>103.0231</v>
      </c>
      <c r="D383" s="5">
        <f t="shared" si="10"/>
        <v>4.5798523780038014</v>
      </c>
      <c r="E383" s="5">
        <f t="shared" si="10"/>
        <v>4.6349532349291254</v>
      </c>
      <c r="F383" s="5">
        <f t="shared" si="11"/>
        <v>4.5104656312255464E-2</v>
      </c>
      <c r="G383" s="5">
        <f t="shared" si="11"/>
        <v>-1.250602888603769E-2</v>
      </c>
    </row>
    <row r="384" spans="1:7" x14ac:dyDescent="0.2">
      <c r="A384" s="11">
        <v>39022</v>
      </c>
      <c r="B384" s="5">
        <v>95.9</v>
      </c>
      <c r="C384" s="5">
        <v>101.8533</v>
      </c>
      <c r="D384" s="5">
        <f t="shared" si="10"/>
        <v>4.5633059818893926</v>
      </c>
      <c r="E384" s="5">
        <f t="shared" si="10"/>
        <v>4.6235335427370288</v>
      </c>
      <c r="F384" s="5">
        <f t="shared" si="11"/>
        <v>-1.6546396114408779E-2</v>
      </c>
      <c r="G384" s="5">
        <f t="shared" si="11"/>
        <v>-1.1419692192096598E-2</v>
      </c>
    </row>
    <row r="385" spans="1:7" x14ac:dyDescent="0.2">
      <c r="A385" s="11">
        <v>39052</v>
      </c>
      <c r="B385" s="5">
        <v>87</v>
      </c>
      <c r="C385" s="5">
        <v>102.89060000000001</v>
      </c>
      <c r="D385" s="5">
        <f t="shared" si="10"/>
        <v>4.4659081186545837</v>
      </c>
      <c r="E385" s="5">
        <f t="shared" si="10"/>
        <v>4.6336662878412183</v>
      </c>
      <c r="F385" s="5">
        <f t="shared" si="11"/>
        <v>-9.7397863234808923E-2</v>
      </c>
      <c r="G385" s="5">
        <f t="shared" si="11"/>
        <v>1.0132745104189489E-2</v>
      </c>
    </row>
    <row r="386" spans="1:7" x14ac:dyDescent="0.2">
      <c r="A386" s="11">
        <v>39083</v>
      </c>
      <c r="B386" s="5">
        <v>87</v>
      </c>
      <c r="C386" s="5">
        <v>101.7402</v>
      </c>
      <c r="D386" s="5">
        <f t="shared" si="10"/>
        <v>4.4659081186545837</v>
      </c>
      <c r="E386" s="5">
        <f t="shared" si="10"/>
        <v>4.6224225051878509</v>
      </c>
      <c r="F386" s="5">
        <f t="shared" si="11"/>
        <v>0</v>
      </c>
      <c r="G386" s="5">
        <f t="shared" si="11"/>
        <v>-1.124378265336734E-2</v>
      </c>
    </row>
    <row r="387" spans="1:7" x14ac:dyDescent="0.2">
      <c r="A387" s="11">
        <v>39114</v>
      </c>
      <c r="B387" s="5">
        <v>82.6</v>
      </c>
      <c r="C387" s="5">
        <v>103.3257</v>
      </c>
      <c r="D387" s="5">
        <f t="shared" ref="D387:E450" si="12">LN(B387)</f>
        <v>4.4140096805269327</v>
      </c>
      <c r="E387" s="5">
        <f t="shared" si="12"/>
        <v>4.637886135114746</v>
      </c>
      <c r="F387" s="5">
        <f t="shared" ref="F387:G450" si="13">D387-D386</f>
        <v>-5.1898438127651048E-2</v>
      </c>
      <c r="G387" s="5">
        <f t="shared" si="13"/>
        <v>1.5463629926895095E-2</v>
      </c>
    </row>
    <row r="388" spans="1:7" x14ac:dyDescent="0.2">
      <c r="A388" s="11">
        <v>39142</v>
      </c>
      <c r="B388" s="5">
        <v>96.4</v>
      </c>
      <c r="C388" s="5">
        <v>104.4967</v>
      </c>
      <c r="D388" s="5">
        <f t="shared" si="12"/>
        <v>4.5685062016164997</v>
      </c>
      <c r="E388" s="5">
        <f t="shared" si="12"/>
        <v>4.6491554919588722</v>
      </c>
      <c r="F388" s="5">
        <f t="shared" si="13"/>
        <v>0.15449652108956702</v>
      </c>
      <c r="G388" s="5">
        <f t="shared" si="13"/>
        <v>1.1269356844126222E-2</v>
      </c>
    </row>
    <row r="389" spans="1:7" x14ac:dyDescent="0.2">
      <c r="A389" s="11">
        <v>39173</v>
      </c>
      <c r="B389" s="5">
        <v>90.6</v>
      </c>
      <c r="C389" s="5">
        <v>103.5013</v>
      </c>
      <c r="D389" s="5">
        <f t="shared" si="12"/>
        <v>4.5064542130489338</v>
      </c>
      <c r="E389" s="5">
        <f t="shared" si="12"/>
        <v>4.6395841730130165</v>
      </c>
      <c r="F389" s="5">
        <f t="shared" si="13"/>
        <v>-6.2051988567565886E-2</v>
      </c>
      <c r="G389" s="5">
        <f t="shared" si="13"/>
        <v>-9.5713189458557224E-3</v>
      </c>
    </row>
    <row r="390" spans="1:7" x14ac:dyDescent="0.2">
      <c r="A390" s="11">
        <v>39203</v>
      </c>
      <c r="B390" s="5">
        <v>99.9</v>
      </c>
      <c r="C390" s="5">
        <v>104.5625</v>
      </c>
      <c r="D390" s="5">
        <f t="shared" si="12"/>
        <v>4.604169685654508</v>
      </c>
      <c r="E390" s="5">
        <f t="shared" si="12"/>
        <v>4.6497849787470429</v>
      </c>
      <c r="F390" s="5">
        <f t="shared" si="13"/>
        <v>9.7715472605574227E-2</v>
      </c>
      <c r="G390" s="5">
        <f t="shared" si="13"/>
        <v>1.0200805734026375E-2</v>
      </c>
    </row>
    <row r="391" spans="1:7" x14ac:dyDescent="0.2">
      <c r="A391" s="11">
        <v>39234</v>
      </c>
      <c r="B391" s="5">
        <v>96.9</v>
      </c>
      <c r="C391" s="5">
        <v>107.67910000000001</v>
      </c>
      <c r="D391" s="5">
        <f t="shared" si="12"/>
        <v>4.5736795188967205</v>
      </c>
      <c r="E391" s="5">
        <f t="shared" si="12"/>
        <v>4.6791555077634204</v>
      </c>
      <c r="F391" s="5">
        <f t="shared" si="13"/>
        <v>-3.0490166757787485E-2</v>
      </c>
      <c r="G391" s="5">
        <f t="shared" si="13"/>
        <v>2.9370529016377489E-2</v>
      </c>
    </row>
    <row r="392" spans="1:7" x14ac:dyDescent="0.2">
      <c r="A392" s="11">
        <v>39264</v>
      </c>
      <c r="B392" s="5">
        <v>99.8</v>
      </c>
      <c r="C392" s="5">
        <v>104.2692</v>
      </c>
      <c r="D392" s="5">
        <f t="shared" si="12"/>
        <v>4.6031681833174183</v>
      </c>
      <c r="E392" s="5">
        <f t="shared" si="12"/>
        <v>4.6469760163830784</v>
      </c>
      <c r="F392" s="5">
        <f t="shared" si="13"/>
        <v>2.9488664420697752E-2</v>
      </c>
      <c r="G392" s="5">
        <f t="shared" si="13"/>
        <v>-3.2179491380341929E-2</v>
      </c>
    </row>
    <row r="393" spans="1:7" x14ac:dyDescent="0.2">
      <c r="A393" s="11">
        <v>39295</v>
      </c>
      <c r="B393" s="5">
        <v>104.9</v>
      </c>
      <c r="C393" s="5">
        <v>107.7355</v>
      </c>
      <c r="D393" s="5">
        <f t="shared" si="12"/>
        <v>4.6530075154022512</v>
      </c>
      <c r="E393" s="5">
        <f t="shared" si="12"/>
        <v>4.6796791491627383</v>
      </c>
      <c r="F393" s="5">
        <f t="shared" si="13"/>
        <v>4.9839332084832932E-2</v>
      </c>
      <c r="G393" s="5">
        <f t="shared" si="13"/>
        <v>3.270313277965986E-2</v>
      </c>
    </row>
    <row r="394" spans="1:7" x14ac:dyDescent="0.2">
      <c r="A394" s="11">
        <v>39326</v>
      </c>
      <c r="B394" s="5">
        <v>98.4</v>
      </c>
      <c r="C394" s="5">
        <v>107.2204</v>
      </c>
      <c r="D394" s="5">
        <f t="shared" si="12"/>
        <v>4.5890408040582074</v>
      </c>
      <c r="E394" s="5">
        <f t="shared" si="12"/>
        <v>4.6748865290396999</v>
      </c>
      <c r="F394" s="5">
        <f t="shared" si="13"/>
        <v>-6.3966711344043858E-2</v>
      </c>
      <c r="G394" s="5">
        <f t="shared" si="13"/>
        <v>-4.7926201230383825E-3</v>
      </c>
    </row>
    <row r="395" spans="1:7" x14ac:dyDescent="0.2">
      <c r="A395" s="11">
        <v>39356</v>
      </c>
      <c r="B395" s="5">
        <v>107.8</v>
      </c>
      <c r="C395" s="5">
        <v>105.3873</v>
      </c>
      <c r="D395" s="5">
        <f t="shared" si="12"/>
        <v>4.6802776584748971</v>
      </c>
      <c r="E395" s="5">
        <f t="shared" si="12"/>
        <v>4.6576421354887199</v>
      </c>
      <c r="F395" s="5">
        <f t="shared" si="13"/>
        <v>9.1236854416689717E-2</v>
      </c>
      <c r="G395" s="5">
        <f t="shared" si="13"/>
        <v>-1.7244393550980064E-2</v>
      </c>
    </row>
    <row r="396" spans="1:7" x14ac:dyDescent="0.2">
      <c r="A396" s="11">
        <v>39387</v>
      </c>
      <c r="B396" s="5">
        <v>102.4</v>
      </c>
      <c r="C396" s="5">
        <v>104.9072</v>
      </c>
      <c r="D396" s="5">
        <f t="shared" si="12"/>
        <v>4.6288867126054072</v>
      </c>
      <c r="E396" s="5">
        <f t="shared" si="12"/>
        <v>4.6530761498438036</v>
      </c>
      <c r="F396" s="5">
        <f t="shared" si="13"/>
        <v>-5.139094586948989E-2</v>
      </c>
      <c r="G396" s="5">
        <f t="shared" si="13"/>
        <v>-4.5659856449162817E-3</v>
      </c>
    </row>
    <row r="397" spans="1:7" x14ac:dyDescent="0.2">
      <c r="A397" s="11">
        <v>39417</v>
      </c>
      <c r="B397" s="5">
        <v>92.6</v>
      </c>
      <c r="C397" s="5">
        <v>104.9109</v>
      </c>
      <c r="D397" s="5">
        <f t="shared" si="12"/>
        <v>4.5282891416521336</v>
      </c>
      <c r="E397" s="5">
        <f t="shared" si="12"/>
        <v>4.6531114184884093</v>
      </c>
      <c r="F397" s="5">
        <f t="shared" si="13"/>
        <v>-0.1005975709532736</v>
      </c>
      <c r="G397" s="5">
        <f t="shared" si="13"/>
        <v>3.5268644605679356E-5</v>
      </c>
    </row>
    <row r="398" spans="1:7" x14ac:dyDescent="0.2">
      <c r="A398" s="11">
        <v>39448</v>
      </c>
      <c r="B398" s="5">
        <v>94.8</v>
      </c>
      <c r="C398" s="5">
        <v>104.0921</v>
      </c>
      <c r="D398" s="5">
        <f t="shared" si="12"/>
        <v>4.5517694092609764</v>
      </c>
      <c r="E398" s="5">
        <f t="shared" si="12"/>
        <v>4.645276084172556</v>
      </c>
      <c r="F398" s="5">
        <f t="shared" si="13"/>
        <v>2.3480267608842809E-2</v>
      </c>
      <c r="G398" s="5">
        <f t="shared" si="13"/>
        <v>-7.8353343158532596E-3</v>
      </c>
    </row>
    <row r="399" spans="1:7" x14ac:dyDescent="0.2">
      <c r="A399" s="11">
        <v>39479</v>
      </c>
      <c r="B399" s="5">
        <v>91.1</v>
      </c>
      <c r="C399" s="5">
        <v>103.9701</v>
      </c>
      <c r="D399" s="5">
        <f t="shared" si="12"/>
        <v>4.5119578042659123</v>
      </c>
      <c r="E399" s="5">
        <f t="shared" si="12"/>
        <v>4.6441033578053244</v>
      </c>
      <c r="F399" s="5">
        <f t="shared" si="13"/>
        <v>-3.9811604995064087E-2</v>
      </c>
      <c r="G399" s="5">
        <f t="shared" si="13"/>
        <v>-1.1727263672316468E-3</v>
      </c>
    </row>
    <row r="400" spans="1:7" x14ac:dyDescent="0.2">
      <c r="A400" s="11">
        <v>39508</v>
      </c>
      <c r="B400" s="5">
        <v>97.7</v>
      </c>
      <c r="C400" s="5">
        <v>104.3638</v>
      </c>
      <c r="D400" s="5">
        <f t="shared" si="12"/>
        <v>4.5819015590487373</v>
      </c>
      <c r="E400" s="5">
        <f t="shared" si="12"/>
        <v>4.6478828720241632</v>
      </c>
      <c r="F400" s="5">
        <f t="shared" si="13"/>
        <v>6.9943754782824996E-2</v>
      </c>
      <c r="G400" s="5">
        <f t="shared" si="13"/>
        <v>3.7795142188388198E-3</v>
      </c>
    </row>
    <row r="401" spans="1:7" x14ac:dyDescent="0.2">
      <c r="A401" s="11">
        <v>39539</v>
      </c>
      <c r="B401" s="5">
        <v>99.2</v>
      </c>
      <c r="C401" s="5">
        <v>102.8907</v>
      </c>
      <c r="D401" s="5">
        <f t="shared" si="12"/>
        <v>4.5971380142908274</v>
      </c>
      <c r="E401" s="5">
        <f t="shared" si="12"/>
        <v>4.6336672597468285</v>
      </c>
      <c r="F401" s="5">
        <f t="shared" si="13"/>
        <v>1.5236455242090052E-2</v>
      </c>
      <c r="G401" s="5">
        <f t="shared" si="13"/>
        <v>-1.4215612277334699E-2</v>
      </c>
    </row>
    <row r="402" spans="1:7" x14ac:dyDescent="0.2">
      <c r="A402" s="11">
        <v>39569</v>
      </c>
      <c r="B402" s="5">
        <v>102.5</v>
      </c>
      <c r="C402" s="5">
        <v>102.678</v>
      </c>
      <c r="D402" s="5">
        <f t="shared" si="12"/>
        <v>4.6298627985784631</v>
      </c>
      <c r="E402" s="5">
        <f t="shared" si="12"/>
        <v>4.6315978778233697</v>
      </c>
      <c r="F402" s="5">
        <f t="shared" si="13"/>
        <v>3.27247842876357E-2</v>
      </c>
      <c r="G402" s="5">
        <f t="shared" si="13"/>
        <v>-2.0693819234587352E-3</v>
      </c>
    </row>
    <row r="403" spans="1:7" x14ac:dyDescent="0.2">
      <c r="A403" s="11">
        <v>39600</v>
      </c>
      <c r="B403" s="5">
        <v>103.3</v>
      </c>
      <c r="C403" s="5">
        <v>105.55159999999999</v>
      </c>
      <c r="D403" s="5">
        <f t="shared" si="12"/>
        <v>4.6376373761255927</v>
      </c>
      <c r="E403" s="5">
        <f t="shared" si="12"/>
        <v>4.6591999328720002</v>
      </c>
      <c r="F403" s="5">
        <f t="shared" si="13"/>
        <v>7.7745775471296241E-3</v>
      </c>
      <c r="G403" s="5">
        <f t="shared" si="13"/>
        <v>2.7602055048630447E-2</v>
      </c>
    </row>
    <row r="404" spans="1:7" x14ac:dyDescent="0.2">
      <c r="A404" s="11">
        <v>39630</v>
      </c>
      <c r="B404" s="5">
        <v>108.5</v>
      </c>
      <c r="C404" s="5">
        <v>102.5579</v>
      </c>
      <c r="D404" s="5">
        <f t="shared" si="12"/>
        <v>4.6867501729805143</v>
      </c>
      <c r="E404" s="5">
        <f t="shared" si="12"/>
        <v>4.630427517143695</v>
      </c>
      <c r="F404" s="5">
        <f t="shared" si="13"/>
        <v>4.9112796854921648E-2</v>
      </c>
      <c r="G404" s="5">
        <f t="shared" si="13"/>
        <v>-2.8772415728305134E-2</v>
      </c>
    </row>
    <row r="405" spans="1:7" x14ac:dyDescent="0.2">
      <c r="A405" s="11">
        <v>39661</v>
      </c>
      <c r="B405" s="5">
        <v>106.9</v>
      </c>
      <c r="C405" s="5">
        <v>103.3784</v>
      </c>
      <c r="D405" s="5">
        <f t="shared" si="12"/>
        <v>4.6718938180309992</v>
      </c>
      <c r="E405" s="5">
        <f t="shared" si="12"/>
        <v>4.6383960427667166</v>
      </c>
      <c r="F405" s="5">
        <f t="shared" si="13"/>
        <v>-1.4856354949515094E-2</v>
      </c>
      <c r="G405" s="5">
        <f t="shared" si="13"/>
        <v>7.9685256230215273E-3</v>
      </c>
    </row>
    <row r="406" spans="1:7" x14ac:dyDescent="0.2">
      <c r="A406" s="11">
        <v>39692</v>
      </c>
      <c r="B406" s="5">
        <v>107.3</v>
      </c>
      <c r="C406" s="5">
        <v>98.274100000000004</v>
      </c>
      <c r="D406" s="5">
        <f t="shared" si="12"/>
        <v>4.6756286496366526</v>
      </c>
      <c r="E406" s="5">
        <f t="shared" si="12"/>
        <v>4.5877605132909194</v>
      </c>
      <c r="F406" s="5">
        <f t="shared" si="13"/>
        <v>3.7348316056533548E-3</v>
      </c>
      <c r="G406" s="5">
        <f t="shared" si="13"/>
        <v>-5.0635529475797192E-2</v>
      </c>
    </row>
    <row r="407" spans="1:7" x14ac:dyDescent="0.2">
      <c r="A407" s="11">
        <v>39722</v>
      </c>
      <c r="B407" s="5">
        <v>108.4</v>
      </c>
      <c r="C407" s="5">
        <v>97.801599999999993</v>
      </c>
      <c r="D407" s="5">
        <f t="shared" si="12"/>
        <v>4.6858280890055459</v>
      </c>
      <c r="E407" s="5">
        <f t="shared" si="12"/>
        <v>4.5829409368251497</v>
      </c>
      <c r="F407" s="5">
        <f t="shared" si="13"/>
        <v>1.0199439368893337E-2</v>
      </c>
      <c r="G407" s="5">
        <f t="shared" si="13"/>
        <v>-4.8195764657696927E-3</v>
      </c>
    </row>
    <row r="408" spans="1:7" x14ac:dyDescent="0.2">
      <c r="A408" s="11">
        <v>39753</v>
      </c>
      <c r="B408" s="5">
        <v>96.2</v>
      </c>
      <c r="C408" s="5">
        <v>95.787199999999999</v>
      </c>
      <c r="D408" s="5">
        <f t="shared" si="12"/>
        <v>4.5664293576716606</v>
      </c>
      <c r="E408" s="5">
        <f t="shared" si="12"/>
        <v>4.5621290643589552</v>
      </c>
      <c r="F408" s="5">
        <f t="shared" si="13"/>
        <v>-0.11939873133388534</v>
      </c>
      <c r="G408" s="5">
        <f t="shared" si="13"/>
        <v>-2.0811872466194536E-2</v>
      </c>
    </row>
    <row r="409" spans="1:7" x14ac:dyDescent="0.2">
      <c r="A409" s="11">
        <v>39783</v>
      </c>
      <c r="B409" s="5">
        <v>79.099999999999994</v>
      </c>
      <c r="C409" s="5">
        <v>93.643500000000003</v>
      </c>
      <c r="D409" s="5">
        <f t="shared" si="12"/>
        <v>4.3707128747736084</v>
      </c>
      <c r="E409" s="5">
        <f t="shared" si="12"/>
        <v>4.5394950191134358</v>
      </c>
      <c r="F409" s="5">
        <f t="shared" si="13"/>
        <v>-0.19571648289805221</v>
      </c>
      <c r="G409" s="5">
        <f t="shared" si="13"/>
        <v>-2.2634045245519374E-2</v>
      </c>
    </row>
    <row r="410" spans="1:7" x14ac:dyDescent="0.2">
      <c r="A410" s="11">
        <v>39814</v>
      </c>
      <c r="B410" s="5">
        <v>78.7</v>
      </c>
      <c r="C410" s="5">
        <v>90.985100000000003</v>
      </c>
      <c r="D410" s="5">
        <f t="shared" si="12"/>
        <v>4.3656431554233572</v>
      </c>
      <c r="E410" s="5">
        <f t="shared" si="12"/>
        <v>4.510695756846868</v>
      </c>
      <c r="F410" s="5">
        <f t="shared" si="13"/>
        <v>-5.069719350251134E-3</v>
      </c>
      <c r="G410" s="5">
        <f t="shared" si="13"/>
        <v>-2.8799262266567816E-2</v>
      </c>
    </row>
    <row r="411" spans="1:7" x14ac:dyDescent="0.2">
      <c r="A411" s="11">
        <v>39845</v>
      </c>
      <c r="B411" s="5">
        <v>76.099999999999994</v>
      </c>
      <c r="C411" s="5">
        <v>90.284599999999998</v>
      </c>
      <c r="D411" s="5">
        <f t="shared" si="12"/>
        <v>4.3320482648676402</v>
      </c>
      <c r="E411" s="5">
        <f t="shared" si="12"/>
        <v>4.502966903243232</v>
      </c>
      <c r="F411" s="5">
        <f t="shared" si="13"/>
        <v>-3.3594890555717072E-2</v>
      </c>
      <c r="G411" s="5">
        <f t="shared" si="13"/>
        <v>-7.7288536036359545E-3</v>
      </c>
    </row>
    <row r="412" spans="1:7" x14ac:dyDescent="0.2">
      <c r="A412" s="11">
        <v>39873</v>
      </c>
      <c r="B412" s="5">
        <v>88.6</v>
      </c>
      <c r="C412" s="5">
        <v>89.3215</v>
      </c>
      <c r="D412" s="5">
        <f t="shared" si="12"/>
        <v>4.4841318576110352</v>
      </c>
      <c r="E412" s="5">
        <f t="shared" si="12"/>
        <v>4.4922422203822236</v>
      </c>
      <c r="F412" s="5">
        <f t="shared" si="13"/>
        <v>0.152083592743395</v>
      </c>
      <c r="G412" s="5">
        <f t="shared" si="13"/>
        <v>-1.0724682861008361E-2</v>
      </c>
    </row>
    <row r="413" spans="1:7" x14ac:dyDescent="0.2">
      <c r="A413" s="11">
        <v>39904</v>
      </c>
      <c r="B413" s="5">
        <v>85.2</v>
      </c>
      <c r="C413" s="5">
        <v>86.760999999999996</v>
      </c>
      <c r="D413" s="5">
        <f t="shared" si="12"/>
        <v>4.4450014338352704</v>
      </c>
      <c r="E413" s="5">
        <f t="shared" si="12"/>
        <v>4.4631572119411196</v>
      </c>
      <c r="F413" s="5">
        <f t="shared" si="13"/>
        <v>-3.9130423775764811E-2</v>
      </c>
      <c r="G413" s="5">
        <f t="shared" si="13"/>
        <v>-2.9085008441104065E-2</v>
      </c>
    </row>
    <row r="414" spans="1:7" x14ac:dyDescent="0.2">
      <c r="A414" s="11">
        <v>39934</v>
      </c>
      <c r="B414" s="5">
        <v>91.3</v>
      </c>
      <c r="C414" s="5">
        <v>86.953400000000002</v>
      </c>
      <c r="D414" s="5">
        <f t="shared" si="12"/>
        <v>4.514150787600923</v>
      </c>
      <c r="E414" s="5">
        <f t="shared" si="12"/>
        <v>4.4653723429685126</v>
      </c>
      <c r="F414" s="5">
        <f t="shared" si="13"/>
        <v>6.9149353765652677E-2</v>
      </c>
      <c r="G414" s="5">
        <f t="shared" si="13"/>
        <v>2.2151310273930136E-3</v>
      </c>
    </row>
    <row r="415" spans="1:7" x14ac:dyDescent="0.2">
      <c r="A415" s="11">
        <v>39965</v>
      </c>
      <c r="B415" s="5">
        <v>92.2</v>
      </c>
      <c r="C415" s="5">
        <v>89.227999999999994</v>
      </c>
      <c r="D415" s="5">
        <f t="shared" si="12"/>
        <v>4.5239601305625481</v>
      </c>
      <c r="E415" s="5">
        <f t="shared" si="12"/>
        <v>4.4911948916745352</v>
      </c>
      <c r="F415" s="5">
        <f t="shared" si="13"/>
        <v>9.809342961625056E-3</v>
      </c>
      <c r="G415" s="5">
        <f t="shared" si="13"/>
        <v>2.582254870602263E-2</v>
      </c>
    </row>
    <row r="416" spans="1:7" x14ac:dyDescent="0.2">
      <c r="A416" s="11">
        <v>39995</v>
      </c>
      <c r="B416" s="5">
        <v>97.7</v>
      </c>
      <c r="C416" s="5">
        <v>88.433599999999998</v>
      </c>
      <c r="D416" s="5">
        <f t="shared" si="12"/>
        <v>4.5819015590487373</v>
      </c>
      <c r="E416" s="5">
        <f t="shared" si="12"/>
        <v>4.4822519879252409</v>
      </c>
      <c r="F416" s="5">
        <f t="shared" si="13"/>
        <v>5.7941428486189217E-2</v>
      </c>
      <c r="G416" s="5">
        <f t="shared" si="13"/>
        <v>-8.9429037492942953E-3</v>
      </c>
    </row>
    <row r="417" spans="1:7" x14ac:dyDescent="0.2">
      <c r="A417" s="11">
        <v>40026</v>
      </c>
      <c r="B417" s="5">
        <v>99.6</v>
      </c>
      <c r="C417" s="5">
        <v>91.532200000000003</v>
      </c>
      <c r="D417" s="5">
        <f t="shared" si="12"/>
        <v>4.6011621645905523</v>
      </c>
      <c r="E417" s="5">
        <f t="shared" si="12"/>
        <v>4.5166908229430769</v>
      </c>
      <c r="F417" s="5">
        <f t="shared" si="13"/>
        <v>1.9260605541814968E-2</v>
      </c>
      <c r="G417" s="5">
        <f t="shared" si="13"/>
        <v>3.4438835017835956E-2</v>
      </c>
    </row>
    <row r="418" spans="1:7" x14ac:dyDescent="0.2">
      <c r="A418" s="11">
        <v>40057</v>
      </c>
      <c r="B418" s="5">
        <v>99.4</v>
      </c>
      <c r="C418" s="5">
        <v>90.794200000000004</v>
      </c>
      <c r="D418" s="5">
        <f t="shared" si="12"/>
        <v>4.5991521136625284</v>
      </c>
      <c r="E418" s="5">
        <f t="shared" si="12"/>
        <v>4.5085954069150649</v>
      </c>
      <c r="F418" s="5">
        <f t="shared" si="13"/>
        <v>-2.0100509280238654E-3</v>
      </c>
      <c r="G418" s="5">
        <f t="shared" si="13"/>
        <v>-8.0954160280120036E-3</v>
      </c>
    </row>
    <row r="419" spans="1:7" x14ac:dyDescent="0.2">
      <c r="A419" s="11">
        <v>40087</v>
      </c>
      <c r="B419" s="5">
        <v>105.6</v>
      </c>
      <c r="C419" s="5">
        <v>90.240600000000001</v>
      </c>
      <c r="D419" s="5">
        <f t="shared" si="12"/>
        <v>4.6596583712721609</v>
      </c>
      <c r="E419" s="5">
        <f t="shared" si="12"/>
        <v>4.5024794366638146</v>
      </c>
      <c r="F419" s="5">
        <f t="shared" si="13"/>
        <v>6.0506257609632463E-2</v>
      </c>
      <c r="G419" s="5">
        <f t="shared" si="13"/>
        <v>-6.1159702512503245E-3</v>
      </c>
    </row>
    <row r="420" spans="1:7" x14ac:dyDescent="0.2">
      <c r="A420" s="11">
        <v>40118</v>
      </c>
      <c r="B420" s="5">
        <v>101.4</v>
      </c>
      <c r="C420" s="5">
        <v>89.951499999999996</v>
      </c>
      <c r="D420" s="5">
        <f t="shared" si="12"/>
        <v>4.619073091157083</v>
      </c>
      <c r="E420" s="5">
        <f t="shared" si="12"/>
        <v>4.499270636188573</v>
      </c>
      <c r="F420" s="5">
        <f t="shared" si="13"/>
        <v>-4.0585280115077893E-2</v>
      </c>
      <c r="G420" s="5">
        <f t="shared" si="13"/>
        <v>-3.2088004752415245E-3</v>
      </c>
    </row>
    <row r="421" spans="1:7" x14ac:dyDescent="0.2">
      <c r="A421" s="11">
        <v>40148</v>
      </c>
      <c r="B421" s="5">
        <v>94.1</v>
      </c>
      <c r="C421" s="5">
        <v>90.735900000000001</v>
      </c>
      <c r="D421" s="5">
        <f t="shared" si="12"/>
        <v>4.5443580465913342</v>
      </c>
      <c r="E421" s="5">
        <f t="shared" si="12"/>
        <v>4.5079530891726698</v>
      </c>
      <c r="F421" s="5">
        <f t="shared" si="13"/>
        <v>-7.4715044565748734E-2</v>
      </c>
      <c r="G421" s="5">
        <f t="shared" si="13"/>
        <v>8.6824529840967557E-3</v>
      </c>
    </row>
    <row r="422" spans="1:7" x14ac:dyDescent="0.2">
      <c r="A422" s="11">
        <v>40179</v>
      </c>
      <c r="B422" s="5">
        <v>91.2</v>
      </c>
      <c r="C422" s="5">
        <v>91.588399999999993</v>
      </c>
      <c r="D422" s="5">
        <f t="shared" si="12"/>
        <v>4.513054897080286</v>
      </c>
      <c r="E422" s="5">
        <f t="shared" si="12"/>
        <v>4.517304626106287</v>
      </c>
      <c r="F422" s="5">
        <f t="shared" si="13"/>
        <v>-3.1303149511048289E-2</v>
      </c>
      <c r="G422" s="5">
        <f t="shared" si="13"/>
        <v>9.3515369336172327E-3</v>
      </c>
    </row>
    <row r="423" spans="1:7" x14ac:dyDescent="0.2">
      <c r="A423" s="11">
        <v>40210</v>
      </c>
      <c r="B423" s="5">
        <v>89</v>
      </c>
      <c r="C423" s="5">
        <v>91.694900000000004</v>
      </c>
      <c r="D423" s="5">
        <f t="shared" si="12"/>
        <v>4.4886363697321396</v>
      </c>
      <c r="E423" s="5">
        <f t="shared" si="12"/>
        <v>4.5184667615761986</v>
      </c>
      <c r="F423" s="5">
        <f t="shared" si="13"/>
        <v>-2.4418527348146313E-2</v>
      </c>
      <c r="G423" s="5">
        <f t="shared" si="13"/>
        <v>1.1621354699116182E-3</v>
      </c>
    </row>
    <row r="424" spans="1:7" x14ac:dyDescent="0.2">
      <c r="A424" s="11">
        <v>40238</v>
      </c>
      <c r="B424" s="5">
        <v>105.1</v>
      </c>
      <c r="C424" s="5">
        <v>92.855500000000006</v>
      </c>
      <c r="D424" s="5">
        <f t="shared" si="12"/>
        <v>4.6549122778829055</v>
      </c>
      <c r="E424" s="5">
        <f t="shared" si="12"/>
        <v>4.5310445213701662</v>
      </c>
      <c r="F424" s="5">
        <f t="shared" si="13"/>
        <v>0.16627590815076587</v>
      </c>
      <c r="G424" s="5">
        <f t="shared" si="13"/>
        <v>1.257775979396758E-2</v>
      </c>
    </row>
    <row r="425" spans="1:7" x14ac:dyDescent="0.2">
      <c r="A425" s="11">
        <v>40269</v>
      </c>
      <c r="B425" s="5">
        <v>99.3</v>
      </c>
      <c r="C425" s="5">
        <v>91.785700000000006</v>
      </c>
      <c r="D425" s="5">
        <f t="shared" si="12"/>
        <v>4.598145571051127</v>
      </c>
      <c r="E425" s="5">
        <f t="shared" si="12"/>
        <v>4.5194565120720265</v>
      </c>
      <c r="F425" s="5">
        <f t="shared" si="13"/>
        <v>-5.6766706831778535E-2</v>
      </c>
      <c r="G425" s="5">
        <f t="shared" si="13"/>
        <v>-1.1588009298139745E-2</v>
      </c>
    </row>
    <row r="426" spans="1:7" x14ac:dyDescent="0.2">
      <c r="A426" s="11">
        <v>40299</v>
      </c>
      <c r="B426" s="5">
        <v>104.3</v>
      </c>
      <c r="C426" s="5">
        <v>93.748900000000006</v>
      </c>
      <c r="D426" s="5">
        <f t="shared" si="12"/>
        <v>4.6472713620067267</v>
      </c>
      <c r="E426" s="5">
        <f t="shared" si="12"/>
        <v>4.5406199314483509</v>
      </c>
      <c r="F426" s="5">
        <f t="shared" si="13"/>
        <v>4.9125790955599768E-2</v>
      </c>
      <c r="G426" s="5">
        <f t="shared" si="13"/>
        <v>2.1163419376324377E-2</v>
      </c>
    </row>
    <row r="427" spans="1:7" x14ac:dyDescent="0.2">
      <c r="A427" s="11">
        <v>40330</v>
      </c>
      <c r="B427" s="5">
        <v>102.5</v>
      </c>
      <c r="C427" s="5">
        <v>96.776700000000005</v>
      </c>
      <c r="D427" s="5">
        <f t="shared" si="12"/>
        <v>4.6298627985784631</v>
      </c>
      <c r="E427" s="5">
        <f t="shared" si="12"/>
        <v>4.5724062628297011</v>
      </c>
      <c r="F427" s="5">
        <f t="shared" si="13"/>
        <v>-1.740856342826369E-2</v>
      </c>
      <c r="G427" s="5">
        <f t="shared" si="13"/>
        <v>3.178633138135023E-2</v>
      </c>
    </row>
    <row r="428" spans="1:7" x14ac:dyDescent="0.2">
      <c r="A428" s="11">
        <v>40360</v>
      </c>
      <c r="B428" s="5">
        <v>106.9</v>
      </c>
      <c r="C428" s="5">
        <v>94.9923</v>
      </c>
      <c r="D428" s="5">
        <f t="shared" si="12"/>
        <v>4.6718938180309992</v>
      </c>
      <c r="E428" s="5">
        <f t="shared" si="12"/>
        <v>4.5537958356840198</v>
      </c>
      <c r="F428" s="5">
        <f t="shared" si="13"/>
        <v>4.2031019452536178E-2</v>
      </c>
      <c r="G428" s="5">
        <f t="shared" si="13"/>
        <v>-1.8610427145681285E-2</v>
      </c>
    </row>
    <row r="429" spans="1:7" x14ac:dyDescent="0.2">
      <c r="A429" s="11">
        <v>40391</v>
      </c>
      <c r="B429" s="5">
        <v>108.1</v>
      </c>
      <c r="C429" s="5">
        <v>97.721900000000005</v>
      </c>
      <c r="D429" s="5">
        <f t="shared" si="12"/>
        <v>4.6830567246451622</v>
      </c>
      <c r="E429" s="5">
        <f t="shared" si="12"/>
        <v>4.5821256895079303</v>
      </c>
      <c r="F429" s="5">
        <f t="shared" si="13"/>
        <v>1.1162906614162971E-2</v>
      </c>
      <c r="G429" s="5">
        <f t="shared" si="13"/>
        <v>2.8329853823910511E-2</v>
      </c>
    </row>
    <row r="430" spans="1:7" x14ac:dyDescent="0.2">
      <c r="A430" s="11">
        <v>40422</v>
      </c>
      <c r="B430" s="5">
        <v>105.8</v>
      </c>
      <c r="C430" s="5">
        <v>96.682000000000002</v>
      </c>
      <c r="D430" s="5">
        <f t="shared" si="12"/>
        <v>4.6615505194241988</v>
      </c>
      <c r="E430" s="5">
        <f t="shared" si="12"/>
        <v>4.5714272424231339</v>
      </c>
      <c r="F430" s="5">
        <f t="shared" si="13"/>
        <v>-2.1506205220963359E-2</v>
      </c>
      <c r="G430" s="5">
        <f t="shared" si="13"/>
        <v>-1.0698447084796392E-2</v>
      </c>
    </row>
    <row r="431" spans="1:7" x14ac:dyDescent="0.2">
      <c r="A431" s="11">
        <v>40452</v>
      </c>
      <c r="B431" s="5">
        <v>107.7</v>
      </c>
      <c r="C431" s="5">
        <v>95.526700000000005</v>
      </c>
      <c r="D431" s="5">
        <f t="shared" si="12"/>
        <v>4.6793495841623427</v>
      </c>
      <c r="E431" s="5">
        <f t="shared" si="12"/>
        <v>4.55940578956299</v>
      </c>
      <c r="F431" s="5">
        <f t="shared" si="13"/>
        <v>1.7799064738143855E-2</v>
      </c>
      <c r="G431" s="5">
        <f t="shared" si="13"/>
        <v>-1.2021452860143889E-2</v>
      </c>
    </row>
    <row r="432" spans="1:7" x14ac:dyDescent="0.2">
      <c r="A432" s="11">
        <v>40483</v>
      </c>
      <c r="B432" s="5">
        <v>106.8</v>
      </c>
      <c r="C432" s="5">
        <v>94.681200000000004</v>
      </c>
      <c r="D432" s="5">
        <f t="shared" si="12"/>
        <v>4.6709579265260945</v>
      </c>
      <c r="E432" s="5">
        <f t="shared" si="12"/>
        <v>4.5505154588366947</v>
      </c>
      <c r="F432" s="5">
        <f t="shared" si="13"/>
        <v>-8.3916576362481621E-3</v>
      </c>
      <c r="G432" s="5">
        <f t="shared" si="13"/>
        <v>-8.8903307262953035E-3</v>
      </c>
    </row>
    <row r="433" spans="1:7" x14ac:dyDescent="0.2">
      <c r="A433" s="11">
        <v>40513</v>
      </c>
      <c r="B433" s="5">
        <v>96.6</v>
      </c>
      <c r="C433" s="5">
        <v>96.134600000000006</v>
      </c>
      <c r="D433" s="5">
        <f t="shared" si="12"/>
        <v>4.5705787412184726</v>
      </c>
      <c r="E433" s="5">
        <f t="shared" si="12"/>
        <v>4.565749292800124</v>
      </c>
      <c r="F433" s="5">
        <f t="shared" si="13"/>
        <v>-0.10037918530762191</v>
      </c>
      <c r="G433" s="5">
        <f t="shared" si="13"/>
        <v>1.5233833963429255E-2</v>
      </c>
    </row>
    <row r="434" spans="1:7" x14ac:dyDescent="0.2">
      <c r="A434" s="11">
        <v>40544</v>
      </c>
      <c r="B434" s="5">
        <v>93.2</v>
      </c>
      <c r="C434" s="5">
        <v>96.006299999999996</v>
      </c>
      <c r="D434" s="5">
        <f t="shared" si="12"/>
        <v>4.5347477216915459</v>
      </c>
      <c r="E434" s="5">
        <f t="shared" si="12"/>
        <v>4.5644138143146105</v>
      </c>
      <c r="F434" s="5">
        <f t="shared" si="13"/>
        <v>-3.5831019526926688E-2</v>
      </c>
      <c r="G434" s="5">
        <f t="shared" si="13"/>
        <v>-1.3354784855135193E-3</v>
      </c>
    </row>
    <row r="435" spans="1:7" x14ac:dyDescent="0.2">
      <c r="A435" s="11">
        <v>40575</v>
      </c>
      <c r="B435" s="5">
        <v>95.4</v>
      </c>
      <c r="C435" s="5">
        <v>95.217299999999994</v>
      </c>
      <c r="D435" s="5">
        <f t="shared" si="12"/>
        <v>4.558078578454241</v>
      </c>
      <c r="E435" s="5">
        <f t="shared" si="12"/>
        <v>4.5561616479768272</v>
      </c>
      <c r="F435" s="5">
        <f t="shared" si="13"/>
        <v>2.3330856762695085E-2</v>
      </c>
      <c r="G435" s="5">
        <f t="shared" si="13"/>
        <v>-8.252166337783251E-3</v>
      </c>
    </row>
    <row r="436" spans="1:7" x14ac:dyDescent="0.2">
      <c r="A436" s="11">
        <v>40603</v>
      </c>
      <c r="B436" s="5">
        <v>104.4</v>
      </c>
      <c r="C436" s="5">
        <v>96.804599999999994</v>
      </c>
      <c r="D436" s="5">
        <f t="shared" si="12"/>
        <v>4.6482296754485386</v>
      </c>
      <c r="E436" s="5">
        <f t="shared" si="12"/>
        <v>4.5726945138146178</v>
      </c>
      <c r="F436" s="5">
        <f t="shared" si="13"/>
        <v>9.0151096994297575E-2</v>
      </c>
      <c r="G436" s="5">
        <f t="shared" si="13"/>
        <v>1.6532865837790567E-2</v>
      </c>
    </row>
    <row r="437" spans="1:7" x14ac:dyDescent="0.2">
      <c r="A437" s="11">
        <v>40634</v>
      </c>
      <c r="B437" s="5">
        <v>97.5</v>
      </c>
      <c r="C437" s="5">
        <v>94.841499999999996</v>
      </c>
      <c r="D437" s="5">
        <f t="shared" si="12"/>
        <v>4.5798523780038014</v>
      </c>
      <c r="E437" s="5">
        <f t="shared" si="12"/>
        <v>4.5522070771834766</v>
      </c>
      <c r="F437" s="5">
        <f t="shared" si="13"/>
        <v>-6.8377297444737195E-2</v>
      </c>
      <c r="G437" s="5">
        <f t="shared" si="13"/>
        <v>-2.0487436631141165E-2</v>
      </c>
    </row>
    <row r="438" spans="1:7" x14ac:dyDescent="0.2">
      <c r="A438" s="11">
        <v>40664</v>
      </c>
      <c r="B438" s="5">
        <v>107.1</v>
      </c>
      <c r="C438" s="5">
        <v>95.5946</v>
      </c>
      <c r="D438" s="5">
        <f t="shared" si="12"/>
        <v>4.6737629774537028</v>
      </c>
      <c r="E438" s="5">
        <f t="shared" si="12"/>
        <v>4.5601163331063495</v>
      </c>
      <c r="F438" s="5">
        <f t="shared" si="13"/>
        <v>9.3910599449901433E-2</v>
      </c>
      <c r="G438" s="5">
        <f t="shared" si="13"/>
        <v>7.9092559228728376E-3</v>
      </c>
    </row>
    <row r="439" spans="1:7" x14ac:dyDescent="0.2">
      <c r="A439" s="11">
        <v>40695</v>
      </c>
      <c r="B439" s="5">
        <v>102.8</v>
      </c>
      <c r="C439" s="5">
        <v>98.664199999999994</v>
      </c>
      <c r="D439" s="5">
        <f t="shared" si="12"/>
        <v>4.632785353021065</v>
      </c>
      <c r="E439" s="5">
        <f t="shared" si="12"/>
        <v>4.5917221653434455</v>
      </c>
      <c r="F439" s="5">
        <f t="shared" si="13"/>
        <v>-4.097762443263786E-2</v>
      </c>
      <c r="G439" s="5">
        <f t="shared" si="13"/>
        <v>3.160583223709601E-2</v>
      </c>
    </row>
    <row r="440" spans="1:7" x14ac:dyDescent="0.2">
      <c r="A440" s="11">
        <v>40725</v>
      </c>
      <c r="B440" s="5">
        <v>106.1</v>
      </c>
      <c r="C440" s="5">
        <v>97.370900000000006</v>
      </c>
      <c r="D440" s="5">
        <f t="shared" si="12"/>
        <v>4.664382045619937</v>
      </c>
      <c r="E440" s="5">
        <f t="shared" si="12"/>
        <v>4.5785273980413033</v>
      </c>
      <c r="F440" s="5">
        <f t="shared" si="13"/>
        <v>3.1596692598871989E-2</v>
      </c>
      <c r="G440" s="5">
        <f t="shared" si="13"/>
        <v>-1.3194767302142196E-2</v>
      </c>
    </row>
    <row r="441" spans="1:7" x14ac:dyDescent="0.2">
      <c r="A441" s="11">
        <v>40756</v>
      </c>
      <c r="B441" s="5">
        <v>110.8</v>
      </c>
      <c r="C441" s="5">
        <v>99.853300000000004</v>
      </c>
      <c r="D441" s="5">
        <f t="shared" si="12"/>
        <v>4.7077267743131834</v>
      </c>
      <c r="E441" s="5">
        <f t="shared" si="12"/>
        <v>4.6037021088900607</v>
      </c>
      <c r="F441" s="5">
        <f t="shared" si="13"/>
        <v>4.3344728693246459E-2</v>
      </c>
      <c r="G441" s="5">
        <f t="shared" si="13"/>
        <v>2.5174710848757442E-2</v>
      </c>
    </row>
    <row r="442" spans="1:7" x14ac:dyDescent="0.2">
      <c r="A442" s="11">
        <v>40787</v>
      </c>
      <c r="B442" s="5">
        <v>104.8</v>
      </c>
      <c r="C442" s="5">
        <v>98.747299999999996</v>
      </c>
      <c r="D442" s="5">
        <f t="shared" si="12"/>
        <v>4.6520537718869415</v>
      </c>
      <c r="E442" s="5">
        <f t="shared" si="12"/>
        <v>4.5925640616352865</v>
      </c>
      <c r="F442" s="5">
        <f t="shared" si="13"/>
        <v>-5.5673002426241958E-2</v>
      </c>
      <c r="G442" s="5">
        <f t="shared" si="13"/>
        <v>-1.1138047254774186E-2</v>
      </c>
    </row>
    <row r="443" spans="1:7" x14ac:dyDescent="0.2">
      <c r="A443" s="11">
        <v>40817</v>
      </c>
      <c r="B443" s="5">
        <v>106.3</v>
      </c>
      <c r="C443" s="5">
        <v>98.287700000000001</v>
      </c>
      <c r="D443" s="5">
        <f t="shared" si="12"/>
        <v>4.6662652853479019</v>
      </c>
      <c r="E443" s="5">
        <f t="shared" si="12"/>
        <v>4.5878988921623147</v>
      </c>
      <c r="F443" s="5">
        <f t="shared" si="13"/>
        <v>1.421151346096039E-2</v>
      </c>
      <c r="G443" s="5">
        <f t="shared" si="13"/>
        <v>-4.6651694729717974E-3</v>
      </c>
    </row>
    <row r="444" spans="1:7" x14ac:dyDescent="0.2">
      <c r="A444" s="11">
        <v>40848</v>
      </c>
      <c r="B444" s="5">
        <v>104.2</v>
      </c>
      <c r="C444" s="5">
        <v>97.549199999999999</v>
      </c>
      <c r="D444" s="5">
        <f t="shared" si="12"/>
        <v>4.6463121293192664</v>
      </c>
      <c r="E444" s="5">
        <f t="shared" si="12"/>
        <v>4.5803568661128891</v>
      </c>
      <c r="F444" s="5">
        <f t="shared" si="13"/>
        <v>-1.9953156028635455E-2</v>
      </c>
      <c r="G444" s="5">
        <f t="shared" si="13"/>
        <v>-7.5420260494256652E-3</v>
      </c>
    </row>
    <row r="445" spans="1:7" x14ac:dyDescent="0.2">
      <c r="A445" s="11">
        <v>40878</v>
      </c>
      <c r="B445" s="5">
        <v>95.7</v>
      </c>
      <c r="C445" s="5">
        <v>98.481399999999994</v>
      </c>
      <c r="D445" s="5">
        <f t="shared" si="12"/>
        <v>4.5612182984589085</v>
      </c>
      <c r="E445" s="5">
        <f t="shared" si="12"/>
        <v>4.5898676978596349</v>
      </c>
      <c r="F445" s="5">
        <f t="shared" si="13"/>
        <v>-8.5093830860357933E-2</v>
      </c>
      <c r="G445" s="5">
        <f t="shared" si="13"/>
        <v>9.5108317467458292E-3</v>
      </c>
    </row>
    <row r="446" spans="1:7" x14ac:dyDescent="0.2">
      <c r="A446" s="11">
        <v>40909</v>
      </c>
      <c r="B446" s="5">
        <v>88.7</v>
      </c>
      <c r="C446" s="5">
        <v>98.854600000000005</v>
      </c>
      <c r="D446" s="5">
        <f t="shared" si="12"/>
        <v>4.4852598893155342</v>
      </c>
      <c r="E446" s="5">
        <f t="shared" si="12"/>
        <v>4.5936500836881731</v>
      </c>
      <c r="F446" s="5">
        <f t="shared" si="13"/>
        <v>-7.5958409143374261E-2</v>
      </c>
      <c r="G446" s="5">
        <f t="shared" si="13"/>
        <v>3.7823858285381817E-3</v>
      </c>
    </row>
    <row r="447" spans="1:7" x14ac:dyDescent="0.2">
      <c r="A447" s="11">
        <v>40940</v>
      </c>
      <c r="B447" s="5">
        <v>89.8</v>
      </c>
      <c r="C447" s="5">
        <v>99.123800000000003</v>
      </c>
      <c r="D447" s="5">
        <f t="shared" si="12"/>
        <v>4.497584975308154</v>
      </c>
      <c r="E447" s="5">
        <f t="shared" si="12"/>
        <v>4.5963695739548749</v>
      </c>
      <c r="F447" s="5">
        <f t="shared" si="13"/>
        <v>1.2325085992619833E-2</v>
      </c>
      <c r="G447" s="5">
        <f t="shared" si="13"/>
        <v>2.7194902667018184E-3</v>
      </c>
    </row>
    <row r="448" spans="1:7" x14ac:dyDescent="0.2">
      <c r="A448" s="11">
        <v>40969</v>
      </c>
      <c r="B448" s="5">
        <v>99.7</v>
      </c>
      <c r="C448" s="5">
        <v>99.084500000000006</v>
      </c>
      <c r="D448" s="5">
        <f t="shared" si="12"/>
        <v>4.6021656769677923</v>
      </c>
      <c r="E448" s="5">
        <f t="shared" si="12"/>
        <v>4.5959730214339665</v>
      </c>
      <c r="F448" s="5">
        <f t="shared" si="13"/>
        <v>0.10458070165963829</v>
      </c>
      <c r="G448" s="5">
        <f t="shared" si="13"/>
        <v>-3.9655252090842197E-4</v>
      </c>
    </row>
    <row r="449" spans="1:7" x14ac:dyDescent="0.2">
      <c r="A449" s="11">
        <v>41000</v>
      </c>
      <c r="B449" s="5">
        <v>92.8</v>
      </c>
      <c r="C449" s="5">
        <v>98.294799999999995</v>
      </c>
      <c r="D449" s="5">
        <f t="shared" si="12"/>
        <v>4.5304466397921548</v>
      </c>
      <c r="E449" s="5">
        <f t="shared" si="12"/>
        <v>4.5879711264660097</v>
      </c>
      <c r="F449" s="5">
        <f t="shared" si="13"/>
        <v>-7.1719037175637546E-2</v>
      </c>
      <c r="G449" s="5">
        <f t="shared" si="13"/>
        <v>-8.0018949679567797E-3</v>
      </c>
    </row>
    <row r="450" spans="1:7" x14ac:dyDescent="0.2">
      <c r="A450" s="11">
        <v>41030</v>
      </c>
      <c r="B450" s="5">
        <v>102.5</v>
      </c>
      <c r="C450" s="5">
        <v>99.116799999999998</v>
      </c>
      <c r="D450" s="5">
        <f t="shared" si="12"/>
        <v>4.6298627985784631</v>
      </c>
      <c r="E450" s="5">
        <f t="shared" si="12"/>
        <v>4.5962989526996632</v>
      </c>
      <c r="F450" s="5">
        <f t="shared" si="13"/>
        <v>9.9416158786308273E-2</v>
      </c>
      <c r="G450" s="5">
        <f t="shared" si="13"/>
        <v>8.3278262336534681E-3</v>
      </c>
    </row>
    <row r="451" spans="1:7" x14ac:dyDescent="0.2">
      <c r="A451" s="11">
        <v>41061</v>
      </c>
      <c r="B451" s="5">
        <v>98.3</v>
      </c>
      <c r="C451" s="5">
        <v>101.8729</v>
      </c>
      <c r="D451" s="5">
        <f t="shared" ref="D451:E505" si="14">LN(B451)</f>
        <v>4.5880240271531205</v>
      </c>
      <c r="E451" s="5">
        <f t="shared" si="14"/>
        <v>4.623725957851633</v>
      </c>
      <c r="F451" s="5">
        <f t="shared" ref="F451:G505" si="15">D451-D450</f>
        <v>-4.1838771425342536E-2</v>
      </c>
      <c r="G451" s="5">
        <f t="shared" si="15"/>
        <v>2.742700515196983E-2</v>
      </c>
    </row>
    <row r="452" spans="1:7" x14ac:dyDescent="0.2">
      <c r="A452" s="11">
        <v>41091</v>
      </c>
      <c r="B452" s="5">
        <v>104.5</v>
      </c>
      <c r="C452" s="5">
        <v>100.18210000000001</v>
      </c>
      <c r="D452" s="5">
        <f t="shared" si="14"/>
        <v>4.6491870714048655</v>
      </c>
      <c r="E452" s="5">
        <f t="shared" si="14"/>
        <v>4.6069895299776835</v>
      </c>
      <c r="F452" s="5">
        <f t="shared" si="15"/>
        <v>6.1163044251745013E-2</v>
      </c>
      <c r="G452" s="5">
        <f t="shared" si="15"/>
        <v>-1.6736427873949467E-2</v>
      </c>
    </row>
    <row r="453" spans="1:7" x14ac:dyDescent="0.2">
      <c r="A453" s="11">
        <v>41122</v>
      </c>
      <c r="B453" s="5">
        <v>111.5</v>
      </c>
      <c r="C453" s="5">
        <v>101.8822</v>
      </c>
      <c r="D453" s="5">
        <f t="shared" si="14"/>
        <v>4.7140245909001735</v>
      </c>
      <c r="E453" s="5">
        <f t="shared" si="14"/>
        <v>4.6238172439103034</v>
      </c>
      <c r="F453" s="5">
        <f t="shared" si="15"/>
        <v>6.4837519495307916E-2</v>
      </c>
      <c r="G453" s="5">
        <f t="shared" si="15"/>
        <v>1.6827713932619837E-2</v>
      </c>
    </row>
    <row r="454" spans="1:7" x14ac:dyDescent="0.2">
      <c r="A454" s="11">
        <v>41153</v>
      </c>
      <c r="B454" s="5">
        <v>103.4</v>
      </c>
      <c r="C454" s="5">
        <v>100.9534</v>
      </c>
      <c r="D454" s="5">
        <f t="shared" si="14"/>
        <v>4.6386049620743286</v>
      </c>
      <c r="E454" s="5">
        <f t="shared" si="14"/>
        <v>4.6146590242313099</v>
      </c>
      <c r="F454" s="5">
        <f t="shared" si="15"/>
        <v>-7.5419628825844853E-2</v>
      </c>
      <c r="G454" s="5">
        <f t="shared" si="15"/>
        <v>-9.15821967899344E-3</v>
      </c>
    </row>
    <row r="455" spans="1:7" x14ac:dyDescent="0.2">
      <c r="A455" s="11">
        <v>41183</v>
      </c>
      <c r="B455" s="5">
        <v>111.8</v>
      </c>
      <c r="C455" s="5">
        <v>100.026</v>
      </c>
      <c r="D455" s="5">
        <f t="shared" si="14"/>
        <v>4.7167115607209986</v>
      </c>
      <c r="E455" s="5">
        <f t="shared" si="14"/>
        <v>4.6054301521939491</v>
      </c>
      <c r="F455" s="5">
        <f t="shared" si="15"/>
        <v>7.8106598646670022E-2</v>
      </c>
      <c r="G455" s="5">
        <f t="shared" si="15"/>
        <v>-9.2288720373607802E-3</v>
      </c>
    </row>
    <row r="456" spans="1:7" x14ac:dyDescent="0.2">
      <c r="A456" s="11">
        <v>41214</v>
      </c>
      <c r="B456" s="5">
        <v>104.8</v>
      </c>
      <c r="C456" s="5">
        <v>100.0301</v>
      </c>
      <c r="D456" s="5">
        <f t="shared" si="14"/>
        <v>4.6520537718869415</v>
      </c>
      <c r="E456" s="5">
        <f t="shared" si="14"/>
        <v>4.6054711406966797</v>
      </c>
      <c r="F456" s="5">
        <f t="shared" si="15"/>
        <v>-6.465778883405715E-2</v>
      </c>
      <c r="G456" s="5">
        <f t="shared" si="15"/>
        <v>4.0988502730598952E-5</v>
      </c>
    </row>
    <row r="457" spans="1:7" x14ac:dyDescent="0.2">
      <c r="A457" s="11">
        <v>41244</v>
      </c>
      <c r="B457" s="5">
        <v>92.2</v>
      </c>
      <c r="C457" s="5">
        <v>100.5789</v>
      </c>
      <c r="D457" s="5">
        <f t="shared" si="14"/>
        <v>4.5239601305625481</v>
      </c>
      <c r="E457" s="5">
        <f t="shared" si="14"/>
        <v>4.6109424941161077</v>
      </c>
      <c r="F457" s="5">
        <f t="shared" si="15"/>
        <v>-0.12809364132439338</v>
      </c>
      <c r="G457" s="5">
        <f t="shared" si="15"/>
        <v>5.4713534194279489E-3</v>
      </c>
    </row>
    <row r="458" spans="1:7" x14ac:dyDescent="0.2">
      <c r="A458" s="11">
        <v>41275</v>
      </c>
      <c r="B458" s="5">
        <v>94.5</v>
      </c>
      <c r="C458" s="5">
        <v>100.5607</v>
      </c>
      <c r="D458" s="5">
        <f t="shared" si="14"/>
        <v>4.5485998344996972</v>
      </c>
      <c r="E458" s="5">
        <f t="shared" si="14"/>
        <v>4.6107615252760619</v>
      </c>
      <c r="F458" s="5">
        <f t="shared" si="15"/>
        <v>2.4639703937149093E-2</v>
      </c>
      <c r="G458" s="5">
        <f t="shared" si="15"/>
        <v>-1.8096884004581426E-4</v>
      </c>
    </row>
    <row r="459" spans="1:7" x14ac:dyDescent="0.2">
      <c r="A459" s="11">
        <v>41306</v>
      </c>
      <c r="B459" s="5">
        <v>88.1</v>
      </c>
      <c r="C459" s="5">
        <v>100.8241</v>
      </c>
      <c r="D459" s="5">
        <f t="shared" si="14"/>
        <v>4.478472532942134</v>
      </c>
      <c r="E459" s="5">
        <f t="shared" si="14"/>
        <v>4.6133774143620414</v>
      </c>
      <c r="F459" s="5">
        <f t="shared" si="15"/>
        <v>-7.0127301557563193E-2</v>
      </c>
      <c r="G459" s="5">
        <f t="shared" si="15"/>
        <v>2.6158890859795392E-3</v>
      </c>
    </row>
    <row r="460" spans="1:7" x14ac:dyDescent="0.2">
      <c r="A460" s="11">
        <v>41334</v>
      </c>
      <c r="B460" s="5">
        <v>97.7</v>
      </c>
      <c r="C460" s="5">
        <v>101.4091</v>
      </c>
      <c r="D460" s="5">
        <f t="shared" si="14"/>
        <v>4.5819015590487373</v>
      </c>
      <c r="E460" s="5">
        <f t="shared" si="14"/>
        <v>4.6191628307201116</v>
      </c>
      <c r="F460" s="5">
        <f t="shared" si="15"/>
        <v>0.10342902610660332</v>
      </c>
      <c r="G460" s="5">
        <f t="shared" si="15"/>
        <v>5.7854163580701723E-3</v>
      </c>
    </row>
    <row r="461" spans="1:7" x14ac:dyDescent="0.2">
      <c r="A461" s="11">
        <v>41365</v>
      </c>
      <c r="B461" s="5">
        <v>101.8</v>
      </c>
      <c r="C461" s="5">
        <v>100.50449999999999</v>
      </c>
      <c r="D461" s="5">
        <f t="shared" si="14"/>
        <v>4.623010104116422</v>
      </c>
      <c r="E461" s="5">
        <f t="shared" si="14"/>
        <v>4.6102025026161124</v>
      </c>
      <c r="F461" s="5">
        <f t="shared" si="15"/>
        <v>4.1108545067684688E-2</v>
      </c>
      <c r="G461" s="5">
        <f t="shared" si="15"/>
        <v>-8.96032810399916E-3</v>
      </c>
    </row>
    <row r="462" spans="1:7" x14ac:dyDescent="0.2">
      <c r="A462" s="11">
        <v>41395</v>
      </c>
      <c r="B462" s="5">
        <v>105</v>
      </c>
      <c r="C462" s="5">
        <v>100.64790000000001</v>
      </c>
      <c r="D462" s="5">
        <f t="shared" si="14"/>
        <v>4.6539603501575231</v>
      </c>
      <c r="E462" s="5">
        <f t="shared" si="14"/>
        <v>4.6116282874866164</v>
      </c>
      <c r="F462" s="5">
        <f t="shared" si="15"/>
        <v>3.0950246041101082E-2</v>
      </c>
      <c r="G462" s="5">
        <f t="shared" si="15"/>
        <v>1.4257848705039322E-3</v>
      </c>
    </row>
    <row r="463" spans="1:7" x14ac:dyDescent="0.2">
      <c r="A463" s="11">
        <v>41426</v>
      </c>
      <c r="B463" s="5">
        <v>101.7</v>
      </c>
      <c r="C463" s="5">
        <v>103.4528</v>
      </c>
      <c r="D463" s="5">
        <f t="shared" si="14"/>
        <v>4.622027303054514</v>
      </c>
      <c r="E463" s="5">
        <f t="shared" si="14"/>
        <v>4.6391154700408315</v>
      </c>
      <c r="F463" s="5">
        <f t="shared" si="15"/>
        <v>-3.1933047103009038E-2</v>
      </c>
      <c r="G463" s="5">
        <f t="shared" si="15"/>
        <v>2.7487182554215117E-2</v>
      </c>
    </row>
    <row r="464" spans="1:7" x14ac:dyDescent="0.2">
      <c r="A464" s="11">
        <v>41456</v>
      </c>
      <c r="B464" s="5">
        <v>108</v>
      </c>
      <c r="C464" s="5">
        <v>101.25579999999999</v>
      </c>
      <c r="D464" s="5">
        <f t="shared" si="14"/>
        <v>4.6821312271242199</v>
      </c>
      <c r="E464" s="5">
        <f t="shared" si="14"/>
        <v>4.6176499882966029</v>
      </c>
      <c r="F464" s="5">
        <f t="shared" si="15"/>
        <v>6.0103924069705883E-2</v>
      </c>
      <c r="G464" s="5">
        <f t="shared" si="15"/>
        <v>-2.1465481744228576E-2</v>
      </c>
    </row>
    <row r="465" spans="1:7" x14ac:dyDescent="0.2">
      <c r="A465" s="11">
        <v>41487</v>
      </c>
      <c r="B465" s="5">
        <v>112</v>
      </c>
      <c r="C465" s="5">
        <v>104.0902</v>
      </c>
      <c r="D465" s="5">
        <f t="shared" si="14"/>
        <v>4.7184988712950942</v>
      </c>
      <c r="E465" s="5">
        <f t="shared" si="14"/>
        <v>4.6452578309396921</v>
      </c>
      <c r="F465" s="5">
        <f t="shared" si="15"/>
        <v>3.6367644170874236E-2</v>
      </c>
      <c r="G465" s="5">
        <f t="shared" si="15"/>
        <v>2.7607842643089242E-2</v>
      </c>
    </row>
    <row r="466" spans="1:7" x14ac:dyDescent="0.2">
      <c r="A466" s="11">
        <v>41518</v>
      </c>
      <c r="B466" s="5">
        <v>107.3</v>
      </c>
      <c r="C466" s="5">
        <v>103.42270000000001</v>
      </c>
      <c r="D466" s="5">
        <f t="shared" si="14"/>
        <v>4.6756286496366526</v>
      </c>
      <c r="E466" s="5">
        <f t="shared" si="14"/>
        <v>4.6388244737632407</v>
      </c>
      <c r="F466" s="5">
        <f t="shared" si="15"/>
        <v>-4.2870221658441565E-2</v>
      </c>
      <c r="G466" s="5">
        <f t="shared" si="15"/>
        <v>-6.4333571764514375E-3</v>
      </c>
    </row>
    <row r="467" spans="1:7" x14ac:dyDescent="0.2">
      <c r="A467" s="11">
        <v>41548</v>
      </c>
      <c r="B467" s="5">
        <v>112.6</v>
      </c>
      <c r="C467" s="5">
        <v>102.298</v>
      </c>
      <c r="D467" s="5">
        <f t="shared" si="14"/>
        <v>4.7238417157055901</v>
      </c>
      <c r="E467" s="5">
        <f t="shared" si="14"/>
        <v>4.6278901224243398</v>
      </c>
      <c r="F467" s="5">
        <f t="shared" si="15"/>
        <v>4.8213066068937493E-2</v>
      </c>
      <c r="G467" s="5">
        <f t="shared" si="15"/>
        <v>-1.0934351338900861E-2</v>
      </c>
    </row>
    <row r="468" spans="1:7" x14ac:dyDescent="0.2">
      <c r="A468" s="11">
        <v>41579</v>
      </c>
      <c r="B468" s="5">
        <v>106.1</v>
      </c>
      <c r="C468" s="5">
        <v>102.1056</v>
      </c>
      <c r="D468" s="5">
        <f t="shared" si="14"/>
        <v>4.664382045619937</v>
      </c>
      <c r="E468" s="5">
        <f t="shared" si="14"/>
        <v>4.6260075718545641</v>
      </c>
      <c r="F468" s="5">
        <f t="shared" si="15"/>
        <v>-5.9459670085653116E-2</v>
      </c>
      <c r="G468" s="5">
        <f t="shared" si="15"/>
        <v>-1.8825505697757094E-3</v>
      </c>
    </row>
    <row r="469" spans="1:7" x14ac:dyDescent="0.2">
      <c r="A469" s="11">
        <v>41609</v>
      </c>
      <c r="B469" s="5">
        <v>90.1</v>
      </c>
      <c r="C469" s="5">
        <v>102.3793</v>
      </c>
      <c r="D469" s="5">
        <f t="shared" si="14"/>
        <v>4.5009201646142918</v>
      </c>
      <c r="E469" s="5">
        <f t="shared" si="14"/>
        <v>4.6286845437331579</v>
      </c>
      <c r="F469" s="5">
        <f t="shared" si="15"/>
        <v>-0.16346188100564518</v>
      </c>
      <c r="G469" s="5">
        <f t="shared" si="15"/>
        <v>2.6769718785937258E-3</v>
      </c>
    </row>
    <row r="470" spans="1:7" x14ac:dyDescent="0.2">
      <c r="A470" s="11">
        <v>41640</v>
      </c>
      <c r="B470" s="5">
        <v>92.6</v>
      </c>
      <c r="C470" s="5">
        <v>102.1683</v>
      </c>
      <c r="D470" s="5">
        <f t="shared" si="14"/>
        <v>4.5282891416521336</v>
      </c>
      <c r="E470" s="5">
        <f t="shared" si="14"/>
        <v>4.6266214535297951</v>
      </c>
      <c r="F470" s="5">
        <f t="shared" si="15"/>
        <v>2.7368977037841802E-2</v>
      </c>
      <c r="G470" s="5">
        <f t="shared" si="15"/>
        <v>-2.0630902033627052E-3</v>
      </c>
    </row>
    <row r="471" spans="1:7" x14ac:dyDescent="0.2">
      <c r="A471" s="11">
        <v>41671</v>
      </c>
      <c r="B471" s="5">
        <v>92.3</v>
      </c>
      <c r="C471" s="5">
        <v>102.7889</v>
      </c>
      <c r="D471" s="5">
        <f t="shared" si="14"/>
        <v>4.5250441415088067</v>
      </c>
      <c r="E471" s="5">
        <f t="shared" si="14"/>
        <v>4.6326773705374693</v>
      </c>
      <c r="F471" s="5">
        <f t="shared" si="15"/>
        <v>-3.2450001433268483E-3</v>
      </c>
      <c r="G471" s="5">
        <f t="shared" si="15"/>
        <v>6.0559170076741609E-3</v>
      </c>
    </row>
    <row r="472" spans="1:7" x14ac:dyDescent="0.2">
      <c r="A472" s="11">
        <f>EOMONTH(A471,0)+1</f>
        <v>41699</v>
      </c>
      <c r="B472" s="5">
        <v>97.3</v>
      </c>
      <c r="C472" s="5">
        <v>104.2804</v>
      </c>
      <c r="D472" s="5">
        <f t="shared" si="14"/>
        <v>4.577798989191959</v>
      </c>
      <c r="E472" s="5">
        <f t="shared" si="14"/>
        <v>4.6470834248845652</v>
      </c>
      <c r="F472" s="5">
        <f t="shared" si="15"/>
        <v>5.2754847683152306E-2</v>
      </c>
      <c r="G472" s="5">
        <f t="shared" si="15"/>
        <v>1.4406054347095854E-2</v>
      </c>
    </row>
    <row r="473" spans="1:7" x14ac:dyDescent="0.2">
      <c r="A473" s="11">
        <f t="shared" ref="A473:A505" si="16">EOMONTH(A472,0)+1</f>
        <v>41730</v>
      </c>
      <c r="B473" s="5">
        <v>96</v>
      </c>
      <c r="C473" s="5">
        <v>102.9064</v>
      </c>
      <c r="D473" s="5">
        <f t="shared" si="14"/>
        <v>4.5643481914678361</v>
      </c>
      <c r="E473" s="5">
        <f t="shared" si="14"/>
        <v>4.6338198372129877</v>
      </c>
      <c r="F473" s="5">
        <f t="shared" si="15"/>
        <v>-1.3450797724122943E-2</v>
      </c>
      <c r="G473" s="5">
        <f t="shared" si="15"/>
        <v>-1.3263587671577426E-2</v>
      </c>
    </row>
    <row r="474" spans="1:7" x14ac:dyDescent="0.2">
      <c r="A474" s="11">
        <f t="shared" si="16"/>
        <v>41760</v>
      </c>
      <c r="B474" s="5">
        <v>101.7</v>
      </c>
      <c r="C474" s="5">
        <v>103.72709999999999</v>
      </c>
      <c r="D474" s="5">
        <f t="shared" si="14"/>
        <v>4.622027303054514</v>
      </c>
      <c r="E474" s="5">
        <f t="shared" si="14"/>
        <v>4.6417634118563589</v>
      </c>
      <c r="F474" s="5">
        <f t="shared" si="15"/>
        <v>5.7679111586677934E-2</v>
      </c>
      <c r="G474" s="5">
        <f t="shared" si="15"/>
        <v>7.9435746433711429E-3</v>
      </c>
    </row>
    <row r="475" spans="1:7" x14ac:dyDescent="0.2">
      <c r="A475" s="11">
        <f t="shared" si="16"/>
        <v>41791</v>
      </c>
      <c r="B475" s="5">
        <v>94.9</v>
      </c>
      <c r="C475" s="5">
        <v>106.80759999999999</v>
      </c>
      <c r="D475" s="5">
        <f t="shared" si="14"/>
        <v>4.5528237056158822</v>
      </c>
      <c r="E475" s="5">
        <f t="shared" si="14"/>
        <v>4.6710290850429566</v>
      </c>
      <c r="F475" s="5">
        <f t="shared" si="15"/>
        <v>-6.9203597438631803E-2</v>
      </c>
      <c r="G475" s="5">
        <f t="shared" si="15"/>
        <v>2.9265673186597674E-2</v>
      </c>
    </row>
    <row r="476" spans="1:7" x14ac:dyDescent="0.2">
      <c r="A476" s="11">
        <f t="shared" si="16"/>
        <v>41821</v>
      </c>
      <c r="B476" s="5">
        <v>104.4</v>
      </c>
      <c r="C476" s="5">
        <v>104.8018</v>
      </c>
      <c r="D476" s="5">
        <f t="shared" si="14"/>
        <v>4.6482296754485386</v>
      </c>
      <c r="E476" s="5">
        <f t="shared" si="14"/>
        <v>4.6520709473119624</v>
      </c>
      <c r="F476" s="5">
        <f t="shared" si="15"/>
        <v>9.5405969832656368E-2</v>
      </c>
      <c r="G476" s="5">
        <f t="shared" si="15"/>
        <v>-1.8958137730994196E-2</v>
      </c>
    </row>
    <row r="477" spans="1:7" x14ac:dyDescent="0.2">
      <c r="A477" s="11">
        <f t="shared" si="16"/>
        <v>41852</v>
      </c>
      <c r="B477" s="5">
        <v>106.3</v>
      </c>
      <c r="C477" s="5">
        <v>107.4252</v>
      </c>
      <c r="D477" s="5">
        <f t="shared" si="14"/>
        <v>4.6662652853479019</v>
      </c>
      <c r="E477" s="5">
        <f t="shared" si="14"/>
        <v>4.6767947914233474</v>
      </c>
      <c r="F477" s="5">
        <f t="shared" si="15"/>
        <v>1.8035609899363259E-2</v>
      </c>
      <c r="G477" s="5">
        <f t="shared" si="15"/>
        <v>2.4723844111385063E-2</v>
      </c>
    </row>
    <row r="478" spans="1:7" x14ac:dyDescent="0.2">
      <c r="A478" s="11">
        <f t="shared" si="16"/>
        <v>41883</v>
      </c>
      <c r="B478" s="5">
        <v>105.6</v>
      </c>
      <c r="C478" s="5">
        <v>106.6147</v>
      </c>
      <c r="D478" s="5">
        <f t="shared" si="14"/>
        <v>4.6596583712721609</v>
      </c>
      <c r="E478" s="5">
        <f t="shared" si="14"/>
        <v>4.6692214009112734</v>
      </c>
      <c r="F478" s="5">
        <f t="shared" si="15"/>
        <v>-6.6069140757409883E-3</v>
      </c>
      <c r="G478" s="5">
        <f t="shared" si="15"/>
        <v>-7.573390512074063E-3</v>
      </c>
    </row>
    <row r="479" spans="1:7" x14ac:dyDescent="0.2">
      <c r="A479" s="11">
        <f t="shared" si="16"/>
        <v>41913</v>
      </c>
      <c r="B479" s="5">
        <v>109.3</v>
      </c>
      <c r="C479" s="5">
        <v>105.4789</v>
      </c>
      <c r="D479" s="5">
        <f t="shared" si="14"/>
        <v>4.694096395182493</v>
      </c>
      <c r="E479" s="5">
        <f t="shared" si="14"/>
        <v>4.6585109329134538</v>
      </c>
      <c r="F479" s="5">
        <f t="shared" si="15"/>
        <v>3.4438023910332127E-2</v>
      </c>
      <c r="G479" s="5">
        <f t="shared" si="15"/>
        <v>-1.0710467997819606E-2</v>
      </c>
    </row>
    <row r="480" spans="1:7" x14ac:dyDescent="0.2">
      <c r="A480" s="11">
        <f t="shared" si="16"/>
        <v>41944</v>
      </c>
      <c r="B480" s="5">
        <v>99.8</v>
      </c>
      <c r="C480" s="5">
        <v>105.91500000000001</v>
      </c>
      <c r="D480" s="5">
        <f t="shared" si="14"/>
        <v>4.6031681833174183</v>
      </c>
      <c r="E480" s="5">
        <f t="shared" si="14"/>
        <v>4.6626368856364202</v>
      </c>
      <c r="F480" s="5">
        <f t="shared" si="15"/>
        <v>-9.0928211865074715E-2</v>
      </c>
      <c r="G480" s="5">
        <f t="shared" si="15"/>
        <v>4.1259527229664528E-3</v>
      </c>
    </row>
    <row r="481" spans="1:7" x14ac:dyDescent="0.2">
      <c r="A481" s="11">
        <f t="shared" si="16"/>
        <v>41974</v>
      </c>
      <c r="B481" s="5">
        <v>87.7</v>
      </c>
      <c r="C481" s="5">
        <v>105.777</v>
      </c>
      <c r="D481" s="5">
        <f t="shared" si="14"/>
        <v>4.4739218993781371</v>
      </c>
      <c r="E481" s="5">
        <f t="shared" si="14"/>
        <v>4.6613331044869364</v>
      </c>
      <c r="F481" s="5">
        <f t="shared" si="15"/>
        <v>-0.12924628393928117</v>
      </c>
      <c r="G481" s="5">
        <f t="shared" si="15"/>
        <v>-1.3037811494838181E-3</v>
      </c>
    </row>
    <row r="482" spans="1:7" x14ac:dyDescent="0.2">
      <c r="A482" s="11">
        <f t="shared" si="16"/>
        <v>42005</v>
      </c>
      <c r="B482" s="5">
        <v>88.1</v>
      </c>
      <c r="C482" s="5">
        <v>105.3085</v>
      </c>
      <c r="D482" s="5">
        <f t="shared" si="14"/>
        <v>4.478472532942134</v>
      </c>
      <c r="E482" s="5">
        <f t="shared" si="14"/>
        <v>4.656894137629493</v>
      </c>
      <c r="F482" s="5">
        <f t="shared" si="15"/>
        <v>4.5506335639968754E-3</v>
      </c>
      <c r="G482" s="5">
        <f t="shared" si="15"/>
        <v>-4.4389668574433827E-3</v>
      </c>
    </row>
    <row r="483" spans="1:7" x14ac:dyDescent="0.2">
      <c r="A483" s="11">
        <f t="shared" si="16"/>
        <v>42036</v>
      </c>
      <c r="B483" s="5">
        <v>83.7</v>
      </c>
      <c r="C483" s="5">
        <v>105.3511</v>
      </c>
      <c r="D483" s="5">
        <f t="shared" si="14"/>
        <v>4.4272389774954295</v>
      </c>
      <c r="E483" s="5">
        <f t="shared" si="14"/>
        <v>4.6572985815815438</v>
      </c>
      <c r="F483" s="5">
        <f t="shared" si="15"/>
        <v>-5.1233555446704493E-2</v>
      </c>
      <c r="G483" s="5">
        <f t="shared" si="15"/>
        <v>4.0444395205074812E-4</v>
      </c>
    </row>
    <row r="484" spans="1:7" x14ac:dyDescent="0.2">
      <c r="A484" s="11">
        <f t="shared" si="16"/>
        <v>42064</v>
      </c>
      <c r="B484" s="5">
        <v>94.3</v>
      </c>
      <c r="C484" s="5">
        <v>105.7556</v>
      </c>
      <c r="D484" s="5">
        <f t="shared" si="14"/>
        <v>4.5464811896394117</v>
      </c>
      <c r="E484" s="5">
        <f t="shared" si="14"/>
        <v>4.6611307716070591</v>
      </c>
      <c r="F484" s="5">
        <f t="shared" si="15"/>
        <v>0.11924221214398223</v>
      </c>
      <c r="G484" s="5">
        <f t="shared" si="15"/>
        <v>3.8321900255153807E-3</v>
      </c>
    </row>
    <row r="485" spans="1:7" x14ac:dyDescent="0.2">
      <c r="A485" s="11">
        <f t="shared" si="16"/>
        <v>42095</v>
      </c>
      <c r="B485" s="5">
        <v>88.8</v>
      </c>
      <c r="C485" s="5">
        <v>103.7886</v>
      </c>
      <c r="D485" s="5">
        <f t="shared" si="14"/>
        <v>4.4863866499981242</v>
      </c>
      <c r="E485" s="5">
        <f t="shared" si="14"/>
        <v>4.6423561381108112</v>
      </c>
      <c r="F485" s="5">
        <f t="shared" si="15"/>
        <v>-6.0094539641287525E-2</v>
      </c>
      <c r="G485" s="5">
        <f t="shared" si="15"/>
        <v>-1.8774633496247972E-2</v>
      </c>
    </row>
    <row r="486" spans="1:7" x14ac:dyDescent="0.2">
      <c r="A486" s="11">
        <f t="shared" si="16"/>
        <v>42125</v>
      </c>
      <c r="B486" s="5">
        <v>93.1</v>
      </c>
      <c r="C486" s="5">
        <v>104.22190000000001</v>
      </c>
      <c r="D486" s="5">
        <f t="shared" si="14"/>
        <v>4.5336741842830213</v>
      </c>
      <c r="E486" s="5">
        <f t="shared" si="14"/>
        <v>4.6465222799807915</v>
      </c>
      <c r="F486" s="5">
        <f t="shared" si="15"/>
        <v>4.728753428489707E-2</v>
      </c>
      <c r="G486" s="5">
        <f t="shared" si="15"/>
        <v>4.1661418699803221E-3</v>
      </c>
    </row>
    <row r="487" spans="1:7" x14ac:dyDescent="0.2">
      <c r="A487" s="11">
        <f t="shared" si="16"/>
        <v>42156</v>
      </c>
      <c r="B487" s="5">
        <v>92.5</v>
      </c>
      <c r="C487" s="5">
        <v>106.8813</v>
      </c>
      <c r="D487" s="5">
        <f t="shared" si="14"/>
        <v>4.5272086445183799</v>
      </c>
      <c r="E487" s="5">
        <f t="shared" si="14"/>
        <v>4.6717188728880172</v>
      </c>
      <c r="F487" s="5">
        <f t="shared" si="15"/>
        <v>-6.4655397646413704E-3</v>
      </c>
      <c r="G487" s="5">
        <f t="shared" si="15"/>
        <v>2.5196592907225757E-2</v>
      </c>
    </row>
    <row r="488" spans="1:7" x14ac:dyDescent="0.2">
      <c r="A488" s="11">
        <f t="shared" si="16"/>
        <v>42186</v>
      </c>
      <c r="B488" s="5">
        <v>95.5</v>
      </c>
      <c r="C488" s="5">
        <v>105.4284</v>
      </c>
      <c r="D488" s="5">
        <f t="shared" si="14"/>
        <v>4.5591262474866845</v>
      </c>
      <c r="E488" s="5">
        <f t="shared" si="14"/>
        <v>4.6580320495275771</v>
      </c>
      <c r="F488" s="5">
        <f t="shared" si="15"/>
        <v>3.1917602968304593E-2</v>
      </c>
      <c r="G488" s="5">
        <f t="shared" si="15"/>
        <v>-1.3686823360440137E-2</v>
      </c>
    </row>
    <row r="489" spans="1:7" x14ac:dyDescent="0.2">
      <c r="A489" s="11">
        <f t="shared" si="16"/>
        <v>42217</v>
      </c>
      <c r="B489" s="5">
        <v>97.6</v>
      </c>
      <c r="C489" s="5">
        <v>108.03879999999999</v>
      </c>
      <c r="D489" s="5">
        <f t="shared" si="14"/>
        <v>4.580877493419047</v>
      </c>
      <c r="E489" s="5">
        <f t="shared" si="14"/>
        <v>4.6824904218653236</v>
      </c>
      <c r="F489" s="5">
        <f t="shared" si="15"/>
        <v>2.1751245932362551E-2</v>
      </c>
      <c r="G489" s="5">
        <f t="shared" si="15"/>
        <v>2.4458372337746503E-2</v>
      </c>
    </row>
    <row r="490" spans="1:7" x14ac:dyDescent="0.2">
      <c r="A490" s="11">
        <f t="shared" si="16"/>
        <v>42248</v>
      </c>
      <c r="B490" s="5">
        <v>94.3</v>
      </c>
      <c r="C490" s="5">
        <v>105.99930000000001</v>
      </c>
      <c r="D490" s="5">
        <f t="shared" si="14"/>
        <v>4.5464811896394117</v>
      </c>
      <c r="E490" s="5">
        <f t="shared" si="14"/>
        <v>4.6634324903166773</v>
      </c>
      <c r="F490" s="5">
        <f t="shared" si="15"/>
        <v>-3.4396303779635318E-2</v>
      </c>
      <c r="G490" s="5">
        <f t="shared" si="15"/>
        <v>-1.9057931548646323E-2</v>
      </c>
    </row>
    <row r="491" spans="1:7" x14ac:dyDescent="0.2">
      <c r="A491" s="11">
        <f t="shared" si="16"/>
        <v>42278</v>
      </c>
      <c r="B491" s="5">
        <v>97.2</v>
      </c>
      <c r="C491" s="5">
        <v>105.07299999999999</v>
      </c>
      <c r="D491" s="5">
        <f t="shared" si="14"/>
        <v>4.5767707114663931</v>
      </c>
      <c r="E491" s="5">
        <f t="shared" si="14"/>
        <v>4.654655346686714</v>
      </c>
      <c r="F491" s="5">
        <f t="shared" si="15"/>
        <v>3.0289521826981414E-2</v>
      </c>
      <c r="G491" s="5">
        <f t="shared" si="15"/>
        <v>-8.777143629963291E-3</v>
      </c>
    </row>
    <row r="492" spans="1:7" x14ac:dyDescent="0.2">
      <c r="A492" s="11">
        <f t="shared" si="16"/>
        <v>42309</v>
      </c>
      <c r="B492" s="5">
        <v>87.6</v>
      </c>
      <c r="C492" s="5">
        <v>103.7379</v>
      </c>
      <c r="D492" s="5">
        <f t="shared" si="14"/>
        <v>4.4727809979423458</v>
      </c>
      <c r="E492" s="5">
        <f t="shared" si="14"/>
        <v>4.6418675258033835</v>
      </c>
      <c r="F492" s="5">
        <f t="shared" si="15"/>
        <v>-0.10398971352404729</v>
      </c>
      <c r="G492" s="5">
        <f t="shared" si="15"/>
        <v>-1.2787820883330525E-2</v>
      </c>
    </row>
    <row r="493" spans="1:7" x14ac:dyDescent="0.2">
      <c r="A493" s="11">
        <f t="shared" si="16"/>
        <v>42339</v>
      </c>
      <c r="B493" s="5">
        <v>77.2</v>
      </c>
      <c r="C493" s="5">
        <v>102.98390000000001</v>
      </c>
      <c r="D493" s="5">
        <f t="shared" si="14"/>
        <v>4.3463994570307305</v>
      </c>
      <c r="E493" s="5">
        <f t="shared" si="14"/>
        <v>4.6345726653322368</v>
      </c>
      <c r="F493" s="5">
        <f t="shared" si="15"/>
        <v>-0.12638154091161535</v>
      </c>
      <c r="G493" s="5">
        <f t="shared" si="15"/>
        <v>-7.2948604711466913E-3</v>
      </c>
    </row>
    <row r="494" spans="1:7" x14ac:dyDescent="0.2">
      <c r="A494" s="11">
        <f t="shared" si="16"/>
        <v>42370</v>
      </c>
      <c r="B494" s="5">
        <v>76.3</v>
      </c>
      <c r="C494" s="5">
        <v>103.7467</v>
      </c>
      <c r="D494" s="5">
        <f t="shared" si="14"/>
        <v>4.334672938290411</v>
      </c>
      <c r="E494" s="5">
        <f t="shared" si="14"/>
        <v>4.6419523513760312</v>
      </c>
      <c r="F494" s="5">
        <f t="shared" si="15"/>
        <v>-1.1726518740319491E-2</v>
      </c>
      <c r="G494" s="5">
        <f t="shared" si="15"/>
        <v>7.3796860437944645E-3</v>
      </c>
    </row>
    <row r="495" spans="1:7" x14ac:dyDescent="0.2">
      <c r="A495" s="11">
        <f t="shared" si="16"/>
        <v>42401</v>
      </c>
      <c r="B495" s="5">
        <v>75.8</v>
      </c>
      <c r="C495" s="5">
        <v>103.5964</v>
      </c>
      <c r="D495" s="5">
        <f t="shared" si="14"/>
        <v>4.3280982926483258</v>
      </c>
      <c r="E495" s="5">
        <f t="shared" si="14"/>
        <v>4.6405025801868716</v>
      </c>
      <c r="F495" s="5">
        <f t="shared" si="15"/>
        <v>-6.5746456420852084E-3</v>
      </c>
      <c r="G495" s="5">
        <f t="shared" si="15"/>
        <v>-1.4497711891596765E-3</v>
      </c>
    </row>
    <row r="496" spans="1:7" x14ac:dyDescent="0.2">
      <c r="A496" s="11">
        <f t="shared" si="16"/>
        <v>42430</v>
      </c>
      <c r="B496" s="5">
        <v>83.6</v>
      </c>
      <c r="C496" s="5">
        <v>103.0343</v>
      </c>
      <c r="D496" s="5">
        <f t="shared" si="14"/>
        <v>4.4260435200906558</v>
      </c>
      <c r="E496" s="5">
        <f t="shared" si="14"/>
        <v>4.6350619425029471</v>
      </c>
      <c r="F496" s="5">
        <f t="shared" si="15"/>
        <v>9.794522744233003E-2</v>
      </c>
      <c r="G496" s="5">
        <f t="shared" si="15"/>
        <v>-5.440637683924443E-3</v>
      </c>
    </row>
    <row r="497" spans="1:7" x14ac:dyDescent="0.2">
      <c r="A497" s="11">
        <f t="shared" si="16"/>
        <v>42461</v>
      </c>
      <c r="B497" s="5">
        <v>82.9</v>
      </c>
      <c r="C497" s="5">
        <v>102.8002</v>
      </c>
      <c r="D497" s="5">
        <f t="shared" si="14"/>
        <v>4.4176350621412492</v>
      </c>
      <c r="E497" s="5">
        <f t="shared" si="14"/>
        <v>4.6327872985444642</v>
      </c>
      <c r="F497" s="5">
        <f t="shared" si="15"/>
        <v>-8.4084579494065892E-3</v>
      </c>
      <c r="G497" s="5">
        <f t="shared" si="15"/>
        <v>-2.2746439584828693E-3</v>
      </c>
    </row>
    <row r="498" spans="1:7" x14ac:dyDescent="0.2">
      <c r="A498" s="11">
        <f t="shared" si="16"/>
        <v>42491</v>
      </c>
      <c r="B498" s="5">
        <v>86.2</v>
      </c>
      <c r="C498" s="5">
        <v>102.8557</v>
      </c>
      <c r="D498" s="5">
        <f t="shared" si="14"/>
        <v>4.4566701776696478</v>
      </c>
      <c r="E498" s="5">
        <f t="shared" si="14"/>
        <v>4.6333270350786195</v>
      </c>
      <c r="F498" s="5">
        <f t="shared" si="15"/>
        <v>3.9035115528398556E-2</v>
      </c>
      <c r="G498" s="5">
        <f t="shared" si="15"/>
        <v>5.3973653415528844E-4</v>
      </c>
    </row>
    <row r="499" spans="1:7" x14ac:dyDescent="0.2">
      <c r="A499" s="11">
        <f t="shared" si="16"/>
        <v>42522</v>
      </c>
      <c r="B499" s="5">
        <v>87.4</v>
      </c>
      <c r="C499" s="5">
        <v>106.4273</v>
      </c>
      <c r="D499" s="5">
        <f t="shared" si="14"/>
        <v>4.4704952826614894</v>
      </c>
      <c r="E499" s="5">
        <f t="shared" si="14"/>
        <v>4.6674621229441637</v>
      </c>
      <c r="F499" s="5">
        <f t="shared" si="15"/>
        <v>1.3825104991841641E-2</v>
      </c>
      <c r="G499" s="5">
        <f t="shared" si="15"/>
        <v>3.41350878655442E-2</v>
      </c>
    </row>
    <row r="500" spans="1:7" x14ac:dyDescent="0.2">
      <c r="A500" s="11">
        <f t="shared" si="16"/>
        <v>42552</v>
      </c>
      <c r="B500" s="5">
        <v>89.5</v>
      </c>
      <c r="C500" s="5">
        <v>104.4508</v>
      </c>
      <c r="D500" s="5">
        <f t="shared" si="14"/>
        <v>4.4942386252808095</v>
      </c>
      <c r="E500" s="5">
        <f t="shared" si="14"/>
        <v>4.6487161471403091</v>
      </c>
      <c r="F500" s="5">
        <f t="shared" si="15"/>
        <v>2.3743342619320096E-2</v>
      </c>
      <c r="G500" s="5">
        <f t="shared" si="15"/>
        <v>-1.874597580385462E-2</v>
      </c>
    </row>
    <row r="501" spans="1:7" x14ac:dyDescent="0.2">
      <c r="A501" s="11">
        <f t="shared" si="16"/>
        <v>42583</v>
      </c>
      <c r="B501" s="5">
        <v>92.8</v>
      </c>
      <c r="C501" s="5">
        <v>106.93989999999999</v>
      </c>
      <c r="D501" s="5">
        <f t="shared" si="14"/>
        <v>4.5304466397921548</v>
      </c>
      <c r="E501" s="5">
        <f t="shared" si="14"/>
        <v>4.6722669944163515</v>
      </c>
      <c r="F501" s="5">
        <f t="shared" si="15"/>
        <v>3.6208014511345255E-2</v>
      </c>
      <c r="G501" s="5">
        <f t="shared" si="15"/>
        <v>2.3550847276042397E-2</v>
      </c>
    </row>
    <row r="502" spans="1:7" x14ac:dyDescent="0.2">
      <c r="A502" s="11">
        <f t="shared" si="16"/>
        <v>42614</v>
      </c>
      <c r="B502" s="5">
        <v>90</v>
      </c>
      <c r="C502" s="5">
        <v>105.3682</v>
      </c>
      <c r="D502" s="5">
        <f t="shared" si="14"/>
        <v>4.499809670330265</v>
      </c>
      <c r="E502" s="5">
        <f t="shared" si="14"/>
        <v>4.6574608828044273</v>
      </c>
      <c r="F502" s="5">
        <f t="shared" si="15"/>
        <v>-3.0636969461889763E-2</v>
      </c>
      <c r="G502" s="5">
        <f t="shared" si="15"/>
        <v>-1.4806111611924244E-2</v>
      </c>
    </row>
    <row r="503" spans="1:7" x14ac:dyDescent="0.2">
      <c r="A503" s="11">
        <f t="shared" si="16"/>
        <v>42644</v>
      </c>
      <c r="B503" s="5">
        <v>90.2</v>
      </c>
      <c r="C503" s="5">
        <v>104.3895</v>
      </c>
      <c r="D503" s="5">
        <f t="shared" si="14"/>
        <v>4.5020294270685781</v>
      </c>
      <c r="E503" s="5">
        <f t="shared" si="14"/>
        <v>4.6481290956779189</v>
      </c>
      <c r="F503" s="5">
        <f t="shared" si="15"/>
        <v>2.2197567383130945E-3</v>
      </c>
      <c r="G503" s="5">
        <f t="shared" si="15"/>
        <v>-9.3317871265083951E-3</v>
      </c>
    </row>
    <row r="504" spans="1:7" x14ac:dyDescent="0.2">
      <c r="A504" s="11">
        <f t="shared" si="16"/>
        <v>42675</v>
      </c>
      <c r="B504" s="5">
        <v>86.5</v>
      </c>
      <c r="C504" s="5">
        <v>102.8768</v>
      </c>
      <c r="D504" s="5">
        <f t="shared" si="14"/>
        <v>4.4601444139378339</v>
      </c>
      <c r="E504" s="5">
        <f t="shared" si="14"/>
        <v>4.6335321558064964</v>
      </c>
      <c r="F504" s="5">
        <f t="shared" si="15"/>
        <v>-4.188501313074422E-2</v>
      </c>
      <c r="G504" s="5">
        <f t="shared" si="15"/>
        <v>-1.4596939871422521E-2</v>
      </c>
    </row>
    <row r="505" spans="1:7" x14ac:dyDescent="0.2">
      <c r="A505" s="11">
        <f t="shared" si="16"/>
        <v>42705</v>
      </c>
      <c r="B505" s="5">
        <v>77.2</v>
      </c>
      <c r="C505" s="5">
        <v>103.51300000000001</v>
      </c>
      <c r="D505" s="10">
        <f t="shared" si="14"/>
        <v>4.3463994570307305</v>
      </c>
      <c r="E505" s="10">
        <f t="shared" si="14"/>
        <v>4.6396972086826533</v>
      </c>
      <c r="F505" s="5">
        <f t="shared" si="15"/>
        <v>-0.1137449569071034</v>
      </c>
      <c r="G505" s="5">
        <f t="shared" si="15"/>
        <v>6.1650528761569845E-3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"/>
  <sheetViews>
    <sheetView topLeftCell="CI1" zoomScaleNormal="100" workbookViewId="0">
      <selection activeCell="D1" sqref="D1:CY2"/>
    </sheetView>
  </sheetViews>
  <sheetFormatPr defaultColWidth="10.28515625" defaultRowHeight="12.75" customHeight="1" x14ac:dyDescent="0.2"/>
  <cols>
    <col min="1" max="1" width="4" style="5" customWidth="1"/>
    <col min="2" max="2" width="10" style="5" customWidth="1"/>
    <col min="3" max="3" width="30" style="5" customWidth="1"/>
    <col min="4" max="103" width="10" style="6" customWidth="1"/>
    <col min="104" max="256" width="10.28515625" style="5"/>
    <col min="257" max="257" width="4" style="5" customWidth="1"/>
    <col min="258" max="258" width="10" style="5" customWidth="1"/>
    <col min="259" max="259" width="30" style="5" customWidth="1"/>
    <col min="260" max="359" width="10" style="5" customWidth="1"/>
    <col min="360" max="512" width="10.28515625" style="5"/>
    <col min="513" max="513" width="4" style="5" customWidth="1"/>
    <col min="514" max="514" width="10" style="5" customWidth="1"/>
    <col min="515" max="515" width="30" style="5" customWidth="1"/>
    <col min="516" max="615" width="10" style="5" customWidth="1"/>
    <col min="616" max="768" width="10.28515625" style="5"/>
    <col min="769" max="769" width="4" style="5" customWidth="1"/>
    <col min="770" max="770" width="10" style="5" customWidth="1"/>
    <col min="771" max="771" width="30" style="5" customWidth="1"/>
    <col min="772" max="871" width="10" style="5" customWidth="1"/>
    <col min="872" max="1024" width="10.28515625" style="5"/>
    <col min="1025" max="1025" width="4" style="5" customWidth="1"/>
    <col min="1026" max="1026" width="10" style="5" customWidth="1"/>
    <col min="1027" max="1027" width="30" style="5" customWidth="1"/>
    <col min="1028" max="1127" width="10" style="5" customWidth="1"/>
    <col min="1128" max="1280" width="10.28515625" style="5"/>
    <col min="1281" max="1281" width="4" style="5" customWidth="1"/>
    <col min="1282" max="1282" width="10" style="5" customWidth="1"/>
    <col min="1283" max="1283" width="30" style="5" customWidth="1"/>
    <col min="1284" max="1383" width="10" style="5" customWidth="1"/>
    <col min="1384" max="1536" width="10.28515625" style="5"/>
    <col min="1537" max="1537" width="4" style="5" customWidth="1"/>
    <col min="1538" max="1538" width="10" style="5" customWidth="1"/>
    <col min="1539" max="1539" width="30" style="5" customWidth="1"/>
    <col min="1540" max="1639" width="10" style="5" customWidth="1"/>
    <col min="1640" max="1792" width="10.28515625" style="5"/>
    <col min="1793" max="1793" width="4" style="5" customWidth="1"/>
    <col min="1794" max="1794" width="10" style="5" customWidth="1"/>
    <col min="1795" max="1795" width="30" style="5" customWidth="1"/>
    <col min="1796" max="1895" width="10" style="5" customWidth="1"/>
    <col min="1896" max="2048" width="10.28515625" style="5"/>
    <col min="2049" max="2049" width="4" style="5" customWidth="1"/>
    <col min="2050" max="2050" width="10" style="5" customWidth="1"/>
    <col min="2051" max="2051" width="30" style="5" customWidth="1"/>
    <col min="2052" max="2151" width="10" style="5" customWidth="1"/>
    <col min="2152" max="2304" width="10.28515625" style="5"/>
    <col min="2305" max="2305" width="4" style="5" customWidth="1"/>
    <col min="2306" max="2306" width="10" style="5" customWidth="1"/>
    <col min="2307" max="2307" width="30" style="5" customWidth="1"/>
    <col min="2308" max="2407" width="10" style="5" customWidth="1"/>
    <col min="2408" max="2560" width="10.28515625" style="5"/>
    <col min="2561" max="2561" width="4" style="5" customWidth="1"/>
    <col min="2562" max="2562" width="10" style="5" customWidth="1"/>
    <col min="2563" max="2563" width="30" style="5" customWidth="1"/>
    <col min="2564" max="2663" width="10" style="5" customWidth="1"/>
    <col min="2664" max="2816" width="10.28515625" style="5"/>
    <col min="2817" max="2817" width="4" style="5" customWidth="1"/>
    <col min="2818" max="2818" width="10" style="5" customWidth="1"/>
    <col min="2819" max="2819" width="30" style="5" customWidth="1"/>
    <col min="2820" max="2919" width="10" style="5" customWidth="1"/>
    <col min="2920" max="3072" width="10.28515625" style="5"/>
    <col min="3073" max="3073" width="4" style="5" customWidth="1"/>
    <col min="3074" max="3074" width="10" style="5" customWidth="1"/>
    <col min="3075" max="3075" width="30" style="5" customWidth="1"/>
    <col min="3076" max="3175" width="10" style="5" customWidth="1"/>
    <col min="3176" max="3328" width="10.28515625" style="5"/>
    <col min="3329" max="3329" width="4" style="5" customWidth="1"/>
    <col min="3330" max="3330" width="10" style="5" customWidth="1"/>
    <col min="3331" max="3331" width="30" style="5" customWidth="1"/>
    <col min="3332" max="3431" width="10" style="5" customWidth="1"/>
    <col min="3432" max="3584" width="10.28515625" style="5"/>
    <col min="3585" max="3585" width="4" style="5" customWidth="1"/>
    <col min="3586" max="3586" width="10" style="5" customWidth="1"/>
    <col min="3587" max="3587" width="30" style="5" customWidth="1"/>
    <col min="3588" max="3687" width="10" style="5" customWidth="1"/>
    <col min="3688" max="3840" width="10.28515625" style="5"/>
    <col min="3841" max="3841" width="4" style="5" customWidth="1"/>
    <col min="3842" max="3842" width="10" style="5" customWidth="1"/>
    <col min="3843" max="3843" width="30" style="5" customWidth="1"/>
    <col min="3844" max="3943" width="10" style="5" customWidth="1"/>
    <col min="3944" max="4096" width="10.28515625" style="5"/>
    <col min="4097" max="4097" width="4" style="5" customWidth="1"/>
    <col min="4098" max="4098" width="10" style="5" customWidth="1"/>
    <col min="4099" max="4099" width="30" style="5" customWidth="1"/>
    <col min="4100" max="4199" width="10" style="5" customWidth="1"/>
    <col min="4200" max="4352" width="10.28515625" style="5"/>
    <col min="4353" max="4353" width="4" style="5" customWidth="1"/>
    <col min="4354" max="4354" width="10" style="5" customWidth="1"/>
    <col min="4355" max="4355" width="30" style="5" customWidth="1"/>
    <col min="4356" max="4455" width="10" style="5" customWidth="1"/>
    <col min="4456" max="4608" width="10.28515625" style="5"/>
    <col min="4609" max="4609" width="4" style="5" customWidth="1"/>
    <col min="4610" max="4610" width="10" style="5" customWidth="1"/>
    <col min="4611" max="4611" width="30" style="5" customWidth="1"/>
    <col min="4612" max="4711" width="10" style="5" customWidth="1"/>
    <col min="4712" max="4864" width="10.28515625" style="5"/>
    <col min="4865" max="4865" width="4" style="5" customWidth="1"/>
    <col min="4866" max="4866" width="10" style="5" customWidth="1"/>
    <col min="4867" max="4867" width="30" style="5" customWidth="1"/>
    <col min="4868" max="4967" width="10" style="5" customWidth="1"/>
    <col min="4968" max="5120" width="10.28515625" style="5"/>
    <col min="5121" max="5121" width="4" style="5" customWidth="1"/>
    <col min="5122" max="5122" width="10" style="5" customWidth="1"/>
    <col min="5123" max="5123" width="30" style="5" customWidth="1"/>
    <col min="5124" max="5223" width="10" style="5" customWidth="1"/>
    <col min="5224" max="5376" width="10.28515625" style="5"/>
    <col min="5377" max="5377" width="4" style="5" customWidth="1"/>
    <col min="5378" max="5378" width="10" style="5" customWidth="1"/>
    <col min="5379" max="5379" width="30" style="5" customWidth="1"/>
    <col min="5380" max="5479" width="10" style="5" customWidth="1"/>
    <col min="5480" max="5632" width="10.28515625" style="5"/>
    <col min="5633" max="5633" width="4" style="5" customWidth="1"/>
    <col min="5634" max="5634" width="10" style="5" customWidth="1"/>
    <col min="5635" max="5635" width="30" style="5" customWidth="1"/>
    <col min="5636" max="5735" width="10" style="5" customWidth="1"/>
    <col min="5736" max="5888" width="10.28515625" style="5"/>
    <col min="5889" max="5889" width="4" style="5" customWidth="1"/>
    <col min="5890" max="5890" width="10" style="5" customWidth="1"/>
    <col min="5891" max="5891" width="30" style="5" customWidth="1"/>
    <col min="5892" max="5991" width="10" style="5" customWidth="1"/>
    <col min="5992" max="6144" width="10.28515625" style="5"/>
    <col min="6145" max="6145" width="4" style="5" customWidth="1"/>
    <col min="6146" max="6146" width="10" style="5" customWidth="1"/>
    <col min="6147" max="6147" width="30" style="5" customWidth="1"/>
    <col min="6148" max="6247" width="10" style="5" customWidth="1"/>
    <col min="6248" max="6400" width="10.28515625" style="5"/>
    <col min="6401" max="6401" width="4" style="5" customWidth="1"/>
    <col min="6402" max="6402" width="10" style="5" customWidth="1"/>
    <col min="6403" max="6403" width="30" style="5" customWidth="1"/>
    <col min="6404" max="6503" width="10" style="5" customWidth="1"/>
    <col min="6504" max="6656" width="10.28515625" style="5"/>
    <col min="6657" max="6657" width="4" style="5" customWidth="1"/>
    <col min="6658" max="6658" width="10" style="5" customWidth="1"/>
    <col min="6659" max="6659" width="30" style="5" customWidth="1"/>
    <col min="6660" max="6759" width="10" style="5" customWidth="1"/>
    <col min="6760" max="6912" width="10.28515625" style="5"/>
    <col min="6913" max="6913" width="4" style="5" customWidth="1"/>
    <col min="6914" max="6914" width="10" style="5" customWidth="1"/>
    <col min="6915" max="6915" width="30" style="5" customWidth="1"/>
    <col min="6916" max="7015" width="10" style="5" customWidth="1"/>
    <col min="7016" max="7168" width="10.28515625" style="5"/>
    <col min="7169" max="7169" width="4" style="5" customWidth="1"/>
    <col min="7170" max="7170" width="10" style="5" customWidth="1"/>
    <col min="7171" max="7171" width="30" style="5" customWidth="1"/>
    <col min="7172" max="7271" width="10" style="5" customWidth="1"/>
    <col min="7272" max="7424" width="10.28515625" style="5"/>
    <col min="7425" max="7425" width="4" style="5" customWidth="1"/>
    <col min="7426" max="7426" width="10" style="5" customWidth="1"/>
    <col min="7427" max="7427" width="30" style="5" customWidth="1"/>
    <col min="7428" max="7527" width="10" style="5" customWidth="1"/>
    <col min="7528" max="7680" width="10.28515625" style="5"/>
    <col min="7681" max="7681" width="4" style="5" customWidth="1"/>
    <col min="7682" max="7682" width="10" style="5" customWidth="1"/>
    <col min="7683" max="7683" width="30" style="5" customWidth="1"/>
    <col min="7684" max="7783" width="10" style="5" customWidth="1"/>
    <col min="7784" max="7936" width="10.28515625" style="5"/>
    <col min="7937" max="7937" width="4" style="5" customWidth="1"/>
    <col min="7938" max="7938" width="10" style="5" customWidth="1"/>
    <col min="7939" max="7939" width="30" style="5" customWidth="1"/>
    <col min="7940" max="8039" width="10" style="5" customWidth="1"/>
    <col min="8040" max="8192" width="10.28515625" style="5"/>
    <col min="8193" max="8193" width="4" style="5" customWidth="1"/>
    <col min="8194" max="8194" width="10" style="5" customWidth="1"/>
    <col min="8195" max="8195" width="30" style="5" customWidth="1"/>
    <col min="8196" max="8295" width="10" style="5" customWidth="1"/>
    <col min="8296" max="8448" width="10.28515625" style="5"/>
    <col min="8449" max="8449" width="4" style="5" customWidth="1"/>
    <col min="8450" max="8450" width="10" style="5" customWidth="1"/>
    <col min="8451" max="8451" width="30" style="5" customWidth="1"/>
    <col min="8452" max="8551" width="10" style="5" customWidth="1"/>
    <col min="8552" max="8704" width="10.28515625" style="5"/>
    <col min="8705" max="8705" width="4" style="5" customWidth="1"/>
    <col min="8706" max="8706" width="10" style="5" customWidth="1"/>
    <col min="8707" max="8707" width="30" style="5" customWidth="1"/>
    <col min="8708" max="8807" width="10" style="5" customWidth="1"/>
    <col min="8808" max="8960" width="10.28515625" style="5"/>
    <col min="8961" max="8961" width="4" style="5" customWidth="1"/>
    <col min="8962" max="8962" width="10" style="5" customWidth="1"/>
    <col min="8963" max="8963" width="30" style="5" customWidth="1"/>
    <col min="8964" max="9063" width="10" style="5" customWidth="1"/>
    <col min="9064" max="9216" width="10.28515625" style="5"/>
    <col min="9217" max="9217" width="4" style="5" customWidth="1"/>
    <col min="9218" max="9218" width="10" style="5" customWidth="1"/>
    <col min="9219" max="9219" width="30" style="5" customWidth="1"/>
    <col min="9220" max="9319" width="10" style="5" customWidth="1"/>
    <col min="9320" max="9472" width="10.28515625" style="5"/>
    <col min="9473" max="9473" width="4" style="5" customWidth="1"/>
    <col min="9474" max="9474" width="10" style="5" customWidth="1"/>
    <col min="9475" max="9475" width="30" style="5" customWidth="1"/>
    <col min="9476" max="9575" width="10" style="5" customWidth="1"/>
    <col min="9576" max="9728" width="10.28515625" style="5"/>
    <col min="9729" max="9729" width="4" style="5" customWidth="1"/>
    <col min="9730" max="9730" width="10" style="5" customWidth="1"/>
    <col min="9731" max="9731" width="30" style="5" customWidth="1"/>
    <col min="9732" max="9831" width="10" style="5" customWidth="1"/>
    <col min="9832" max="9984" width="10.28515625" style="5"/>
    <col min="9985" max="9985" width="4" style="5" customWidth="1"/>
    <col min="9986" max="9986" width="10" style="5" customWidth="1"/>
    <col min="9987" max="9987" width="30" style="5" customWidth="1"/>
    <col min="9988" max="10087" width="10" style="5" customWidth="1"/>
    <col min="10088" max="10240" width="10.28515625" style="5"/>
    <col min="10241" max="10241" width="4" style="5" customWidth="1"/>
    <col min="10242" max="10242" width="10" style="5" customWidth="1"/>
    <col min="10243" max="10243" width="30" style="5" customWidth="1"/>
    <col min="10244" max="10343" width="10" style="5" customWidth="1"/>
    <col min="10344" max="10496" width="10.28515625" style="5"/>
    <col min="10497" max="10497" width="4" style="5" customWidth="1"/>
    <col min="10498" max="10498" width="10" style="5" customWidth="1"/>
    <col min="10499" max="10499" width="30" style="5" customWidth="1"/>
    <col min="10500" max="10599" width="10" style="5" customWidth="1"/>
    <col min="10600" max="10752" width="10.28515625" style="5"/>
    <col min="10753" max="10753" width="4" style="5" customWidth="1"/>
    <col min="10754" max="10754" width="10" style="5" customWidth="1"/>
    <col min="10755" max="10755" width="30" style="5" customWidth="1"/>
    <col min="10756" max="10855" width="10" style="5" customWidth="1"/>
    <col min="10856" max="11008" width="10.28515625" style="5"/>
    <col min="11009" max="11009" width="4" style="5" customWidth="1"/>
    <col min="11010" max="11010" width="10" style="5" customWidth="1"/>
    <col min="11011" max="11011" width="30" style="5" customWidth="1"/>
    <col min="11012" max="11111" width="10" style="5" customWidth="1"/>
    <col min="11112" max="11264" width="10.28515625" style="5"/>
    <col min="11265" max="11265" width="4" style="5" customWidth="1"/>
    <col min="11266" max="11266" width="10" style="5" customWidth="1"/>
    <col min="11267" max="11267" width="30" style="5" customWidth="1"/>
    <col min="11268" max="11367" width="10" style="5" customWidth="1"/>
    <col min="11368" max="11520" width="10.28515625" style="5"/>
    <col min="11521" max="11521" width="4" style="5" customWidth="1"/>
    <col min="11522" max="11522" width="10" style="5" customWidth="1"/>
    <col min="11523" max="11523" width="30" style="5" customWidth="1"/>
    <col min="11524" max="11623" width="10" style="5" customWidth="1"/>
    <col min="11624" max="11776" width="10.28515625" style="5"/>
    <col min="11777" max="11777" width="4" style="5" customWidth="1"/>
    <col min="11778" max="11778" width="10" style="5" customWidth="1"/>
    <col min="11779" max="11779" width="30" style="5" customWidth="1"/>
    <col min="11780" max="11879" width="10" style="5" customWidth="1"/>
    <col min="11880" max="12032" width="10.28515625" style="5"/>
    <col min="12033" max="12033" width="4" style="5" customWidth="1"/>
    <col min="12034" max="12034" width="10" style="5" customWidth="1"/>
    <col min="12035" max="12035" width="30" style="5" customWidth="1"/>
    <col min="12036" max="12135" width="10" style="5" customWidth="1"/>
    <col min="12136" max="12288" width="10.28515625" style="5"/>
    <col min="12289" max="12289" width="4" style="5" customWidth="1"/>
    <col min="12290" max="12290" width="10" style="5" customWidth="1"/>
    <col min="12291" max="12291" width="30" style="5" customWidth="1"/>
    <col min="12292" max="12391" width="10" style="5" customWidth="1"/>
    <col min="12392" max="12544" width="10.28515625" style="5"/>
    <col min="12545" max="12545" width="4" style="5" customWidth="1"/>
    <col min="12546" max="12546" width="10" style="5" customWidth="1"/>
    <col min="12547" max="12547" width="30" style="5" customWidth="1"/>
    <col min="12548" max="12647" width="10" style="5" customWidth="1"/>
    <col min="12648" max="12800" width="10.28515625" style="5"/>
    <col min="12801" max="12801" width="4" style="5" customWidth="1"/>
    <col min="12802" max="12802" width="10" style="5" customWidth="1"/>
    <col min="12803" max="12803" width="30" style="5" customWidth="1"/>
    <col min="12804" max="12903" width="10" style="5" customWidth="1"/>
    <col min="12904" max="13056" width="10.28515625" style="5"/>
    <col min="13057" max="13057" width="4" style="5" customWidth="1"/>
    <col min="13058" max="13058" width="10" style="5" customWidth="1"/>
    <col min="13059" max="13059" width="30" style="5" customWidth="1"/>
    <col min="13060" max="13159" width="10" style="5" customWidth="1"/>
    <col min="13160" max="13312" width="10.28515625" style="5"/>
    <col min="13313" max="13313" width="4" style="5" customWidth="1"/>
    <col min="13314" max="13314" width="10" style="5" customWidth="1"/>
    <col min="13315" max="13315" width="30" style="5" customWidth="1"/>
    <col min="13316" max="13415" width="10" style="5" customWidth="1"/>
    <col min="13416" max="13568" width="10.28515625" style="5"/>
    <col min="13569" max="13569" width="4" style="5" customWidth="1"/>
    <col min="13570" max="13570" width="10" style="5" customWidth="1"/>
    <col min="13571" max="13571" width="30" style="5" customWidth="1"/>
    <col min="13572" max="13671" width="10" style="5" customWidth="1"/>
    <col min="13672" max="13824" width="10.28515625" style="5"/>
    <col min="13825" max="13825" width="4" style="5" customWidth="1"/>
    <col min="13826" max="13826" width="10" style="5" customWidth="1"/>
    <col min="13827" max="13827" width="30" style="5" customWidth="1"/>
    <col min="13828" max="13927" width="10" style="5" customWidth="1"/>
    <col min="13928" max="14080" width="10.28515625" style="5"/>
    <col min="14081" max="14081" width="4" style="5" customWidth="1"/>
    <col min="14082" max="14082" width="10" style="5" customWidth="1"/>
    <col min="14083" max="14083" width="30" style="5" customWidth="1"/>
    <col min="14084" max="14183" width="10" style="5" customWidth="1"/>
    <col min="14184" max="14336" width="10.28515625" style="5"/>
    <col min="14337" max="14337" width="4" style="5" customWidth="1"/>
    <col min="14338" max="14338" width="10" style="5" customWidth="1"/>
    <col min="14339" max="14339" width="30" style="5" customWidth="1"/>
    <col min="14340" max="14439" width="10" style="5" customWidth="1"/>
    <col min="14440" max="14592" width="10.28515625" style="5"/>
    <col min="14593" max="14593" width="4" style="5" customWidth="1"/>
    <col min="14594" max="14594" width="10" style="5" customWidth="1"/>
    <col min="14595" max="14595" width="30" style="5" customWidth="1"/>
    <col min="14596" max="14695" width="10" style="5" customWidth="1"/>
    <col min="14696" max="14848" width="10.28515625" style="5"/>
    <col min="14849" max="14849" width="4" style="5" customWidth="1"/>
    <col min="14850" max="14850" width="10" style="5" customWidth="1"/>
    <col min="14851" max="14851" width="30" style="5" customWidth="1"/>
    <col min="14852" max="14951" width="10" style="5" customWidth="1"/>
    <col min="14952" max="15104" width="10.28515625" style="5"/>
    <col min="15105" max="15105" width="4" style="5" customWidth="1"/>
    <col min="15106" max="15106" width="10" style="5" customWidth="1"/>
    <col min="15107" max="15107" width="30" style="5" customWidth="1"/>
    <col min="15108" max="15207" width="10" style="5" customWidth="1"/>
    <col min="15208" max="15360" width="10.28515625" style="5"/>
    <col min="15361" max="15361" width="4" style="5" customWidth="1"/>
    <col min="15362" max="15362" width="10" style="5" customWidth="1"/>
    <col min="15363" max="15363" width="30" style="5" customWidth="1"/>
    <col min="15364" max="15463" width="10" style="5" customWidth="1"/>
    <col min="15464" max="15616" width="10.28515625" style="5"/>
    <col min="15617" max="15617" width="4" style="5" customWidth="1"/>
    <col min="15618" max="15618" width="10" style="5" customWidth="1"/>
    <col min="15619" max="15619" width="30" style="5" customWidth="1"/>
    <col min="15620" max="15719" width="10" style="5" customWidth="1"/>
    <col min="15720" max="15872" width="10.28515625" style="5"/>
    <col min="15873" max="15873" width="4" style="5" customWidth="1"/>
    <col min="15874" max="15874" width="10" style="5" customWidth="1"/>
    <col min="15875" max="15875" width="30" style="5" customWidth="1"/>
    <col min="15876" max="15975" width="10" style="5" customWidth="1"/>
    <col min="15976" max="16128" width="10.28515625" style="5"/>
    <col min="16129" max="16129" width="4" style="5" customWidth="1"/>
    <col min="16130" max="16130" width="10" style="5" customWidth="1"/>
    <col min="16131" max="16131" width="30" style="5" customWidth="1"/>
    <col min="16132" max="16231" width="10" style="5" customWidth="1"/>
    <col min="16232" max="16384" width="10.28515625" style="5"/>
  </cols>
  <sheetData>
    <row r="1" spans="1:103" x14ac:dyDescent="0.2">
      <c r="A1" s="5" t="s">
        <v>294</v>
      </c>
      <c r="B1" s="5" t="s">
        <v>295</v>
      </c>
      <c r="C1" s="5" t="s">
        <v>296</v>
      </c>
      <c r="D1" s="6" t="s">
        <v>297</v>
      </c>
      <c r="E1" s="6" t="s">
        <v>298</v>
      </c>
      <c r="F1" s="6" t="s">
        <v>299</v>
      </c>
      <c r="G1" s="6" t="s">
        <v>300</v>
      </c>
      <c r="H1" s="6" t="s">
        <v>301</v>
      </c>
      <c r="I1" s="6" t="s">
        <v>302</v>
      </c>
      <c r="J1" s="6" t="s">
        <v>303</v>
      </c>
      <c r="K1" s="6" t="s">
        <v>304</v>
      </c>
      <c r="L1" s="6" t="s">
        <v>305</v>
      </c>
      <c r="M1" s="6" t="s">
        <v>306</v>
      </c>
      <c r="N1" s="6" t="s">
        <v>307</v>
      </c>
      <c r="O1" s="6" t="s">
        <v>308</v>
      </c>
      <c r="P1" s="6" t="s">
        <v>309</v>
      </c>
      <c r="Q1" s="6" t="s">
        <v>310</v>
      </c>
      <c r="R1" s="6" t="s">
        <v>311</v>
      </c>
      <c r="S1" s="6" t="s">
        <v>312</v>
      </c>
      <c r="T1" s="6" t="s">
        <v>313</v>
      </c>
      <c r="U1" s="6" t="s">
        <v>314</v>
      </c>
      <c r="V1" s="6" t="s">
        <v>315</v>
      </c>
      <c r="W1" s="6" t="s">
        <v>316</v>
      </c>
      <c r="X1" s="6" t="s">
        <v>317</v>
      </c>
      <c r="Y1" s="6" t="s">
        <v>318</v>
      </c>
      <c r="Z1" s="6" t="s">
        <v>319</v>
      </c>
      <c r="AA1" s="6" t="s">
        <v>320</v>
      </c>
      <c r="AB1" s="6" t="s">
        <v>321</v>
      </c>
      <c r="AC1" s="6" t="s">
        <v>322</v>
      </c>
      <c r="AD1" s="6" t="s">
        <v>323</v>
      </c>
      <c r="AE1" s="6" t="s">
        <v>324</v>
      </c>
      <c r="AF1" s="6" t="s">
        <v>325</v>
      </c>
      <c r="AG1" s="6" t="s">
        <v>326</v>
      </c>
      <c r="AH1" s="6" t="s">
        <v>327</v>
      </c>
      <c r="AI1" s="6" t="s">
        <v>328</v>
      </c>
      <c r="AJ1" s="6" t="s">
        <v>329</v>
      </c>
      <c r="AK1" s="6" t="s">
        <v>330</v>
      </c>
      <c r="AL1" s="6" t="s">
        <v>331</v>
      </c>
      <c r="AM1" s="6" t="s">
        <v>332</v>
      </c>
      <c r="AN1" s="6" t="s">
        <v>333</v>
      </c>
      <c r="AO1" s="6" t="s">
        <v>334</v>
      </c>
      <c r="AP1" s="6" t="s">
        <v>335</v>
      </c>
      <c r="AQ1" s="6" t="s">
        <v>336</v>
      </c>
      <c r="AR1" s="6" t="s">
        <v>337</v>
      </c>
      <c r="AS1" s="6" t="s">
        <v>338</v>
      </c>
      <c r="AT1" s="6" t="s">
        <v>339</v>
      </c>
      <c r="AU1" s="6" t="s">
        <v>340</v>
      </c>
      <c r="AV1" s="6" t="s">
        <v>341</v>
      </c>
      <c r="AW1" s="6" t="s">
        <v>342</v>
      </c>
      <c r="AX1" s="6" t="s">
        <v>343</v>
      </c>
      <c r="AY1" s="6" t="s">
        <v>344</v>
      </c>
      <c r="AZ1" s="6" t="s">
        <v>345</v>
      </c>
      <c r="BA1" s="6" t="s">
        <v>346</v>
      </c>
      <c r="BB1" s="6" t="s">
        <v>347</v>
      </c>
      <c r="BC1" s="6" t="s">
        <v>348</v>
      </c>
      <c r="BD1" s="6" t="s">
        <v>349</v>
      </c>
      <c r="BE1" s="6" t="s">
        <v>350</v>
      </c>
      <c r="BF1" s="6" t="s">
        <v>351</v>
      </c>
      <c r="BG1" s="6" t="s">
        <v>352</v>
      </c>
      <c r="BH1" s="6" t="s">
        <v>353</v>
      </c>
      <c r="BI1" s="6" t="s">
        <v>354</v>
      </c>
      <c r="BJ1" s="6" t="s">
        <v>355</v>
      </c>
      <c r="BK1" s="6" t="s">
        <v>356</v>
      </c>
      <c r="BL1" s="6" t="s">
        <v>357</v>
      </c>
      <c r="BM1" s="6" t="s">
        <v>358</v>
      </c>
      <c r="BN1" s="6" t="s">
        <v>359</v>
      </c>
      <c r="BO1" s="6" t="s">
        <v>360</v>
      </c>
      <c r="BP1" s="6" t="s">
        <v>361</v>
      </c>
      <c r="BQ1" s="6" t="s">
        <v>362</v>
      </c>
      <c r="BR1" s="6" t="s">
        <v>363</v>
      </c>
      <c r="BS1" s="6" t="s">
        <v>364</v>
      </c>
      <c r="BT1" s="6" t="s">
        <v>365</v>
      </c>
      <c r="BU1" s="6" t="s">
        <v>366</v>
      </c>
      <c r="BV1" s="6" t="s">
        <v>367</v>
      </c>
      <c r="BW1" s="6" t="s">
        <v>368</v>
      </c>
      <c r="BX1" s="6" t="s">
        <v>369</v>
      </c>
      <c r="BY1" s="6" t="s">
        <v>370</v>
      </c>
      <c r="BZ1" s="6" t="s">
        <v>371</v>
      </c>
      <c r="CA1" s="6" t="s">
        <v>372</v>
      </c>
      <c r="CB1" s="6" t="s">
        <v>373</v>
      </c>
      <c r="CC1" s="6" t="s">
        <v>374</v>
      </c>
      <c r="CD1" s="6" t="s">
        <v>375</v>
      </c>
      <c r="CE1" s="6" t="s">
        <v>376</v>
      </c>
      <c r="CF1" s="6" t="s">
        <v>377</v>
      </c>
      <c r="CG1" s="6" t="s">
        <v>378</v>
      </c>
      <c r="CH1" s="6" t="s">
        <v>379</v>
      </c>
      <c r="CI1" s="6" t="s">
        <v>380</v>
      </c>
      <c r="CJ1" s="6" t="s">
        <v>381</v>
      </c>
      <c r="CK1" s="6" t="s">
        <v>382</v>
      </c>
      <c r="CL1" s="6" t="s">
        <v>383</v>
      </c>
      <c r="CM1" s="6" t="s">
        <v>384</v>
      </c>
      <c r="CN1" s="6" t="s">
        <v>385</v>
      </c>
      <c r="CO1" s="6" t="s">
        <v>386</v>
      </c>
      <c r="CP1" s="6" t="s">
        <v>387</v>
      </c>
      <c r="CQ1" s="6" t="s">
        <v>388</v>
      </c>
      <c r="CR1" s="6" t="s">
        <v>389</v>
      </c>
      <c r="CS1" s="6" t="s">
        <v>390</v>
      </c>
      <c r="CT1" s="6" t="s">
        <v>391</v>
      </c>
      <c r="CU1" s="6" t="s">
        <v>392</v>
      </c>
      <c r="CV1" s="6" t="s">
        <v>393</v>
      </c>
      <c r="CW1" s="6" t="s">
        <v>394</v>
      </c>
      <c r="CX1" s="6" t="s">
        <v>395</v>
      </c>
      <c r="CY1" s="6" t="s">
        <v>396</v>
      </c>
    </row>
    <row r="2" spans="1:103" x14ac:dyDescent="0.2">
      <c r="A2" s="5" t="s">
        <v>397</v>
      </c>
      <c r="B2" s="5" t="s">
        <v>398</v>
      </c>
      <c r="C2" s="5" t="s">
        <v>296</v>
      </c>
      <c r="D2" s="6">
        <v>635522</v>
      </c>
      <c r="E2" s="6">
        <v>673129</v>
      </c>
      <c r="F2" s="6">
        <v>677848</v>
      </c>
      <c r="G2" s="6">
        <v>676838</v>
      </c>
      <c r="H2" s="6">
        <v>691425</v>
      </c>
      <c r="I2" s="6">
        <v>670349</v>
      </c>
      <c r="J2" s="6">
        <v>703072</v>
      </c>
      <c r="K2" s="6">
        <v>790647</v>
      </c>
      <c r="L2" s="6">
        <v>726009</v>
      </c>
      <c r="M2" s="6">
        <v>716751</v>
      </c>
      <c r="N2" s="6">
        <v>759494</v>
      </c>
      <c r="O2" s="6">
        <v>658984</v>
      </c>
      <c r="P2" s="6">
        <v>760844</v>
      </c>
      <c r="Q2" s="6">
        <v>718376</v>
      </c>
      <c r="R2" s="6">
        <v>733354</v>
      </c>
      <c r="S2" s="6">
        <v>788007</v>
      </c>
      <c r="T2" s="6">
        <v>722541</v>
      </c>
      <c r="U2" s="6">
        <v>809479</v>
      </c>
      <c r="V2" s="6">
        <v>759879</v>
      </c>
      <c r="W2" s="6">
        <v>856818</v>
      </c>
      <c r="X2" s="6">
        <v>861188</v>
      </c>
      <c r="Y2" s="6">
        <v>771367</v>
      </c>
      <c r="Z2" s="6">
        <v>889041</v>
      </c>
      <c r="AA2" s="6">
        <v>740237</v>
      </c>
      <c r="AB2" s="6">
        <v>841129</v>
      </c>
      <c r="AC2" s="6">
        <v>781159</v>
      </c>
      <c r="AD2" s="6">
        <v>812844</v>
      </c>
      <c r="AE2" s="6">
        <v>843325</v>
      </c>
      <c r="AF2" s="6">
        <v>781155</v>
      </c>
      <c r="AG2" s="6">
        <v>775040</v>
      </c>
      <c r="AH2" s="6">
        <v>816160</v>
      </c>
      <c r="AI2" s="6">
        <v>847919</v>
      </c>
      <c r="AJ2" s="6">
        <v>732284</v>
      </c>
      <c r="AK2" s="6">
        <v>664420</v>
      </c>
      <c r="AL2" s="6">
        <v>783319</v>
      </c>
      <c r="AM2" s="6">
        <v>770784</v>
      </c>
      <c r="AN2" s="6">
        <v>771118</v>
      </c>
      <c r="AO2" s="6">
        <v>642005</v>
      </c>
      <c r="AP2" s="6">
        <v>770352</v>
      </c>
      <c r="AQ2" s="6">
        <v>784912</v>
      </c>
      <c r="AR2" s="6">
        <v>706750</v>
      </c>
      <c r="AS2" s="6">
        <v>816712</v>
      </c>
      <c r="AT2" s="6">
        <v>786836</v>
      </c>
      <c r="AU2" s="6">
        <v>820473</v>
      </c>
      <c r="AV2" s="6">
        <v>757096</v>
      </c>
      <c r="AW2" s="6">
        <v>752398</v>
      </c>
      <c r="AX2" s="6">
        <v>715429</v>
      </c>
      <c r="AY2" s="6">
        <v>763755</v>
      </c>
      <c r="AZ2" s="6">
        <v>699084</v>
      </c>
      <c r="BA2" s="6">
        <v>775150</v>
      </c>
      <c r="BB2" s="6">
        <v>759702</v>
      </c>
      <c r="BC2" s="6">
        <v>738317</v>
      </c>
      <c r="BD2" s="6">
        <v>780861</v>
      </c>
      <c r="BE2" s="6">
        <v>753845</v>
      </c>
      <c r="BF2" s="6">
        <v>881481</v>
      </c>
      <c r="BG2" s="6">
        <v>750092</v>
      </c>
      <c r="BH2" s="6">
        <v>732972</v>
      </c>
      <c r="BI2" s="6">
        <v>889880</v>
      </c>
      <c r="BJ2" s="6">
        <v>773928</v>
      </c>
      <c r="BK2" s="6">
        <v>739405</v>
      </c>
      <c r="BL2" s="6">
        <v>778599</v>
      </c>
      <c r="BM2" s="6">
        <v>780595</v>
      </c>
      <c r="BN2" s="6">
        <v>818840</v>
      </c>
      <c r="BO2" s="6">
        <v>787989</v>
      </c>
      <c r="BP2" s="6">
        <v>790904</v>
      </c>
      <c r="BQ2" s="6">
        <v>852104</v>
      </c>
      <c r="BR2" s="6">
        <v>1077912</v>
      </c>
      <c r="BS2" s="6">
        <v>864648</v>
      </c>
      <c r="BT2" s="6">
        <v>898017</v>
      </c>
      <c r="BU2" s="6">
        <v>979505</v>
      </c>
      <c r="BV2" s="6">
        <v>843935</v>
      </c>
      <c r="BW2" s="6">
        <v>888802</v>
      </c>
      <c r="BX2" s="6">
        <v>894412</v>
      </c>
      <c r="BY2" s="6">
        <v>887229</v>
      </c>
      <c r="BZ2" s="6">
        <v>936338</v>
      </c>
      <c r="CA2" s="6">
        <v>869505</v>
      </c>
      <c r="CB2" s="6">
        <v>853551</v>
      </c>
      <c r="CC2" s="6">
        <v>953934</v>
      </c>
      <c r="CD2" s="6">
        <v>1055144</v>
      </c>
      <c r="CE2" s="6">
        <v>962829</v>
      </c>
      <c r="CF2" s="6">
        <v>886348</v>
      </c>
      <c r="CG2" s="6">
        <v>1053182</v>
      </c>
      <c r="CH2" s="6">
        <v>846299</v>
      </c>
      <c r="CI2" s="6">
        <v>966940</v>
      </c>
      <c r="CJ2" s="6">
        <v>924957</v>
      </c>
      <c r="CK2" s="6">
        <v>925389</v>
      </c>
      <c r="CL2" s="6">
        <v>1017807</v>
      </c>
      <c r="CM2" s="6">
        <v>915926</v>
      </c>
      <c r="CN2" s="6">
        <v>950597</v>
      </c>
      <c r="CO2" s="6">
        <v>1015408</v>
      </c>
      <c r="CP2" s="6">
        <v>1136781</v>
      </c>
      <c r="CQ2" s="6">
        <v>1038575</v>
      </c>
      <c r="CR2" s="6">
        <v>989718</v>
      </c>
      <c r="CS2" s="6">
        <v>1109489</v>
      </c>
      <c r="CT2" s="6">
        <v>970960</v>
      </c>
      <c r="CU2" s="6">
        <v>1081280</v>
      </c>
      <c r="CV2" s="6">
        <v>1015942</v>
      </c>
      <c r="CW2" s="6">
        <v>1063543</v>
      </c>
      <c r="CX2" s="6">
        <v>1120194</v>
      </c>
      <c r="CY2" s="6">
        <v>973119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"/>
  <sheetViews>
    <sheetView topLeftCell="CI1" zoomScaleNormal="100" workbookViewId="0">
      <selection activeCell="D1" sqref="D1:CY2"/>
    </sheetView>
  </sheetViews>
  <sheetFormatPr defaultRowHeight="12.75" customHeight="1" x14ac:dyDescent="0.2"/>
  <cols>
    <col min="1" max="1" width="4" style="5" customWidth="1"/>
    <col min="2" max="2" width="10" style="5" customWidth="1"/>
    <col min="3" max="3" width="30" style="5" customWidth="1"/>
    <col min="4" max="103" width="10" style="6" customWidth="1"/>
    <col min="104" max="256" width="10.28515625" style="5" customWidth="1"/>
    <col min="257" max="16384" width="9.140625" style="5"/>
  </cols>
  <sheetData>
    <row r="1" spans="1:103" x14ac:dyDescent="0.2">
      <c r="A1" s="5" t="s">
        <v>294</v>
      </c>
      <c r="B1" s="5" t="s">
        <v>295</v>
      </c>
      <c r="C1" s="5" t="s">
        <v>296</v>
      </c>
      <c r="D1" s="6" t="s">
        <v>297</v>
      </c>
      <c r="E1" s="6" t="s">
        <v>298</v>
      </c>
      <c r="F1" s="6" t="s">
        <v>299</v>
      </c>
      <c r="G1" s="6" t="s">
        <v>300</v>
      </c>
      <c r="H1" s="6" t="s">
        <v>301</v>
      </c>
      <c r="I1" s="6" t="s">
        <v>302</v>
      </c>
      <c r="J1" s="6" t="s">
        <v>303</v>
      </c>
      <c r="K1" s="6" t="s">
        <v>304</v>
      </c>
      <c r="L1" s="6" t="s">
        <v>305</v>
      </c>
      <c r="M1" s="6" t="s">
        <v>306</v>
      </c>
      <c r="N1" s="6" t="s">
        <v>307</v>
      </c>
      <c r="O1" s="6" t="s">
        <v>308</v>
      </c>
      <c r="P1" s="6" t="s">
        <v>309</v>
      </c>
      <c r="Q1" s="6" t="s">
        <v>310</v>
      </c>
      <c r="R1" s="6" t="s">
        <v>311</v>
      </c>
      <c r="S1" s="6" t="s">
        <v>312</v>
      </c>
      <c r="T1" s="6" t="s">
        <v>313</v>
      </c>
      <c r="U1" s="6" t="s">
        <v>314</v>
      </c>
      <c r="V1" s="6" t="s">
        <v>315</v>
      </c>
      <c r="W1" s="6" t="s">
        <v>316</v>
      </c>
      <c r="X1" s="6" t="s">
        <v>317</v>
      </c>
      <c r="Y1" s="6" t="s">
        <v>318</v>
      </c>
      <c r="Z1" s="6" t="s">
        <v>319</v>
      </c>
      <c r="AA1" s="6" t="s">
        <v>320</v>
      </c>
      <c r="AB1" s="6" t="s">
        <v>321</v>
      </c>
      <c r="AC1" s="6" t="s">
        <v>322</v>
      </c>
      <c r="AD1" s="6" t="s">
        <v>323</v>
      </c>
      <c r="AE1" s="6" t="s">
        <v>324</v>
      </c>
      <c r="AF1" s="6" t="s">
        <v>325</v>
      </c>
      <c r="AG1" s="6" t="s">
        <v>326</v>
      </c>
      <c r="AH1" s="6" t="s">
        <v>327</v>
      </c>
      <c r="AI1" s="6" t="s">
        <v>328</v>
      </c>
      <c r="AJ1" s="6" t="s">
        <v>329</v>
      </c>
      <c r="AK1" s="6" t="s">
        <v>330</v>
      </c>
      <c r="AL1" s="6" t="s">
        <v>331</v>
      </c>
      <c r="AM1" s="6" t="s">
        <v>332</v>
      </c>
      <c r="AN1" s="6" t="s">
        <v>333</v>
      </c>
      <c r="AO1" s="6" t="s">
        <v>334</v>
      </c>
      <c r="AP1" s="6" t="s">
        <v>335</v>
      </c>
      <c r="AQ1" s="6" t="s">
        <v>336</v>
      </c>
      <c r="AR1" s="6" t="s">
        <v>337</v>
      </c>
      <c r="AS1" s="6" t="s">
        <v>338</v>
      </c>
      <c r="AT1" s="6" t="s">
        <v>339</v>
      </c>
      <c r="AU1" s="6" t="s">
        <v>340</v>
      </c>
      <c r="AV1" s="6" t="s">
        <v>341</v>
      </c>
      <c r="AW1" s="6" t="s">
        <v>342</v>
      </c>
      <c r="AX1" s="6" t="s">
        <v>343</v>
      </c>
      <c r="AY1" s="6" t="s">
        <v>344</v>
      </c>
      <c r="AZ1" s="6" t="s">
        <v>345</v>
      </c>
      <c r="BA1" s="6" t="s">
        <v>346</v>
      </c>
      <c r="BB1" s="6" t="s">
        <v>347</v>
      </c>
      <c r="BC1" s="6" t="s">
        <v>348</v>
      </c>
      <c r="BD1" s="6" t="s">
        <v>349</v>
      </c>
      <c r="BE1" s="6" t="s">
        <v>350</v>
      </c>
      <c r="BF1" s="6" t="s">
        <v>351</v>
      </c>
      <c r="BG1" s="6" t="s">
        <v>352</v>
      </c>
      <c r="BH1" s="6" t="s">
        <v>353</v>
      </c>
      <c r="BI1" s="6" t="s">
        <v>354</v>
      </c>
      <c r="BJ1" s="6" t="s">
        <v>355</v>
      </c>
      <c r="BK1" s="6" t="s">
        <v>356</v>
      </c>
      <c r="BL1" s="6" t="s">
        <v>357</v>
      </c>
      <c r="BM1" s="6" t="s">
        <v>358</v>
      </c>
      <c r="BN1" s="6" t="s">
        <v>359</v>
      </c>
      <c r="BO1" s="6" t="s">
        <v>360</v>
      </c>
      <c r="BP1" s="6" t="s">
        <v>361</v>
      </c>
      <c r="BQ1" s="6" t="s">
        <v>362</v>
      </c>
      <c r="BR1" s="6" t="s">
        <v>363</v>
      </c>
      <c r="BS1" s="6" t="s">
        <v>364</v>
      </c>
      <c r="BT1" s="6" t="s">
        <v>365</v>
      </c>
      <c r="BU1" s="6" t="s">
        <v>366</v>
      </c>
      <c r="BV1" s="6" t="s">
        <v>367</v>
      </c>
      <c r="BW1" s="6" t="s">
        <v>368</v>
      </c>
      <c r="BX1" s="6" t="s">
        <v>369</v>
      </c>
      <c r="BY1" s="6" t="s">
        <v>370</v>
      </c>
      <c r="BZ1" s="6" t="s">
        <v>371</v>
      </c>
      <c r="CA1" s="6" t="s">
        <v>372</v>
      </c>
      <c r="CB1" s="6" t="s">
        <v>373</v>
      </c>
      <c r="CC1" s="6" t="s">
        <v>374</v>
      </c>
      <c r="CD1" s="6" t="s">
        <v>375</v>
      </c>
      <c r="CE1" s="6" t="s">
        <v>376</v>
      </c>
      <c r="CF1" s="6" t="s">
        <v>377</v>
      </c>
      <c r="CG1" s="6" t="s">
        <v>378</v>
      </c>
      <c r="CH1" s="6" t="s">
        <v>379</v>
      </c>
      <c r="CI1" s="6" t="s">
        <v>380</v>
      </c>
      <c r="CJ1" s="6" t="s">
        <v>381</v>
      </c>
      <c r="CK1" s="6" t="s">
        <v>382</v>
      </c>
      <c r="CL1" s="6" t="s">
        <v>383</v>
      </c>
      <c r="CM1" s="6" t="s">
        <v>384</v>
      </c>
      <c r="CN1" s="6" t="s">
        <v>385</v>
      </c>
      <c r="CO1" s="6" t="s">
        <v>386</v>
      </c>
      <c r="CP1" s="6" t="s">
        <v>387</v>
      </c>
      <c r="CQ1" s="6" t="s">
        <v>388</v>
      </c>
      <c r="CR1" s="6" t="s">
        <v>389</v>
      </c>
      <c r="CS1" s="6" t="s">
        <v>390</v>
      </c>
      <c r="CT1" s="6" t="s">
        <v>391</v>
      </c>
      <c r="CU1" s="6" t="s">
        <v>392</v>
      </c>
      <c r="CV1" s="6" t="s">
        <v>393</v>
      </c>
      <c r="CW1" s="6" t="s">
        <v>394</v>
      </c>
      <c r="CX1" s="6" t="s">
        <v>395</v>
      </c>
      <c r="CY1" s="6" t="s">
        <v>396</v>
      </c>
    </row>
    <row r="2" spans="1:103" x14ac:dyDescent="0.2">
      <c r="A2" s="5" t="s">
        <v>397</v>
      </c>
      <c r="B2" s="5" t="s">
        <v>398</v>
      </c>
      <c r="C2" s="5" t="s">
        <v>296</v>
      </c>
      <c r="D2" s="6">
        <v>732704</v>
      </c>
      <c r="E2" s="6">
        <v>731238</v>
      </c>
      <c r="F2" s="6">
        <v>685905</v>
      </c>
      <c r="G2" s="6">
        <v>690144</v>
      </c>
      <c r="H2" s="6">
        <v>698632</v>
      </c>
      <c r="I2" s="6">
        <v>687788</v>
      </c>
      <c r="J2" s="6">
        <v>686902</v>
      </c>
      <c r="K2" s="6">
        <v>547526</v>
      </c>
      <c r="L2" s="6">
        <v>757207</v>
      </c>
      <c r="M2" s="6">
        <v>804926</v>
      </c>
      <c r="N2" s="6">
        <v>799441</v>
      </c>
      <c r="O2" s="6">
        <v>784055</v>
      </c>
      <c r="P2" s="6">
        <v>923681</v>
      </c>
      <c r="Q2" s="6">
        <v>861260</v>
      </c>
      <c r="R2" s="6">
        <v>839196</v>
      </c>
      <c r="S2" s="6">
        <v>866852</v>
      </c>
      <c r="T2" s="6">
        <v>815219</v>
      </c>
      <c r="U2" s="6">
        <v>824921</v>
      </c>
      <c r="V2" s="6">
        <v>760345</v>
      </c>
      <c r="W2" s="6">
        <v>631029</v>
      </c>
      <c r="X2" s="6">
        <v>909984</v>
      </c>
      <c r="Y2" s="6">
        <v>851610</v>
      </c>
      <c r="Z2" s="6">
        <v>923525</v>
      </c>
      <c r="AA2" s="6">
        <v>880234</v>
      </c>
      <c r="AB2" s="6">
        <v>1003027</v>
      </c>
      <c r="AC2" s="6">
        <v>889730</v>
      </c>
      <c r="AD2" s="6">
        <v>884230</v>
      </c>
      <c r="AE2" s="6">
        <v>890652</v>
      </c>
      <c r="AF2" s="6">
        <v>861183</v>
      </c>
      <c r="AG2" s="6">
        <v>852227</v>
      </c>
      <c r="AH2" s="6">
        <v>811245</v>
      </c>
      <c r="AI2" s="6">
        <v>593996</v>
      </c>
      <c r="AJ2" s="6">
        <v>776512</v>
      </c>
      <c r="AK2" s="6">
        <v>746433</v>
      </c>
      <c r="AL2" s="6">
        <v>873579</v>
      </c>
      <c r="AM2" s="6">
        <v>945874</v>
      </c>
      <c r="AN2" s="6">
        <v>926931</v>
      </c>
      <c r="AO2" s="6">
        <v>775351</v>
      </c>
      <c r="AP2" s="6">
        <v>831579</v>
      </c>
      <c r="AQ2" s="6">
        <v>862934</v>
      </c>
      <c r="AR2" s="6">
        <v>874062</v>
      </c>
      <c r="AS2" s="6">
        <v>853080</v>
      </c>
      <c r="AT2" s="6">
        <v>775085</v>
      </c>
      <c r="AU2" s="6">
        <v>570959</v>
      </c>
      <c r="AV2" s="6">
        <v>841125</v>
      </c>
      <c r="AW2" s="6">
        <v>773659</v>
      </c>
      <c r="AX2" s="6">
        <v>869453</v>
      </c>
      <c r="AY2" s="6">
        <v>904068</v>
      </c>
      <c r="AZ2" s="6">
        <v>824879</v>
      </c>
      <c r="BA2" s="6">
        <v>812383</v>
      </c>
      <c r="BB2" s="6">
        <v>839474</v>
      </c>
      <c r="BC2" s="6">
        <v>900082</v>
      </c>
      <c r="BD2" s="6">
        <v>851731</v>
      </c>
      <c r="BE2" s="6">
        <v>788649</v>
      </c>
      <c r="BF2" s="6">
        <v>581563</v>
      </c>
      <c r="BG2" s="6">
        <v>850198</v>
      </c>
      <c r="BH2" s="6">
        <v>872046</v>
      </c>
      <c r="BI2" s="6">
        <v>998092</v>
      </c>
      <c r="BJ2" s="6">
        <v>961475</v>
      </c>
      <c r="BK2" s="6">
        <v>1031227</v>
      </c>
      <c r="BL2" s="6">
        <v>986494</v>
      </c>
      <c r="BM2" s="6">
        <v>982628</v>
      </c>
      <c r="BN2" s="6">
        <v>1048597</v>
      </c>
      <c r="BO2" s="6">
        <v>987731</v>
      </c>
      <c r="BP2" s="6">
        <v>921063</v>
      </c>
      <c r="BQ2" s="6">
        <v>931126</v>
      </c>
      <c r="BR2" s="6">
        <v>725819</v>
      </c>
      <c r="BS2" s="6">
        <v>980620</v>
      </c>
      <c r="BT2" s="6">
        <v>971302</v>
      </c>
      <c r="BU2" s="6">
        <v>1082470</v>
      </c>
      <c r="BV2" s="6">
        <v>1110030</v>
      </c>
      <c r="BW2" s="6">
        <v>1101252</v>
      </c>
      <c r="BX2" s="6">
        <v>1089948</v>
      </c>
      <c r="BY2" s="6">
        <v>1004702</v>
      </c>
      <c r="BZ2" s="6">
        <v>1071798</v>
      </c>
      <c r="CA2" s="6">
        <v>1058963</v>
      </c>
      <c r="CB2" s="6">
        <v>971726</v>
      </c>
      <c r="CC2" s="6">
        <v>967765</v>
      </c>
      <c r="CD2" s="6">
        <v>768425</v>
      </c>
      <c r="CE2" s="6">
        <v>1049445</v>
      </c>
      <c r="CF2" s="6">
        <v>1062980</v>
      </c>
      <c r="CG2" s="6">
        <v>1129637</v>
      </c>
      <c r="CH2" s="6">
        <v>1076102</v>
      </c>
      <c r="CI2" s="6">
        <v>1165777</v>
      </c>
      <c r="CJ2" s="6">
        <v>1080412</v>
      </c>
      <c r="CK2" s="6">
        <v>1079746</v>
      </c>
      <c r="CL2" s="6">
        <v>1146722</v>
      </c>
      <c r="CM2" s="6">
        <v>1092661</v>
      </c>
      <c r="CN2" s="6">
        <v>1080392</v>
      </c>
      <c r="CO2" s="6">
        <v>1047987</v>
      </c>
      <c r="CP2" s="6">
        <v>819288</v>
      </c>
      <c r="CQ2" s="6">
        <v>1144043</v>
      </c>
      <c r="CR2" s="6">
        <v>1137737</v>
      </c>
      <c r="CS2" s="6">
        <v>1255630</v>
      </c>
      <c r="CT2" s="6">
        <v>1272951</v>
      </c>
      <c r="CU2" s="6">
        <v>1293497</v>
      </c>
      <c r="CV2" s="6">
        <v>1197609</v>
      </c>
      <c r="CW2" s="6">
        <v>1190535</v>
      </c>
      <c r="CX2" s="6">
        <v>1253523</v>
      </c>
      <c r="CY2" s="6">
        <v>1224287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57"/>
  <sheetViews>
    <sheetView zoomScale="80" zoomScaleNormal="80" workbookViewId="0">
      <pane xSplit="1" ySplit="1" topLeftCell="DN2" activePane="bottomRight" state="frozen"/>
      <selection pane="topRight" activeCell="B1" sqref="B1"/>
      <selection pane="bottomLeft" activeCell="A2" sqref="A2"/>
      <selection pane="bottomRight" activeCell="EJ2" sqref="EJ2"/>
    </sheetView>
  </sheetViews>
  <sheetFormatPr defaultRowHeight="15" x14ac:dyDescent="0.25"/>
  <cols>
    <col min="1" max="16384" width="9.140625" style="4"/>
  </cols>
  <sheetData>
    <row r="1" spans="1:14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</row>
    <row r="2" spans="1:140" x14ac:dyDescent="0.25">
      <c r="A2" s="4" t="s">
        <v>138</v>
      </c>
      <c r="B2" s="4">
        <v>1552</v>
      </c>
      <c r="C2" s="4">
        <v>2940</v>
      </c>
      <c r="D2" s="4">
        <v>61</v>
      </c>
      <c r="E2" s="4">
        <v>841</v>
      </c>
      <c r="F2" s="4">
        <v>10</v>
      </c>
      <c r="G2" s="4">
        <v>17</v>
      </c>
      <c r="H2" s="4">
        <v>7635</v>
      </c>
      <c r="I2" s="4">
        <v>33</v>
      </c>
      <c r="J2" s="4">
        <v>540</v>
      </c>
      <c r="K2" s="4">
        <v>7</v>
      </c>
      <c r="L2" s="4">
        <v>841</v>
      </c>
      <c r="M2" s="4">
        <v>160</v>
      </c>
      <c r="N2" s="4">
        <v>7014</v>
      </c>
      <c r="O2" s="4">
        <v>804</v>
      </c>
      <c r="P2" s="4">
        <v>548</v>
      </c>
      <c r="Q2" s="4">
        <v>3984</v>
      </c>
      <c r="R2" s="4">
        <v>6</v>
      </c>
      <c r="S2" s="4">
        <v>825</v>
      </c>
      <c r="T2" s="4">
        <v>1520</v>
      </c>
      <c r="U2" s="4">
        <v>1134</v>
      </c>
      <c r="V2" s="4">
        <v>2352</v>
      </c>
      <c r="W2" s="4">
        <v>1486</v>
      </c>
      <c r="X2" s="4">
        <v>186</v>
      </c>
      <c r="Y2" s="4">
        <v>292</v>
      </c>
      <c r="Z2" s="4">
        <v>356</v>
      </c>
      <c r="AA2" s="4">
        <v>343</v>
      </c>
      <c r="AB2" s="4">
        <v>2788</v>
      </c>
      <c r="AC2" s="4">
        <v>210</v>
      </c>
      <c r="AD2" s="4">
        <v>163</v>
      </c>
      <c r="AE2" s="4">
        <v>807</v>
      </c>
      <c r="AF2" s="4">
        <v>1295</v>
      </c>
      <c r="AG2">
        <v>14684</v>
      </c>
      <c r="AH2" s="4">
        <v>190</v>
      </c>
      <c r="AI2" s="4">
        <v>1758</v>
      </c>
      <c r="AJ2" s="4">
        <v>151</v>
      </c>
      <c r="AK2" s="4">
        <v>993</v>
      </c>
      <c r="AL2" s="4">
        <v>2532</v>
      </c>
      <c r="AM2" s="4">
        <v>300</v>
      </c>
      <c r="AN2" s="4">
        <v>179</v>
      </c>
      <c r="AO2" s="4">
        <v>7500</v>
      </c>
      <c r="AP2" s="4">
        <v>293</v>
      </c>
      <c r="AQ2" s="4">
        <v>66</v>
      </c>
      <c r="AR2" s="4">
        <v>1134</v>
      </c>
      <c r="AS2" s="4">
        <v>6227</v>
      </c>
      <c r="AT2" s="4">
        <v>469</v>
      </c>
      <c r="AU2" s="4">
        <v>1179</v>
      </c>
      <c r="AV2" s="4">
        <v>1729</v>
      </c>
      <c r="AW2" s="4">
        <v>5233</v>
      </c>
      <c r="AX2" s="4">
        <v>14565</v>
      </c>
      <c r="AY2" s="4">
        <v>44</v>
      </c>
      <c r="AZ2" s="4">
        <v>351</v>
      </c>
      <c r="BA2" s="4">
        <v>5241</v>
      </c>
      <c r="BB2" s="4">
        <v>32</v>
      </c>
      <c r="BC2" s="4">
        <v>227</v>
      </c>
      <c r="BD2" s="4">
        <v>3644</v>
      </c>
      <c r="BE2" s="4">
        <v>1094</v>
      </c>
      <c r="BF2" s="4">
        <v>1258</v>
      </c>
      <c r="BG2" s="4">
        <v>2245</v>
      </c>
      <c r="BH2" s="4">
        <v>899</v>
      </c>
      <c r="BI2" s="4">
        <v>15426</v>
      </c>
      <c r="BJ2" s="4">
        <v>1777</v>
      </c>
      <c r="BK2" s="4">
        <v>3656</v>
      </c>
      <c r="BL2" s="4">
        <v>2579</v>
      </c>
      <c r="BM2" s="4">
        <v>3053</v>
      </c>
      <c r="BN2" s="4">
        <v>762</v>
      </c>
      <c r="BO2" s="4">
        <v>583</v>
      </c>
      <c r="BP2" s="4">
        <v>12692</v>
      </c>
      <c r="BQ2" s="4">
        <v>1583</v>
      </c>
      <c r="BR2" s="4">
        <v>36046</v>
      </c>
      <c r="BS2" s="4">
        <v>6549</v>
      </c>
      <c r="BT2" s="4">
        <v>4237</v>
      </c>
      <c r="BU2" s="4">
        <v>10184</v>
      </c>
      <c r="BV2" s="4">
        <v>1646</v>
      </c>
      <c r="BW2" s="4">
        <v>6876</v>
      </c>
      <c r="BX2" s="4">
        <v>1199</v>
      </c>
      <c r="BY2" s="4">
        <v>3453</v>
      </c>
      <c r="BZ2" s="4">
        <v>9945</v>
      </c>
      <c r="CA2" s="4">
        <v>1204</v>
      </c>
      <c r="CB2" s="4">
        <v>559</v>
      </c>
      <c r="CC2" s="4">
        <v>4724</v>
      </c>
      <c r="CD2" s="4">
        <v>2135</v>
      </c>
      <c r="CE2" s="4">
        <v>1766</v>
      </c>
      <c r="CF2" s="4">
        <v>3902</v>
      </c>
      <c r="CG2" s="4">
        <v>59154</v>
      </c>
      <c r="CH2" s="4">
        <v>9486</v>
      </c>
      <c r="CI2" s="4">
        <v>17020</v>
      </c>
      <c r="CJ2" s="4">
        <v>3280</v>
      </c>
      <c r="CK2" s="4">
        <v>9739</v>
      </c>
      <c r="CL2" s="4">
        <v>8435</v>
      </c>
      <c r="CM2" s="4">
        <v>8969</v>
      </c>
      <c r="CN2" s="4">
        <v>22174</v>
      </c>
      <c r="CO2" s="4">
        <v>3087</v>
      </c>
      <c r="CP2" s="4">
        <v>1788</v>
      </c>
      <c r="CQ2" s="4">
        <v>2168</v>
      </c>
      <c r="CR2" s="4">
        <v>4953</v>
      </c>
      <c r="CS2" s="4">
        <v>13083</v>
      </c>
      <c r="CT2" s="4">
        <v>9902</v>
      </c>
      <c r="CU2" s="4">
        <v>893</v>
      </c>
      <c r="CV2" s="4">
        <v>107413</v>
      </c>
      <c r="CW2" s="4">
        <v>2642</v>
      </c>
      <c r="CX2" s="4">
        <v>961</v>
      </c>
      <c r="CY2" s="4">
        <v>11307</v>
      </c>
      <c r="CZ2" s="4">
        <v>4606</v>
      </c>
      <c r="DA2" s="4">
        <v>3558</v>
      </c>
      <c r="DB2" s="4">
        <v>5857</v>
      </c>
      <c r="DC2" s="4">
        <v>1916</v>
      </c>
      <c r="DD2" s="4">
        <v>2209</v>
      </c>
      <c r="DE2" s="4">
        <v>1393</v>
      </c>
      <c r="DF2" s="4">
        <v>22029</v>
      </c>
      <c r="DG2" s="4">
        <v>7430</v>
      </c>
      <c r="DH2" s="4">
        <v>7012</v>
      </c>
      <c r="DI2" s="4">
        <v>2835</v>
      </c>
      <c r="DJ2" s="4">
        <v>11362</v>
      </c>
      <c r="DK2" s="4">
        <v>7406</v>
      </c>
      <c r="DL2" s="4">
        <v>5441</v>
      </c>
      <c r="DM2" s="4">
        <v>6600</v>
      </c>
      <c r="DN2" s="4">
        <v>8247</v>
      </c>
      <c r="DO2" s="4">
        <v>1601</v>
      </c>
      <c r="DP2" s="4">
        <v>4364</v>
      </c>
      <c r="DQ2" s="4">
        <v>30935</v>
      </c>
      <c r="DR2" s="4">
        <v>1903</v>
      </c>
      <c r="DS2" s="4">
        <v>5073</v>
      </c>
      <c r="DT2" s="4">
        <v>494</v>
      </c>
      <c r="DU2" s="4">
        <v>5059</v>
      </c>
      <c r="DV2" s="4">
        <v>2005</v>
      </c>
      <c r="DW2" s="4">
        <v>2746</v>
      </c>
      <c r="DX2" s="4">
        <v>4388</v>
      </c>
      <c r="DY2" s="4">
        <v>1031</v>
      </c>
      <c r="DZ2" s="4">
        <v>1340</v>
      </c>
      <c r="EA2" s="4">
        <v>5220</v>
      </c>
      <c r="EB2" s="4">
        <v>2651</v>
      </c>
      <c r="EC2" s="4">
        <v>456</v>
      </c>
      <c r="ED2" s="4">
        <v>429</v>
      </c>
      <c r="EE2" s="4">
        <v>14943</v>
      </c>
      <c r="EF2" s="4">
        <v>1544</v>
      </c>
      <c r="EG2" s="4">
        <v>5639</v>
      </c>
      <c r="EH2" s="4">
        <v>12413</v>
      </c>
      <c r="EJ2" s="4">
        <f>SUM(B2:EH2)</f>
        <v>750092</v>
      </c>
    </row>
    <row r="3" spans="1:140" x14ac:dyDescent="0.25">
      <c r="A3" s="4" t="s">
        <v>139</v>
      </c>
      <c r="B3" s="4">
        <v>1509</v>
      </c>
      <c r="C3" s="4">
        <v>2980</v>
      </c>
      <c r="D3" s="4">
        <v>40</v>
      </c>
      <c r="E3" s="4">
        <v>711</v>
      </c>
      <c r="F3" s="4">
        <v>7</v>
      </c>
      <c r="G3" s="4">
        <v>18</v>
      </c>
      <c r="H3" s="4">
        <v>6286</v>
      </c>
      <c r="I3" s="4">
        <v>20</v>
      </c>
      <c r="J3" s="4">
        <v>344</v>
      </c>
      <c r="K3" s="4">
        <v>10</v>
      </c>
      <c r="L3" s="4">
        <v>541</v>
      </c>
      <c r="M3" s="4">
        <v>129</v>
      </c>
      <c r="N3" s="4">
        <v>5661</v>
      </c>
      <c r="O3" s="4">
        <v>630</v>
      </c>
      <c r="P3" s="4">
        <v>409</v>
      </c>
      <c r="Q3" s="4">
        <v>4371</v>
      </c>
      <c r="R3" s="4">
        <v>3</v>
      </c>
      <c r="S3" s="4">
        <v>713</v>
      </c>
      <c r="T3" s="4">
        <v>1237</v>
      </c>
      <c r="U3" s="4">
        <v>885</v>
      </c>
      <c r="V3" s="4">
        <v>2233</v>
      </c>
      <c r="W3" s="4">
        <v>1418</v>
      </c>
      <c r="X3" s="4">
        <v>191</v>
      </c>
      <c r="Y3" s="4">
        <v>235</v>
      </c>
      <c r="Z3" s="4">
        <v>250</v>
      </c>
      <c r="AA3" s="4">
        <v>242</v>
      </c>
      <c r="AB3" s="4">
        <v>2883</v>
      </c>
      <c r="AC3" s="4">
        <v>153</v>
      </c>
      <c r="AD3" s="4">
        <v>151</v>
      </c>
      <c r="AE3" s="4">
        <v>1127</v>
      </c>
      <c r="AF3" s="4">
        <v>981</v>
      </c>
      <c r="AG3">
        <v>10847</v>
      </c>
      <c r="AH3" s="4">
        <v>318</v>
      </c>
      <c r="AI3" s="4">
        <v>2150</v>
      </c>
      <c r="AJ3" s="4">
        <v>151</v>
      </c>
      <c r="AK3" s="4">
        <v>919</v>
      </c>
      <c r="AL3" s="4">
        <v>2210</v>
      </c>
      <c r="AM3" s="4">
        <v>340</v>
      </c>
      <c r="AN3" s="4">
        <v>154</v>
      </c>
      <c r="AO3" s="4">
        <v>6565</v>
      </c>
      <c r="AP3" s="4">
        <v>254</v>
      </c>
      <c r="AQ3" s="4">
        <v>54</v>
      </c>
      <c r="AR3" s="4">
        <v>949</v>
      </c>
      <c r="AS3" s="4">
        <v>3389</v>
      </c>
      <c r="AT3" s="4">
        <v>441</v>
      </c>
      <c r="AU3" s="4">
        <v>848</v>
      </c>
      <c r="AV3" s="4">
        <v>1651</v>
      </c>
      <c r="AW3" s="4">
        <v>2924</v>
      </c>
      <c r="AX3" s="4">
        <v>13330</v>
      </c>
      <c r="AY3" s="4">
        <v>38</v>
      </c>
      <c r="AZ3" s="4">
        <v>346</v>
      </c>
      <c r="BA3" s="4">
        <v>7853</v>
      </c>
      <c r="BB3" s="4">
        <v>32</v>
      </c>
      <c r="BC3" s="4">
        <v>237</v>
      </c>
      <c r="BD3" s="4">
        <v>3209</v>
      </c>
      <c r="BE3" s="4">
        <v>1532</v>
      </c>
      <c r="BF3" s="4">
        <v>907</v>
      </c>
      <c r="BG3" s="4">
        <v>2181</v>
      </c>
      <c r="BH3" s="4">
        <v>653</v>
      </c>
      <c r="BI3" s="4">
        <v>15760</v>
      </c>
      <c r="BJ3" s="4">
        <v>1763</v>
      </c>
      <c r="BK3" s="4">
        <v>3391</v>
      </c>
      <c r="BL3" s="4">
        <v>3699</v>
      </c>
      <c r="BM3" s="4">
        <v>2518</v>
      </c>
      <c r="BN3" s="4">
        <v>644</v>
      </c>
      <c r="BO3" s="4">
        <v>569</v>
      </c>
      <c r="BP3" s="4">
        <v>12960</v>
      </c>
      <c r="BQ3" s="4">
        <v>1408</v>
      </c>
      <c r="BR3" s="4">
        <v>35689</v>
      </c>
      <c r="BS3" s="4">
        <v>5541</v>
      </c>
      <c r="BT3" s="4">
        <v>4572</v>
      </c>
      <c r="BU3" s="4">
        <v>9904</v>
      </c>
      <c r="BV3" s="4">
        <v>1714</v>
      </c>
      <c r="BW3" s="4">
        <v>6760</v>
      </c>
      <c r="BX3" s="4">
        <v>1327</v>
      </c>
      <c r="BY3" s="4">
        <v>3138</v>
      </c>
      <c r="BZ3" s="4">
        <v>10487</v>
      </c>
      <c r="CA3" s="4">
        <v>1294</v>
      </c>
      <c r="CB3" s="4">
        <v>587</v>
      </c>
      <c r="CC3" s="4">
        <v>3035</v>
      </c>
      <c r="CD3" s="4">
        <v>2172</v>
      </c>
      <c r="CE3" s="4">
        <v>1718</v>
      </c>
      <c r="CF3" s="4">
        <v>3435</v>
      </c>
      <c r="CG3" s="4">
        <v>52276</v>
      </c>
      <c r="CH3" s="4">
        <v>7470</v>
      </c>
      <c r="CI3" s="4">
        <v>16770</v>
      </c>
      <c r="CJ3" s="4">
        <v>3409</v>
      </c>
      <c r="CK3" s="4">
        <v>7905</v>
      </c>
      <c r="CL3" s="4">
        <v>11153</v>
      </c>
      <c r="CM3" s="4">
        <v>8230</v>
      </c>
      <c r="CN3" s="4">
        <v>20719</v>
      </c>
      <c r="CO3" s="4">
        <v>3415</v>
      </c>
      <c r="CP3" s="4">
        <v>1868</v>
      </c>
      <c r="CQ3" s="4">
        <v>2653</v>
      </c>
      <c r="CR3" s="4">
        <v>3737</v>
      </c>
      <c r="CS3" s="4">
        <v>13383</v>
      </c>
      <c r="CT3" s="4">
        <v>9236</v>
      </c>
      <c r="CU3" s="4">
        <v>1159</v>
      </c>
      <c r="CV3" s="4">
        <v>109528</v>
      </c>
      <c r="CW3" s="4">
        <v>2638</v>
      </c>
      <c r="CX3" s="4">
        <v>904</v>
      </c>
      <c r="CY3" s="4">
        <v>12459</v>
      </c>
      <c r="CZ3" s="4">
        <v>1630</v>
      </c>
      <c r="DA3" s="4">
        <v>3830</v>
      </c>
      <c r="DB3" s="4">
        <v>6231</v>
      </c>
      <c r="DC3" s="4">
        <v>1984</v>
      </c>
      <c r="DD3" s="4">
        <v>2481</v>
      </c>
      <c r="DE3" s="4">
        <v>1377</v>
      </c>
      <c r="DF3" s="4">
        <v>24082</v>
      </c>
      <c r="DG3" s="4">
        <v>8575</v>
      </c>
      <c r="DH3" s="4">
        <v>9060</v>
      </c>
      <c r="DI3" s="4">
        <v>3334</v>
      </c>
      <c r="DJ3" s="4">
        <v>13291</v>
      </c>
      <c r="DK3" s="4">
        <v>8656</v>
      </c>
      <c r="DL3" s="4">
        <v>5976</v>
      </c>
      <c r="DM3" s="4">
        <v>6793</v>
      </c>
      <c r="DN3" s="4">
        <v>10203</v>
      </c>
      <c r="DO3" s="4">
        <v>1591</v>
      </c>
      <c r="DP3" s="4">
        <v>4433</v>
      </c>
      <c r="DQ3" s="4">
        <v>32841</v>
      </c>
      <c r="DR3" s="4">
        <v>1529</v>
      </c>
      <c r="DS3" s="4">
        <v>3321</v>
      </c>
      <c r="DT3" s="4">
        <v>396</v>
      </c>
      <c r="DU3" s="4">
        <v>4814</v>
      </c>
      <c r="DV3" s="4">
        <v>2094</v>
      </c>
      <c r="DW3" s="4">
        <v>2689</v>
      </c>
      <c r="DX3" s="4">
        <v>5046</v>
      </c>
      <c r="DY3" s="4">
        <v>895</v>
      </c>
      <c r="DZ3" s="4">
        <v>1117</v>
      </c>
      <c r="EA3" s="4">
        <v>4772</v>
      </c>
      <c r="EB3" s="4">
        <v>3064</v>
      </c>
      <c r="EC3" s="4">
        <v>306</v>
      </c>
      <c r="ED3" s="4">
        <v>351</v>
      </c>
      <c r="EE3" s="4">
        <v>14477</v>
      </c>
      <c r="EF3" s="4">
        <v>1214</v>
      </c>
      <c r="EG3" s="4">
        <v>4880</v>
      </c>
      <c r="EH3" s="4">
        <v>11792</v>
      </c>
      <c r="EJ3" s="4">
        <f t="shared" ref="EJ3:EJ66" si="0">SUM(B3:EH3)</f>
        <v>732972</v>
      </c>
    </row>
    <row r="4" spans="1:140" x14ac:dyDescent="0.25">
      <c r="A4" s="4" t="s">
        <v>140</v>
      </c>
      <c r="B4" s="4">
        <v>1810</v>
      </c>
      <c r="C4" s="4">
        <v>3624</v>
      </c>
      <c r="D4" s="4">
        <v>62</v>
      </c>
      <c r="E4" s="4">
        <v>919</v>
      </c>
      <c r="F4" s="4">
        <v>173</v>
      </c>
      <c r="G4" s="4">
        <v>12</v>
      </c>
      <c r="H4" s="4">
        <v>8191</v>
      </c>
      <c r="I4" s="4">
        <v>22</v>
      </c>
      <c r="J4" s="4">
        <v>614</v>
      </c>
      <c r="K4" s="4">
        <v>28</v>
      </c>
      <c r="L4" s="4">
        <v>861</v>
      </c>
      <c r="M4" s="4">
        <v>140</v>
      </c>
      <c r="N4" s="4">
        <v>6531</v>
      </c>
      <c r="O4" s="4">
        <v>934</v>
      </c>
      <c r="P4" s="4">
        <v>532</v>
      </c>
      <c r="Q4" s="4">
        <v>5352</v>
      </c>
      <c r="R4" s="4">
        <v>132</v>
      </c>
      <c r="S4" s="4">
        <v>1041</v>
      </c>
      <c r="T4" s="4">
        <v>1596</v>
      </c>
      <c r="U4" s="4">
        <v>991</v>
      </c>
      <c r="V4" s="4">
        <v>2577</v>
      </c>
      <c r="W4" s="4">
        <v>1539</v>
      </c>
      <c r="X4" s="4">
        <v>168</v>
      </c>
      <c r="Y4" s="4">
        <v>356</v>
      </c>
      <c r="Z4" s="4">
        <v>335</v>
      </c>
      <c r="AA4" s="4">
        <v>292</v>
      </c>
      <c r="AB4" s="4">
        <v>3028</v>
      </c>
      <c r="AC4" s="4">
        <v>229</v>
      </c>
      <c r="AD4" s="4">
        <v>167</v>
      </c>
      <c r="AE4" s="4">
        <v>862</v>
      </c>
      <c r="AF4" s="4">
        <v>1248</v>
      </c>
      <c r="AG4">
        <v>13175</v>
      </c>
      <c r="AH4" s="4">
        <v>133</v>
      </c>
      <c r="AI4" s="4">
        <v>1229</v>
      </c>
      <c r="AJ4" s="4">
        <v>234</v>
      </c>
      <c r="AK4" s="4">
        <v>1019</v>
      </c>
      <c r="AL4" s="4">
        <v>2254</v>
      </c>
      <c r="AM4" s="4">
        <v>387</v>
      </c>
      <c r="AN4" s="4">
        <v>198</v>
      </c>
      <c r="AO4" s="4">
        <v>6808</v>
      </c>
      <c r="AP4" s="4">
        <v>296</v>
      </c>
      <c r="AQ4" s="4">
        <v>71</v>
      </c>
      <c r="AR4" s="4">
        <v>1278</v>
      </c>
      <c r="AS4" s="4">
        <v>5430</v>
      </c>
      <c r="AT4" s="4">
        <v>440</v>
      </c>
      <c r="AU4" s="4">
        <v>1380</v>
      </c>
      <c r="AV4" s="4">
        <v>1874</v>
      </c>
      <c r="AW4" s="4">
        <v>12589</v>
      </c>
      <c r="AX4" s="4">
        <v>15094</v>
      </c>
      <c r="AY4" s="4">
        <v>114</v>
      </c>
      <c r="AZ4" s="4">
        <v>471</v>
      </c>
      <c r="BA4" s="4">
        <v>14835</v>
      </c>
      <c r="BB4" s="4">
        <v>78</v>
      </c>
      <c r="BC4" s="4">
        <v>341</v>
      </c>
      <c r="BD4" s="4">
        <v>4311</v>
      </c>
      <c r="BE4" s="4">
        <v>2502</v>
      </c>
      <c r="BF4" s="4">
        <v>1490</v>
      </c>
      <c r="BG4" s="4">
        <v>2428</v>
      </c>
      <c r="BH4" s="4">
        <v>1041</v>
      </c>
      <c r="BI4" s="4">
        <v>18805</v>
      </c>
      <c r="BJ4" s="4">
        <v>2213</v>
      </c>
      <c r="BK4" s="4">
        <v>4983</v>
      </c>
      <c r="BL4" s="4">
        <v>3605</v>
      </c>
      <c r="BM4" s="4">
        <v>3474</v>
      </c>
      <c r="BN4" s="4">
        <v>894</v>
      </c>
      <c r="BO4" s="4">
        <v>815</v>
      </c>
      <c r="BP4" s="4">
        <v>14917</v>
      </c>
      <c r="BQ4" s="4">
        <v>1757</v>
      </c>
      <c r="BR4" s="4">
        <v>45587</v>
      </c>
      <c r="BS4" s="4">
        <v>6535</v>
      </c>
      <c r="BT4" s="4">
        <v>5700</v>
      </c>
      <c r="BU4" s="4">
        <v>11617</v>
      </c>
      <c r="BV4" s="4">
        <v>1928</v>
      </c>
      <c r="BW4" s="4">
        <v>8174</v>
      </c>
      <c r="BX4" s="4">
        <v>1630</v>
      </c>
      <c r="BY4" s="4">
        <v>4197</v>
      </c>
      <c r="BZ4" s="4">
        <v>13125</v>
      </c>
      <c r="CA4" s="4">
        <v>1565</v>
      </c>
      <c r="CB4" s="4">
        <v>847</v>
      </c>
      <c r="CC4" s="4">
        <v>3908</v>
      </c>
      <c r="CD4" s="4">
        <v>2810</v>
      </c>
      <c r="CE4" s="4">
        <v>2342</v>
      </c>
      <c r="CF4" s="4">
        <v>4453</v>
      </c>
      <c r="CG4" s="4">
        <v>64582</v>
      </c>
      <c r="CH4" s="4">
        <v>7868</v>
      </c>
      <c r="CI4" s="4">
        <v>15635</v>
      </c>
      <c r="CJ4" s="4">
        <v>4056</v>
      </c>
      <c r="CK4" s="4">
        <v>8917</v>
      </c>
      <c r="CL4" s="4">
        <v>7016</v>
      </c>
      <c r="CM4" s="4">
        <v>10059</v>
      </c>
      <c r="CN4" s="4">
        <v>24446</v>
      </c>
      <c r="CO4" s="4">
        <v>3487</v>
      </c>
      <c r="CP4" s="4">
        <v>2329</v>
      </c>
      <c r="CQ4" s="4">
        <v>2477</v>
      </c>
      <c r="CR4" s="4">
        <v>4964</v>
      </c>
      <c r="CS4" s="4">
        <v>15475</v>
      </c>
      <c r="CT4" s="4">
        <v>10828</v>
      </c>
      <c r="CU4" s="4">
        <v>1781</v>
      </c>
      <c r="CV4" s="4">
        <v>130487</v>
      </c>
      <c r="CW4" s="4">
        <v>3331</v>
      </c>
      <c r="CX4" s="4">
        <v>1210</v>
      </c>
      <c r="CY4" s="4">
        <v>14512</v>
      </c>
      <c r="CZ4" s="4">
        <v>1907</v>
      </c>
      <c r="DA4" s="4">
        <v>4070</v>
      </c>
      <c r="DB4" s="4">
        <v>7709</v>
      </c>
      <c r="DC4" s="4">
        <v>2282</v>
      </c>
      <c r="DD4" s="4">
        <v>2645</v>
      </c>
      <c r="DE4" s="4">
        <v>1538</v>
      </c>
      <c r="DF4" s="4">
        <v>25912</v>
      </c>
      <c r="DG4" s="4">
        <v>12821</v>
      </c>
      <c r="DH4" s="4">
        <v>8904</v>
      </c>
      <c r="DI4" s="4">
        <v>4920</v>
      </c>
      <c r="DJ4" s="4">
        <v>14645</v>
      </c>
      <c r="DK4" s="4">
        <v>10283</v>
      </c>
      <c r="DL4" s="4">
        <v>6913</v>
      </c>
      <c r="DM4" s="4">
        <v>8806</v>
      </c>
      <c r="DN4" s="4">
        <v>17496</v>
      </c>
      <c r="DO4" s="4">
        <v>2069</v>
      </c>
      <c r="DP4" s="4">
        <v>5811</v>
      </c>
      <c r="DQ4" s="4">
        <v>39532</v>
      </c>
      <c r="DR4" s="4">
        <v>2286</v>
      </c>
      <c r="DS4" s="4">
        <v>3398</v>
      </c>
      <c r="DT4" s="4">
        <v>448</v>
      </c>
      <c r="DU4" s="4">
        <v>5905</v>
      </c>
      <c r="DV4" s="4">
        <v>2844</v>
      </c>
      <c r="DW4" s="4">
        <v>3530</v>
      </c>
      <c r="DX4" s="4">
        <v>6213</v>
      </c>
      <c r="DY4" s="4">
        <v>1175</v>
      </c>
      <c r="DZ4" s="4">
        <v>1364</v>
      </c>
      <c r="EA4" s="4">
        <v>5960</v>
      </c>
      <c r="EB4" s="4">
        <v>4218</v>
      </c>
      <c r="EC4" s="4">
        <v>342</v>
      </c>
      <c r="ED4" s="4">
        <v>463</v>
      </c>
      <c r="EE4" s="4">
        <v>15954</v>
      </c>
      <c r="EF4" s="4">
        <v>1596</v>
      </c>
      <c r="EG4" s="4">
        <v>6080</v>
      </c>
      <c r="EH4" s="4">
        <v>14634</v>
      </c>
      <c r="EJ4" s="4">
        <f t="shared" si="0"/>
        <v>889880</v>
      </c>
    </row>
    <row r="5" spans="1:140" x14ac:dyDescent="0.25">
      <c r="A5" s="4" t="s">
        <v>141</v>
      </c>
      <c r="B5" s="4">
        <v>1338</v>
      </c>
      <c r="C5" s="4">
        <v>2920</v>
      </c>
      <c r="D5" s="4">
        <v>41</v>
      </c>
      <c r="E5" s="4">
        <v>696</v>
      </c>
      <c r="F5" s="4">
        <v>4</v>
      </c>
      <c r="G5" s="4">
        <v>13</v>
      </c>
      <c r="H5" s="4">
        <v>6826</v>
      </c>
      <c r="I5" s="4">
        <v>11</v>
      </c>
      <c r="J5" s="4">
        <v>583</v>
      </c>
      <c r="K5" s="4">
        <v>15</v>
      </c>
      <c r="L5" s="4">
        <v>509</v>
      </c>
      <c r="M5" s="4">
        <v>96</v>
      </c>
      <c r="N5" s="4">
        <v>6086</v>
      </c>
      <c r="O5" s="4">
        <v>617</v>
      </c>
      <c r="P5" s="4">
        <v>578</v>
      </c>
      <c r="Q5" s="4">
        <v>3932</v>
      </c>
      <c r="R5" s="4">
        <v>4</v>
      </c>
      <c r="S5" s="4">
        <v>683</v>
      </c>
      <c r="T5" s="4">
        <v>1676</v>
      </c>
      <c r="U5" s="4">
        <v>1001</v>
      </c>
      <c r="V5" s="4">
        <v>2078</v>
      </c>
      <c r="W5" s="4">
        <v>1460</v>
      </c>
      <c r="X5" s="4">
        <v>179</v>
      </c>
      <c r="Y5" s="4">
        <v>380</v>
      </c>
      <c r="Z5" s="4">
        <v>492</v>
      </c>
      <c r="AA5" s="4">
        <v>176</v>
      </c>
      <c r="AB5" s="4">
        <v>2620</v>
      </c>
      <c r="AC5" s="4">
        <v>209</v>
      </c>
      <c r="AD5" s="4">
        <v>128</v>
      </c>
      <c r="AE5" s="4">
        <v>820</v>
      </c>
      <c r="AF5" s="4">
        <v>636</v>
      </c>
      <c r="AG5">
        <v>11704</v>
      </c>
      <c r="AH5" s="4">
        <v>130</v>
      </c>
      <c r="AI5" s="4">
        <v>720</v>
      </c>
      <c r="AJ5" s="4">
        <v>149</v>
      </c>
      <c r="AK5" s="4">
        <v>947</v>
      </c>
      <c r="AL5" s="4">
        <v>1488</v>
      </c>
      <c r="AM5" s="4">
        <v>365</v>
      </c>
      <c r="AN5" s="4">
        <v>187</v>
      </c>
      <c r="AO5" s="4">
        <v>8106</v>
      </c>
      <c r="AP5" s="4">
        <v>303</v>
      </c>
      <c r="AQ5" s="4">
        <v>63</v>
      </c>
      <c r="AR5" s="4">
        <v>917</v>
      </c>
      <c r="AS5" s="4">
        <v>3092</v>
      </c>
      <c r="AT5" s="4">
        <v>397</v>
      </c>
      <c r="AU5" s="4">
        <v>1369</v>
      </c>
      <c r="AV5" s="4">
        <v>1520</v>
      </c>
      <c r="AW5" s="4">
        <v>9560</v>
      </c>
      <c r="AX5" s="4">
        <v>11479</v>
      </c>
      <c r="AY5" s="4">
        <v>45</v>
      </c>
      <c r="AZ5" s="4">
        <v>289</v>
      </c>
      <c r="BA5" s="4">
        <v>19876</v>
      </c>
      <c r="BB5" s="4">
        <v>52</v>
      </c>
      <c r="BC5" s="4">
        <v>261</v>
      </c>
      <c r="BD5" s="4">
        <v>4794</v>
      </c>
      <c r="BE5" s="4">
        <v>2342</v>
      </c>
      <c r="BF5" s="4">
        <v>1060</v>
      </c>
      <c r="BG5" s="4">
        <v>2100</v>
      </c>
      <c r="BH5" s="4">
        <v>767</v>
      </c>
      <c r="BI5" s="4">
        <v>16564</v>
      </c>
      <c r="BJ5" s="4">
        <v>2058</v>
      </c>
      <c r="BK5" s="4">
        <v>3933</v>
      </c>
      <c r="BL5" s="4">
        <v>2355</v>
      </c>
      <c r="BM5" s="4">
        <v>2690</v>
      </c>
      <c r="BN5" s="4">
        <v>671</v>
      </c>
      <c r="BO5" s="4">
        <v>762</v>
      </c>
      <c r="BP5" s="4">
        <v>13879</v>
      </c>
      <c r="BQ5" s="4">
        <v>1698</v>
      </c>
      <c r="BR5" s="4">
        <v>38921</v>
      </c>
      <c r="BS5" s="4">
        <v>5590</v>
      </c>
      <c r="BT5" s="4">
        <v>4732</v>
      </c>
      <c r="BU5" s="4">
        <v>10416</v>
      </c>
      <c r="BV5" s="4">
        <v>1559</v>
      </c>
      <c r="BW5" s="4">
        <v>6631</v>
      </c>
      <c r="BX5" s="4">
        <v>1606</v>
      </c>
      <c r="BY5" s="4">
        <v>3684</v>
      </c>
      <c r="BZ5" s="4">
        <v>9077</v>
      </c>
      <c r="CA5" s="4">
        <v>1119</v>
      </c>
      <c r="CB5" s="4">
        <v>533</v>
      </c>
      <c r="CC5" s="4">
        <v>3324</v>
      </c>
      <c r="CD5" s="4">
        <v>1739</v>
      </c>
      <c r="CE5" s="4">
        <v>1726</v>
      </c>
      <c r="CF5" s="4">
        <v>3839</v>
      </c>
      <c r="CG5" s="4">
        <v>52375</v>
      </c>
      <c r="CH5" s="4">
        <v>9936</v>
      </c>
      <c r="CI5" s="4">
        <v>23218</v>
      </c>
      <c r="CJ5" s="4">
        <v>3394</v>
      </c>
      <c r="CK5" s="4">
        <v>9246</v>
      </c>
      <c r="CL5" s="4">
        <v>5653</v>
      </c>
      <c r="CM5" s="4">
        <v>9799</v>
      </c>
      <c r="CN5" s="4">
        <v>21882</v>
      </c>
      <c r="CO5" s="4">
        <v>2820</v>
      </c>
      <c r="CP5" s="4">
        <v>1840</v>
      </c>
      <c r="CQ5" s="4">
        <v>2538</v>
      </c>
      <c r="CR5" s="4">
        <v>4551</v>
      </c>
      <c r="CS5" s="4">
        <v>13146</v>
      </c>
      <c r="CT5" s="4">
        <v>8653</v>
      </c>
      <c r="CU5" s="4">
        <v>1007</v>
      </c>
      <c r="CV5" s="4">
        <v>110332</v>
      </c>
      <c r="CW5" s="4">
        <v>3170</v>
      </c>
      <c r="CX5" s="4">
        <v>1108</v>
      </c>
      <c r="CY5" s="4">
        <v>13120</v>
      </c>
      <c r="CZ5" s="4">
        <v>1702</v>
      </c>
      <c r="DA5" s="4">
        <v>3671</v>
      </c>
      <c r="DB5" s="4">
        <v>6044</v>
      </c>
      <c r="DC5" s="4">
        <v>1973</v>
      </c>
      <c r="DD5" s="4">
        <v>2291</v>
      </c>
      <c r="DE5" s="4">
        <v>1225</v>
      </c>
      <c r="DF5" s="4">
        <v>23342</v>
      </c>
      <c r="DG5" s="4">
        <v>10004</v>
      </c>
      <c r="DH5" s="4">
        <v>7876</v>
      </c>
      <c r="DI5" s="4">
        <v>3152</v>
      </c>
      <c r="DJ5" s="4">
        <v>11899</v>
      </c>
      <c r="DK5" s="4">
        <v>7346</v>
      </c>
      <c r="DL5" s="4">
        <v>5174</v>
      </c>
      <c r="DM5" s="4">
        <v>8723</v>
      </c>
      <c r="DN5" s="4">
        <v>11319</v>
      </c>
      <c r="DO5" s="4">
        <v>1754</v>
      </c>
      <c r="DP5" s="4">
        <v>5503</v>
      </c>
      <c r="DQ5" s="4">
        <v>34717</v>
      </c>
      <c r="DR5" s="4">
        <v>2408</v>
      </c>
      <c r="DS5" s="4">
        <v>3562</v>
      </c>
      <c r="DT5" s="4">
        <v>452</v>
      </c>
      <c r="DU5" s="4">
        <v>4897</v>
      </c>
      <c r="DV5" s="4">
        <v>2822</v>
      </c>
      <c r="DW5" s="4">
        <v>3097</v>
      </c>
      <c r="DX5" s="4">
        <v>6522</v>
      </c>
      <c r="DY5" s="4">
        <v>1143</v>
      </c>
      <c r="DZ5" s="4">
        <v>1217</v>
      </c>
      <c r="EA5" s="4">
        <v>4030</v>
      </c>
      <c r="EB5" s="4">
        <v>4863</v>
      </c>
      <c r="EC5" s="4">
        <v>360</v>
      </c>
      <c r="ED5" s="4">
        <v>424</v>
      </c>
      <c r="EE5" s="4">
        <v>14546</v>
      </c>
      <c r="EF5" s="4">
        <v>1619</v>
      </c>
      <c r="EG5" s="4">
        <v>5480</v>
      </c>
      <c r="EH5" s="4">
        <v>10988</v>
      </c>
      <c r="EJ5" s="4">
        <f t="shared" si="0"/>
        <v>773928</v>
      </c>
    </row>
    <row r="6" spans="1:140" x14ac:dyDescent="0.25">
      <c r="A6" s="4" t="s">
        <v>142</v>
      </c>
      <c r="B6" s="4">
        <v>1571</v>
      </c>
      <c r="C6" s="4">
        <v>3189</v>
      </c>
      <c r="D6" s="4">
        <v>37</v>
      </c>
      <c r="E6" s="4">
        <v>781</v>
      </c>
      <c r="F6" s="4">
        <v>6</v>
      </c>
      <c r="G6" s="4">
        <v>10</v>
      </c>
      <c r="H6" s="4">
        <v>6552</v>
      </c>
      <c r="I6" s="4">
        <v>24</v>
      </c>
      <c r="J6" s="4">
        <v>529</v>
      </c>
      <c r="K6" s="4">
        <v>14</v>
      </c>
      <c r="L6" s="4">
        <v>601</v>
      </c>
      <c r="M6" s="4">
        <v>155</v>
      </c>
      <c r="N6" s="4">
        <v>5433</v>
      </c>
      <c r="O6" s="4">
        <v>630</v>
      </c>
      <c r="P6" s="4">
        <v>437</v>
      </c>
      <c r="Q6" s="4">
        <v>4150</v>
      </c>
      <c r="R6" s="4">
        <v>2</v>
      </c>
      <c r="S6" s="4">
        <v>697</v>
      </c>
      <c r="T6" s="4">
        <v>1672</v>
      </c>
      <c r="U6" s="4">
        <v>1004</v>
      </c>
      <c r="V6" s="4">
        <v>2071</v>
      </c>
      <c r="W6" s="4">
        <v>1318</v>
      </c>
      <c r="X6" s="4">
        <v>202</v>
      </c>
      <c r="Y6" s="4">
        <v>361</v>
      </c>
      <c r="Z6" s="4">
        <v>948</v>
      </c>
      <c r="AA6" s="4">
        <v>219</v>
      </c>
      <c r="AB6" s="4">
        <v>2490</v>
      </c>
      <c r="AC6" s="4">
        <v>256</v>
      </c>
      <c r="AD6" s="4">
        <v>154</v>
      </c>
      <c r="AE6" s="4">
        <v>621</v>
      </c>
      <c r="AF6" s="4">
        <v>688</v>
      </c>
      <c r="AG6">
        <v>12126</v>
      </c>
      <c r="AH6" s="4">
        <v>122</v>
      </c>
      <c r="AI6" s="4">
        <v>584</v>
      </c>
      <c r="AJ6" s="4">
        <v>130</v>
      </c>
      <c r="AK6" s="4">
        <v>914</v>
      </c>
      <c r="AL6" s="4">
        <v>1249</v>
      </c>
      <c r="AM6" s="4">
        <v>343</v>
      </c>
      <c r="AN6" s="4">
        <v>155</v>
      </c>
      <c r="AO6" s="4">
        <v>4811</v>
      </c>
      <c r="AP6" s="4">
        <v>320</v>
      </c>
      <c r="AQ6" s="4">
        <v>40</v>
      </c>
      <c r="AR6" s="4">
        <v>986</v>
      </c>
      <c r="AS6" s="4">
        <v>3240</v>
      </c>
      <c r="AT6" s="4">
        <v>370</v>
      </c>
      <c r="AU6" s="4">
        <v>1369</v>
      </c>
      <c r="AV6" s="4">
        <v>1726</v>
      </c>
      <c r="AW6" s="4">
        <v>1435</v>
      </c>
      <c r="AX6" s="4">
        <v>10165</v>
      </c>
      <c r="AY6" s="4">
        <v>55</v>
      </c>
      <c r="AZ6" s="4">
        <v>290</v>
      </c>
      <c r="BA6" s="4">
        <v>4574</v>
      </c>
      <c r="BB6" s="4">
        <v>47</v>
      </c>
      <c r="BC6" s="4">
        <v>261</v>
      </c>
      <c r="BD6" s="4">
        <v>4071</v>
      </c>
      <c r="BE6" s="4">
        <v>2392</v>
      </c>
      <c r="BF6" s="4">
        <v>1645</v>
      </c>
      <c r="BG6" s="4">
        <v>1961</v>
      </c>
      <c r="BH6" s="4">
        <v>694</v>
      </c>
      <c r="BI6" s="4">
        <v>14109</v>
      </c>
      <c r="BJ6" s="4">
        <v>1777</v>
      </c>
      <c r="BK6" s="4">
        <v>4089</v>
      </c>
      <c r="BL6" s="4">
        <v>2198</v>
      </c>
      <c r="BM6" s="4">
        <v>2913</v>
      </c>
      <c r="BN6" s="4">
        <v>690</v>
      </c>
      <c r="BO6" s="4">
        <v>577</v>
      </c>
      <c r="BP6" s="4">
        <v>14890</v>
      </c>
      <c r="BQ6" s="4">
        <v>1514</v>
      </c>
      <c r="BR6" s="4">
        <v>38288</v>
      </c>
      <c r="BS6" s="4">
        <v>6421</v>
      </c>
      <c r="BT6" s="4">
        <v>4714</v>
      </c>
      <c r="BU6" s="4">
        <v>10542</v>
      </c>
      <c r="BV6" s="4">
        <v>1566</v>
      </c>
      <c r="BW6" s="4">
        <v>6575</v>
      </c>
      <c r="BX6" s="4">
        <v>1738</v>
      </c>
      <c r="BY6" s="4">
        <v>5456</v>
      </c>
      <c r="BZ6" s="4">
        <v>9602</v>
      </c>
      <c r="CA6" s="4">
        <v>1340</v>
      </c>
      <c r="CB6" s="4">
        <v>573</v>
      </c>
      <c r="CC6" s="4">
        <v>3755</v>
      </c>
      <c r="CD6" s="4">
        <v>2172</v>
      </c>
      <c r="CE6" s="4">
        <v>1732</v>
      </c>
      <c r="CF6" s="4">
        <v>3944</v>
      </c>
      <c r="CG6" s="4">
        <v>52700</v>
      </c>
      <c r="CH6" s="4">
        <v>7036</v>
      </c>
      <c r="CI6" s="4">
        <v>16170</v>
      </c>
      <c r="CJ6" s="4">
        <v>3324</v>
      </c>
      <c r="CK6" s="4">
        <v>9055</v>
      </c>
      <c r="CL6" s="4">
        <v>5325</v>
      </c>
      <c r="CM6" s="4">
        <v>7567</v>
      </c>
      <c r="CN6" s="4">
        <v>22326</v>
      </c>
      <c r="CO6" s="4">
        <v>3012</v>
      </c>
      <c r="CP6" s="4">
        <v>1987</v>
      </c>
      <c r="CQ6" s="4">
        <v>2208</v>
      </c>
      <c r="CR6" s="4">
        <v>3981</v>
      </c>
      <c r="CS6" s="4">
        <v>13352</v>
      </c>
      <c r="CT6" s="4">
        <v>8906</v>
      </c>
      <c r="CU6" s="4">
        <v>995</v>
      </c>
      <c r="CV6" s="4">
        <v>113433</v>
      </c>
      <c r="CW6" s="4">
        <v>2697</v>
      </c>
      <c r="CX6" s="4">
        <v>1108</v>
      </c>
      <c r="CY6" s="4">
        <v>12080</v>
      </c>
      <c r="CZ6" s="4">
        <v>1919</v>
      </c>
      <c r="DA6" s="4">
        <v>4154</v>
      </c>
      <c r="DB6" s="4">
        <v>5284</v>
      </c>
      <c r="DC6" s="4">
        <v>1728</v>
      </c>
      <c r="DD6" s="4">
        <v>2299</v>
      </c>
      <c r="DE6" s="4">
        <v>1412</v>
      </c>
      <c r="DF6" s="4">
        <v>23001</v>
      </c>
      <c r="DG6" s="4">
        <v>9502</v>
      </c>
      <c r="DH6" s="4">
        <v>8053</v>
      </c>
      <c r="DI6" s="4">
        <v>4355</v>
      </c>
      <c r="DJ6" s="4">
        <v>12059</v>
      </c>
      <c r="DK6" s="4">
        <v>7054</v>
      </c>
      <c r="DL6" s="4">
        <v>5389</v>
      </c>
      <c r="DM6" s="4">
        <v>7948</v>
      </c>
      <c r="DN6" s="4">
        <v>12511</v>
      </c>
      <c r="DO6" s="4">
        <v>1919</v>
      </c>
      <c r="DP6" s="4">
        <v>6842</v>
      </c>
      <c r="DQ6" s="4">
        <v>32542</v>
      </c>
      <c r="DR6" s="4">
        <v>2464</v>
      </c>
      <c r="DS6" s="4">
        <v>2668</v>
      </c>
      <c r="DT6" s="4">
        <v>339</v>
      </c>
      <c r="DU6" s="4">
        <v>4703</v>
      </c>
      <c r="DV6" s="4">
        <v>2778</v>
      </c>
      <c r="DW6" s="4">
        <v>2883</v>
      </c>
      <c r="DX6" s="4">
        <v>6181</v>
      </c>
      <c r="DY6" s="4">
        <v>1159</v>
      </c>
      <c r="DZ6" s="4">
        <v>1320</v>
      </c>
      <c r="EA6" s="4">
        <v>4942</v>
      </c>
      <c r="EB6" s="4">
        <v>4291</v>
      </c>
      <c r="EC6" s="4">
        <v>377</v>
      </c>
      <c r="ED6" s="4">
        <v>453</v>
      </c>
      <c r="EE6" s="4">
        <v>15315</v>
      </c>
      <c r="EF6" s="4">
        <v>1809</v>
      </c>
      <c r="EG6" s="4">
        <v>5991</v>
      </c>
      <c r="EH6" s="4">
        <v>12427</v>
      </c>
      <c r="EJ6" s="4">
        <f t="shared" si="0"/>
        <v>739405</v>
      </c>
    </row>
    <row r="7" spans="1:140" x14ac:dyDescent="0.25">
      <c r="A7" s="4" t="s">
        <v>143</v>
      </c>
      <c r="B7" s="4">
        <v>1612</v>
      </c>
      <c r="C7" s="4">
        <v>3163</v>
      </c>
      <c r="D7" s="4">
        <v>54</v>
      </c>
      <c r="E7" s="4">
        <v>851</v>
      </c>
      <c r="F7" s="4">
        <v>4</v>
      </c>
      <c r="G7" s="4">
        <v>25</v>
      </c>
      <c r="H7" s="4">
        <v>7132</v>
      </c>
      <c r="I7" s="4">
        <v>30</v>
      </c>
      <c r="J7" s="4">
        <v>636</v>
      </c>
      <c r="K7" s="4">
        <v>13</v>
      </c>
      <c r="L7" s="4">
        <v>671</v>
      </c>
      <c r="M7" s="4">
        <v>194</v>
      </c>
      <c r="N7" s="4">
        <v>6509</v>
      </c>
      <c r="O7" s="4">
        <v>737</v>
      </c>
      <c r="P7" s="4">
        <v>524</v>
      </c>
      <c r="Q7" s="4">
        <v>5092</v>
      </c>
      <c r="R7" s="4">
        <v>18</v>
      </c>
      <c r="S7" s="4">
        <v>839</v>
      </c>
      <c r="T7" s="4">
        <v>1768</v>
      </c>
      <c r="U7" s="4">
        <v>1288</v>
      </c>
      <c r="V7" s="4">
        <v>2735</v>
      </c>
      <c r="W7" s="4">
        <v>1471</v>
      </c>
      <c r="X7" s="4">
        <v>227</v>
      </c>
      <c r="Y7" s="4">
        <v>331</v>
      </c>
      <c r="Z7" s="4">
        <v>462</v>
      </c>
      <c r="AA7" s="4">
        <v>275</v>
      </c>
      <c r="AB7" s="4">
        <v>2579</v>
      </c>
      <c r="AC7" s="4">
        <v>263</v>
      </c>
      <c r="AD7" s="4">
        <v>149</v>
      </c>
      <c r="AE7" s="4">
        <v>753</v>
      </c>
      <c r="AF7" s="4">
        <v>805</v>
      </c>
      <c r="AG7">
        <v>12760</v>
      </c>
      <c r="AH7" s="4">
        <v>132</v>
      </c>
      <c r="AI7" s="4">
        <v>538</v>
      </c>
      <c r="AJ7" s="4">
        <v>123</v>
      </c>
      <c r="AK7" s="4">
        <v>815</v>
      </c>
      <c r="AL7" s="4">
        <v>1627</v>
      </c>
      <c r="AM7" s="4">
        <v>426</v>
      </c>
      <c r="AN7" s="4">
        <v>224</v>
      </c>
      <c r="AO7" s="4">
        <v>5710</v>
      </c>
      <c r="AP7" s="4">
        <v>274</v>
      </c>
      <c r="AQ7" s="4">
        <v>62</v>
      </c>
      <c r="AR7" s="4">
        <v>1010</v>
      </c>
      <c r="AS7" s="4">
        <v>2477</v>
      </c>
      <c r="AT7" s="4">
        <v>451</v>
      </c>
      <c r="AU7" s="4">
        <v>1488</v>
      </c>
      <c r="AV7" s="4">
        <v>1808</v>
      </c>
      <c r="AW7" s="4">
        <v>1149</v>
      </c>
      <c r="AX7" s="4">
        <v>10624</v>
      </c>
      <c r="AY7" s="4">
        <v>32</v>
      </c>
      <c r="AZ7" s="4">
        <v>279</v>
      </c>
      <c r="BA7" s="4">
        <v>3313</v>
      </c>
      <c r="BB7" s="4">
        <v>49</v>
      </c>
      <c r="BC7" s="4">
        <v>328</v>
      </c>
      <c r="BD7" s="4">
        <v>4233</v>
      </c>
      <c r="BE7" s="4">
        <v>2936</v>
      </c>
      <c r="BF7" s="4">
        <v>1502</v>
      </c>
      <c r="BG7" s="4">
        <v>2232</v>
      </c>
      <c r="BH7" s="4">
        <v>626</v>
      </c>
      <c r="BI7" s="4">
        <v>14750</v>
      </c>
      <c r="BJ7" s="4">
        <v>1941</v>
      </c>
      <c r="BK7" s="4">
        <v>4809</v>
      </c>
      <c r="BL7" s="4">
        <v>2435</v>
      </c>
      <c r="BM7" s="4">
        <v>3020</v>
      </c>
      <c r="BN7" s="4">
        <v>723</v>
      </c>
      <c r="BO7" s="4">
        <v>699</v>
      </c>
      <c r="BP7" s="4">
        <v>15467</v>
      </c>
      <c r="BQ7" s="4">
        <v>1492</v>
      </c>
      <c r="BR7" s="4">
        <v>38808</v>
      </c>
      <c r="BS7" s="4">
        <v>6602</v>
      </c>
      <c r="BT7" s="4">
        <v>5491</v>
      </c>
      <c r="BU7" s="4">
        <v>13056</v>
      </c>
      <c r="BV7" s="4">
        <v>1569</v>
      </c>
      <c r="BW7" s="4">
        <v>7951</v>
      </c>
      <c r="BX7" s="4">
        <v>2957</v>
      </c>
      <c r="BY7" s="4">
        <v>7565</v>
      </c>
      <c r="BZ7" s="4">
        <v>10746</v>
      </c>
      <c r="CA7" s="4">
        <v>1274</v>
      </c>
      <c r="CB7" s="4">
        <v>655</v>
      </c>
      <c r="CC7" s="4">
        <v>3875</v>
      </c>
      <c r="CD7" s="4">
        <v>2412</v>
      </c>
      <c r="CE7" s="4">
        <v>1729</v>
      </c>
      <c r="CF7" s="4">
        <v>4019</v>
      </c>
      <c r="CG7" s="4">
        <v>56464</v>
      </c>
      <c r="CH7" s="4">
        <v>7482</v>
      </c>
      <c r="CI7" s="4">
        <v>15672</v>
      </c>
      <c r="CJ7" s="4">
        <v>3647</v>
      </c>
      <c r="CK7" s="4">
        <v>10084</v>
      </c>
      <c r="CL7" s="4">
        <v>5482</v>
      </c>
      <c r="CM7" s="4">
        <v>8143</v>
      </c>
      <c r="CN7" s="4">
        <v>23880</v>
      </c>
      <c r="CO7" s="4">
        <v>4024</v>
      </c>
      <c r="CP7" s="4">
        <v>2327</v>
      </c>
      <c r="CQ7" s="4">
        <v>2594</v>
      </c>
      <c r="CR7" s="4">
        <v>4087</v>
      </c>
      <c r="CS7" s="4">
        <v>14142</v>
      </c>
      <c r="CT7" s="4">
        <v>10215</v>
      </c>
      <c r="CU7" s="4">
        <v>959</v>
      </c>
      <c r="CV7" s="4">
        <v>118684</v>
      </c>
      <c r="CW7" s="4">
        <v>2832</v>
      </c>
      <c r="CX7" s="4">
        <v>1032</v>
      </c>
      <c r="CY7" s="4">
        <v>12097</v>
      </c>
      <c r="CZ7" s="4">
        <v>1964</v>
      </c>
      <c r="DA7" s="4">
        <v>3726</v>
      </c>
      <c r="DB7" s="4">
        <v>6196</v>
      </c>
      <c r="DC7" s="4">
        <v>1791</v>
      </c>
      <c r="DD7" s="4">
        <v>2331</v>
      </c>
      <c r="DE7" s="4">
        <v>1496</v>
      </c>
      <c r="DF7" s="4">
        <v>25682</v>
      </c>
      <c r="DG7" s="4">
        <v>8813</v>
      </c>
      <c r="DH7" s="4">
        <v>8085</v>
      </c>
      <c r="DI7" s="4">
        <v>3379</v>
      </c>
      <c r="DJ7" s="4">
        <v>12108</v>
      </c>
      <c r="DK7" s="4">
        <v>7463</v>
      </c>
      <c r="DL7" s="4">
        <v>5449</v>
      </c>
      <c r="DM7" s="4">
        <v>7564</v>
      </c>
      <c r="DN7" s="4">
        <v>11759</v>
      </c>
      <c r="DO7" s="4">
        <v>2179</v>
      </c>
      <c r="DP7" s="4">
        <v>7240</v>
      </c>
      <c r="DQ7" s="4">
        <v>32431</v>
      </c>
      <c r="DR7" s="4">
        <v>2012</v>
      </c>
      <c r="DS7" s="4">
        <v>2582</v>
      </c>
      <c r="DT7" s="4">
        <v>409</v>
      </c>
      <c r="DU7" s="4">
        <v>5231</v>
      </c>
      <c r="DV7" s="4">
        <v>2930</v>
      </c>
      <c r="DW7" s="4">
        <v>2705</v>
      </c>
      <c r="DX7" s="4">
        <v>5943</v>
      </c>
      <c r="DY7" s="4">
        <v>1167</v>
      </c>
      <c r="DZ7" s="4">
        <v>1546</v>
      </c>
      <c r="EA7" s="4">
        <v>5057</v>
      </c>
      <c r="EB7" s="4">
        <v>3348</v>
      </c>
      <c r="EC7" s="4">
        <v>429</v>
      </c>
      <c r="ED7" s="4">
        <v>482</v>
      </c>
      <c r="EE7" s="4">
        <v>15995</v>
      </c>
      <c r="EF7" s="4">
        <v>1780</v>
      </c>
      <c r="EG7" s="4">
        <v>6472</v>
      </c>
      <c r="EH7" s="4">
        <v>14525</v>
      </c>
      <c r="EJ7" s="4">
        <f t="shared" si="0"/>
        <v>778599</v>
      </c>
    </row>
    <row r="8" spans="1:140" x14ac:dyDescent="0.25">
      <c r="A8" s="4" t="s">
        <v>144</v>
      </c>
      <c r="B8" s="4">
        <v>1581</v>
      </c>
      <c r="C8" s="4">
        <v>3585</v>
      </c>
      <c r="D8" s="4">
        <v>53</v>
      </c>
      <c r="E8" s="4">
        <v>835</v>
      </c>
      <c r="F8" s="4">
        <v>7</v>
      </c>
      <c r="G8" s="4">
        <v>15</v>
      </c>
      <c r="H8" s="4">
        <v>7568</v>
      </c>
      <c r="I8" s="4">
        <v>23</v>
      </c>
      <c r="J8" s="4">
        <v>435</v>
      </c>
      <c r="K8" s="4">
        <v>19</v>
      </c>
      <c r="L8" s="4">
        <v>635</v>
      </c>
      <c r="M8" s="4">
        <v>148</v>
      </c>
      <c r="N8" s="4">
        <v>5351</v>
      </c>
      <c r="O8" s="4">
        <v>673</v>
      </c>
      <c r="P8" s="4">
        <v>615</v>
      </c>
      <c r="Q8" s="4">
        <v>4737</v>
      </c>
      <c r="R8" s="4">
        <v>7</v>
      </c>
      <c r="S8" s="4">
        <v>787</v>
      </c>
      <c r="T8" s="4">
        <v>1903</v>
      </c>
      <c r="U8" s="4">
        <v>1112</v>
      </c>
      <c r="V8" s="4">
        <v>2385</v>
      </c>
      <c r="W8" s="4">
        <v>1427</v>
      </c>
      <c r="X8" s="4">
        <v>178</v>
      </c>
      <c r="Y8" s="4">
        <v>274</v>
      </c>
      <c r="Z8" s="4">
        <v>424</v>
      </c>
      <c r="AA8" s="4">
        <v>253</v>
      </c>
      <c r="AB8" s="4">
        <v>2782</v>
      </c>
      <c r="AC8" s="4">
        <v>214</v>
      </c>
      <c r="AD8" s="4">
        <v>148</v>
      </c>
      <c r="AE8" s="4">
        <v>777</v>
      </c>
      <c r="AF8" s="4">
        <v>848</v>
      </c>
      <c r="AG8">
        <v>11985</v>
      </c>
      <c r="AH8" s="4">
        <v>132</v>
      </c>
      <c r="AI8" s="4">
        <v>600</v>
      </c>
      <c r="AJ8" s="4">
        <v>135</v>
      </c>
      <c r="AK8" s="4">
        <v>850</v>
      </c>
      <c r="AL8" s="4">
        <v>1816</v>
      </c>
      <c r="AM8" s="4">
        <v>469</v>
      </c>
      <c r="AN8" s="4">
        <v>135</v>
      </c>
      <c r="AO8" s="4">
        <v>7227</v>
      </c>
      <c r="AP8" s="4">
        <v>305</v>
      </c>
      <c r="AQ8" s="4">
        <v>54</v>
      </c>
      <c r="AR8" s="4">
        <v>1120</v>
      </c>
      <c r="AS8" s="4">
        <v>3208</v>
      </c>
      <c r="AT8" s="4">
        <v>437</v>
      </c>
      <c r="AU8" s="4">
        <v>1042</v>
      </c>
      <c r="AV8" s="4">
        <v>1800</v>
      </c>
      <c r="AW8" s="4">
        <v>1320</v>
      </c>
      <c r="AX8" s="4">
        <v>12388</v>
      </c>
      <c r="AY8" s="4">
        <v>58</v>
      </c>
      <c r="AZ8" s="4">
        <v>293</v>
      </c>
      <c r="BA8" s="4">
        <v>3696</v>
      </c>
      <c r="BB8" s="4">
        <v>45</v>
      </c>
      <c r="BC8" s="4">
        <v>300</v>
      </c>
      <c r="BD8" s="4">
        <v>4195</v>
      </c>
      <c r="BE8" s="4">
        <v>2549</v>
      </c>
      <c r="BF8" s="4">
        <v>1614</v>
      </c>
      <c r="BG8" s="4">
        <v>2098</v>
      </c>
      <c r="BH8" s="4">
        <v>726</v>
      </c>
      <c r="BI8" s="4">
        <v>14028</v>
      </c>
      <c r="BJ8" s="4">
        <v>2146</v>
      </c>
      <c r="BK8" s="4">
        <v>6366</v>
      </c>
      <c r="BL8" s="4">
        <v>2879</v>
      </c>
      <c r="BM8" s="4">
        <v>3172</v>
      </c>
      <c r="BN8" s="4">
        <v>729</v>
      </c>
      <c r="BO8" s="4">
        <v>686</v>
      </c>
      <c r="BP8" s="4">
        <v>17854</v>
      </c>
      <c r="BQ8" s="4">
        <v>1708</v>
      </c>
      <c r="BR8" s="4">
        <v>39650</v>
      </c>
      <c r="BS8" s="4">
        <v>7133</v>
      </c>
      <c r="BT8" s="4">
        <v>5893</v>
      </c>
      <c r="BU8" s="4">
        <v>15400</v>
      </c>
      <c r="BV8" s="4">
        <v>1739</v>
      </c>
      <c r="BW8" s="4">
        <v>8651</v>
      </c>
      <c r="BX8" s="4">
        <v>1998</v>
      </c>
      <c r="BY8" s="4">
        <v>4773</v>
      </c>
      <c r="BZ8" s="4">
        <v>10073</v>
      </c>
      <c r="CA8" s="4">
        <v>1276</v>
      </c>
      <c r="CB8" s="4">
        <v>587</v>
      </c>
      <c r="CC8" s="4">
        <v>3926</v>
      </c>
      <c r="CD8" s="4">
        <v>2226</v>
      </c>
      <c r="CE8" s="4">
        <v>1725</v>
      </c>
      <c r="CF8" s="4">
        <v>4482</v>
      </c>
      <c r="CG8" s="4">
        <v>56342</v>
      </c>
      <c r="CH8" s="4">
        <v>7869</v>
      </c>
      <c r="CI8" s="4">
        <v>16240</v>
      </c>
      <c r="CJ8" s="4">
        <v>3895</v>
      </c>
      <c r="CK8" s="4">
        <v>9683</v>
      </c>
      <c r="CL8" s="4">
        <v>5717</v>
      </c>
      <c r="CM8" s="4">
        <v>8011</v>
      </c>
      <c r="CN8" s="4">
        <v>23534</v>
      </c>
      <c r="CO8" s="4">
        <v>3433</v>
      </c>
      <c r="CP8" s="4">
        <v>2479</v>
      </c>
      <c r="CQ8" s="4">
        <v>2393</v>
      </c>
      <c r="CR8" s="4">
        <v>4130</v>
      </c>
      <c r="CS8" s="4">
        <v>13445</v>
      </c>
      <c r="CT8" s="4">
        <v>9009</v>
      </c>
      <c r="CU8" s="4">
        <v>1217</v>
      </c>
      <c r="CV8" s="4">
        <v>116643</v>
      </c>
      <c r="CW8" s="4">
        <v>2964</v>
      </c>
      <c r="CX8" s="4">
        <v>962</v>
      </c>
      <c r="CY8" s="4">
        <v>12720</v>
      </c>
      <c r="CZ8" s="4">
        <v>2257</v>
      </c>
      <c r="DA8" s="4">
        <v>3556</v>
      </c>
      <c r="DB8" s="4">
        <v>6307</v>
      </c>
      <c r="DC8" s="4">
        <v>2066</v>
      </c>
      <c r="DD8" s="4">
        <v>2122</v>
      </c>
      <c r="DE8" s="4">
        <v>1516</v>
      </c>
      <c r="DF8" s="4">
        <v>25627</v>
      </c>
      <c r="DG8" s="4">
        <v>7583</v>
      </c>
      <c r="DH8" s="4">
        <v>8466</v>
      </c>
      <c r="DI8" s="4">
        <v>2732</v>
      </c>
      <c r="DJ8" s="4">
        <v>12509</v>
      </c>
      <c r="DK8" s="4">
        <v>7299</v>
      </c>
      <c r="DL8" s="4">
        <v>5327</v>
      </c>
      <c r="DM8" s="4">
        <v>7142</v>
      </c>
      <c r="DN8" s="4">
        <v>10038</v>
      </c>
      <c r="DO8" s="4">
        <v>1772</v>
      </c>
      <c r="DP8" s="4">
        <v>8577</v>
      </c>
      <c r="DQ8" s="4">
        <v>33970</v>
      </c>
      <c r="DR8" s="4">
        <v>1783</v>
      </c>
      <c r="DS8" s="4">
        <v>2472</v>
      </c>
      <c r="DT8" s="4">
        <v>402</v>
      </c>
      <c r="DU8" s="4">
        <v>5698</v>
      </c>
      <c r="DV8" s="4">
        <v>2836</v>
      </c>
      <c r="DW8" s="4">
        <v>2852</v>
      </c>
      <c r="DX8" s="4">
        <v>6098</v>
      </c>
      <c r="DY8" s="4">
        <v>1286</v>
      </c>
      <c r="DZ8" s="4">
        <v>1486</v>
      </c>
      <c r="EA8" s="4">
        <v>5179</v>
      </c>
      <c r="EB8" s="4">
        <v>3832</v>
      </c>
      <c r="EC8" s="4">
        <v>452</v>
      </c>
      <c r="ED8" s="4">
        <v>511</v>
      </c>
      <c r="EE8" s="4">
        <v>16279</v>
      </c>
      <c r="EF8" s="4">
        <v>1671</v>
      </c>
      <c r="EG8" s="4">
        <v>5824</v>
      </c>
      <c r="EH8" s="4">
        <v>12886</v>
      </c>
      <c r="EJ8" s="4">
        <f t="shared" si="0"/>
        <v>780595</v>
      </c>
    </row>
    <row r="9" spans="1:140" x14ac:dyDescent="0.25">
      <c r="A9" s="4" t="s">
        <v>145</v>
      </c>
      <c r="B9" s="4">
        <v>1594</v>
      </c>
      <c r="C9" s="4">
        <v>3354</v>
      </c>
      <c r="D9" s="4">
        <v>29</v>
      </c>
      <c r="E9" s="4">
        <v>844</v>
      </c>
      <c r="F9" s="4">
        <v>3</v>
      </c>
      <c r="G9" s="4">
        <v>324</v>
      </c>
      <c r="H9" s="4">
        <v>7877</v>
      </c>
      <c r="I9" s="4">
        <v>20</v>
      </c>
      <c r="J9" s="4">
        <v>508</v>
      </c>
      <c r="K9" s="4">
        <v>4</v>
      </c>
      <c r="L9" s="4">
        <v>726</v>
      </c>
      <c r="M9" s="4">
        <v>113</v>
      </c>
      <c r="N9" s="4">
        <v>6109</v>
      </c>
      <c r="O9" s="4">
        <v>784</v>
      </c>
      <c r="P9" s="4">
        <v>510</v>
      </c>
      <c r="Q9" s="4">
        <v>5694</v>
      </c>
      <c r="R9" s="4">
        <v>8</v>
      </c>
      <c r="S9" s="4">
        <v>718</v>
      </c>
      <c r="T9" s="4">
        <v>1969</v>
      </c>
      <c r="U9" s="4">
        <v>1366</v>
      </c>
      <c r="V9" s="4">
        <v>2527</v>
      </c>
      <c r="W9" s="4">
        <v>1616</v>
      </c>
      <c r="X9" s="4">
        <v>149</v>
      </c>
      <c r="Y9" s="4">
        <v>256</v>
      </c>
      <c r="Z9" s="4">
        <v>516</v>
      </c>
      <c r="AA9" s="4">
        <v>253</v>
      </c>
      <c r="AB9" s="4">
        <v>2920</v>
      </c>
      <c r="AC9" s="4">
        <v>311</v>
      </c>
      <c r="AD9" s="4">
        <v>155</v>
      </c>
      <c r="AE9" s="4">
        <v>695</v>
      </c>
      <c r="AF9" s="4">
        <v>701</v>
      </c>
      <c r="AG9">
        <v>12189</v>
      </c>
      <c r="AH9" s="4">
        <v>144</v>
      </c>
      <c r="AI9" s="4">
        <v>516</v>
      </c>
      <c r="AJ9" s="4">
        <v>125</v>
      </c>
      <c r="AK9" s="4">
        <v>814</v>
      </c>
      <c r="AL9" s="4">
        <v>1149</v>
      </c>
      <c r="AM9" s="4">
        <v>451</v>
      </c>
      <c r="AN9" s="4">
        <v>160</v>
      </c>
      <c r="AO9" s="4">
        <v>6785</v>
      </c>
      <c r="AP9" s="4">
        <v>225</v>
      </c>
      <c r="AQ9" s="4">
        <v>52</v>
      </c>
      <c r="AR9" s="4">
        <v>1099</v>
      </c>
      <c r="AS9" s="4">
        <v>3105</v>
      </c>
      <c r="AT9" s="4">
        <v>436</v>
      </c>
      <c r="AU9" s="4">
        <v>1293</v>
      </c>
      <c r="AV9" s="4">
        <v>1656</v>
      </c>
      <c r="AW9" s="4">
        <v>4442</v>
      </c>
      <c r="AX9" s="4">
        <v>10570</v>
      </c>
      <c r="AY9" s="4">
        <v>35</v>
      </c>
      <c r="AZ9" s="4">
        <v>860</v>
      </c>
      <c r="BA9" s="4">
        <v>3944</v>
      </c>
      <c r="BB9" s="4">
        <v>39</v>
      </c>
      <c r="BC9" s="4">
        <v>191</v>
      </c>
      <c r="BD9" s="4">
        <v>3730</v>
      </c>
      <c r="BE9" s="4">
        <v>3795</v>
      </c>
      <c r="BF9" s="4">
        <v>1461</v>
      </c>
      <c r="BG9" s="4">
        <v>2063</v>
      </c>
      <c r="BH9" s="4">
        <v>733</v>
      </c>
      <c r="BI9" s="4">
        <v>15722</v>
      </c>
      <c r="BJ9" s="4">
        <v>2699</v>
      </c>
      <c r="BK9" s="4">
        <v>4920</v>
      </c>
      <c r="BL9" s="4">
        <v>4350</v>
      </c>
      <c r="BM9" s="4">
        <v>3383</v>
      </c>
      <c r="BN9" s="4">
        <v>1259</v>
      </c>
      <c r="BO9" s="4">
        <v>832</v>
      </c>
      <c r="BP9" s="4">
        <v>21246</v>
      </c>
      <c r="BQ9" s="4">
        <v>1850</v>
      </c>
      <c r="BR9" s="4">
        <v>40850</v>
      </c>
      <c r="BS9" s="4">
        <v>8086</v>
      </c>
      <c r="BT9" s="4">
        <v>6392</v>
      </c>
      <c r="BU9" s="4">
        <v>19077</v>
      </c>
      <c r="BV9" s="4">
        <v>2140</v>
      </c>
      <c r="BW9" s="4">
        <v>9311</v>
      </c>
      <c r="BX9" s="4">
        <v>1805</v>
      </c>
      <c r="BY9" s="4">
        <v>3849</v>
      </c>
      <c r="BZ9" s="4">
        <v>11322</v>
      </c>
      <c r="CA9" s="4">
        <v>1492</v>
      </c>
      <c r="CB9" s="4">
        <v>529</v>
      </c>
      <c r="CC9" s="4">
        <v>3755</v>
      </c>
      <c r="CD9" s="4">
        <v>2476</v>
      </c>
      <c r="CE9" s="4">
        <v>1631</v>
      </c>
      <c r="CF9" s="4">
        <v>4649</v>
      </c>
      <c r="CG9" s="4">
        <v>54070</v>
      </c>
      <c r="CH9" s="4">
        <v>7524</v>
      </c>
      <c r="CI9" s="4">
        <v>18213</v>
      </c>
      <c r="CJ9" s="4">
        <v>3908</v>
      </c>
      <c r="CK9" s="4">
        <v>10375</v>
      </c>
      <c r="CL9" s="4">
        <v>7425</v>
      </c>
      <c r="CM9" s="4">
        <v>9853</v>
      </c>
      <c r="CN9" s="4">
        <v>25582</v>
      </c>
      <c r="CO9" s="4">
        <v>3360</v>
      </c>
      <c r="CP9" s="4">
        <v>3943</v>
      </c>
      <c r="CQ9" s="4">
        <v>2730</v>
      </c>
      <c r="CR9" s="4">
        <v>3502</v>
      </c>
      <c r="CS9" s="4">
        <v>15420</v>
      </c>
      <c r="CT9" s="4">
        <v>9523</v>
      </c>
      <c r="CU9" s="4">
        <v>1002</v>
      </c>
      <c r="CV9" s="4">
        <v>117790</v>
      </c>
      <c r="CW9" s="4">
        <v>2885</v>
      </c>
      <c r="CX9" s="4">
        <v>1006</v>
      </c>
      <c r="CY9" s="4">
        <v>13251</v>
      </c>
      <c r="CZ9" s="4">
        <v>2862</v>
      </c>
      <c r="DA9" s="4">
        <v>4062</v>
      </c>
      <c r="DB9" s="4">
        <v>5993</v>
      </c>
      <c r="DC9" s="4">
        <v>1995</v>
      </c>
      <c r="DD9" s="4">
        <v>2225</v>
      </c>
      <c r="DE9" s="4">
        <v>1478</v>
      </c>
      <c r="DF9" s="4">
        <v>25634</v>
      </c>
      <c r="DG9" s="4">
        <v>7396</v>
      </c>
      <c r="DH9" s="4">
        <v>8651</v>
      </c>
      <c r="DI9" s="4">
        <v>2870</v>
      </c>
      <c r="DJ9" s="4">
        <v>12459</v>
      </c>
      <c r="DK9" s="4">
        <v>7325</v>
      </c>
      <c r="DL9" s="4">
        <v>5316</v>
      </c>
      <c r="DM9" s="4">
        <v>7004</v>
      </c>
      <c r="DN9" s="4">
        <v>9704</v>
      </c>
      <c r="DO9" s="4">
        <v>1863</v>
      </c>
      <c r="DP9" s="4">
        <v>13602</v>
      </c>
      <c r="DQ9" s="4">
        <v>34763</v>
      </c>
      <c r="DR9" s="4">
        <v>1699</v>
      </c>
      <c r="DS9" s="4">
        <v>2091</v>
      </c>
      <c r="DT9" s="4">
        <v>439</v>
      </c>
      <c r="DU9" s="4">
        <v>4883</v>
      </c>
      <c r="DV9" s="4">
        <v>3372</v>
      </c>
      <c r="DW9" s="4">
        <v>2940</v>
      </c>
      <c r="DX9" s="4">
        <v>6922</v>
      </c>
      <c r="DY9" s="4">
        <v>1292</v>
      </c>
      <c r="DZ9" s="4">
        <v>1525</v>
      </c>
      <c r="EA9" s="4">
        <v>5092</v>
      </c>
      <c r="EB9" s="4">
        <v>4184</v>
      </c>
      <c r="EC9" s="4">
        <v>490</v>
      </c>
      <c r="ED9" s="4">
        <v>673</v>
      </c>
      <c r="EE9" s="4">
        <v>17449</v>
      </c>
      <c r="EF9" s="4">
        <v>1829</v>
      </c>
      <c r="EG9" s="4">
        <v>6306</v>
      </c>
      <c r="EH9" s="4">
        <v>12750</v>
      </c>
      <c r="EJ9" s="4">
        <f t="shared" si="0"/>
        <v>818840</v>
      </c>
    </row>
    <row r="10" spans="1:140" x14ac:dyDescent="0.25">
      <c r="A10" s="4" t="s">
        <v>146</v>
      </c>
      <c r="B10" s="4">
        <v>1497</v>
      </c>
      <c r="C10" s="4">
        <v>3444</v>
      </c>
      <c r="D10" s="4">
        <v>79</v>
      </c>
      <c r="E10" s="4">
        <v>853</v>
      </c>
      <c r="F10" s="4">
        <v>4</v>
      </c>
      <c r="G10" s="4">
        <v>10</v>
      </c>
      <c r="H10" s="4">
        <v>8065</v>
      </c>
      <c r="I10" s="4">
        <v>29</v>
      </c>
      <c r="J10" s="4">
        <v>439</v>
      </c>
      <c r="K10" s="4">
        <v>9</v>
      </c>
      <c r="L10" s="4">
        <v>753</v>
      </c>
      <c r="M10" s="4">
        <v>126</v>
      </c>
      <c r="N10" s="4">
        <v>6689</v>
      </c>
      <c r="O10" s="4">
        <v>807</v>
      </c>
      <c r="P10" s="4">
        <v>547</v>
      </c>
      <c r="Q10" s="4">
        <v>4694</v>
      </c>
      <c r="R10" s="4">
        <v>25</v>
      </c>
      <c r="S10" s="4">
        <v>694</v>
      </c>
      <c r="T10" s="4">
        <v>1561</v>
      </c>
      <c r="U10" s="4">
        <v>1321</v>
      </c>
      <c r="V10" s="4">
        <v>2045</v>
      </c>
      <c r="W10" s="4">
        <v>1340</v>
      </c>
      <c r="X10" s="4">
        <v>141</v>
      </c>
      <c r="Y10" s="4">
        <v>278</v>
      </c>
      <c r="Z10" s="4">
        <v>454</v>
      </c>
      <c r="AA10" s="4">
        <v>227</v>
      </c>
      <c r="AB10" s="4">
        <v>2877</v>
      </c>
      <c r="AC10" s="4">
        <v>247</v>
      </c>
      <c r="AD10" s="4">
        <v>118</v>
      </c>
      <c r="AE10" s="4">
        <v>786</v>
      </c>
      <c r="AF10" s="4">
        <v>596</v>
      </c>
      <c r="AG10">
        <v>11130</v>
      </c>
      <c r="AH10" s="4">
        <v>127</v>
      </c>
      <c r="AI10" s="4">
        <v>645</v>
      </c>
      <c r="AJ10" s="4">
        <v>126</v>
      </c>
      <c r="AK10" s="4">
        <v>962</v>
      </c>
      <c r="AL10" s="4">
        <v>1335</v>
      </c>
      <c r="AM10" s="4">
        <v>434</v>
      </c>
      <c r="AN10" s="4">
        <v>107</v>
      </c>
      <c r="AO10" s="4">
        <v>7778</v>
      </c>
      <c r="AP10" s="4">
        <v>227</v>
      </c>
      <c r="AQ10" s="4">
        <v>40</v>
      </c>
      <c r="AR10" s="4">
        <v>981</v>
      </c>
      <c r="AS10" s="4">
        <v>3157</v>
      </c>
      <c r="AT10" s="4">
        <v>391</v>
      </c>
      <c r="AU10" s="4">
        <v>1743</v>
      </c>
      <c r="AV10" s="4">
        <v>1469</v>
      </c>
      <c r="AW10" s="4">
        <v>1829</v>
      </c>
      <c r="AX10" s="4">
        <v>10644</v>
      </c>
      <c r="AY10" s="4">
        <v>39</v>
      </c>
      <c r="AZ10" s="4">
        <v>414</v>
      </c>
      <c r="BA10" s="4">
        <v>3467</v>
      </c>
      <c r="BB10" s="4">
        <v>34</v>
      </c>
      <c r="BC10" s="4">
        <v>242</v>
      </c>
      <c r="BD10" s="4">
        <v>3507</v>
      </c>
      <c r="BE10" s="4">
        <v>2964</v>
      </c>
      <c r="BF10" s="4">
        <v>1281</v>
      </c>
      <c r="BG10" s="4">
        <v>2160</v>
      </c>
      <c r="BH10" s="4">
        <v>586</v>
      </c>
      <c r="BI10" s="4">
        <v>13163</v>
      </c>
      <c r="BJ10" s="4">
        <v>2592</v>
      </c>
      <c r="BK10" s="4">
        <v>3344</v>
      </c>
      <c r="BL10" s="4">
        <v>3481</v>
      </c>
      <c r="BM10" s="4">
        <v>3282</v>
      </c>
      <c r="BN10" s="4">
        <v>1558</v>
      </c>
      <c r="BO10" s="4">
        <v>711</v>
      </c>
      <c r="BP10" s="4">
        <v>24826</v>
      </c>
      <c r="BQ10" s="4">
        <v>1803</v>
      </c>
      <c r="BR10" s="4">
        <v>38974</v>
      </c>
      <c r="BS10" s="4">
        <v>7275</v>
      </c>
      <c r="BT10" s="4">
        <v>6862</v>
      </c>
      <c r="BU10" s="4">
        <v>27288</v>
      </c>
      <c r="BV10" s="4">
        <v>2177</v>
      </c>
      <c r="BW10" s="4">
        <v>8920</v>
      </c>
      <c r="BX10" s="4">
        <v>1329</v>
      </c>
      <c r="BY10" s="4">
        <v>3961</v>
      </c>
      <c r="BZ10" s="4">
        <v>9847</v>
      </c>
      <c r="CA10" s="4">
        <v>1751</v>
      </c>
      <c r="CB10" s="4">
        <v>445</v>
      </c>
      <c r="CC10" s="4">
        <v>3739</v>
      </c>
      <c r="CD10" s="4">
        <v>2145</v>
      </c>
      <c r="CE10" s="4">
        <v>1625</v>
      </c>
      <c r="CF10" s="4">
        <v>3751</v>
      </c>
      <c r="CG10" s="4">
        <v>53099</v>
      </c>
      <c r="CH10" s="4">
        <v>7894</v>
      </c>
      <c r="CI10" s="4">
        <v>18909</v>
      </c>
      <c r="CJ10" s="4">
        <v>3897</v>
      </c>
      <c r="CK10" s="4">
        <v>9861</v>
      </c>
      <c r="CL10" s="4">
        <v>7245</v>
      </c>
      <c r="CM10" s="4">
        <v>9125</v>
      </c>
      <c r="CN10" s="4">
        <v>25162</v>
      </c>
      <c r="CO10" s="4">
        <v>2964</v>
      </c>
      <c r="CP10" s="4">
        <v>2983</v>
      </c>
      <c r="CQ10" s="4">
        <v>2336</v>
      </c>
      <c r="CR10" s="4">
        <v>3204</v>
      </c>
      <c r="CS10" s="4">
        <v>13665</v>
      </c>
      <c r="CT10" s="4">
        <v>8541</v>
      </c>
      <c r="CU10" s="4">
        <v>805</v>
      </c>
      <c r="CV10" s="4">
        <v>116256</v>
      </c>
      <c r="CW10" s="4">
        <v>3301</v>
      </c>
      <c r="CX10" s="4">
        <v>963</v>
      </c>
      <c r="CY10" s="4">
        <v>13420</v>
      </c>
      <c r="CZ10" s="4">
        <v>2498</v>
      </c>
      <c r="DA10" s="4">
        <v>4404</v>
      </c>
      <c r="DB10" s="4">
        <v>6162</v>
      </c>
      <c r="DC10" s="4">
        <v>1920</v>
      </c>
      <c r="DD10" s="4">
        <v>2078</v>
      </c>
      <c r="DE10" s="4">
        <v>1289</v>
      </c>
      <c r="DF10" s="4">
        <v>23327</v>
      </c>
      <c r="DG10" s="4">
        <v>7458</v>
      </c>
      <c r="DH10" s="4">
        <v>8168</v>
      </c>
      <c r="DI10" s="4">
        <v>2563</v>
      </c>
      <c r="DJ10" s="4">
        <v>11748</v>
      </c>
      <c r="DK10" s="4">
        <v>7122</v>
      </c>
      <c r="DL10" s="4">
        <v>5121</v>
      </c>
      <c r="DM10" s="4">
        <v>6724</v>
      </c>
      <c r="DN10" s="4">
        <v>9451</v>
      </c>
      <c r="DO10" s="4">
        <v>1516</v>
      </c>
      <c r="DP10" s="4">
        <v>6483</v>
      </c>
      <c r="DQ10" s="4">
        <v>32086</v>
      </c>
      <c r="DR10" s="4">
        <v>1472</v>
      </c>
      <c r="DS10" s="4">
        <v>1995</v>
      </c>
      <c r="DT10" s="4">
        <v>418</v>
      </c>
      <c r="DU10" s="4">
        <v>5533</v>
      </c>
      <c r="DV10" s="4">
        <v>2767</v>
      </c>
      <c r="DW10" s="4">
        <v>2744</v>
      </c>
      <c r="DX10" s="4">
        <v>6524</v>
      </c>
      <c r="DY10" s="4">
        <v>1792</v>
      </c>
      <c r="DZ10" s="4">
        <v>1486</v>
      </c>
      <c r="EA10" s="4">
        <v>5061</v>
      </c>
      <c r="EB10" s="4">
        <v>4260</v>
      </c>
      <c r="EC10" s="4">
        <v>492</v>
      </c>
      <c r="ED10" s="4">
        <v>468</v>
      </c>
      <c r="EE10" s="4">
        <v>15812</v>
      </c>
      <c r="EF10" s="4">
        <v>1640</v>
      </c>
      <c r="EG10" s="4">
        <v>6403</v>
      </c>
      <c r="EH10" s="4">
        <v>11951</v>
      </c>
      <c r="EJ10" s="4">
        <f t="shared" si="0"/>
        <v>787989</v>
      </c>
    </row>
    <row r="11" spans="1:140" x14ac:dyDescent="0.25">
      <c r="A11" s="4" t="s">
        <v>147</v>
      </c>
      <c r="B11" s="4">
        <v>1613</v>
      </c>
      <c r="C11" s="4">
        <v>3469</v>
      </c>
      <c r="D11" s="4">
        <v>116</v>
      </c>
      <c r="E11" s="4">
        <v>840</v>
      </c>
      <c r="F11" s="4">
        <v>4</v>
      </c>
      <c r="G11" s="4">
        <v>13</v>
      </c>
      <c r="H11" s="4">
        <v>6947</v>
      </c>
      <c r="I11" s="4">
        <v>22</v>
      </c>
      <c r="J11" s="4">
        <v>518</v>
      </c>
      <c r="K11" s="4">
        <v>14</v>
      </c>
      <c r="L11" s="4">
        <v>845</v>
      </c>
      <c r="M11" s="4">
        <v>106</v>
      </c>
      <c r="N11" s="4">
        <v>6819</v>
      </c>
      <c r="O11" s="4">
        <v>1051</v>
      </c>
      <c r="P11" s="4">
        <v>703</v>
      </c>
      <c r="Q11" s="4">
        <v>4430</v>
      </c>
      <c r="R11" s="4">
        <v>29</v>
      </c>
      <c r="S11" s="4">
        <v>832</v>
      </c>
      <c r="T11" s="4">
        <v>1650</v>
      </c>
      <c r="U11" s="4">
        <v>1111</v>
      </c>
      <c r="V11" s="4">
        <v>1922</v>
      </c>
      <c r="W11" s="4">
        <v>1332</v>
      </c>
      <c r="X11" s="4">
        <v>202</v>
      </c>
      <c r="Y11" s="4">
        <v>1424</v>
      </c>
      <c r="Z11" s="4">
        <v>1018</v>
      </c>
      <c r="AA11" s="4">
        <v>265</v>
      </c>
      <c r="AB11" s="4">
        <v>2469</v>
      </c>
      <c r="AC11" s="4">
        <v>269</v>
      </c>
      <c r="AD11" s="4">
        <v>162</v>
      </c>
      <c r="AE11" s="4">
        <v>890</v>
      </c>
      <c r="AF11" s="4">
        <v>1591</v>
      </c>
      <c r="AG11">
        <v>11134</v>
      </c>
      <c r="AH11" s="4">
        <v>179</v>
      </c>
      <c r="AI11" s="4">
        <v>755</v>
      </c>
      <c r="AJ11" s="4">
        <v>154</v>
      </c>
      <c r="AK11" s="4">
        <v>997</v>
      </c>
      <c r="AL11" s="4">
        <v>1751</v>
      </c>
      <c r="AM11" s="4">
        <v>601</v>
      </c>
      <c r="AN11" s="4">
        <v>142</v>
      </c>
      <c r="AO11" s="4">
        <v>8284</v>
      </c>
      <c r="AP11" s="4">
        <v>260</v>
      </c>
      <c r="AQ11" s="4">
        <v>47</v>
      </c>
      <c r="AR11" s="4">
        <v>999</v>
      </c>
      <c r="AS11" s="4">
        <v>2840</v>
      </c>
      <c r="AT11" s="4">
        <v>421</v>
      </c>
      <c r="AU11" s="4">
        <v>2222</v>
      </c>
      <c r="AV11" s="4">
        <v>1662</v>
      </c>
      <c r="AW11" s="4">
        <v>2744</v>
      </c>
      <c r="AX11" s="4">
        <v>11052</v>
      </c>
      <c r="AY11" s="4">
        <v>124</v>
      </c>
      <c r="AZ11" s="4">
        <v>358</v>
      </c>
      <c r="BA11" s="4">
        <v>4303</v>
      </c>
      <c r="BB11" s="4">
        <v>51</v>
      </c>
      <c r="BC11" s="4">
        <v>299</v>
      </c>
      <c r="BD11" s="4">
        <v>3916</v>
      </c>
      <c r="BE11" s="4">
        <v>2020</v>
      </c>
      <c r="BF11" s="4">
        <v>3013</v>
      </c>
      <c r="BG11" s="4">
        <v>2185</v>
      </c>
      <c r="BH11" s="4">
        <v>651</v>
      </c>
      <c r="BI11" s="4">
        <v>14100</v>
      </c>
      <c r="BJ11" s="4">
        <v>3663</v>
      </c>
      <c r="BK11" s="4">
        <v>4530</v>
      </c>
      <c r="BL11" s="4">
        <v>3519</v>
      </c>
      <c r="BM11" s="4">
        <v>3895</v>
      </c>
      <c r="BN11" s="4">
        <v>1590</v>
      </c>
      <c r="BO11" s="4">
        <v>1215</v>
      </c>
      <c r="BP11" s="4">
        <v>21458</v>
      </c>
      <c r="BQ11" s="4">
        <v>1749</v>
      </c>
      <c r="BR11" s="4">
        <v>42307</v>
      </c>
      <c r="BS11" s="4">
        <v>7188</v>
      </c>
      <c r="BT11" s="4">
        <v>6269</v>
      </c>
      <c r="BU11" s="4">
        <v>22986</v>
      </c>
      <c r="BV11" s="4">
        <v>2333</v>
      </c>
      <c r="BW11" s="4">
        <v>7436</v>
      </c>
      <c r="BX11" s="4">
        <v>1645</v>
      </c>
      <c r="BY11" s="4">
        <v>5562</v>
      </c>
      <c r="BZ11" s="4">
        <v>9012</v>
      </c>
      <c r="CA11" s="4">
        <v>1436</v>
      </c>
      <c r="CB11" s="4">
        <v>612</v>
      </c>
      <c r="CC11" s="4">
        <v>3491</v>
      </c>
      <c r="CD11" s="4">
        <v>2073</v>
      </c>
      <c r="CE11" s="4">
        <v>1693</v>
      </c>
      <c r="CF11" s="4">
        <v>4342</v>
      </c>
      <c r="CG11" s="4">
        <v>51785</v>
      </c>
      <c r="CH11" s="4">
        <v>7752</v>
      </c>
      <c r="CI11" s="4">
        <v>16746</v>
      </c>
      <c r="CJ11" s="4">
        <v>4253</v>
      </c>
      <c r="CK11" s="4">
        <v>9582</v>
      </c>
      <c r="CL11" s="4">
        <v>7007</v>
      </c>
      <c r="CM11" s="4">
        <v>8523</v>
      </c>
      <c r="CN11" s="4">
        <v>23567</v>
      </c>
      <c r="CO11" s="4">
        <v>3252</v>
      </c>
      <c r="CP11" s="4">
        <v>2250</v>
      </c>
      <c r="CQ11" s="4">
        <v>2784</v>
      </c>
      <c r="CR11" s="4">
        <v>3559</v>
      </c>
      <c r="CS11" s="4">
        <v>13590</v>
      </c>
      <c r="CT11" s="4">
        <v>8704</v>
      </c>
      <c r="CU11" s="4">
        <v>988</v>
      </c>
      <c r="CV11" s="4">
        <v>113308</v>
      </c>
      <c r="CW11" s="4">
        <v>3174</v>
      </c>
      <c r="CX11" s="4">
        <v>1178</v>
      </c>
      <c r="CY11" s="4">
        <v>12518</v>
      </c>
      <c r="CZ11" s="4">
        <v>2575</v>
      </c>
      <c r="DA11" s="4">
        <v>3811</v>
      </c>
      <c r="DB11" s="4">
        <v>6444</v>
      </c>
      <c r="DC11" s="4">
        <v>2004</v>
      </c>
      <c r="DD11" s="4">
        <v>2393</v>
      </c>
      <c r="DE11" s="4">
        <v>1367</v>
      </c>
      <c r="DF11" s="4">
        <v>25108</v>
      </c>
      <c r="DG11" s="4">
        <v>7730</v>
      </c>
      <c r="DH11" s="4">
        <v>8311</v>
      </c>
      <c r="DI11" s="4">
        <v>2795</v>
      </c>
      <c r="DJ11" s="4">
        <v>12568</v>
      </c>
      <c r="DK11" s="4">
        <v>7304</v>
      </c>
      <c r="DL11" s="4">
        <v>5628</v>
      </c>
      <c r="DM11" s="4">
        <v>7713</v>
      </c>
      <c r="DN11" s="4">
        <v>9046</v>
      </c>
      <c r="DO11" s="4">
        <v>1486</v>
      </c>
      <c r="DP11" s="4">
        <v>4908</v>
      </c>
      <c r="DQ11" s="4">
        <v>32233</v>
      </c>
      <c r="DR11" s="4">
        <v>1599</v>
      </c>
      <c r="DS11" s="4">
        <v>2503</v>
      </c>
      <c r="DT11" s="4">
        <v>445</v>
      </c>
      <c r="DU11" s="4">
        <v>4696</v>
      </c>
      <c r="DV11" s="4">
        <v>3001</v>
      </c>
      <c r="DW11" s="4">
        <v>2475</v>
      </c>
      <c r="DX11" s="4">
        <v>6567</v>
      </c>
      <c r="DY11" s="4">
        <v>1149</v>
      </c>
      <c r="DZ11" s="4">
        <v>2074</v>
      </c>
      <c r="EA11" s="4">
        <v>5403</v>
      </c>
      <c r="EB11" s="4">
        <v>4971</v>
      </c>
      <c r="EC11" s="4">
        <v>488</v>
      </c>
      <c r="ED11" s="4">
        <v>553</v>
      </c>
      <c r="EE11" s="4">
        <v>17102</v>
      </c>
      <c r="EF11" s="4">
        <v>1864</v>
      </c>
      <c r="EG11" s="4">
        <v>6154</v>
      </c>
      <c r="EH11" s="4">
        <v>11972</v>
      </c>
      <c r="EJ11" s="4">
        <f t="shared" si="0"/>
        <v>790904</v>
      </c>
    </row>
    <row r="12" spans="1:140" x14ac:dyDescent="0.25">
      <c r="A12" s="4" t="s">
        <v>148</v>
      </c>
      <c r="B12" s="4">
        <v>1545</v>
      </c>
      <c r="C12" s="4">
        <v>3337</v>
      </c>
      <c r="D12" s="4">
        <v>71</v>
      </c>
      <c r="E12" s="4">
        <v>820</v>
      </c>
      <c r="F12" s="4">
        <v>11</v>
      </c>
      <c r="G12" s="4">
        <v>14</v>
      </c>
      <c r="H12" s="4">
        <v>7579</v>
      </c>
      <c r="I12" s="4">
        <v>29</v>
      </c>
      <c r="J12" s="4">
        <v>505</v>
      </c>
      <c r="K12" s="4">
        <v>13</v>
      </c>
      <c r="L12" s="4">
        <v>862</v>
      </c>
      <c r="M12" s="4">
        <v>121</v>
      </c>
      <c r="N12" s="4">
        <v>7206</v>
      </c>
      <c r="O12" s="4">
        <v>1401</v>
      </c>
      <c r="P12" s="4">
        <v>644</v>
      </c>
      <c r="Q12" s="4">
        <v>5862</v>
      </c>
      <c r="R12" s="4">
        <v>45</v>
      </c>
      <c r="S12" s="4">
        <v>899</v>
      </c>
      <c r="T12" s="4">
        <v>2178</v>
      </c>
      <c r="U12" s="4">
        <v>1576</v>
      </c>
      <c r="V12" s="4">
        <v>2354</v>
      </c>
      <c r="W12" s="4">
        <v>1458</v>
      </c>
      <c r="X12" s="4">
        <v>310</v>
      </c>
      <c r="Y12" s="4">
        <v>496</v>
      </c>
      <c r="Z12" s="4">
        <v>584</v>
      </c>
      <c r="AA12" s="4">
        <v>342</v>
      </c>
      <c r="AB12" s="4">
        <v>2839</v>
      </c>
      <c r="AC12" s="4">
        <v>391</v>
      </c>
      <c r="AD12" s="4">
        <v>246</v>
      </c>
      <c r="AE12" s="4">
        <v>874</v>
      </c>
      <c r="AF12" s="4">
        <v>852</v>
      </c>
      <c r="AG12">
        <v>11881</v>
      </c>
      <c r="AH12" s="4">
        <v>125</v>
      </c>
      <c r="AI12" s="4">
        <v>997</v>
      </c>
      <c r="AJ12" s="4">
        <v>165</v>
      </c>
      <c r="AK12" s="4">
        <v>1316</v>
      </c>
      <c r="AL12" s="4">
        <v>2248</v>
      </c>
      <c r="AM12" s="4">
        <v>573</v>
      </c>
      <c r="AN12" s="4">
        <v>200</v>
      </c>
      <c r="AO12" s="4">
        <v>9719</v>
      </c>
      <c r="AP12" s="4">
        <v>293</v>
      </c>
      <c r="AQ12" s="4">
        <v>72</v>
      </c>
      <c r="AR12" s="4">
        <v>1124</v>
      </c>
      <c r="AS12" s="4">
        <v>3231</v>
      </c>
      <c r="AT12" s="4">
        <v>509</v>
      </c>
      <c r="AU12" s="4">
        <v>2336</v>
      </c>
      <c r="AV12" s="4">
        <v>1699</v>
      </c>
      <c r="AW12" s="4">
        <v>2563</v>
      </c>
      <c r="AX12" s="4">
        <v>11570</v>
      </c>
      <c r="AY12" s="4">
        <v>68</v>
      </c>
      <c r="AZ12" s="4">
        <v>385</v>
      </c>
      <c r="BA12" s="4">
        <v>5859</v>
      </c>
      <c r="BB12" s="4">
        <v>45</v>
      </c>
      <c r="BC12" s="4">
        <v>311</v>
      </c>
      <c r="BD12" s="4">
        <v>3926</v>
      </c>
      <c r="BE12" s="4">
        <v>2288</v>
      </c>
      <c r="BF12" s="4">
        <v>3961</v>
      </c>
      <c r="BG12" s="4">
        <v>2258</v>
      </c>
      <c r="BH12" s="4">
        <v>1016</v>
      </c>
      <c r="BI12" s="4">
        <v>13783</v>
      </c>
      <c r="BJ12" s="4">
        <v>4312</v>
      </c>
      <c r="BK12" s="4">
        <v>4248</v>
      </c>
      <c r="BL12" s="4">
        <v>3356</v>
      </c>
      <c r="BM12" s="4">
        <v>3496</v>
      </c>
      <c r="BN12" s="4">
        <v>2234</v>
      </c>
      <c r="BO12" s="4">
        <v>1114</v>
      </c>
      <c r="BP12" s="4">
        <v>23264</v>
      </c>
      <c r="BQ12" s="4">
        <v>1771</v>
      </c>
      <c r="BR12" s="4">
        <v>42418</v>
      </c>
      <c r="BS12" s="4">
        <v>6309</v>
      </c>
      <c r="BT12" s="4">
        <v>5620</v>
      </c>
      <c r="BU12" s="4">
        <v>21616</v>
      </c>
      <c r="BV12" s="4">
        <v>2061</v>
      </c>
      <c r="BW12" s="4">
        <v>8115</v>
      </c>
      <c r="BX12" s="4">
        <v>1407</v>
      </c>
      <c r="BY12" s="4">
        <v>4755</v>
      </c>
      <c r="BZ12" s="4">
        <v>10291</v>
      </c>
      <c r="CA12" s="4">
        <v>1341</v>
      </c>
      <c r="CB12" s="4">
        <v>780</v>
      </c>
      <c r="CC12" s="4">
        <v>4211</v>
      </c>
      <c r="CD12" s="4">
        <v>2314</v>
      </c>
      <c r="CE12" s="4">
        <v>1852</v>
      </c>
      <c r="CF12" s="4">
        <v>4276</v>
      </c>
      <c r="CG12" s="4">
        <v>54487</v>
      </c>
      <c r="CH12" s="4">
        <v>12443</v>
      </c>
      <c r="CI12" s="4">
        <v>22454</v>
      </c>
      <c r="CJ12" s="4">
        <v>6876</v>
      </c>
      <c r="CK12" s="4">
        <v>10367</v>
      </c>
      <c r="CL12" s="4">
        <v>6583</v>
      </c>
      <c r="CM12" s="4">
        <v>13134</v>
      </c>
      <c r="CN12" s="4">
        <v>26124</v>
      </c>
      <c r="CO12" s="4">
        <v>5936</v>
      </c>
      <c r="CP12" s="4">
        <v>2007</v>
      </c>
      <c r="CQ12" s="4">
        <v>2562</v>
      </c>
      <c r="CR12" s="4">
        <v>4056</v>
      </c>
      <c r="CS12" s="4">
        <v>14574</v>
      </c>
      <c r="CT12" s="4">
        <v>10195</v>
      </c>
      <c r="CU12" s="4">
        <v>1280</v>
      </c>
      <c r="CV12" s="4">
        <v>112501</v>
      </c>
      <c r="CW12" s="4">
        <v>3526</v>
      </c>
      <c r="CX12" s="4">
        <v>953</v>
      </c>
      <c r="CY12" s="4">
        <v>15081</v>
      </c>
      <c r="CZ12" s="4">
        <v>2079</v>
      </c>
      <c r="DA12" s="4">
        <v>3953</v>
      </c>
      <c r="DB12" s="4">
        <v>6614</v>
      </c>
      <c r="DC12" s="4">
        <v>1998</v>
      </c>
      <c r="DD12" s="4">
        <v>2192</v>
      </c>
      <c r="DE12" s="4">
        <v>1710</v>
      </c>
      <c r="DF12" s="4">
        <v>24868</v>
      </c>
      <c r="DG12" s="4">
        <v>8660</v>
      </c>
      <c r="DH12" s="4">
        <v>8119</v>
      </c>
      <c r="DI12" s="4">
        <v>3366</v>
      </c>
      <c r="DJ12" s="4">
        <v>12444</v>
      </c>
      <c r="DK12" s="4">
        <v>8077</v>
      </c>
      <c r="DL12" s="4">
        <v>5790</v>
      </c>
      <c r="DM12" s="4">
        <v>9030</v>
      </c>
      <c r="DN12" s="4">
        <v>11880</v>
      </c>
      <c r="DO12" s="4">
        <v>1588</v>
      </c>
      <c r="DP12" s="4">
        <v>4819</v>
      </c>
      <c r="DQ12" s="4">
        <v>34836</v>
      </c>
      <c r="DR12" s="4">
        <v>1580</v>
      </c>
      <c r="DS12" s="4">
        <v>2460</v>
      </c>
      <c r="DT12" s="4">
        <v>624</v>
      </c>
      <c r="DU12" s="4">
        <v>6096</v>
      </c>
      <c r="DV12" s="4">
        <v>3490</v>
      </c>
      <c r="DW12" s="4">
        <v>2612</v>
      </c>
      <c r="DX12" s="4">
        <v>8994</v>
      </c>
      <c r="DY12" s="4">
        <v>1546</v>
      </c>
      <c r="DZ12" s="4">
        <v>4358</v>
      </c>
      <c r="EA12" s="4">
        <v>5661</v>
      </c>
      <c r="EB12" s="4">
        <v>4787</v>
      </c>
      <c r="EC12" s="4">
        <v>421</v>
      </c>
      <c r="ED12" s="4">
        <v>514</v>
      </c>
      <c r="EE12" s="4">
        <v>18759</v>
      </c>
      <c r="EF12" s="4">
        <v>2182</v>
      </c>
      <c r="EG12" s="4">
        <v>7146</v>
      </c>
      <c r="EH12" s="4">
        <v>12566</v>
      </c>
      <c r="EJ12" s="4">
        <f t="shared" si="0"/>
        <v>852104</v>
      </c>
    </row>
    <row r="13" spans="1:140" x14ac:dyDescent="0.25">
      <c r="A13" s="4" t="s">
        <v>149</v>
      </c>
      <c r="B13" s="4">
        <v>1840</v>
      </c>
      <c r="C13" s="4">
        <v>4517</v>
      </c>
      <c r="D13" s="4">
        <v>62</v>
      </c>
      <c r="E13" s="4">
        <v>1368</v>
      </c>
      <c r="F13" s="4">
        <v>2</v>
      </c>
      <c r="G13" s="4">
        <v>11</v>
      </c>
      <c r="H13" s="4">
        <v>13240</v>
      </c>
      <c r="I13" s="4">
        <v>11</v>
      </c>
      <c r="J13" s="4">
        <v>589</v>
      </c>
      <c r="K13" s="4">
        <v>11</v>
      </c>
      <c r="L13" s="4">
        <v>1184</v>
      </c>
      <c r="M13" s="4">
        <v>174</v>
      </c>
      <c r="N13" s="4">
        <v>7715</v>
      </c>
      <c r="O13" s="4">
        <v>982</v>
      </c>
      <c r="P13" s="4">
        <v>1043</v>
      </c>
      <c r="Q13" s="4">
        <v>6221</v>
      </c>
      <c r="R13" s="4">
        <v>79</v>
      </c>
      <c r="S13" s="4">
        <v>909</v>
      </c>
      <c r="T13" s="4">
        <v>2533</v>
      </c>
      <c r="U13" s="4">
        <v>1781</v>
      </c>
      <c r="V13" s="4">
        <v>2225</v>
      </c>
      <c r="W13" s="4">
        <v>2527</v>
      </c>
      <c r="X13" s="4">
        <v>287</v>
      </c>
      <c r="Y13" s="4">
        <v>776</v>
      </c>
      <c r="Z13" s="4">
        <v>778</v>
      </c>
      <c r="AA13" s="4">
        <v>315</v>
      </c>
      <c r="AB13" s="4">
        <v>3917</v>
      </c>
      <c r="AC13" s="4">
        <v>595</v>
      </c>
      <c r="AD13" s="4">
        <v>467</v>
      </c>
      <c r="AE13" s="4">
        <v>1829</v>
      </c>
      <c r="AF13" s="4">
        <v>994</v>
      </c>
      <c r="AG13">
        <v>12338</v>
      </c>
      <c r="AH13" s="4">
        <v>281</v>
      </c>
      <c r="AI13" s="4">
        <v>1267</v>
      </c>
      <c r="AJ13" s="4">
        <v>157</v>
      </c>
      <c r="AK13" s="4">
        <v>1818</v>
      </c>
      <c r="AL13" s="4">
        <v>2630</v>
      </c>
      <c r="AM13" s="4">
        <v>674</v>
      </c>
      <c r="AN13" s="4">
        <v>303</v>
      </c>
      <c r="AO13" s="4">
        <v>10204</v>
      </c>
      <c r="AP13" s="4">
        <v>322</v>
      </c>
      <c r="AQ13" s="4">
        <v>65</v>
      </c>
      <c r="AR13" s="4">
        <v>1382</v>
      </c>
      <c r="AS13" s="4">
        <v>4325</v>
      </c>
      <c r="AT13" s="4">
        <v>556</v>
      </c>
      <c r="AU13" s="4">
        <v>2279</v>
      </c>
      <c r="AV13" s="4">
        <v>2060</v>
      </c>
      <c r="AW13" s="4">
        <v>2805</v>
      </c>
      <c r="AX13" s="4">
        <v>12945</v>
      </c>
      <c r="AY13" s="4">
        <v>60</v>
      </c>
      <c r="AZ13" s="4">
        <v>563</v>
      </c>
      <c r="BA13" s="4">
        <v>7597</v>
      </c>
      <c r="BB13" s="4">
        <v>76</v>
      </c>
      <c r="BC13" s="4">
        <v>322</v>
      </c>
      <c r="BD13" s="4">
        <v>4655</v>
      </c>
      <c r="BE13" s="4">
        <v>2506</v>
      </c>
      <c r="BF13" s="4">
        <v>3000</v>
      </c>
      <c r="BG13" s="4">
        <v>2858</v>
      </c>
      <c r="BH13" s="4">
        <v>1067</v>
      </c>
      <c r="BI13" s="4">
        <v>17107</v>
      </c>
      <c r="BJ13" s="4">
        <v>2868</v>
      </c>
      <c r="BK13" s="4">
        <v>4617</v>
      </c>
      <c r="BL13" s="4">
        <v>3613</v>
      </c>
      <c r="BM13" s="4">
        <v>4234</v>
      </c>
      <c r="BN13" s="4">
        <v>1601</v>
      </c>
      <c r="BO13" s="4">
        <v>798</v>
      </c>
      <c r="BP13" s="4">
        <v>20606</v>
      </c>
      <c r="BQ13" s="4">
        <v>3904</v>
      </c>
      <c r="BR13" s="4">
        <v>48353</v>
      </c>
      <c r="BS13" s="4">
        <v>7201</v>
      </c>
      <c r="BT13" s="4">
        <v>7954</v>
      </c>
      <c r="BU13" s="4">
        <v>16535</v>
      </c>
      <c r="BV13" s="4">
        <v>2077</v>
      </c>
      <c r="BW13" s="4">
        <v>9663</v>
      </c>
      <c r="BX13" s="4">
        <v>2130</v>
      </c>
      <c r="BY13" s="4">
        <v>5127</v>
      </c>
      <c r="BZ13" s="4">
        <v>11915</v>
      </c>
      <c r="CA13" s="4">
        <v>2311</v>
      </c>
      <c r="CB13" s="4">
        <v>813</v>
      </c>
      <c r="CC13" s="4">
        <v>5835</v>
      </c>
      <c r="CD13" s="4">
        <v>2724</v>
      </c>
      <c r="CE13" s="4">
        <v>2176</v>
      </c>
      <c r="CF13" s="4">
        <v>6862</v>
      </c>
      <c r="CG13" s="4">
        <v>59107</v>
      </c>
      <c r="CH13" s="4">
        <v>27603</v>
      </c>
      <c r="CI13" s="4">
        <v>57416</v>
      </c>
      <c r="CJ13" s="4">
        <v>13586</v>
      </c>
      <c r="CK13" s="4">
        <v>23671</v>
      </c>
      <c r="CL13" s="4">
        <v>15888</v>
      </c>
      <c r="CM13" s="4">
        <v>20131</v>
      </c>
      <c r="CN13" s="4">
        <v>34195</v>
      </c>
      <c r="CO13" s="4">
        <v>7725</v>
      </c>
      <c r="CP13" s="4">
        <v>2180</v>
      </c>
      <c r="CQ13" s="4">
        <v>11087</v>
      </c>
      <c r="CR13" s="4">
        <v>6914</v>
      </c>
      <c r="CS13" s="4">
        <v>18241</v>
      </c>
      <c r="CT13" s="4">
        <v>12568</v>
      </c>
      <c r="CU13" s="4">
        <v>1416</v>
      </c>
      <c r="CV13" s="4">
        <v>127989</v>
      </c>
      <c r="CW13" s="4">
        <v>8700</v>
      </c>
      <c r="CX13" s="4">
        <v>2526</v>
      </c>
      <c r="CY13" s="4">
        <v>18340</v>
      </c>
      <c r="CZ13" s="4">
        <v>6388</v>
      </c>
      <c r="DA13" s="4">
        <v>4318</v>
      </c>
      <c r="DB13" s="4">
        <v>7907</v>
      </c>
      <c r="DC13" s="4">
        <v>2418</v>
      </c>
      <c r="DD13" s="4">
        <v>2202</v>
      </c>
      <c r="DE13" s="4">
        <v>1545</v>
      </c>
      <c r="DF13" s="4">
        <v>27755</v>
      </c>
      <c r="DG13" s="4">
        <v>10839</v>
      </c>
      <c r="DH13" s="4">
        <v>9437</v>
      </c>
      <c r="DI13" s="4">
        <v>4921</v>
      </c>
      <c r="DJ13" s="4">
        <v>15756</v>
      </c>
      <c r="DK13" s="4">
        <v>9186</v>
      </c>
      <c r="DL13" s="4">
        <v>7190</v>
      </c>
      <c r="DM13" s="4">
        <v>9127</v>
      </c>
      <c r="DN13" s="4">
        <v>15301</v>
      </c>
      <c r="DO13" s="4">
        <v>2270</v>
      </c>
      <c r="DP13" s="4">
        <v>6293</v>
      </c>
      <c r="DQ13" s="4">
        <v>36312</v>
      </c>
      <c r="DR13" s="4">
        <v>1994</v>
      </c>
      <c r="DS13" s="4">
        <v>5152</v>
      </c>
      <c r="DT13" s="4">
        <v>555</v>
      </c>
      <c r="DU13" s="4">
        <v>7280</v>
      </c>
      <c r="DV13" s="4">
        <v>3801</v>
      </c>
      <c r="DW13" s="4">
        <v>5749</v>
      </c>
      <c r="DX13" s="4">
        <v>8682</v>
      </c>
      <c r="DY13" s="4">
        <v>1443</v>
      </c>
      <c r="DZ13" s="4">
        <v>2766</v>
      </c>
      <c r="EA13" s="4">
        <v>6133</v>
      </c>
      <c r="EB13" s="4">
        <v>3947</v>
      </c>
      <c r="EC13" s="4">
        <v>511</v>
      </c>
      <c r="ED13" s="4">
        <v>967</v>
      </c>
      <c r="EE13" s="4">
        <v>21451</v>
      </c>
      <c r="EF13" s="4">
        <v>2166</v>
      </c>
      <c r="EG13" s="4">
        <v>12562</v>
      </c>
      <c r="EH13" s="4">
        <v>15184</v>
      </c>
      <c r="EJ13" s="4">
        <f t="shared" si="0"/>
        <v>1077912</v>
      </c>
    </row>
    <row r="14" spans="1:140" x14ac:dyDescent="0.25">
      <c r="A14" s="4" t="s">
        <v>150</v>
      </c>
      <c r="B14" s="4">
        <v>1557</v>
      </c>
      <c r="C14" s="4">
        <v>3357</v>
      </c>
      <c r="D14" s="4">
        <v>60</v>
      </c>
      <c r="E14" s="4">
        <v>934</v>
      </c>
      <c r="F14" s="4">
        <v>4</v>
      </c>
      <c r="G14" s="4">
        <v>18</v>
      </c>
      <c r="H14" s="4">
        <v>9273</v>
      </c>
      <c r="I14" s="4">
        <v>15</v>
      </c>
      <c r="J14" s="4">
        <v>550</v>
      </c>
      <c r="K14" s="4">
        <v>9</v>
      </c>
      <c r="L14" s="4">
        <v>1023</v>
      </c>
      <c r="M14" s="4">
        <v>135</v>
      </c>
      <c r="N14" s="4">
        <v>6959</v>
      </c>
      <c r="O14" s="4">
        <v>935</v>
      </c>
      <c r="P14" s="4">
        <v>614</v>
      </c>
      <c r="Q14" s="4">
        <v>6314</v>
      </c>
      <c r="R14" s="4">
        <v>348</v>
      </c>
      <c r="S14" s="4">
        <v>1084</v>
      </c>
      <c r="T14" s="4">
        <v>1804</v>
      </c>
      <c r="U14" s="4">
        <v>1130</v>
      </c>
      <c r="V14" s="4">
        <v>2406</v>
      </c>
      <c r="W14" s="4">
        <v>1574</v>
      </c>
      <c r="X14" s="4">
        <v>302</v>
      </c>
      <c r="Y14" s="4">
        <v>693</v>
      </c>
      <c r="Z14" s="4">
        <v>513</v>
      </c>
      <c r="AA14" s="4">
        <v>377</v>
      </c>
      <c r="AB14" s="4">
        <v>3224</v>
      </c>
      <c r="AC14" s="4">
        <v>410</v>
      </c>
      <c r="AD14" s="4">
        <v>197</v>
      </c>
      <c r="AE14" s="4">
        <v>1030</v>
      </c>
      <c r="AF14" s="4">
        <v>1069</v>
      </c>
      <c r="AG14">
        <v>13881</v>
      </c>
      <c r="AH14" s="4">
        <v>303</v>
      </c>
      <c r="AI14" s="4">
        <v>2481</v>
      </c>
      <c r="AJ14" s="4">
        <v>260</v>
      </c>
      <c r="AK14" s="4">
        <v>1035</v>
      </c>
      <c r="AL14" s="4">
        <v>2540</v>
      </c>
      <c r="AM14" s="4">
        <v>689</v>
      </c>
      <c r="AN14" s="4">
        <v>218</v>
      </c>
      <c r="AO14" s="4">
        <v>7823</v>
      </c>
      <c r="AP14" s="4">
        <v>312</v>
      </c>
      <c r="AQ14" s="4">
        <v>91</v>
      </c>
      <c r="AR14" s="4">
        <v>2099</v>
      </c>
      <c r="AS14" s="4">
        <v>4915</v>
      </c>
      <c r="AT14" s="4">
        <v>505</v>
      </c>
      <c r="AU14" s="4">
        <v>1176</v>
      </c>
      <c r="AV14" s="4">
        <v>2237</v>
      </c>
      <c r="AW14" s="4">
        <v>3784</v>
      </c>
      <c r="AX14" s="4">
        <v>16427</v>
      </c>
      <c r="AY14" s="4">
        <v>73</v>
      </c>
      <c r="AZ14" s="4">
        <v>392</v>
      </c>
      <c r="BA14" s="4">
        <v>5591</v>
      </c>
      <c r="BB14" s="4">
        <v>61</v>
      </c>
      <c r="BC14" s="4">
        <v>301</v>
      </c>
      <c r="BD14" s="4">
        <v>4046</v>
      </c>
      <c r="BE14" s="4">
        <v>2549</v>
      </c>
      <c r="BF14" s="4">
        <v>1578</v>
      </c>
      <c r="BG14" s="4">
        <v>2539</v>
      </c>
      <c r="BH14" s="4">
        <v>918</v>
      </c>
      <c r="BI14" s="4">
        <v>18674</v>
      </c>
      <c r="BJ14" s="4">
        <v>1954</v>
      </c>
      <c r="BK14" s="4">
        <v>4887</v>
      </c>
      <c r="BL14" s="4">
        <v>3122</v>
      </c>
      <c r="BM14" s="4">
        <v>3639</v>
      </c>
      <c r="BN14" s="4">
        <v>849</v>
      </c>
      <c r="BO14" s="4">
        <v>836</v>
      </c>
      <c r="BP14" s="4">
        <v>14079</v>
      </c>
      <c r="BQ14" s="4">
        <v>1958</v>
      </c>
      <c r="BR14" s="4">
        <v>40236</v>
      </c>
      <c r="BS14" s="4">
        <v>7142</v>
      </c>
      <c r="BT14" s="4">
        <v>4864</v>
      </c>
      <c r="BU14" s="4">
        <v>12291</v>
      </c>
      <c r="BV14" s="4">
        <v>1597</v>
      </c>
      <c r="BW14" s="4">
        <v>7516</v>
      </c>
      <c r="BX14" s="4">
        <v>1484</v>
      </c>
      <c r="BY14" s="4">
        <v>4258</v>
      </c>
      <c r="BZ14" s="4">
        <v>10995</v>
      </c>
      <c r="CA14" s="4">
        <v>1338</v>
      </c>
      <c r="CB14" s="4">
        <v>554</v>
      </c>
      <c r="CC14" s="4">
        <v>5085</v>
      </c>
      <c r="CD14" s="4">
        <v>2360</v>
      </c>
      <c r="CE14" s="4">
        <v>1926</v>
      </c>
      <c r="CF14" s="4">
        <v>5076</v>
      </c>
      <c r="CG14" s="4">
        <v>65152</v>
      </c>
      <c r="CH14" s="4">
        <v>13811</v>
      </c>
      <c r="CI14" s="4">
        <v>19841</v>
      </c>
      <c r="CJ14" s="4">
        <v>4570</v>
      </c>
      <c r="CK14" s="4">
        <v>10314</v>
      </c>
      <c r="CL14" s="4">
        <v>12129</v>
      </c>
      <c r="CM14" s="4">
        <v>12345</v>
      </c>
      <c r="CN14" s="4">
        <v>26303</v>
      </c>
      <c r="CO14" s="4">
        <v>4068</v>
      </c>
      <c r="CP14" s="4">
        <v>2263</v>
      </c>
      <c r="CQ14" s="4">
        <v>3260</v>
      </c>
      <c r="CR14" s="4">
        <v>5124</v>
      </c>
      <c r="CS14" s="4">
        <v>15401</v>
      </c>
      <c r="CT14" s="4">
        <v>11279</v>
      </c>
      <c r="CU14" s="4">
        <v>1264</v>
      </c>
      <c r="CV14" s="4">
        <v>119888</v>
      </c>
      <c r="CW14" s="4">
        <v>3308</v>
      </c>
      <c r="CX14" s="4">
        <v>1154</v>
      </c>
      <c r="CY14" s="4">
        <v>17720</v>
      </c>
      <c r="CZ14" s="4">
        <v>3294</v>
      </c>
      <c r="DA14" s="4">
        <v>4729</v>
      </c>
      <c r="DB14" s="4">
        <v>7376</v>
      </c>
      <c r="DC14" s="4">
        <v>2227</v>
      </c>
      <c r="DD14" s="4">
        <v>2162</v>
      </c>
      <c r="DE14" s="4">
        <v>1622</v>
      </c>
      <c r="DF14" s="4">
        <v>25215</v>
      </c>
      <c r="DG14" s="4">
        <v>9014</v>
      </c>
      <c r="DH14" s="4">
        <v>9008</v>
      </c>
      <c r="DI14" s="4">
        <v>3485</v>
      </c>
      <c r="DJ14" s="4">
        <v>13380</v>
      </c>
      <c r="DK14" s="4">
        <v>8343</v>
      </c>
      <c r="DL14" s="4">
        <v>6011</v>
      </c>
      <c r="DM14" s="4">
        <v>8203</v>
      </c>
      <c r="DN14" s="4">
        <v>10040</v>
      </c>
      <c r="DO14" s="4">
        <v>1661</v>
      </c>
      <c r="DP14" s="4">
        <v>4953</v>
      </c>
      <c r="DQ14" s="4">
        <v>34899</v>
      </c>
      <c r="DR14" s="4">
        <v>1792</v>
      </c>
      <c r="DS14" s="4">
        <v>4717</v>
      </c>
      <c r="DT14" s="4">
        <v>499</v>
      </c>
      <c r="DU14" s="4">
        <v>5393</v>
      </c>
      <c r="DV14" s="4">
        <v>3139</v>
      </c>
      <c r="DW14" s="4">
        <v>3039</v>
      </c>
      <c r="DX14" s="4">
        <v>5792</v>
      </c>
      <c r="DY14" s="4">
        <v>1356</v>
      </c>
      <c r="DZ14" s="4">
        <v>1470</v>
      </c>
      <c r="EA14" s="4">
        <v>5872</v>
      </c>
      <c r="EB14" s="4">
        <v>3217</v>
      </c>
      <c r="EC14" s="4">
        <v>465</v>
      </c>
      <c r="ED14" s="4">
        <v>663</v>
      </c>
      <c r="EE14" s="4">
        <v>16808</v>
      </c>
      <c r="EF14" s="4">
        <v>1959</v>
      </c>
      <c r="EG14" s="4">
        <v>6701</v>
      </c>
      <c r="EH14" s="4">
        <v>13470</v>
      </c>
      <c r="EJ14" s="4">
        <f t="shared" si="0"/>
        <v>864630</v>
      </c>
    </row>
    <row r="15" spans="1:140" x14ac:dyDescent="0.25">
      <c r="A15" s="4" t="s">
        <v>151</v>
      </c>
      <c r="B15" s="4">
        <v>1582</v>
      </c>
      <c r="C15" s="4">
        <v>3443</v>
      </c>
      <c r="D15" s="4">
        <v>57</v>
      </c>
      <c r="E15" s="4">
        <v>821</v>
      </c>
      <c r="F15" s="4">
        <v>7</v>
      </c>
      <c r="G15" s="4">
        <v>9</v>
      </c>
      <c r="H15" s="4">
        <v>8640</v>
      </c>
      <c r="I15" s="4">
        <v>28</v>
      </c>
      <c r="J15" s="4">
        <v>506</v>
      </c>
      <c r="K15" s="4">
        <v>10</v>
      </c>
      <c r="L15" s="4">
        <v>870</v>
      </c>
      <c r="M15" s="4">
        <v>211</v>
      </c>
      <c r="N15" s="4">
        <v>6624</v>
      </c>
      <c r="O15" s="4">
        <v>1135</v>
      </c>
      <c r="P15" s="4">
        <v>579</v>
      </c>
      <c r="Q15" s="4">
        <v>5830</v>
      </c>
      <c r="R15" s="4">
        <v>104</v>
      </c>
      <c r="S15" s="4">
        <v>948</v>
      </c>
      <c r="T15" s="4">
        <v>1520</v>
      </c>
      <c r="U15" s="4">
        <v>1056</v>
      </c>
      <c r="V15" s="4">
        <v>2304</v>
      </c>
      <c r="W15" s="4">
        <v>1806</v>
      </c>
      <c r="X15" s="4">
        <v>228</v>
      </c>
      <c r="Y15" s="4">
        <v>913</v>
      </c>
      <c r="Z15" s="4">
        <v>383</v>
      </c>
      <c r="AA15" s="4">
        <v>299</v>
      </c>
      <c r="AB15" s="4">
        <v>3092</v>
      </c>
      <c r="AC15" s="4">
        <v>253</v>
      </c>
      <c r="AD15" s="4">
        <v>216</v>
      </c>
      <c r="AE15" s="4">
        <v>1754</v>
      </c>
      <c r="AF15" s="4">
        <v>837</v>
      </c>
      <c r="AG15">
        <v>11993</v>
      </c>
      <c r="AH15" s="4">
        <v>160</v>
      </c>
      <c r="AI15" s="4">
        <v>1536</v>
      </c>
      <c r="AJ15" s="4">
        <v>180</v>
      </c>
      <c r="AK15" s="4">
        <v>1104</v>
      </c>
      <c r="AL15" s="4">
        <v>2819</v>
      </c>
      <c r="AM15" s="4">
        <v>714</v>
      </c>
      <c r="AN15" s="4">
        <v>127</v>
      </c>
      <c r="AO15" s="4">
        <v>7786</v>
      </c>
      <c r="AP15" s="4">
        <v>335</v>
      </c>
      <c r="AQ15" s="4">
        <v>72</v>
      </c>
      <c r="AR15" s="4">
        <v>1320</v>
      </c>
      <c r="AS15" s="4">
        <v>8289</v>
      </c>
      <c r="AT15" s="4">
        <v>574</v>
      </c>
      <c r="AU15" s="4">
        <v>1073</v>
      </c>
      <c r="AV15" s="4">
        <v>1690</v>
      </c>
      <c r="AW15" s="4">
        <v>18812</v>
      </c>
      <c r="AX15" s="4">
        <v>16336</v>
      </c>
      <c r="AY15" s="4">
        <v>63</v>
      </c>
      <c r="AZ15" s="4">
        <v>304</v>
      </c>
      <c r="BA15" s="4">
        <v>17052</v>
      </c>
      <c r="BB15" s="4">
        <v>82</v>
      </c>
      <c r="BC15" s="4">
        <v>294</v>
      </c>
      <c r="BD15" s="4">
        <v>4530</v>
      </c>
      <c r="BE15" s="4">
        <v>3332</v>
      </c>
      <c r="BF15" s="4">
        <v>1250</v>
      </c>
      <c r="BG15" s="4">
        <v>2627</v>
      </c>
      <c r="BH15" s="4">
        <v>1364</v>
      </c>
      <c r="BI15" s="4">
        <v>15797</v>
      </c>
      <c r="BJ15" s="4">
        <v>2176</v>
      </c>
      <c r="BK15" s="4">
        <v>4408</v>
      </c>
      <c r="BL15" s="4">
        <v>2652</v>
      </c>
      <c r="BM15" s="4">
        <v>3665</v>
      </c>
      <c r="BN15" s="4">
        <v>890</v>
      </c>
      <c r="BO15" s="4">
        <v>721</v>
      </c>
      <c r="BP15" s="4">
        <v>14126</v>
      </c>
      <c r="BQ15" s="4">
        <v>1847</v>
      </c>
      <c r="BR15" s="4">
        <v>41525</v>
      </c>
      <c r="BS15" s="4">
        <v>7129</v>
      </c>
      <c r="BT15" s="4">
        <v>6003</v>
      </c>
      <c r="BU15" s="4">
        <v>12363</v>
      </c>
      <c r="BV15" s="4">
        <v>1863</v>
      </c>
      <c r="BW15" s="4">
        <v>8000</v>
      </c>
      <c r="BX15" s="4">
        <v>1510</v>
      </c>
      <c r="BY15" s="4">
        <v>4463</v>
      </c>
      <c r="BZ15" s="4">
        <v>11958</v>
      </c>
      <c r="CA15" s="4">
        <v>1486</v>
      </c>
      <c r="CB15" s="4">
        <v>653</v>
      </c>
      <c r="CC15" s="4">
        <v>4361</v>
      </c>
      <c r="CD15" s="4">
        <v>2322</v>
      </c>
      <c r="CE15" s="4">
        <v>2210</v>
      </c>
      <c r="CF15" s="4">
        <v>4643</v>
      </c>
      <c r="CG15" s="4">
        <v>54444</v>
      </c>
      <c r="CH15" s="4">
        <v>8085</v>
      </c>
      <c r="CI15" s="4">
        <v>22352</v>
      </c>
      <c r="CJ15" s="4">
        <v>4452</v>
      </c>
      <c r="CK15" s="4">
        <v>10679</v>
      </c>
      <c r="CL15" s="4">
        <v>11891</v>
      </c>
      <c r="CM15" s="4">
        <v>11538</v>
      </c>
      <c r="CN15" s="4">
        <v>24703</v>
      </c>
      <c r="CO15" s="4">
        <v>3711</v>
      </c>
      <c r="CP15" s="4">
        <v>2181</v>
      </c>
      <c r="CQ15" s="4">
        <v>2686</v>
      </c>
      <c r="CR15" s="4">
        <v>5365</v>
      </c>
      <c r="CS15" s="4">
        <v>16258</v>
      </c>
      <c r="CT15" s="4">
        <v>10848</v>
      </c>
      <c r="CU15" s="4">
        <v>1598</v>
      </c>
      <c r="CV15" s="4">
        <v>127103</v>
      </c>
      <c r="CW15" s="4">
        <v>3675</v>
      </c>
      <c r="CX15" s="4">
        <v>1530</v>
      </c>
      <c r="CY15" s="4">
        <v>13799</v>
      </c>
      <c r="CZ15" s="4">
        <v>1868</v>
      </c>
      <c r="DA15" s="4">
        <v>4509</v>
      </c>
      <c r="DB15" s="4">
        <v>8169</v>
      </c>
      <c r="DC15" s="4">
        <v>2344</v>
      </c>
      <c r="DD15" s="4">
        <v>2431</v>
      </c>
      <c r="DE15" s="4">
        <v>1570</v>
      </c>
      <c r="DF15" s="4">
        <v>27888</v>
      </c>
      <c r="DG15" s="4">
        <v>11240</v>
      </c>
      <c r="DH15" s="4">
        <v>9377</v>
      </c>
      <c r="DI15" s="4">
        <v>4517</v>
      </c>
      <c r="DJ15" s="4">
        <v>16524</v>
      </c>
      <c r="DK15" s="4">
        <v>9990</v>
      </c>
      <c r="DL15" s="4">
        <v>6697</v>
      </c>
      <c r="DM15" s="4">
        <v>8953</v>
      </c>
      <c r="DN15" s="4">
        <v>14558</v>
      </c>
      <c r="DO15" s="4">
        <v>1738</v>
      </c>
      <c r="DP15" s="4">
        <v>4905</v>
      </c>
      <c r="DQ15" s="4">
        <v>38451</v>
      </c>
      <c r="DR15" s="4">
        <v>1615</v>
      </c>
      <c r="DS15" s="4">
        <v>3209</v>
      </c>
      <c r="DT15" s="4">
        <v>470</v>
      </c>
      <c r="DU15" s="4">
        <v>5260</v>
      </c>
      <c r="DV15" s="4">
        <v>3383</v>
      </c>
      <c r="DW15" s="4">
        <v>4803</v>
      </c>
      <c r="DX15" s="4">
        <v>5834</v>
      </c>
      <c r="DY15" s="4">
        <v>1122</v>
      </c>
      <c r="DZ15" s="4">
        <v>1539</v>
      </c>
      <c r="EA15" s="4">
        <v>6228</v>
      </c>
      <c r="EB15" s="4">
        <v>3698</v>
      </c>
      <c r="EC15" s="4">
        <v>394</v>
      </c>
      <c r="ED15" s="4">
        <v>437</v>
      </c>
      <c r="EE15" s="4">
        <v>16988</v>
      </c>
      <c r="EF15" s="4">
        <v>1802</v>
      </c>
      <c r="EG15" s="4">
        <v>5949</v>
      </c>
      <c r="EH15" s="4">
        <v>13995</v>
      </c>
      <c r="EJ15" s="4">
        <f t="shared" si="0"/>
        <v>898007</v>
      </c>
    </row>
    <row r="16" spans="1:140" x14ac:dyDescent="0.25">
      <c r="A16" s="4" t="s">
        <v>152</v>
      </c>
      <c r="B16" s="4">
        <v>1957</v>
      </c>
      <c r="C16" s="4">
        <v>4384</v>
      </c>
      <c r="D16" s="4">
        <v>73</v>
      </c>
      <c r="E16" s="4">
        <v>1124</v>
      </c>
      <c r="F16" s="4">
        <v>16</v>
      </c>
      <c r="G16" s="4">
        <v>29</v>
      </c>
      <c r="H16" s="4">
        <v>7937</v>
      </c>
      <c r="I16" s="4">
        <v>26</v>
      </c>
      <c r="J16" s="4">
        <v>564</v>
      </c>
      <c r="K16" s="4">
        <v>12</v>
      </c>
      <c r="L16" s="4">
        <v>1092</v>
      </c>
      <c r="M16" s="4">
        <v>196</v>
      </c>
      <c r="N16" s="4">
        <v>6993</v>
      </c>
      <c r="O16" s="4">
        <v>1140</v>
      </c>
      <c r="P16" s="4">
        <v>894</v>
      </c>
      <c r="Q16" s="4">
        <v>6304</v>
      </c>
      <c r="R16" s="4">
        <v>64</v>
      </c>
      <c r="S16" s="4">
        <v>1139</v>
      </c>
      <c r="T16" s="4">
        <v>1890</v>
      </c>
      <c r="U16" s="4">
        <v>1471</v>
      </c>
      <c r="V16" s="4">
        <v>2598</v>
      </c>
      <c r="W16" s="4">
        <v>2145</v>
      </c>
      <c r="X16" s="4">
        <v>307</v>
      </c>
      <c r="Y16" s="4">
        <v>720</v>
      </c>
      <c r="Z16" s="4">
        <v>536</v>
      </c>
      <c r="AA16" s="4">
        <v>384</v>
      </c>
      <c r="AB16" s="4">
        <v>3024</v>
      </c>
      <c r="AC16" s="4">
        <v>183</v>
      </c>
      <c r="AD16" s="4">
        <v>176</v>
      </c>
      <c r="AE16" s="4">
        <v>971</v>
      </c>
      <c r="AF16" s="4">
        <v>773</v>
      </c>
      <c r="AG16">
        <v>14293</v>
      </c>
      <c r="AH16" s="4">
        <v>223</v>
      </c>
      <c r="AI16" s="4">
        <v>1091</v>
      </c>
      <c r="AJ16" s="4">
        <v>231</v>
      </c>
      <c r="AK16" s="4">
        <v>985</v>
      </c>
      <c r="AL16" s="4">
        <v>2529</v>
      </c>
      <c r="AM16" s="4">
        <v>677</v>
      </c>
      <c r="AN16" s="4">
        <v>146</v>
      </c>
      <c r="AO16" s="4">
        <v>9429</v>
      </c>
      <c r="AP16" s="4">
        <v>368</v>
      </c>
      <c r="AQ16" s="4">
        <v>128</v>
      </c>
      <c r="AR16" s="4">
        <v>1386</v>
      </c>
      <c r="AS16" s="4">
        <v>5472</v>
      </c>
      <c r="AT16" s="4">
        <v>594</v>
      </c>
      <c r="AU16" s="4">
        <v>1562</v>
      </c>
      <c r="AV16" s="4">
        <v>2031</v>
      </c>
      <c r="AW16" s="4">
        <v>10459</v>
      </c>
      <c r="AX16" s="4">
        <v>13254</v>
      </c>
      <c r="AY16" s="4">
        <v>76</v>
      </c>
      <c r="AZ16" s="4">
        <v>390</v>
      </c>
      <c r="BA16" s="4">
        <v>21608</v>
      </c>
      <c r="BB16" s="4">
        <v>52</v>
      </c>
      <c r="BC16" s="4">
        <v>496</v>
      </c>
      <c r="BD16" s="4">
        <v>6236</v>
      </c>
      <c r="BE16" s="4">
        <v>4019</v>
      </c>
      <c r="BF16" s="4">
        <v>1668</v>
      </c>
      <c r="BG16" s="4">
        <v>2835</v>
      </c>
      <c r="BH16" s="4">
        <v>1030</v>
      </c>
      <c r="BI16" s="4">
        <v>16917</v>
      </c>
      <c r="BJ16" s="4">
        <v>2469</v>
      </c>
      <c r="BK16" s="4">
        <v>5093</v>
      </c>
      <c r="BL16" s="4">
        <v>2523</v>
      </c>
      <c r="BM16" s="4">
        <v>4755</v>
      </c>
      <c r="BN16" s="4">
        <v>1028</v>
      </c>
      <c r="BO16" s="4">
        <v>838</v>
      </c>
      <c r="BP16" s="4">
        <v>15563</v>
      </c>
      <c r="BQ16" s="4">
        <v>2055</v>
      </c>
      <c r="BR16" s="4">
        <v>47827</v>
      </c>
      <c r="BS16" s="4">
        <v>7616</v>
      </c>
      <c r="BT16" s="4">
        <v>6902</v>
      </c>
      <c r="BU16" s="4">
        <v>13318</v>
      </c>
      <c r="BV16" s="4">
        <v>2047</v>
      </c>
      <c r="BW16" s="4">
        <v>9028</v>
      </c>
      <c r="BX16" s="4">
        <v>1873</v>
      </c>
      <c r="BY16" s="4">
        <v>4997</v>
      </c>
      <c r="BZ16" s="4">
        <v>13151</v>
      </c>
      <c r="CA16" s="4">
        <v>1628</v>
      </c>
      <c r="CB16" s="4">
        <v>884</v>
      </c>
      <c r="CC16" s="4">
        <v>4167</v>
      </c>
      <c r="CD16" s="4">
        <v>3018</v>
      </c>
      <c r="CE16" s="4">
        <v>2410</v>
      </c>
      <c r="CF16" s="4">
        <v>5009</v>
      </c>
      <c r="CG16" s="4">
        <v>66622</v>
      </c>
      <c r="CH16" s="4">
        <v>9051</v>
      </c>
      <c r="CI16" s="4">
        <v>20819</v>
      </c>
      <c r="CJ16" s="4">
        <v>4850</v>
      </c>
      <c r="CK16" s="4">
        <v>11553</v>
      </c>
      <c r="CL16" s="4">
        <v>9179</v>
      </c>
      <c r="CM16" s="4">
        <v>11042</v>
      </c>
      <c r="CN16" s="4">
        <v>26988</v>
      </c>
      <c r="CO16" s="4">
        <v>4586</v>
      </c>
      <c r="CP16" s="4">
        <v>2594</v>
      </c>
      <c r="CQ16" s="4">
        <v>3032</v>
      </c>
      <c r="CR16" s="4">
        <v>5236</v>
      </c>
      <c r="CS16" s="4">
        <v>18134</v>
      </c>
      <c r="CT16" s="4">
        <v>11238</v>
      </c>
      <c r="CU16" s="4">
        <v>1241</v>
      </c>
      <c r="CV16" s="4">
        <v>144037</v>
      </c>
      <c r="CW16" s="4">
        <v>3808</v>
      </c>
      <c r="CX16" s="4">
        <v>1284</v>
      </c>
      <c r="CY16" s="4">
        <v>16688</v>
      </c>
      <c r="CZ16" s="4">
        <v>2031</v>
      </c>
      <c r="DA16" s="4">
        <v>4682</v>
      </c>
      <c r="DB16" s="4">
        <v>8507</v>
      </c>
      <c r="DC16" s="4">
        <v>2748</v>
      </c>
      <c r="DD16" s="4">
        <v>2416</v>
      </c>
      <c r="DE16" s="4">
        <v>1663</v>
      </c>
      <c r="DF16" s="4">
        <v>30323</v>
      </c>
      <c r="DG16" s="4">
        <v>13019</v>
      </c>
      <c r="DH16" s="4">
        <v>10184</v>
      </c>
      <c r="DI16" s="4">
        <v>4678</v>
      </c>
      <c r="DJ16" s="4">
        <v>15890</v>
      </c>
      <c r="DK16" s="4">
        <v>10624</v>
      </c>
      <c r="DL16" s="4">
        <v>7328</v>
      </c>
      <c r="DM16" s="4">
        <v>10272</v>
      </c>
      <c r="DN16" s="4">
        <v>19148</v>
      </c>
      <c r="DO16" s="4">
        <v>2207</v>
      </c>
      <c r="DP16" s="4">
        <v>5695</v>
      </c>
      <c r="DQ16" s="4">
        <v>43588</v>
      </c>
      <c r="DR16" s="4">
        <v>2350</v>
      </c>
      <c r="DS16" s="4">
        <v>3251</v>
      </c>
      <c r="DT16" s="4">
        <v>457</v>
      </c>
      <c r="DU16" s="4">
        <v>6813</v>
      </c>
      <c r="DV16" s="4">
        <v>3353</v>
      </c>
      <c r="DW16" s="4">
        <v>3919</v>
      </c>
      <c r="DX16" s="4">
        <v>6961</v>
      </c>
      <c r="DY16" s="4">
        <v>1362</v>
      </c>
      <c r="DZ16" s="4">
        <v>1674</v>
      </c>
      <c r="EA16" s="4">
        <v>7084</v>
      </c>
      <c r="EB16" s="4">
        <v>4281</v>
      </c>
      <c r="EC16" s="4">
        <v>457</v>
      </c>
      <c r="ED16" s="4">
        <v>593</v>
      </c>
      <c r="EE16" s="4">
        <v>18322</v>
      </c>
      <c r="EF16" s="4">
        <v>1645</v>
      </c>
      <c r="EG16" s="4">
        <v>6680</v>
      </c>
      <c r="EH16" s="4">
        <v>15800</v>
      </c>
      <c r="EJ16" s="4">
        <f t="shared" si="0"/>
        <v>979493</v>
      </c>
    </row>
    <row r="17" spans="1:140" x14ac:dyDescent="0.25">
      <c r="A17" s="4" t="s">
        <v>153</v>
      </c>
      <c r="B17" s="4">
        <v>1273</v>
      </c>
      <c r="C17" s="4">
        <v>3111</v>
      </c>
      <c r="D17" s="4">
        <v>55</v>
      </c>
      <c r="E17" s="4">
        <v>864</v>
      </c>
      <c r="F17" s="4">
        <v>3</v>
      </c>
      <c r="G17" s="4">
        <v>14</v>
      </c>
      <c r="H17" s="4">
        <v>7680</v>
      </c>
      <c r="I17" s="4">
        <v>17</v>
      </c>
      <c r="J17" s="4">
        <v>568</v>
      </c>
      <c r="K17" s="4">
        <v>13</v>
      </c>
      <c r="L17" s="4">
        <v>782</v>
      </c>
      <c r="M17" s="4">
        <v>153</v>
      </c>
      <c r="N17" s="4">
        <v>6459</v>
      </c>
      <c r="O17" s="4">
        <v>846</v>
      </c>
      <c r="P17" s="4">
        <v>630</v>
      </c>
      <c r="Q17" s="4">
        <v>5729</v>
      </c>
      <c r="R17" s="4">
        <v>65</v>
      </c>
      <c r="S17" s="4">
        <v>692</v>
      </c>
      <c r="T17" s="4">
        <v>1913</v>
      </c>
      <c r="U17" s="4">
        <v>1161</v>
      </c>
      <c r="V17" s="4">
        <v>2251</v>
      </c>
      <c r="W17" s="4">
        <v>1978</v>
      </c>
      <c r="X17" s="4">
        <v>343</v>
      </c>
      <c r="Y17" s="4">
        <v>690</v>
      </c>
      <c r="Z17" s="4">
        <v>489</v>
      </c>
      <c r="AA17" s="4">
        <v>337</v>
      </c>
      <c r="AB17" s="4">
        <v>2566</v>
      </c>
      <c r="AC17" s="4">
        <v>202</v>
      </c>
      <c r="AD17" s="4">
        <v>156</v>
      </c>
      <c r="AE17" s="4">
        <v>827</v>
      </c>
      <c r="AF17" s="4">
        <v>751</v>
      </c>
      <c r="AG17">
        <v>12527</v>
      </c>
      <c r="AH17" s="4">
        <v>176</v>
      </c>
      <c r="AI17" s="4">
        <v>678</v>
      </c>
      <c r="AJ17" s="4">
        <v>189</v>
      </c>
      <c r="AK17" s="4">
        <v>893</v>
      </c>
      <c r="AL17" s="4">
        <v>1794</v>
      </c>
      <c r="AM17" s="4">
        <v>661</v>
      </c>
      <c r="AN17" s="4">
        <v>158</v>
      </c>
      <c r="AO17" s="4">
        <v>5916</v>
      </c>
      <c r="AP17" s="4">
        <v>316</v>
      </c>
      <c r="AQ17" s="4">
        <v>63</v>
      </c>
      <c r="AR17" s="4">
        <v>1193</v>
      </c>
      <c r="AS17" s="4">
        <v>3421</v>
      </c>
      <c r="AT17" s="4">
        <v>372</v>
      </c>
      <c r="AU17" s="4">
        <v>1760</v>
      </c>
      <c r="AV17" s="4">
        <v>1990</v>
      </c>
      <c r="AW17" s="4">
        <v>2577</v>
      </c>
      <c r="AX17" s="4">
        <v>12644</v>
      </c>
      <c r="AY17" s="4">
        <v>70</v>
      </c>
      <c r="AZ17" s="4">
        <v>290</v>
      </c>
      <c r="BA17" s="4">
        <v>6642</v>
      </c>
      <c r="BB17" s="4">
        <v>28</v>
      </c>
      <c r="BC17" s="4">
        <v>238</v>
      </c>
      <c r="BD17" s="4">
        <v>4001</v>
      </c>
      <c r="BE17" s="4">
        <v>3724</v>
      </c>
      <c r="BF17" s="4">
        <v>1961</v>
      </c>
      <c r="BG17" s="4">
        <v>2331</v>
      </c>
      <c r="BH17" s="4">
        <v>981</v>
      </c>
      <c r="BI17" s="4">
        <v>17880</v>
      </c>
      <c r="BJ17" s="4">
        <v>2010</v>
      </c>
      <c r="BK17" s="4">
        <v>4062</v>
      </c>
      <c r="BL17" s="4">
        <v>2385</v>
      </c>
      <c r="BM17" s="4">
        <v>3656</v>
      </c>
      <c r="BN17" s="4">
        <v>970</v>
      </c>
      <c r="BO17" s="4">
        <v>756</v>
      </c>
      <c r="BP17" s="4">
        <v>15570</v>
      </c>
      <c r="BQ17" s="4">
        <v>1837</v>
      </c>
      <c r="BR17" s="4">
        <v>42708</v>
      </c>
      <c r="BS17" s="4">
        <v>7048</v>
      </c>
      <c r="BT17" s="4">
        <v>5779</v>
      </c>
      <c r="BU17" s="4">
        <v>11997</v>
      </c>
      <c r="BV17" s="4">
        <v>1598</v>
      </c>
      <c r="BW17" s="4">
        <v>7532</v>
      </c>
      <c r="BX17" s="4">
        <v>1768</v>
      </c>
      <c r="BY17" s="4">
        <v>5181</v>
      </c>
      <c r="BZ17" s="4">
        <v>11481</v>
      </c>
      <c r="CA17" s="4">
        <v>1399</v>
      </c>
      <c r="CB17" s="4">
        <v>608</v>
      </c>
      <c r="CC17" s="4">
        <v>3412</v>
      </c>
      <c r="CD17" s="4">
        <v>2283</v>
      </c>
      <c r="CE17" s="4">
        <v>1808</v>
      </c>
      <c r="CF17" s="4">
        <v>4396</v>
      </c>
      <c r="CG17" s="4">
        <v>57725</v>
      </c>
      <c r="CH17" s="4">
        <v>11608</v>
      </c>
      <c r="CI17" s="4">
        <v>21740</v>
      </c>
      <c r="CJ17" s="4">
        <v>4724</v>
      </c>
      <c r="CK17" s="4">
        <v>10561</v>
      </c>
      <c r="CL17" s="4">
        <v>6727</v>
      </c>
      <c r="CM17" s="4">
        <v>11928</v>
      </c>
      <c r="CN17" s="4">
        <v>25619</v>
      </c>
      <c r="CO17" s="4">
        <v>3725</v>
      </c>
      <c r="CP17" s="4">
        <v>2053</v>
      </c>
      <c r="CQ17" s="4">
        <v>3115</v>
      </c>
      <c r="CR17" s="4">
        <v>4490</v>
      </c>
      <c r="CS17" s="4">
        <v>16160</v>
      </c>
      <c r="CT17" s="4">
        <v>9286</v>
      </c>
      <c r="CU17" s="4">
        <v>1154</v>
      </c>
      <c r="CV17" s="4">
        <v>123781</v>
      </c>
      <c r="CW17" s="4">
        <v>3779</v>
      </c>
      <c r="CX17" s="4">
        <v>1324</v>
      </c>
      <c r="CY17" s="4">
        <v>16032</v>
      </c>
      <c r="CZ17" s="4">
        <v>2029</v>
      </c>
      <c r="DA17" s="4">
        <v>4031</v>
      </c>
      <c r="DB17" s="4">
        <v>7577</v>
      </c>
      <c r="DC17" s="4">
        <v>2372</v>
      </c>
      <c r="DD17" s="4">
        <v>2287</v>
      </c>
      <c r="DE17" s="4">
        <v>1299</v>
      </c>
      <c r="DF17" s="4">
        <v>26605</v>
      </c>
      <c r="DG17" s="4">
        <v>10649</v>
      </c>
      <c r="DH17" s="4">
        <v>9652</v>
      </c>
      <c r="DI17" s="4">
        <v>3678</v>
      </c>
      <c r="DJ17" s="4">
        <v>14440</v>
      </c>
      <c r="DK17" s="4">
        <v>8273</v>
      </c>
      <c r="DL17" s="4">
        <v>5635</v>
      </c>
      <c r="DM17" s="4">
        <v>8359</v>
      </c>
      <c r="DN17" s="4">
        <v>12010</v>
      </c>
      <c r="DO17" s="4">
        <v>1884</v>
      </c>
      <c r="DP17" s="4">
        <v>5444</v>
      </c>
      <c r="DQ17" s="4">
        <v>36291</v>
      </c>
      <c r="DR17" s="4">
        <v>2161</v>
      </c>
      <c r="DS17" s="4">
        <v>3244</v>
      </c>
      <c r="DT17" s="4">
        <v>408</v>
      </c>
      <c r="DU17" s="4">
        <v>6089</v>
      </c>
      <c r="DV17" s="4">
        <v>2858</v>
      </c>
      <c r="DW17" s="4">
        <v>3277</v>
      </c>
      <c r="DX17" s="4">
        <v>7639</v>
      </c>
      <c r="DY17" s="4">
        <v>1403</v>
      </c>
      <c r="DZ17" s="4">
        <v>1732</v>
      </c>
      <c r="EA17" s="4">
        <v>4905</v>
      </c>
      <c r="EB17" s="4">
        <v>5397</v>
      </c>
      <c r="EC17" s="4">
        <v>361</v>
      </c>
      <c r="ED17" s="4">
        <v>570</v>
      </c>
      <c r="EE17" s="4">
        <v>16826</v>
      </c>
      <c r="EF17" s="4">
        <v>1677</v>
      </c>
      <c r="EG17" s="4">
        <v>7329</v>
      </c>
      <c r="EH17" s="4">
        <v>11677</v>
      </c>
      <c r="EJ17" s="4">
        <f t="shared" si="0"/>
        <v>843935</v>
      </c>
    </row>
    <row r="18" spans="1:140" x14ac:dyDescent="0.25">
      <c r="A18" s="4" t="s">
        <v>154</v>
      </c>
      <c r="B18" s="4">
        <v>1761</v>
      </c>
      <c r="C18" s="4">
        <v>3877</v>
      </c>
      <c r="D18" s="4">
        <v>53</v>
      </c>
      <c r="E18" s="4">
        <v>867</v>
      </c>
      <c r="F18" s="4">
        <v>4</v>
      </c>
      <c r="G18" s="4">
        <v>21</v>
      </c>
      <c r="H18" s="4">
        <v>7654</v>
      </c>
      <c r="I18" s="4">
        <v>18</v>
      </c>
      <c r="J18" s="4">
        <v>524</v>
      </c>
      <c r="K18" s="4">
        <v>31</v>
      </c>
      <c r="L18" s="4">
        <v>650</v>
      </c>
      <c r="M18" s="4">
        <v>173</v>
      </c>
      <c r="N18" s="4">
        <v>7683</v>
      </c>
      <c r="O18" s="4">
        <v>894</v>
      </c>
      <c r="P18" s="4">
        <v>664</v>
      </c>
      <c r="Q18" s="4">
        <v>6505</v>
      </c>
      <c r="R18" s="4">
        <v>10</v>
      </c>
      <c r="S18" s="4">
        <v>906</v>
      </c>
      <c r="T18" s="4">
        <v>2353</v>
      </c>
      <c r="U18" s="4">
        <v>1205</v>
      </c>
      <c r="V18" s="4">
        <v>2529</v>
      </c>
      <c r="W18" s="4">
        <v>1917</v>
      </c>
      <c r="X18" s="4">
        <v>304</v>
      </c>
      <c r="Y18" s="4">
        <v>615</v>
      </c>
      <c r="Z18" s="4">
        <v>830</v>
      </c>
      <c r="AA18" s="4">
        <v>381</v>
      </c>
      <c r="AB18" s="4">
        <v>2894</v>
      </c>
      <c r="AC18" s="4">
        <v>340</v>
      </c>
      <c r="AD18" s="4">
        <v>177</v>
      </c>
      <c r="AE18" s="4">
        <v>851</v>
      </c>
      <c r="AF18" s="4">
        <v>1462</v>
      </c>
      <c r="AG18">
        <v>13100</v>
      </c>
      <c r="AH18" s="4">
        <v>147</v>
      </c>
      <c r="AI18" s="4">
        <v>611</v>
      </c>
      <c r="AJ18" s="4">
        <v>252</v>
      </c>
      <c r="AK18" s="4">
        <v>1144</v>
      </c>
      <c r="AL18" s="4">
        <v>1438</v>
      </c>
      <c r="AM18" s="4">
        <v>656</v>
      </c>
      <c r="AN18" s="4">
        <v>165</v>
      </c>
      <c r="AO18" s="4">
        <v>6170</v>
      </c>
      <c r="AP18" s="4">
        <v>355</v>
      </c>
      <c r="AQ18" s="4">
        <v>70</v>
      </c>
      <c r="AR18" s="4">
        <v>1157</v>
      </c>
      <c r="AS18" s="4">
        <v>3475</v>
      </c>
      <c r="AT18" s="4">
        <v>476</v>
      </c>
      <c r="AU18" s="4">
        <v>2137</v>
      </c>
      <c r="AV18" s="4">
        <v>2118</v>
      </c>
      <c r="AW18" s="4">
        <v>1356</v>
      </c>
      <c r="AX18" s="4">
        <v>12731</v>
      </c>
      <c r="AY18" s="4">
        <v>60</v>
      </c>
      <c r="AZ18" s="4">
        <v>347</v>
      </c>
      <c r="BA18" s="4">
        <v>4639</v>
      </c>
      <c r="BB18" s="4">
        <v>73</v>
      </c>
      <c r="BC18" s="4">
        <v>315</v>
      </c>
      <c r="BD18" s="4">
        <v>5098</v>
      </c>
      <c r="BE18" s="4">
        <v>2881</v>
      </c>
      <c r="BF18" s="4">
        <v>1772</v>
      </c>
      <c r="BG18" s="4">
        <v>2397</v>
      </c>
      <c r="BH18" s="4">
        <v>1001</v>
      </c>
      <c r="BI18" s="4">
        <v>17457</v>
      </c>
      <c r="BJ18" s="4">
        <v>2143</v>
      </c>
      <c r="BK18" s="4">
        <v>5293</v>
      </c>
      <c r="BL18" s="4">
        <v>2040</v>
      </c>
      <c r="BM18" s="4">
        <v>4106</v>
      </c>
      <c r="BN18" s="4">
        <v>933</v>
      </c>
      <c r="BO18" s="4">
        <v>952</v>
      </c>
      <c r="BP18" s="4">
        <v>16331</v>
      </c>
      <c r="BQ18" s="4">
        <v>2088</v>
      </c>
      <c r="BR18" s="4">
        <v>45461</v>
      </c>
      <c r="BS18" s="4">
        <v>7854</v>
      </c>
      <c r="BT18" s="4">
        <v>6160</v>
      </c>
      <c r="BU18" s="4">
        <v>12985</v>
      </c>
      <c r="BV18" s="4">
        <v>1765</v>
      </c>
      <c r="BW18" s="4">
        <v>8064</v>
      </c>
      <c r="BX18" s="4">
        <v>2088</v>
      </c>
      <c r="BY18" s="4">
        <v>5228</v>
      </c>
      <c r="BZ18" s="4">
        <v>11770</v>
      </c>
      <c r="CA18" s="4">
        <v>1461</v>
      </c>
      <c r="CB18" s="4">
        <v>637</v>
      </c>
      <c r="CC18" s="4">
        <v>3882</v>
      </c>
      <c r="CD18" s="4">
        <v>2485</v>
      </c>
      <c r="CE18" s="4">
        <v>1945</v>
      </c>
      <c r="CF18" s="4">
        <v>4490</v>
      </c>
      <c r="CG18" s="4">
        <v>61903</v>
      </c>
      <c r="CH18" s="4">
        <v>9755</v>
      </c>
      <c r="CI18" s="4">
        <v>18113</v>
      </c>
      <c r="CJ18" s="4">
        <v>5054</v>
      </c>
      <c r="CK18" s="4">
        <v>11049</v>
      </c>
      <c r="CL18" s="4">
        <v>6459</v>
      </c>
      <c r="CM18" s="4">
        <v>9948</v>
      </c>
      <c r="CN18" s="4">
        <v>26565</v>
      </c>
      <c r="CO18" s="4">
        <v>3820</v>
      </c>
      <c r="CP18" s="4">
        <v>2359</v>
      </c>
      <c r="CQ18" s="4">
        <v>2806</v>
      </c>
      <c r="CR18" s="4">
        <v>4700</v>
      </c>
      <c r="CS18" s="4">
        <v>16668</v>
      </c>
      <c r="CT18" s="4">
        <v>10960</v>
      </c>
      <c r="CU18" s="4">
        <v>1130</v>
      </c>
      <c r="CV18" s="4">
        <v>135584</v>
      </c>
      <c r="CW18" s="4">
        <v>3392</v>
      </c>
      <c r="CX18" s="4">
        <v>1309</v>
      </c>
      <c r="CY18" s="4">
        <v>15001</v>
      </c>
      <c r="CZ18" s="4">
        <v>2079</v>
      </c>
      <c r="DA18" s="4">
        <v>4953</v>
      </c>
      <c r="DB18" s="4">
        <v>7173</v>
      </c>
      <c r="DC18" s="4">
        <v>2100</v>
      </c>
      <c r="DD18" s="4">
        <v>3051</v>
      </c>
      <c r="DE18" s="4">
        <v>1580</v>
      </c>
      <c r="DF18" s="4">
        <v>26888</v>
      </c>
      <c r="DG18" s="4">
        <v>9727</v>
      </c>
      <c r="DH18" s="4">
        <v>10287</v>
      </c>
      <c r="DI18" s="4">
        <v>5317</v>
      </c>
      <c r="DJ18" s="4">
        <v>14963</v>
      </c>
      <c r="DK18" s="4">
        <v>8538</v>
      </c>
      <c r="DL18" s="4">
        <v>6376</v>
      </c>
      <c r="DM18" s="4">
        <v>8840</v>
      </c>
      <c r="DN18" s="4">
        <v>14071</v>
      </c>
      <c r="DO18" s="4">
        <v>2082</v>
      </c>
      <c r="DP18" s="4">
        <v>6311</v>
      </c>
      <c r="DQ18" s="4">
        <v>38781</v>
      </c>
      <c r="DR18" s="4">
        <v>2990</v>
      </c>
      <c r="DS18" s="4">
        <v>3920</v>
      </c>
      <c r="DT18" s="4">
        <v>554</v>
      </c>
      <c r="DU18" s="4">
        <v>6584</v>
      </c>
      <c r="DV18" s="4">
        <v>2949</v>
      </c>
      <c r="DW18" s="4">
        <v>3145</v>
      </c>
      <c r="DX18" s="4">
        <v>7984</v>
      </c>
      <c r="DY18" s="4">
        <v>1767</v>
      </c>
      <c r="DZ18" s="4">
        <v>1750</v>
      </c>
      <c r="EA18" s="4">
        <v>6391</v>
      </c>
      <c r="EB18" s="4">
        <v>5999</v>
      </c>
      <c r="EC18" s="4">
        <v>416</v>
      </c>
      <c r="ED18" s="4">
        <v>499</v>
      </c>
      <c r="EE18" s="4">
        <v>18086</v>
      </c>
      <c r="EF18" s="4">
        <v>2218</v>
      </c>
      <c r="EG18" s="4">
        <v>7375</v>
      </c>
      <c r="EH18" s="4">
        <v>14571</v>
      </c>
      <c r="EJ18" s="4">
        <f t="shared" si="0"/>
        <v>888802</v>
      </c>
    </row>
    <row r="19" spans="1:140" x14ac:dyDescent="0.25">
      <c r="A19" s="4" t="s">
        <v>155</v>
      </c>
      <c r="B19" s="4">
        <v>1860</v>
      </c>
      <c r="C19" s="4">
        <v>3840</v>
      </c>
      <c r="D19" s="4">
        <v>60</v>
      </c>
      <c r="E19" s="4">
        <v>1000</v>
      </c>
      <c r="F19" s="4">
        <v>8</v>
      </c>
      <c r="G19" s="4">
        <v>9</v>
      </c>
      <c r="H19" s="4">
        <v>8927</v>
      </c>
      <c r="I19" s="4">
        <v>38</v>
      </c>
      <c r="J19" s="4">
        <v>478</v>
      </c>
      <c r="K19" s="4">
        <v>18</v>
      </c>
      <c r="L19" s="4">
        <v>805</v>
      </c>
      <c r="M19" s="4">
        <v>210</v>
      </c>
      <c r="N19" s="4">
        <v>7600</v>
      </c>
      <c r="O19" s="4">
        <v>1093</v>
      </c>
      <c r="P19" s="4">
        <v>612</v>
      </c>
      <c r="Q19" s="4">
        <v>6748</v>
      </c>
      <c r="R19" s="4">
        <v>13</v>
      </c>
      <c r="S19" s="4">
        <v>982</v>
      </c>
      <c r="T19" s="4">
        <v>2150</v>
      </c>
      <c r="U19" s="4">
        <v>1367</v>
      </c>
      <c r="V19" s="4">
        <v>2567</v>
      </c>
      <c r="W19" s="4">
        <v>2442</v>
      </c>
      <c r="X19" s="4">
        <v>435</v>
      </c>
      <c r="Y19" s="4">
        <v>549</v>
      </c>
      <c r="Z19" s="4">
        <v>1279</v>
      </c>
      <c r="AA19" s="4">
        <v>403</v>
      </c>
      <c r="AB19" s="4">
        <v>3119</v>
      </c>
      <c r="AC19" s="4">
        <v>307</v>
      </c>
      <c r="AD19" s="4">
        <v>168</v>
      </c>
      <c r="AE19" s="4">
        <v>755</v>
      </c>
      <c r="AF19" s="4">
        <v>835</v>
      </c>
      <c r="AG19">
        <v>14260</v>
      </c>
      <c r="AH19" s="4">
        <v>195</v>
      </c>
      <c r="AI19" s="4">
        <v>552</v>
      </c>
      <c r="AJ19" s="4">
        <v>164</v>
      </c>
      <c r="AK19" s="4">
        <v>881</v>
      </c>
      <c r="AL19" s="4">
        <v>1516</v>
      </c>
      <c r="AM19" s="4">
        <v>811</v>
      </c>
      <c r="AN19" s="4">
        <v>249</v>
      </c>
      <c r="AO19" s="4">
        <v>6595</v>
      </c>
      <c r="AP19" s="4">
        <v>305</v>
      </c>
      <c r="AQ19" s="4">
        <v>72</v>
      </c>
      <c r="AR19" s="4">
        <v>1149</v>
      </c>
      <c r="AS19" s="4">
        <v>2994</v>
      </c>
      <c r="AT19" s="4">
        <v>438</v>
      </c>
      <c r="AU19" s="4">
        <v>1610</v>
      </c>
      <c r="AV19" s="4">
        <v>1971</v>
      </c>
      <c r="AW19" s="4">
        <v>1333</v>
      </c>
      <c r="AX19" s="4">
        <v>12026</v>
      </c>
      <c r="AY19" s="4">
        <v>50</v>
      </c>
      <c r="AZ19" s="4">
        <v>593</v>
      </c>
      <c r="BA19" s="4">
        <v>3753</v>
      </c>
      <c r="BB19" s="4">
        <v>60</v>
      </c>
      <c r="BC19" s="4">
        <v>244</v>
      </c>
      <c r="BD19" s="4">
        <v>3750</v>
      </c>
      <c r="BE19" s="4">
        <v>3670</v>
      </c>
      <c r="BF19" s="4">
        <v>1482</v>
      </c>
      <c r="BG19" s="4">
        <v>2427</v>
      </c>
      <c r="BH19" s="4">
        <v>950</v>
      </c>
      <c r="BI19" s="4">
        <v>16127</v>
      </c>
      <c r="BJ19" s="4">
        <v>2429</v>
      </c>
      <c r="BK19" s="4">
        <v>6494</v>
      </c>
      <c r="BL19" s="4">
        <v>1996</v>
      </c>
      <c r="BM19" s="4">
        <v>4328</v>
      </c>
      <c r="BN19" s="4">
        <v>862</v>
      </c>
      <c r="BO19" s="4">
        <v>694</v>
      </c>
      <c r="BP19" s="4">
        <v>18529</v>
      </c>
      <c r="BQ19" s="4">
        <v>2042</v>
      </c>
      <c r="BR19" s="4">
        <v>45795</v>
      </c>
      <c r="BS19" s="4">
        <v>7535</v>
      </c>
      <c r="BT19" s="4">
        <v>6370</v>
      </c>
      <c r="BU19" s="4">
        <v>15407</v>
      </c>
      <c r="BV19" s="4">
        <v>1712</v>
      </c>
      <c r="BW19" s="4">
        <v>8664</v>
      </c>
      <c r="BX19" s="4">
        <v>3292</v>
      </c>
      <c r="BY19" s="4">
        <v>7395</v>
      </c>
      <c r="BZ19" s="4">
        <v>11797</v>
      </c>
      <c r="CA19" s="4">
        <v>1541</v>
      </c>
      <c r="CB19" s="4">
        <v>726</v>
      </c>
      <c r="CC19" s="4">
        <v>4289</v>
      </c>
      <c r="CD19" s="4">
        <v>4553</v>
      </c>
      <c r="CE19" s="4">
        <v>1759</v>
      </c>
      <c r="CF19" s="4">
        <v>4578</v>
      </c>
      <c r="CG19" s="4">
        <v>60000</v>
      </c>
      <c r="CH19" s="4">
        <v>8924</v>
      </c>
      <c r="CI19" s="4">
        <v>18711</v>
      </c>
      <c r="CJ19" s="4">
        <v>5346</v>
      </c>
      <c r="CK19" s="4">
        <v>11353</v>
      </c>
      <c r="CL19" s="4">
        <v>6682</v>
      </c>
      <c r="CM19" s="4">
        <v>10262</v>
      </c>
      <c r="CN19" s="4">
        <v>27224</v>
      </c>
      <c r="CO19" s="4">
        <v>4133</v>
      </c>
      <c r="CP19" s="4">
        <v>2477</v>
      </c>
      <c r="CQ19" s="4">
        <v>2980</v>
      </c>
      <c r="CR19" s="4">
        <v>4754</v>
      </c>
      <c r="CS19" s="4">
        <v>16456</v>
      </c>
      <c r="CT19" s="4">
        <v>12813</v>
      </c>
      <c r="CU19" s="4">
        <v>1117</v>
      </c>
      <c r="CV19" s="4">
        <v>137972</v>
      </c>
      <c r="CW19" s="4">
        <v>4191</v>
      </c>
      <c r="CX19" s="4">
        <v>1457</v>
      </c>
      <c r="CY19" s="4">
        <v>15415</v>
      </c>
      <c r="CZ19" s="4">
        <v>2243</v>
      </c>
      <c r="DA19" s="4">
        <v>4385</v>
      </c>
      <c r="DB19" s="4">
        <v>7260</v>
      </c>
      <c r="DC19" s="4">
        <v>2153</v>
      </c>
      <c r="DD19" s="4">
        <v>2162</v>
      </c>
      <c r="DE19" s="4">
        <v>1596</v>
      </c>
      <c r="DF19" s="4">
        <v>28488</v>
      </c>
      <c r="DG19" s="4">
        <v>9044</v>
      </c>
      <c r="DH19" s="4">
        <v>9667</v>
      </c>
      <c r="DI19" s="4">
        <v>3231</v>
      </c>
      <c r="DJ19" s="4">
        <v>14712</v>
      </c>
      <c r="DK19" s="4">
        <v>9174</v>
      </c>
      <c r="DL19" s="4">
        <v>6142</v>
      </c>
      <c r="DM19" s="4">
        <v>7949</v>
      </c>
      <c r="DN19" s="4">
        <v>10976</v>
      </c>
      <c r="DO19" s="4">
        <v>1971</v>
      </c>
      <c r="DP19" s="4">
        <v>7958</v>
      </c>
      <c r="DQ19" s="4">
        <v>36629</v>
      </c>
      <c r="DR19" s="4">
        <v>2399</v>
      </c>
      <c r="DS19" s="4">
        <v>3014</v>
      </c>
      <c r="DT19" s="4">
        <v>489</v>
      </c>
      <c r="DU19" s="4">
        <v>6183</v>
      </c>
      <c r="DV19" s="4">
        <v>3087</v>
      </c>
      <c r="DW19" s="4">
        <v>3805</v>
      </c>
      <c r="DX19" s="4">
        <v>7403</v>
      </c>
      <c r="DY19" s="4">
        <v>1305</v>
      </c>
      <c r="DZ19" s="4">
        <v>2484</v>
      </c>
      <c r="EA19" s="4">
        <v>6168</v>
      </c>
      <c r="EB19" s="4">
        <v>3980</v>
      </c>
      <c r="EC19" s="4">
        <v>421</v>
      </c>
      <c r="ED19" s="4">
        <v>585</v>
      </c>
      <c r="EE19" s="4">
        <v>18711</v>
      </c>
      <c r="EF19" s="4">
        <v>1985</v>
      </c>
      <c r="EG19" s="4">
        <v>6563</v>
      </c>
      <c r="EH19" s="4">
        <v>14132</v>
      </c>
      <c r="EJ19" s="4">
        <f t="shared" si="0"/>
        <v>894412</v>
      </c>
    </row>
    <row r="20" spans="1:140" x14ac:dyDescent="0.25">
      <c r="A20" s="4" t="s">
        <v>156</v>
      </c>
      <c r="B20" s="4">
        <v>1787</v>
      </c>
      <c r="C20" s="4">
        <v>3769</v>
      </c>
      <c r="D20" s="4">
        <v>70</v>
      </c>
      <c r="E20" s="4">
        <v>998</v>
      </c>
      <c r="F20" s="4">
        <v>290</v>
      </c>
      <c r="G20" s="4">
        <v>14</v>
      </c>
      <c r="H20" s="4">
        <v>9802</v>
      </c>
      <c r="I20" s="4">
        <v>37</v>
      </c>
      <c r="J20" s="4">
        <v>586</v>
      </c>
      <c r="K20" s="4">
        <v>27</v>
      </c>
      <c r="L20" s="4">
        <v>679</v>
      </c>
      <c r="M20" s="4">
        <v>208</v>
      </c>
      <c r="N20" s="4">
        <v>6332</v>
      </c>
      <c r="O20" s="4">
        <v>1121</v>
      </c>
      <c r="P20" s="4">
        <v>741</v>
      </c>
      <c r="Q20" s="4">
        <v>6975</v>
      </c>
      <c r="R20" s="4">
        <v>10</v>
      </c>
      <c r="S20" s="4">
        <v>1119</v>
      </c>
      <c r="T20" s="4">
        <v>1950</v>
      </c>
      <c r="U20" s="4">
        <v>1594</v>
      </c>
      <c r="V20" s="4">
        <v>2491</v>
      </c>
      <c r="W20" s="4">
        <v>2286</v>
      </c>
      <c r="X20" s="4">
        <v>405</v>
      </c>
      <c r="Y20" s="4">
        <v>666</v>
      </c>
      <c r="Z20" s="4">
        <v>585</v>
      </c>
      <c r="AA20" s="4">
        <v>392</v>
      </c>
      <c r="AB20" s="4">
        <v>3110</v>
      </c>
      <c r="AC20" s="4">
        <v>298</v>
      </c>
      <c r="AD20" s="4">
        <v>218</v>
      </c>
      <c r="AE20" s="4">
        <v>936</v>
      </c>
      <c r="AF20" s="4">
        <v>1095</v>
      </c>
      <c r="AG20">
        <v>13056</v>
      </c>
      <c r="AH20" s="4">
        <v>173</v>
      </c>
      <c r="AI20" s="4">
        <v>631</v>
      </c>
      <c r="AJ20" s="4">
        <v>126</v>
      </c>
      <c r="AK20" s="4">
        <v>850</v>
      </c>
      <c r="AL20" s="4">
        <v>1718</v>
      </c>
      <c r="AM20" s="4">
        <v>982</v>
      </c>
      <c r="AN20" s="4">
        <v>147</v>
      </c>
      <c r="AO20" s="4">
        <v>7419</v>
      </c>
      <c r="AP20" s="4">
        <v>327</v>
      </c>
      <c r="AQ20" s="4">
        <v>57</v>
      </c>
      <c r="AR20" s="4">
        <v>1094</v>
      </c>
      <c r="AS20" s="4">
        <v>3300</v>
      </c>
      <c r="AT20" s="4">
        <v>479</v>
      </c>
      <c r="AU20" s="4">
        <v>1208</v>
      </c>
      <c r="AV20" s="4">
        <v>2188</v>
      </c>
      <c r="AW20" s="4">
        <v>1383</v>
      </c>
      <c r="AX20" s="4">
        <v>12176</v>
      </c>
      <c r="AY20" s="4">
        <v>93</v>
      </c>
      <c r="AZ20" s="4">
        <v>325</v>
      </c>
      <c r="BA20" s="4">
        <v>4366</v>
      </c>
      <c r="BB20" s="4">
        <v>49</v>
      </c>
      <c r="BC20" s="4">
        <v>297</v>
      </c>
      <c r="BD20" s="4">
        <v>4127</v>
      </c>
      <c r="BE20" s="4">
        <v>4401</v>
      </c>
      <c r="BF20" s="4">
        <v>1275</v>
      </c>
      <c r="BG20" s="4">
        <v>2635</v>
      </c>
      <c r="BH20" s="4">
        <v>1161</v>
      </c>
      <c r="BI20" s="4">
        <v>16013</v>
      </c>
      <c r="BJ20" s="4">
        <v>3553</v>
      </c>
      <c r="BK20" s="4">
        <v>5931</v>
      </c>
      <c r="BL20" s="4">
        <v>2674</v>
      </c>
      <c r="BM20" s="4">
        <v>4227</v>
      </c>
      <c r="BN20" s="4">
        <v>1074</v>
      </c>
      <c r="BO20" s="4">
        <v>857</v>
      </c>
      <c r="BP20" s="4">
        <v>20175</v>
      </c>
      <c r="BQ20" s="4">
        <v>2200</v>
      </c>
      <c r="BR20" s="4">
        <v>47995</v>
      </c>
      <c r="BS20" s="4">
        <v>7361</v>
      </c>
      <c r="BT20" s="4">
        <v>6939</v>
      </c>
      <c r="BU20" s="4">
        <v>17326</v>
      </c>
      <c r="BV20" s="4">
        <v>2272</v>
      </c>
      <c r="BW20" s="4">
        <v>8884</v>
      </c>
      <c r="BX20" s="4">
        <v>2419</v>
      </c>
      <c r="BY20" s="4">
        <v>6765</v>
      </c>
      <c r="BZ20" s="4">
        <v>12491</v>
      </c>
      <c r="CA20" s="4">
        <v>1553</v>
      </c>
      <c r="CB20" s="4">
        <v>669</v>
      </c>
      <c r="CC20" s="4">
        <v>4655</v>
      </c>
      <c r="CD20" s="4">
        <v>2929</v>
      </c>
      <c r="CE20" s="4">
        <v>1898</v>
      </c>
      <c r="CF20" s="4">
        <v>4356</v>
      </c>
      <c r="CG20" s="4">
        <v>59987</v>
      </c>
      <c r="CH20" s="4">
        <v>9100</v>
      </c>
      <c r="CI20" s="4">
        <v>18921</v>
      </c>
      <c r="CJ20" s="4">
        <v>4980</v>
      </c>
      <c r="CK20" s="4">
        <v>11193</v>
      </c>
      <c r="CL20" s="4">
        <v>6710</v>
      </c>
      <c r="CM20" s="4">
        <v>9905</v>
      </c>
      <c r="CN20" s="4">
        <v>27271</v>
      </c>
      <c r="CO20" s="4">
        <v>4061</v>
      </c>
      <c r="CP20" s="4">
        <v>2589</v>
      </c>
      <c r="CQ20" s="4">
        <v>2691</v>
      </c>
      <c r="CR20" s="4">
        <v>4212</v>
      </c>
      <c r="CS20" s="4">
        <v>16988</v>
      </c>
      <c r="CT20" s="4">
        <v>10198</v>
      </c>
      <c r="CU20" s="4">
        <v>940</v>
      </c>
      <c r="CV20" s="4">
        <v>134392</v>
      </c>
      <c r="CW20" s="4">
        <v>3501</v>
      </c>
      <c r="CX20" s="4">
        <v>1306</v>
      </c>
      <c r="CY20" s="4">
        <v>15189</v>
      </c>
      <c r="CZ20" s="4">
        <v>3207</v>
      </c>
      <c r="DA20" s="4">
        <v>4134</v>
      </c>
      <c r="DB20" s="4">
        <v>7215</v>
      </c>
      <c r="DC20" s="4">
        <v>2122</v>
      </c>
      <c r="DD20" s="4">
        <v>1913</v>
      </c>
      <c r="DE20" s="4">
        <v>1500</v>
      </c>
      <c r="DF20" s="4">
        <v>26617</v>
      </c>
      <c r="DG20" s="4">
        <v>8983</v>
      </c>
      <c r="DH20" s="4">
        <v>9542</v>
      </c>
      <c r="DI20" s="4">
        <v>3293</v>
      </c>
      <c r="DJ20" s="4">
        <v>14409</v>
      </c>
      <c r="DK20" s="4">
        <v>7991</v>
      </c>
      <c r="DL20" s="4">
        <v>6349</v>
      </c>
      <c r="DM20" s="4">
        <v>7369</v>
      </c>
      <c r="DN20" s="4">
        <v>10512</v>
      </c>
      <c r="DO20" s="4">
        <v>1899</v>
      </c>
      <c r="DP20" s="4">
        <v>9917</v>
      </c>
      <c r="DQ20" s="4">
        <v>35846</v>
      </c>
      <c r="DR20" s="4">
        <v>1815</v>
      </c>
      <c r="DS20" s="4">
        <v>2751</v>
      </c>
      <c r="DT20" s="4">
        <v>501</v>
      </c>
      <c r="DU20" s="4">
        <v>5645</v>
      </c>
      <c r="DV20" s="4">
        <v>2861</v>
      </c>
      <c r="DW20" s="4">
        <v>2919</v>
      </c>
      <c r="DX20" s="4">
        <v>6622</v>
      </c>
      <c r="DY20" s="4">
        <v>1326</v>
      </c>
      <c r="DZ20" s="4">
        <v>1773</v>
      </c>
      <c r="EA20" s="4">
        <v>5944</v>
      </c>
      <c r="EB20" s="4">
        <v>3612</v>
      </c>
      <c r="EC20" s="4">
        <v>387</v>
      </c>
      <c r="ED20" s="4">
        <v>627</v>
      </c>
      <c r="EE20" s="4">
        <v>19494</v>
      </c>
      <c r="EF20" s="4">
        <v>1722</v>
      </c>
      <c r="EG20" s="4">
        <v>6003</v>
      </c>
      <c r="EH20" s="4">
        <v>14425</v>
      </c>
      <c r="EJ20" s="4">
        <f t="shared" si="0"/>
        <v>887229</v>
      </c>
    </row>
    <row r="21" spans="1:140" x14ac:dyDescent="0.25">
      <c r="A21" s="4" t="s">
        <v>157</v>
      </c>
      <c r="B21" s="4">
        <v>1829</v>
      </c>
      <c r="C21" s="4">
        <v>3625</v>
      </c>
      <c r="D21" s="4">
        <v>66</v>
      </c>
      <c r="E21" s="4">
        <v>889</v>
      </c>
      <c r="F21" s="4">
        <v>11</v>
      </c>
      <c r="G21" s="4">
        <v>20</v>
      </c>
      <c r="H21" s="4">
        <v>9188</v>
      </c>
      <c r="I21" s="4">
        <v>23</v>
      </c>
      <c r="J21" s="4">
        <v>669</v>
      </c>
      <c r="K21" s="4">
        <v>16</v>
      </c>
      <c r="L21" s="4">
        <v>734</v>
      </c>
      <c r="M21" s="4">
        <v>241</v>
      </c>
      <c r="N21" s="4">
        <v>7087</v>
      </c>
      <c r="O21" s="4">
        <v>1124</v>
      </c>
      <c r="P21" s="4">
        <v>524</v>
      </c>
      <c r="Q21" s="4">
        <v>6323</v>
      </c>
      <c r="R21" s="4">
        <v>27</v>
      </c>
      <c r="S21" s="4">
        <v>863</v>
      </c>
      <c r="T21" s="4">
        <v>2174</v>
      </c>
      <c r="U21" s="4">
        <v>1439</v>
      </c>
      <c r="V21" s="4">
        <v>2743</v>
      </c>
      <c r="W21" s="4">
        <v>1910</v>
      </c>
      <c r="X21" s="4">
        <v>237</v>
      </c>
      <c r="Y21" s="4">
        <v>618</v>
      </c>
      <c r="Z21" s="4">
        <v>383</v>
      </c>
      <c r="AA21" s="4">
        <v>365</v>
      </c>
      <c r="AB21" s="4">
        <v>2863</v>
      </c>
      <c r="AC21" s="4">
        <v>342</v>
      </c>
      <c r="AD21" s="4">
        <v>155</v>
      </c>
      <c r="AE21" s="4">
        <v>942</v>
      </c>
      <c r="AF21" s="4">
        <v>658</v>
      </c>
      <c r="AG21">
        <v>13738</v>
      </c>
      <c r="AH21" s="4">
        <v>215</v>
      </c>
      <c r="AI21" s="4">
        <v>520</v>
      </c>
      <c r="AJ21" s="4">
        <v>164</v>
      </c>
      <c r="AK21" s="4">
        <v>919</v>
      </c>
      <c r="AL21" s="4">
        <v>1382</v>
      </c>
      <c r="AM21" s="4">
        <v>895</v>
      </c>
      <c r="AN21" s="4">
        <v>144</v>
      </c>
      <c r="AO21" s="4">
        <v>6914</v>
      </c>
      <c r="AP21" s="4">
        <v>288</v>
      </c>
      <c r="AQ21" s="4">
        <v>69</v>
      </c>
      <c r="AR21" s="4">
        <v>1219</v>
      </c>
      <c r="AS21" s="4">
        <v>3685</v>
      </c>
      <c r="AT21" s="4">
        <v>526</v>
      </c>
      <c r="AU21" s="4">
        <v>1600</v>
      </c>
      <c r="AV21" s="4">
        <v>1911</v>
      </c>
      <c r="AW21" s="4">
        <v>5340</v>
      </c>
      <c r="AX21" s="4">
        <v>12747</v>
      </c>
      <c r="AY21" s="4">
        <v>56</v>
      </c>
      <c r="AZ21" s="4">
        <v>906</v>
      </c>
      <c r="BA21" s="4">
        <v>5177</v>
      </c>
      <c r="BB21" s="4">
        <v>130</v>
      </c>
      <c r="BC21" s="4">
        <v>298</v>
      </c>
      <c r="BD21" s="4">
        <v>3985</v>
      </c>
      <c r="BE21" s="4">
        <v>4851</v>
      </c>
      <c r="BF21" s="4">
        <v>1362</v>
      </c>
      <c r="BG21" s="4">
        <v>2755</v>
      </c>
      <c r="BH21" s="4">
        <v>969</v>
      </c>
      <c r="BI21" s="4">
        <v>16969</v>
      </c>
      <c r="BJ21" s="4">
        <v>2675</v>
      </c>
      <c r="BK21" s="4">
        <v>5283</v>
      </c>
      <c r="BL21" s="4">
        <v>3383</v>
      </c>
      <c r="BM21" s="4">
        <v>4240</v>
      </c>
      <c r="BN21" s="4">
        <v>1458</v>
      </c>
      <c r="BO21" s="4">
        <v>1032</v>
      </c>
      <c r="BP21" s="4">
        <v>26375</v>
      </c>
      <c r="BQ21" s="4">
        <v>2238</v>
      </c>
      <c r="BR21" s="4">
        <v>49271</v>
      </c>
      <c r="BS21" s="4">
        <v>8159</v>
      </c>
      <c r="BT21" s="4">
        <v>7876</v>
      </c>
      <c r="BU21" s="4">
        <v>30271</v>
      </c>
      <c r="BV21" s="4">
        <v>3005</v>
      </c>
      <c r="BW21" s="4">
        <v>10603</v>
      </c>
      <c r="BX21" s="4">
        <v>2070</v>
      </c>
      <c r="BY21" s="4">
        <v>4790</v>
      </c>
      <c r="BZ21" s="4">
        <v>12427</v>
      </c>
      <c r="CA21" s="4">
        <v>1981</v>
      </c>
      <c r="CB21" s="4">
        <v>718</v>
      </c>
      <c r="CC21" s="4">
        <v>4830</v>
      </c>
      <c r="CD21" s="4">
        <v>2731</v>
      </c>
      <c r="CE21" s="4">
        <v>1994</v>
      </c>
      <c r="CF21" s="4">
        <v>4328</v>
      </c>
      <c r="CG21" s="4">
        <v>60716</v>
      </c>
      <c r="CH21" s="4">
        <v>9378</v>
      </c>
      <c r="CI21" s="4">
        <v>23476</v>
      </c>
      <c r="CJ21" s="4">
        <v>4026</v>
      </c>
      <c r="CK21" s="4">
        <v>11584</v>
      </c>
      <c r="CL21" s="4">
        <v>8894</v>
      </c>
      <c r="CM21" s="4">
        <v>10639</v>
      </c>
      <c r="CN21" s="4">
        <v>28970</v>
      </c>
      <c r="CO21" s="4">
        <v>4057</v>
      </c>
      <c r="CP21" s="4">
        <v>3767</v>
      </c>
      <c r="CQ21" s="4">
        <v>3024</v>
      </c>
      <c r="CR21" s="4">
        <v>4417</v>
      </c>
      <c r="CS21" s="4">
        <v>17718</v>
      </c>
      <c r="CT21" s="4">
        <v>11295</v>
      </c>
      <c r="CU21" s="4">
        <v>1531</v>
      </c>
      <c r="CV21" s="4">
        <v>136196</v>
      </c>
      <c r="CW21" s="4">
        <v>3187</v>
      </c>
      <c r="CX21" s="4">
        <v>1195</v>
      </c>
      <c r="CY21" s="4">
        <v>14793</v>
      </c>
      <c r="CZ21" s="4">
        <v>2979</v>
      </c>
      <c r="DA21" s="4">
        <v>4512</v>
      </c>
      <c r="DB21" s="4">
        <v>7361</v>
      </c>
      <c r="DC21" s="4">
        <v>2094</v>
      </c>
      <c r="DD21" s="4">
        <v>2013</v>
      </c>
      <c r="DE21" s="4">
        <v>1545</v>
      </c>
      <c r="DF21" s="4">
        <v>27986</v>
      </c>
      <c r="DG21" s="4">
        <v>8175</v>
      </c>
      <c r="DH21" s="4">
        <v>9875</v>
      </c>
      <c r="DI21" s="4">
        <v>3339</v>
      </c>
      <c r="DJ21" s="4">
        <v>14303</v>
      </c>
      <c r="DK21" s="4">
        <v>7962</v>
      </c>
      <c r="DL21" s="4">
        <v>5957</v>
      </c>
      <c r="DM21" s="4">
        <v>7985</v>
      </c>
      <c r="DN21" s="4">
        <v>10347</v>
      </c>
      <c r="DO21" s="4">
        <v>1781</v>
      </c>
      <c r="DP21" s="4">
        <v>11710</v>
      </c>
      <c r="DQ21" s="4">
        <v>37426</v>
      </c>
      <c r="DR21" s="4">
        <v>1841</v>
      </c>
      <c r="DS21" s="4">
        <v>2416</v>
      </c>
      <c r="DT21" s="4">
        <v>528</v>
      </c>
      <c r="DU21" s="4">
        <v>6151</v>
      </c>
      <c r="DV21" s="4">
        <v>3169</v>
      </c>
      <c r="DW21" s="4">
        <v>2951</v>
      </c>
      <c r="DX21" s="4">
        <v>6491</v>
      </c>
      <c r="DY21" s="4">
        <v>1173</v>
      </c>
      <c r="DZ21" s="4">
        <v>1959</v>
      </c>
      <c r="EA21" s="4">
        <v>6656</v>
      </c>
      <c r="EB21" s="4">
        <v>3898</v>
      </c>
      <c r="EC21" s="4">
        <v>476</v>
      </c>
      <c r="ED21" s="4">
        <v>894</v>
      </c>
      <c r="EE21" s="4">
        <v>18651</v>
      </c>
      <c r="EF21" s="4">
        <v>2021</v>
      </c>
      <c r="EG21" s="4">
        <v>6330</v>
      </c>
      <c r="EH21" s="4">
        <v>14959</v>
      </c>
      <c r="EJ21" s="4">
        <f t="shared" si="0"/>
        <v>936337</v>
      </c>
    </row>
    <row r="22" spans="1:140" x14ac:dyDescent="0.25">
      <c r="A22" s="4" t="s">
        <v>158</v>
      </c>
      <c r="B22" s="4">
        <v>2004</v>
      </c>
      <c r="C22" s="4">
        <v>3410</v>
      </c>
      <c r="D22" s="4">
        <v>92</v>
      </c>
      <c r="E22" s="4">
        <v>990</v>
      </c>
      <c r="F22" s="4">
        <v>11</v>
      </c>
      <c r="G22" s="4">
        <v>12</v>
      </c>
      <c r="H22" s="4">
        <v>9270</v>
      </c>
      <c r="I22" s="4">
        <v>31</v>
      </c>
      <c r="J22" s="4">
        <v>549</v>
      </c>
      <c r="K22" s="4">
        <v>15</v>
      </c>
      <c r="L22" s="4">
        <v>694</v>
      </c>
      <c r="M22" s="4">
        <v>129</v>
      </c>
      <c r="N22" s="4">
        <v>7322</v>
      </c>
      <c r="O22" s="4">
        <v>908</v>
      </c>
      <c r="P22" s="4">
        <v>457</v>
      </c>
      <c r="Q22" s="4">
        <v>5685</v>
      </c>
      <c r="R22" s="4">
        <v>38</v>
      </c>
      <c r="S22" s="4">
        <v>1061</v>
      </c>
      <c r="T22" s="4">
        <v>1961</v>
      </c>
      <c r="U22" s="4">
        <v>1512</v>
      </c>
      <c r="V22" s="4">
        <v>2331</v>
      </c>
      <c r="W22" s="4">
        <v>1537</v>
      </c>
      <c r="X22" s="4">
        <v>279</v>
      </c>
      <c r="Y22" s="4">
        <v>521</v>
      </c>
      <c r="Z22" s="4">
        <v>428</v>
      </c>
      <c r="AA22" s="4">
        <v>331</v>
      </c>
      <c r="AB22" s="4">
        <v>3214</v>
      </c>
      <c r="AC22" s="4">
        <v>447</v>
      </c>
      <c r="AD22" s="4">
        <v>246</v>
      </c>
      <c r="AE22" s="4">
        <v>770</v>
      </c>
      <c r="AF22" s="4">
        <v>1038</v>
      </c>
      <c r="AG22">
        <v>12638</v>
      </c>
      <c r="AH22" s="4">
        <v>189</v>
      </c>
      <c r="AI22" s="4">
        <v>704</v>
      </c>
      <c r="AJ22" s="4">
        <v>145</v>
      </c>
      <c r="AK22" s="4">
        <v>1037</v>
      </c>
      <c r="AL22" s="4">
        <v>1628</v>
      </c>
      <c r="AM22" s="4">
        <v>471</v>
      </c>
      <c r="AN22" s="4">
        <v>128</v>
      </c>
      <c r="AO22" s="4">
        <v>6343</v>
      </c>
      <c r="AP22" s="4">
        <v>269</v>
      </c>
      <c r="AQ22" s="4">
        <v>57</v>
      </c>
      <c r="AR22" s="4">
        <v>1172</v>
      </c>
      <c r="AS22" s="4">
        <v>3572</v>
      </c>
      <c r="AT22" s="4">
        <v>495</v>
      </c>
      <c r="AU22" s="4">
        <v>2098</v>
      </c>
      <c r="AV22" s="4">
        <v>1852</v>
      </c>
      <c r="AW22" s="4">
        <v>2934</v>
      </c>
      <c r="AX22" s="4">
        <v>11913</v>
      </c>
      <c r="AY22" s="4">
        <v>40</v>
      </c>
      <c r="AZ22" s="4">
        <v>782</v>
      </c>
      <c r="BA22" s="4">
        <v>3815</v>
      </c>
      <c r="BB22" s="4">
        <v>147</v>
      </c>
      <c r="BC22" s="4">
        <v>316</v>
      </c>
      <c r="BD22" s="4">
        <v>3722</v>
      </c>
      <c r="BE22" s="4">
        <v>3016</v>
      </c>
      <c r="BF22" s="4">
        <v>2410</v>
      </c>
      <c r="BG22" s="4">
        <v>2270</v>
      </c>
      <c r="BH22" s="4">
        <v>1342</v>
      </c>
      <c r="BI22" s="4">
        <v>17688</v>
      </c>
      <c r="BJ22" s="4">
        <v>3934</v>
      </c>
      <c r="BK22" s="4">
        <v>4292</v>
      </c>
      <c r="BL22" s="4">
        <v>4249</v>
      </c>
      <c r="BM22" s="4">
        <v>3960</v>
      </c>
      <c r="BN22" s="4">
        <v>1676</v>
      </c>
      <c r="BO22" s="4">
        <v>814</v>
      </c>
      <c r="BP22" s="4">
        <v>29171</v>
      </c>
      <c r="BQ22" s="4">
        <v>2128</v>
      </c>
      <c r="BR22" s="4">
        <v>45943</v>
      </c>
      <c r="BS22" s="4">
        <v>8399</v>
      </c>
      <c r="BT22" s="4">
        <v>8149</v>
      </c>
      <c r="BU22" s="4">
        <v>25299</v>
      </c>
      <c r="BV22" s="4">
        <v>3479</v>
      </c>
      <c r="BW22" s="4">
        <v>10505</v>
      </c>
      <c r="BX22" s="4">
        <v>1993</v>
      </c>
      <c r="BY22" s="4">
        <v>4731</v>
      </c>
      <c r="BZ22" s="4">
        <v>11699</v>
      </c>
      <c r="CA22" s="4">
        <v>1776</v>
      </c>
      <c r="CB22" s="4">
        <v>633</v>
      </c>
      <c r="CC22" s="4">
        <v>4020</v>
      </c>
      <c r="CD22" s="4">
        <v>2171</v>
      </c>
      <c r="CE22" s="4">
        <v>1902</v>
      </c>
      <c r="CF22" s="4">
        <v>4259</v>
      </c>
      <c r="CG22" s="4">
        <v>56662</v>
      </c>
      <c r="CH22" s="4">
        <v>8179</v>
      </c>
      <c r="CI22" s="4">
        <v>18490</v>
      </c>
      <c r="CJ22" s="4">
        <v>4577</v>
      </c>
      <c r="CK22" s="4">
        <v>11025</v>
      </c>
      <c r="CL22" s="4">
        <v>7343</v>
      </c>
      <c r="CM22" s="4">
        <v>9488</v>
      </c>
      <c r="CN22" s="4">
        <v>26671</v>
      </c>
      <c r="CO22" s="4">
        <v>3432</v>
      </c>
      <c r="CP22" s="4">
        <v>2342</v>
      </c>
      <c r="CQ22" s="4">
        <v>3115</v>
      </c>
      <c r="CR22" s="4">
        <v>3727</v>
      </c>
      <c r="CS22" s="4">
        <v>15244</v>
      </c>
      <c r="CT22" s="4">
        <v>9756</v>
      </c>
      <c r="CU22" s="4">
        <v>908</v>
      </c>
      <c r="CV22" s="4">
        <v>125738</v>
      </c>
      <c r="CW22" s="4">
        <v>3137</v>
      </c>
      <c r="CX22" s="4">
        <v>1102</v>
      </c>
      <c r="CY22" s="4">
        <v>15157</v>
      </c>
      <c r="CZ22" s="4">
        <v>2311</v>
      </c>
      <c r="DA22" s="4">
        <v>4340</v>
      </c>
      <c r="DB22" s="4">
        <v>7057</v>
      </c>
      <c r="DC22" s="4">
        <v>1904</v>
      </c>
      <c r="DD22" s="4">
        <v>1924</v>
      </c>
      <c r="DE22" s="4">
        <v>1585</v>
      </c>
      <c r="DF22" s="4">
        <v>26607</v>
      </c>
      <c r="DG22" s="4">
        <v>7656</v>
      </c>
      <c r="DH22" s="4">
        <v>9378</v>
      </c>
      <c r="DI22" s="4">
        <v>2881</v>
      </c>
      <c r="DJ22" s="4">
        <v>12949</v>
      </c>
      <c r="DK22" s="4">
        <v>7811</v>
      </c>
      <c r="DL22" s="4">
        <v>5629</v>
      </c>
      <c r="DM22" s="4">
        <v>6682</v>
      </c>
      <c r="DN22" s="4">
        <v>9146</v>
      </c>
      <c r="DO22" s="4">
        <v>1637</v>
      </c>
      <c r="DP22" s="4">
        <v>7034</v>
      </c>
      <c r="DQ22" s="4">
        <v>33431</v>
      </c>
      <c r="DR22" s="4">
        <v>1531</v>
      </c>
      <c r="DS22" s="4">
        <v>2241</v>
      </c>
      <c r="DT22" s="4">
        <v>550</v>
      </c>
      <c r="DU22" s="4">
        <v>6692</v>
      </c>
      <c r="DV22" s="4">
        <v>3594</v>
      </c>
      <c r="DW22" s="4">
        <v>2745</v>
      </c>
      <c r="DX22" s="4">
        <v>5509</v>
      </c>
      <c r="DY22" s="4">
        <v>1031</v>
      </c>
      <c r="DZ22" s="4">
        <v>1721</v>
      </c>
      <c r="EA22" s="4">
        <v>6261</v>
      </c>
      <c r="EB22" s="4">
        <v>4223</v>
      </c>
      <c r="EC22" s="4">
        <v>465</v>
      </c>
      <c r="ED22" s="4">
        <v>606</v>
      </c>
      <c r="EE22" s="4">
        <v>18063</v>
      </c>
      <c r="EF22" s="4">
        <v>2103</v>
      </c>
      <c r="EG22" s="4">
        <v>6483</v>
      </c>
      <c r="EH22" s="4">
        <v>13964</v>
      </c>
      <c r="EJ22" s="4">
        <f t="shared" si="0"/>
        <v>869505</v>
      </c>
    </row>
    <row r="23" spans="1:140" x14ac:dyDescent="0.25">
      <c r="A23" s="4" t="s">
        <v>159</v>
      </c>
      <c r="B23" s="4">
        <v>1776</v>
      </c>
      <c r="C23" s="4">
        <v>3475</v>
      </c>
      <c r="D23" s="4">
        <v>101</v>
      </c>
      <c r="E23" s="4">
        <v>933</v>
      </c>
      <c r="F23" s="4">
        <v>5</v>
      </c>
      <c r="G23" s="4">
        <v>14</v>
      </c>
      <c r="H23" s="4">
        <v>9073</v>
      </c>
      <c r="I23" s="4">
        <v>74</v>
      </c>
      <c r="J23" s="4">
        <v>525</v>
      </c>
      <c r="K23" s="4">
        <v>15</v>
      </c>
      <c r="L23" s="4">
        <v>776</v>
      </c>
      <c r="M23" s="4">
        <v>129</v>
      </c>
      <c r="N23" s="4">
        <v>7477</v>
      </c>
      <c r="O23" s="4">
        <v>1326</v>
      </c>
      <c r="P23" s="4">
        <v>463</v>
      </c>
      <c r="Q23" s="4">
        <v>5197</v>
      </c>
      <c r="R23" s="4">
        <v>82</v>
      </c>
      <c r="S23" s="4">
        <v>996</v>
      </c>
      <c r="T23" s="4">
        <v>1871</v>
      </c>
      <c r="U23" s="4">
        <v>1253</v>
      </c>
      <c r="V23" s="4">
        <v>2118</v>
      </c>
      <c r="W23" s="4">
        <v>1781</v>
      </c>
      <c r="X23" s="4">
        <v>274</v>
      </c>
      <c r="Y23" s="4">
        <v>1075</v>
      </c>
      <c r="Z23" s="4">
        <v>547</v>
      </c>
      <c r="AA23" s="4">
        <v>461</v>
      </c>
      <c r="AB23" s="4">
        <v>2364</v>
      </c>
      <c r="AC23" s="4">
        <v>484</v>
      </c>
      <c r="AD23" s="4">
        <v>165</v>
      </c>
      <c r="AE23" s="4">
        <v>702</v>
      </c>
      <c r="AF23" s="4">
        <v>955</v>
      </c>
      <c r="AG23">
        <v>12212</v>
      </c>
      <c r="AH23" s="4">
        <v>189</v>
      </c>
      <c r="AI23" s="4">
        <v>808</v>
      </c>
      <c r="AJ23" s="4">
        <v>211</v>
      </c>
      <c r="AK23" s="4">
        <v>945</v>
      </c>
      <c r="AL23" s="4">
        <v>1520</v>
      </c>
      <c r="AM23" s="4">
        <v>483</v>
      </c>
      <c r="AN23" s="4">
        <v>141</v>
      </c>
      <c r="AO23" s="4">
        <v>6720</v>
      </c>
      <c r="AP23" s="4">
        <v>330</v>
      </c>
      <c r="AQ23" s="4">
        <v>67</v>
      </c>
      <c r="AR23" s="4">
        <v>859</v>
      </c>
      <c r="AS23" s="4">
        <v>2865</v>
      </c>
      <c r="AT23" s="4">
        <v>469</v>
      </c>
      <c r="AU23" s="4">
        <v>3739</v>
      </c>
      <c r="AV23" s="4">
        <v>1826</v>
      </c>
      <c r="AW23" s="4">
        <v>2347</v>
      </c>
      <c r="AX23" s="4">
        <v>12395</v>
      </c>
      <c r="AY23" s="4">
        <v>36</v>
      </c>
      <c r="AZ23" s="4">
        <v>348</v>
      </c>
      <c r="BA23" s="4">
        <v>5897</v>
      </c>
      <c r="BB23" s="4">
        <v>125</v>
      </c>
      <c r="BC23" s="4">
        <v>251</v>
      </c>
      <c r="BD23" s="4">
        <v>3675</v>
      </c>
      <c r="BE23" s="4">
        <v>2687</v>
      </c>
      <c r="BF23" s="4">
        <v>2805</v>
      </c>
      <c r="BG23" s="4">
        <v>2612</v>
      </c>
      <c r="BH23" s="4">
        <v>1461</v>
      </c>
      <c r="BI23" s="4">
        <v>18141</v>
      </c>
      <c r="BJ23" s="4">
        <v>2688</v>
      </c>
      <c r="BK23" s="4">
        <v>3908</v>
      </c>
      <c r="BL23" s="4">
        <v>3506</v>
      </c>
      <c r="BM23" s="4">
        <v>4056</v>
      </c>
      <c r="BN23" s="4">
        <v>1648</v>
      </c>
      <c r="BO23" s="4">
        <v>716</v>
      </c>
      <c r="BP23" s="4">
        <v>23733</v>
      </c>
      <c r="BQ23" s="4">
        <v>2044</v>
      </c>
      <c r="BR23" s="4">
        <v>43294</v>
      </c>
      <c r="BS23" s="4">
        <v>7732</v>
      </c>
      <c r="BT23" s="4">
        <v>6766</v>
      </c>
      <c r="BU23" s="4">
        <v>17254</v>
      </c>
      <c r="BV23" s="4">
        <v>1919</v>
      </c>
      <c r="BW23" s="4">
        <v>8908</v>
      </c>
      <c r="BX23" s="4">
        <v>1783</v>
      </c>
      <c r="BY23" s="4">
        <v>4260</v>
      </c>
      <c r="BZ23" s="4">
        <v>10515</v>
      </c>
      <c r="CA23" s="4">
        <v>1661</v>
      </c>
      <c r="CB23" s="4">
        <v>615</v>
      </c>
      <c r="CC23" s="4">
        <v>3780</v>
      </c>
      <c r="CD23" s="4">
        <v>2201</v>
      </c>
      <c r="CE23" s="4">
        <v>3030</v>
      </c>
      <c r="CF23" s="4">
        <v>4061</v>
      </c>
      <c r="CG23" s="4">
        <v>55609</v>
      </c>
      <c r="CH23" s="4">
        <v>8601</v>
      </c>
      <c r="CI23" s="4">
        <v>15973</v>
      </c>
      <c r="CJ23" s="4">
        <v>5170</v>
      </c>
      <c r="CK23" s="4">
        <v>13102</v>
      </c>
      <c r="CL23" s="4">
        <v>8198</v>
      </c>
      <c r="CM23" s="4">
        <v>13983</v>
      </c>
      <c r="CN23" s="4">
        <v>27246</v>
      </c>
      <c r="CO23" s="4">
        <v>3580</v>
      </c>
      <c r="CP23" s="4">
        <v>1890</v>
      </c>
      <c r="CQ23" s="4">
        <v>3682</v>
      </c>
      <c r="CR23" s="4">
        <v>3570</v>
      </c>
      <c r="CS23" s="4">
        <v>16631</v>
      </c>
      <c r="CT23" s="4">
        <v>9551</v>
      </c>
      <c r="CU23" s="4">
        <v>812</v>
      </c>
      <c r="CV23" s="4">
        <v>122372</v>
      </c>
      <c r="CW23" s="4">
        <v>3974</v>
      </c>
      <c r="CX23" s="4">
        <v>1201</v>
      </c>
      <c r="CY23" s="4">
        <v>19784</v>
      </c>
      <c r="CZ23" s="4">
        <v>3326</v>
      </c>
      <c r="DA23" s="4">
        <v>4145</v>
      </c>
      <c r="DB23" s="4">
        <v>6677</v>
      </c>
      <c r="DC23" s="4">
        <v>1886</v>
      </c>
      <c r="DD23" s="4">
        <v>1696</v>
      </c>
      <c r="DE23" s="4">
        <v>1443</v>
      </c>
      <c r="DF23" s="4">
        <v>24845</v>
      </c>
      <c r="DG23" s="4">
        <v>7610</v>
      </c>
      <c r="DH23" s="4">
        <v>8618</v>
      </c>
      <c r="DI23" s="4">
        <v>2872</v>
      </c>
      <c r="DJ23" s="4">
        <v>14042</v>
      </c>
      <c r="DK23" s="4">
        <v>7948</v>
      </c>
      <c r="DL23" s="4">
        <v>5607</v>
      </c>
      <c r="DM23" s="4">
        <v>6654</v>
      </c>
      <c r="DN23" s="4">
        <v>8493</v>
      </c>
      <c r="DO23" s="4">
        <v>1483</v>
      </c>
      <c r="DP23" s="4">
        <v>4859</v>
      </c>
      <c r="DQ23" s="4">
        <v>31547</v>
      </c>
      <c r="DR23" s="4">
        <v>1498</v>
      </c>
      <c r="DS23" s="4">
        <v>2215</v>
      </c>
      <c r="DT23" s="4">
        <v>506</v>
      </c>
      <c r="DU23" s="4">
        <v>5154</v>
      </c>
      <c r="DV23" s="4">
        <v>2769</v>
      </c>
      <c r="DW23" s="4">
        <v>4163</v>
      </c>
      <c r="DX23" s="4">
        <v>5441</v>
      </c>
      <c r="DY23" s="4">
        <v>1160</v>
      </c>
      <c r="DZ23" s="4">
        <v>4935</v>
      </c>
      <c r="EA23" s="4">
        <v>5818</v>
      </c>
      <c r="EB23" s="4">
        <v>4888</v>
      </c>
      <c r="EC23" s="4">
        <v>481</v>
      </c>
      <c r="ED23" s="4">
        <v>632</v>
      </c>
      <c r="EE23" s="4">
        <v>21361</v>
      </c>
      <c r="EF23" s="4">
        <v>1906</v>
      </c>
      <c r="EG23" s="4">
        <v>6796</v>
      </c>
      <c r="EH23" s="4">
        <v>12417</v>
      </c>
      <c r="EJ23" s="4">
        <f t="shared" si="0"/>
        <v>853549</v>
      </c>
    </row>
    <row r="24" spans="1:140" x14ac:dyDescent="0.25">
      <c r="A24" s="4" t="s">
        <v>160</v>
      </c>
      <c r="B24" s="4">
        <v>1733</v>
      </c>
      <c r="C24" s="4">
        <v>3339</v>
      </c>
      <c r="D24" s="4">
        <v>126</v>
      </c>
      <c r="E24" s="4">
        <v>1009</v>
      </c>
      <c r="F24" s="4">
        <v>5</v>
      </c>
      <c r="G24" s="4">
        <v>25</v>
      </c>
      <c r="H24" s="4">
        <v>9939</v>
      </c>
      <c r="I24" s="4">
        <v>62</v>
      </c>
      <c r="J24" s="4">
        <v>482</v>
      </c>
      <c r="K24" s="4">
        <v>17</v>
      </c>
      <c r="L24" s="4">
        <v>1091</v>
      </c>
      <c r="M24" s="4">
        <v>334</v>
      </c>
      <c r="N24" s="4">
        <v>6465</v>
      </c>
      <c r="O24" s="4">
        <v>1423</v>
      </c>
      <c r="P24" s="4">
        <v>476</v>
      </c>
      <c r="Q24" s="4">
        <v>4932</v>
      </c>
      <c r="R24" s="4">
        <v>70</v>
      </c>
      <c r="S24" s="4">
        <v>912</v>
      </c>
      <c r="T24" s="4">
        <v>2536</v>
      </c>
      <c r="U24" s="4">
        <v>1846</v>
      </c>
      <c r="V24" s="4">
        <v>2251</v>
      </c>
      <c r="W24" s="4">
        <v>1762</v>
      </c>
      <c r="X24" s="4">
        <v>251</v>
      </c>
      <c r="Y24" s="4">
        <v>430</v>
      </c>
      <c r="Z24" s="4">
        <v>533</v>
      </c>
      <c r="AA24" s="4">
        <v>435</v>
      </c>
      <c r="AB24" s="4">
        <v>3181</v>
      </c>
      <c r="AC24" s="4">
        <v>239</v>
      </c>
      <c r="AD24" s="4">
        <v>176</v>
      </c>
      <c r="AE24" s="4">
        <v>760</v>
      </c>
      <c r="AF24" s="4">
        <v>1230</v>
      </c>
      <c r="AG24">
        <v>12381</v>
      </c>
      <c r="AH24" s="4">
        <v>198</v>
      </c>
      <c r="AI24" s="4">
        <v>881</v>
      </c>
      <c r="AJ24" s="4">
        <v>146</v>
      </c>
      <c r="AK24" s="4">
        <v>1278</v>
      </c>
      <c r="AL24" s="4">
        <v>1725</v>
      </c>
      <c r="AM24" s="4">
        <v>640</v>
      </c>
      <c r="AN24" s="4">
        <v>175</v>
      </c>
      <c r="AO24" s="4">
        <v>7414</v>
      </c>
      <c r="AP24" s="4">
        <v>281</v>
      </c>
      <c r="AQ24" s="4">
        <v>76</v>
      </c>
      <c r="AR24" s="4">
        <v>997</v>
      </c>
      <c r="AS24" s="4">
        <v>3163</v>
      </c>
      <c r="AT24" s="4">
        <v>516</v>
      </c>
      <c r="AU24" s="4">
        <v>4230</v>
      </c>
      <c r="AV24" s="4">
        <v>1900</v>
      </c>
      <c r="AW24" s="4">
        <v>2085</v>
      </c>
      <c r="AX24" s="4">
        <v>12955</v>
      </c>
      <c r="AY24" s="4">
        <v>63</v>
      </c>
      <c r="AZ24" s="4">
        <v>565</v>
      </c>
      <c r="BA24" s="4">
        <v>6508</v>
      </c>
      <c r="BB24" s="4">
        <v>97</v>
      </c>
      <c r="BC24" s="4">
        <v>269</v>
      </c>
      <c r="BD24" s="4">
        <v>4430</v>
      </c>
      <c r="BE24" s="4">
        <v>2104</v>
      </c>
      <c r="BF24" s="4">
        <v>4964</v>
      </c>
      <c r="BG24" s="4">
        <v>2653</v>
      </c>
      <c r="BH24" s="4">
        <v>1257</v>
      </c>
      <c r="BI24" s="4">
        <v>16771</v>
      </c>
      <c r="BJ24" s="4">
        <v>2187</v>
      </c>
      <c r="BK24" s="4">
        <v>3628</v>
      </c>
      <c r="BL24" s="4">
        <v>2962</v>
      </c>
      <c r="BM24" s="4">
        <v>4160</v>
      </c>
      <c r="BN24" s="4">
        <v>1280</v>
      </c>
      <c r="BO24" s="4">
        <v>795</v>
      </c>
      <c r="BP24" s="4">
        <v>26032</v>
      </c>
      <c r="BQ24" s="4">
        <v>1995</v>
      </c>
      <c r="BR24" s="4">
        <v>48675</v>
      </c>
      <c r="BS24" s="4">
        <v>6513</v>
      </c>
      <c r="BT24" s="4">
        <v>6345</v>
      </c>
      <c r="BU24" s="4">
        <v>14399</v>
      </c>
      <c r="BV24" s="4">
        <v>2008</v>
      </c>
      <c r="BW24" s="4">
        <v>8357</v>
      </c>
      <c r="BX24" s="4">
        <v>1766</v>
      </c>
      <c r="BY24" s="4">
        <v>5528</v>
      </c>
      <c r="BZ24" s="4">
        <v>11558</v>
      </c>
      <c r="CA24" s="4">
        <v>1518</v>
      </c>
      <c r="CB24" s="4">
        <v>542</v>
      </c>
      <c r="CC24" s="4">
        <v>6234</v>
      </c>
      <c r="CD24" s="4">
        <v>2671</v>
      </c>
      <c r="CE24" s="4">
        <v>1879</v>
      </c>
      <c r="CF24" s="4">
        <v>4013</v>
      </c>
      <c r="CG24" s="4">
        <v>57633</v>
      </c>
      <c r="CH24" s="4">
        <v>20387</v>
      </c>
      <c r="CI24" s="4">
        <v>33896</v>
      </c>
      <c r="CJ24" s="4">
        <v>12872</v>
      </c>
      <c r="CK24" s="4">
        <v>19233</v>
      </c>
      <c r="CL24" s="4">
        <v>13557</v>
      </c>
      <c r="CM24" s="4">
        <v>16401</v>
      </c>
      <c r="CN24" s="4">
        <v>30865</v>
      </c>
      <c r="CO24" s="4">
        <v>8762</v>
      </c>
      <c r="CP24" s="4">
        <v>1816</v>
      </c>
      <c r="CQ24" s="4">
        <v>6717</v>
      </c>
      <c r="CR24" s="4">
        <v>5701</v>
      </c>
      <c r="CS24" s="4">
        <v>16390</v>
      </c>
      <c r="CT24" s="4">
        <v>10489</v>
      </c>
      <c r="CU24" s="4">
        <v>1154</v>
      </c>
      <c r="CV24" s="4">
        <v>127033</v>
      </c>
      <c r="CW24" s="4">
        <v>6384</v>
      </c>
      <c r="CX24" s="4">
        <v>1232</v>
      </c>
      <c r="CY24" s="4">
        <v>14468</v>
      </c>
      <c r="CZ24" s="4">
        <v>3671</v>
      </c>
      <c r="DA24" s="4">
        <v>4145</v>
      </c>
      <c r="DB24" s="4">
        <v>7261</v>
      </c>
      <c r="DC24" s="4">
        <v>1919</v>
      </c>
      <c r="DD24" s="4">
        <v>1807</v>
      </c>
      <c r="DE24" s="4">
        <v>1256</v>
      </c>
      <c r="DF24" s="4">
        <v>26127</v>
      </c>
      <c r="DG24" s="4">
        <v>8363</v>
      </c>
      <c r="DH24" s="4">
        <v>8580</v>
      </c>
      <c r="DI24" s="4">
        <v>3235</v>
      </c>
      <c r="DJ24" s="4">
        <v>14108</v>
      </c>
      <c r="DK24" s="4">
        <v>8635</v>
      </c>
      <c r="DL24" s="4">
        <v>5857</v>
      </c>
      <c r="DM24" s="4">
        <v>7443</v>
      </c>
      <c r="DN24" s="4">
        <v>9741</v>
      </c>
      <c r="DO24" s="4">
        <v>1591</v>
      </c>
      <c r="DP24" s="4">
        <v>4393</v>
      </c>
      <c r="DQ24" s="4">
        <v>35135</v>
      </c>
      <c r="DR24" s="4">
        <v>1613</v>
      </c>
      <c r="DS24" s="4">
        <v>2843</v>
      </c>
      <c r="DT24" s="4">
        <v>526</v>
      </c>
      <c r="DU24" s="4">
        <v>5506</v>
      </c>
      <c r="DV24" s="4">
        <v>3171</v>
      </c>
      <c r="DW24" s="4">
        <v>5658</v>
      </c>
      <c r="DX24" s="4">
        <v>7555</v>
      </c>
      <c r="DY24" s="4">
        <v>1692</v>
      </c>
      <c r="DZ24" s="4">
        <v>3450</v>
      </c>
      <c r="EA24" s="4">
        <v>6522</v>
      </c>
      <c r="EB24" s="4">
        <v>4171</v>
      </c>
      <c r="EC24" s="4">
        <v>473</v>
      </c>
      <c r="ED24" s="4">
        <v>561</v>
      </c>
      <c r="EE24" s="4">
        <v>20992</v>
      </c>
      <c r="EF24" s="4">
        <v>2471</v>
      </c>
      <c r="EG24" s="4">
        <v>9724</v>
      </c>
      <c r="EH24" s="4">
        <v>14912</v>
      </c>
      <c r="EJ24" s="4">
        <f t="shared" si="0"/>
        <v>953934</v>
      </c>
    </row>
    <row r="25" spans="1:140" x14ac:dyDescent="0.25">
      <c r="A25" s="4" t="s">
        <v>161</v>
      </c>
      <c r="B25" s="4">
        <v>1859</v>
      </c>
      <c r="C25" s="4">
        <v>4198</v>
      </c>
      <c r="D25" s="4">
        <v>73</v>
      </c>
      <c r="E25" s="4">
        <v>1292</v>
      </c>
      <c r="F25" s="4">
        <v>22</v>
      </c>
      <c r="G25" s="4">
        <v>17</v>
      </c>
      <c r="H25" s="4">
        <v>13594</v>
      </c>
      <c r="I25" s="4">
        <v>30</v>
      </c>
      <c r="J25" s="4">
        <v>557</v>
      </c>
      <c r="K25" s="4">
        <v>24</v>
      </c>
      <c r="L25" s="4">
        <v>885</v>
      </c>
      <c r="M25" s="4">
        <v>344</v>
      </c>
      <c r="N25" s="4">
        <v>8499</v>
      </c>
      <c r="O25" s="4">
        <v>1035</v>
      </c>
      <c r="P25" s="4">
        <v>603</v>
      </c>
      <c r="Q25" s="4">
        <v>5859</v>
      </c>
      <c r="R25" s="4">
        <v>414</v>
      </c>
      <c r="S25" s="4">
        <v>1324</v>
      </c>
      <c r="T25" s="4">
        <v>2198</v>
      </c>
      <c r="U25" s="4">
        <v>2013</v>
      </c>
      <c r="V25" s="4">
        <v>2756</v>
      </c>
      <c r="W25" s="4">
        <v>2715</v>
      </c>
      <c r="X25" s="4">
        <v>237</v>
      </c>
      <c r="Y25" s="4">
        <v>442</v>
      </c>
      <c r="Z25" s="4">
        <v>1734</v>
      </c>
      <c r="AA25" s="4">
        <v>320</v>
      </c>
      <c r="AB25" s="4">
        <v>4049</v>
      </c>
      <c r="AC25" s="4">
        <v>583</v>
      </c>
      <c r="AD25" s="4">
        <v>236</v>
      </c>
      <c r="AE25" s="4">
        <v>1588</v>
      </c>
      <c r="AF25" s="4">
        <v>696</v>
      </c>
      <c r="AG25">
        <v>13770</v>
      </c>
      <c r="AH25" s="4">
        <v>256</v>
      </c>
      <c r="AI25" s="4">
        <v>1191</v>
      </c>
      <c r="AJ25" s="4">
        <v>164</v>
      </c>
      <c r="AK25" s="4">
        <v>1202</v>
      </c>
      <c r="AL25" s="4">
        <v>2208</v>
      </c>
      <c r="AM25" s="4">
        <v>731</v>
      </c>
      <c r="AN25" s="4">
        <v>166</v>
      </c>
      <c r="AO25" s="4">
        <v>7723</v>
      </c>
      <c r="AP25" s="4">
        <v>342</v>
      </c>
      <c r="AQ25" s="4">
        <v>86</v>
      </c>
      <c r="AR25" s="4">
        <v>1372</v>
      </c>
      <c r="AS25" s="4">
        <v>3941</v>
      </c>
      <c r="AT25" s="4">
        <v>510</v>
      </c>
      <c r="AU25" s="4">
        <v>4141</v>
      </c>
      <c r="AV25" s="4">
        <v>2215</v>
      </c>
      <c r="AW25" s="4">
        <v>2589</v>
      </c>
      <c r="AX25" s="4">
        <v>14704</v>
      </c>
      <c r="AY25" s="4">
        <v>52</v>
      </c>
      <c r="AZ25" s="4">
        <v>445</v>
      </c>
      <c r="BA25" s="4">
        <v>6665</v>
      </c>
      <c r="BB25" s="4">
        <v>97</v>
      </c>
      <c r="BC25" s="4">
        <v>333</v>
      </c>
      <c r="BD25" s="4">
        <v>4337</v>
      </c>
      <c r="BE25" s="4">
        <v>2766</v>
      </c>
      <c r="BF25" s="4">
        <v>2767</v>
      </c>
      <c r="BG25" s="4">
        <v>2819</v>
      </c>
      <c r="BH25" s="4">
        <v>1602</v>
      </c>
      <c r="BI25" s="4">
        <v>18998</v>
      </c>
      <c r="BJ25" s="4">
        <v>2952</v>
      </c>
      <c r="BK25" s="4">
        <v>4427</v>
      </c>
      <c r="BL25" s="4">
        <v>3639</v>
      </c>
      <c r="BM25" s="4">
        <v>4078</v>
      </c>
      <c r="BN25" s="4">
        <v>1309</v>
      </c>
      <c r="BO25" s="4">
        <v>1328</v>
      </c>
      <c r="BP25" s="4">
        <v>18452</v>
      </c>
      <c r="BQ25" s="4">
        <v>4134</v>
      </c>
      <c r="BR25" s="4">
        <v>52813</v>
      </c>
      <c r="BS25" s="4">
        <v>7267</v>
      </c>
      <c r="BT25" s="4">
        <v>8778</v>
      </c>
      <c r="BU25" s="4">
        <v>14834</v>
      </c>
      <c r="BV25" s="4">
        <v>2342</v>
      </c>
      <c r="BW25" s="4">
        <v>9807</v>
      </c>
      <c r="BX25" s="4">
        <v>2424</v>
      </c>
      <c r="BY25" s="4">
        <v>6276</v>
      </c>
      <c r="BZ25" s="4">
        <v>12544</v>
      </c>
      <c r="CA25" s="4">
        <v>2725</v>
      </c>
      <c r="CB25" s="4">
        <v>743</v>
      </c>
      <c r="CC25" s="4">
        <v>6431</v>
      </c>
      <c r="CD25" s="4">
        <v>2710</v>
      </c>
      <c r="CE25" s="4">
        <v>2167</v>
      </c>
      <c r="CF25" s="4">
        <v>4918</v>
      </c>
      <c r="CG25" s="4">
        <v>65010</v>
      </c>
      <c r="CH25" s="4">
        <v>24555</v>
      </c>
      <c r="CI25" s="4">
        <v>58295</v>
      </c>
      <c r="CJ25" s="4">
        <v>10151</v>
      </c>
      <c r="CK25" s="4">
        <v>14610</v>
      </c>
      <c r="CL25" s="4">
        <v>12372</v>
      </c>
      <c r="CM25" s="4">
        <v>16061</v>
      </c>
      <c r="CN25" s="4">
        <v>33058</v>
      </c>
      <c r="CO25" s="4">
        <v>5881</v>
      </c>
      <c r="CP25" s="4">
        <v>2318</v>
      </c>
      <c r="CQ25" s="4">
        <v>6580</v>
      </c>
      <c r="CR25" s="4">
        <v>6130</v>
      </c>
      <c r="CS25" s="4">
        <v>19186</v>
      </c>
      <c r="CT25" s="4">
        <v>13358</v>
      </c>
      <c r="CU25" s="4">
        <v>1359</v>
      </c>
      <c r="CV25" s="4">
        <v>139858</v>
      </c>
      <c r="CW25" s="4">
        <v>4949</v>
      </c>
      <c r="CX25" s="4">
        <v>1317</v>
      </c>
      <c r="CY25" s="4">
        <v>18088</v>
      </c>
      <c r="CZ25" s="4">
        <v>3742</v>
      </c>
      <c r="DA25" s="4">
        <v>4822</v>
      </c>
      <c r="DB25" s="4">
        <v>7894</v>
      </c>
      <c r="DC25" s="4">
        <v>2358</v>
      </c>
      <c r="DD25" s="4">
        <v>1938</v>
      </c>
      <c r="DE25" s="4">
        <v>1424</v>
      </c>
      <c r="DF25" s="4">
        <v>28372</v>
      </c>
      <c r="DG25" s="4">
        <v>11123</v>
      </c>
      <c r="DH25" s="4">
        <v>8838</v>
      </c>
      <c r="DI25" s="4">
        <v>5567</v>
      </c>
      <c r="DJ25" s="4">
        <v>15952</v>
      </c>
      <c r="DK25" s="4">
        <v>9405</v>
      </c>
      <c r="DL25" s="4">
        <v>6801</v>
      </c>
      <c r="DM25" s="4">
        <v>8230</v>
      </c>
      <c r="DN25" s="4">
        <v>13614</v>
      </c>
      <c r="DO25" s="4">
        <v>2034</v>
      </c>
      <c r="DP25" s="4">
        <v>6006</v>
      </c>
      <c r="DQ25" s="4">
        <v>39252</v>
      </c>
      <c r="DR25" s="4">
        <v>2107</v>
      </c>
      <c r="DS25" s="4">
        <v>3887</v>
      </c>
      <c r="DT25" s="4">
        <v>481</v>
      </c>
      <c r="DU25" s="4">
        <v>5848</v>
      </c>
      <c r="DV25" s="4">
        <v>3324</v>
      </c>
      <c r="DW25" s="4">
        <v>3487</v>
      </c>
      <c r="DX25" s="4">
        <v>6248</v>
      </c>
      <c r="DY25" s="4">
        <v>1350</v>
      </c>
      <c r="DZ25" s="4">
        <v>1760</v>
      </c>
      <c r="EA25" s="4">
        <v>5608</v>
      </c>
      <c r="EB25" s="4">
        <v>3561</v>
      </c>
      <c r="EC25" s="4">
        <v>487</v>
      </c>
      <c r="ED25" s="4">
        <v>955</v>
      </c>
      <c r="EE25" s="4">
        <v>21390</v>
      </c>
      <c r="EF25" s="4">
        <v>2995</v>
      </c>
      <c r="EG25" s="4">
        <v>9502</v>
      </c>
      <c r="EH25" s="4">
        <v>16160</v>
      </c>
      <c r="EJ25" s="4">
        <f t="shared" si="0"/>
        <v>1055144</v>
      </c>
    </row>
    <row r="26" spans="1:140" x14ac:dyDescent="0.25">
      <c r="A26" s="4" t="s">
        <v>162</v>
      </c>
      <c r="B26" s="4">
        <v>1819</v>
      </c>
      <c r="C26" s="4">
        <v>3170</v>
      </c>
      <c r="D26" s="4">
        <v>114</v>
      </c>
      <c r="E26" s="4">
        <v>1359</v>
      </c>
      <c r="F26" s="4">
        <v>10</v>
      </c>
      <c r="G26" s="4">
        <v>30</v>
      </c>
      <c r="H26" s="4">
        <v>10872</v>
      </c>
      <c r="I26" s="4">
        <v>48</v>
      </c>
      <c r="J26" s="4">
        <v>533</v>
      </c>
      <c r="K26" s="4">
        <v>20</v>
      </c>
      <c r="L26" s="4">
        <v>1258</v>
      </c>
      <c r="M26" s="4">
        <v>340</v>
      </c>
      <c r="N26" s="4">
        <v>8163</v>
      </c>
      <c r="O26" s="4">
        <v>936</v>
      </c>
      <c r="P26" s="4">
        <v>731</v>
      </c>
      <c r="Q26" s="4">
        <v>6611</v>
      </c>
      <c r="R26" s="4">
        <v>182</v>
      </c>
      <c r="S26" s="4">
        <v>1553</v>
      </c>
      <c r="T26" s="4">
        <v>1957</v>
      </c>
      <c r="U26" s="4">
        <v>1363</v>
      </c>
      <c r="V26" s="4">
        <v>3480</v>
      </c>
      <c r="W26" s="4">
        <v>1788</v>
      </c>
      <c r="X26" s="4">
        <v>327</v>
      </c>
      <c r="Y26" s="4">
        <v>1044</v>
      </c>
      <c r="Z26" s="4">
        <v>523</v>
      </c>
      <c r="AA26" s="4">
        <v>341</v>
      </c>
      <c r="AB26" s="4">
        <v>3745</v>
      </c>
      <c r="AC26" s="4">
        <v>432</v>
      </c>
      <c r="AD26" s="4">
        <v>221</v>
      </c>
      <c r="AE26" s="4">
        <v>1626</v>
      </c>
      <c r="AF26" s="4">
        <v>1552</v>
      </c>
      <c r="AG26">
        <v>16140</v>
      </c>
      <c r="AH26" s="4">
        <v>160</v>
      </c>
      <c r="AI26" s="4">
        <v>1793</v>
      </c>
      <c r="AJ26" s="4">
        <v>200</v>
      </c>
      <c r="AK26" s="4">
        <v>919</v>
      </c>
      <c r="AL26" s="4">
        <v>2777</v>
      </c>
      <c r="AM26" s="4">
        <v>686</v>
      </c>
      <c r="AN26" s="4">
        <v>148</v>
      </c>
      <c r="AO26" s="4">
        <v>11380</v>
      </c>
      <c r="AP26" s="4">
        <v>421</v>
      </c>
      <c r="AQ26" s="4">
        <v>83</v>
      </c>
      <c r="AR26" s="4">
        <v>1494</v>
      </c>
      <c r="AS26" s="4">
        <v>9272</v>
      </c>
      <c r="AT26" s="4">
        <v>749</v>
      </c>
      <c r="AU26" s="4">
        <v>1773</v>
      </c>
      <c r="AV26" s="4">
        <v>2400</v>
      </c>
      <c r="AW26" s="4">
        <v>10437</v>
      </c>
      <c r="AX26" s="4">
        <v>19648</v>
      </c>
      <c r="AY26" s="4">
        <v>81</v>
      </c>
      <c r="AZ26" s="4">
        <v>475</v>
      </c>
      <c r="BA26" s="4">
        <v>8935</v>
      </c>
      <c r="BB26" s="4">
        <v>82</v>
      </c>
      <c r="BC26" s="4">
        <v>412</v>
      </c>
      <c r="BD26" s="4">
        <v>4085</v>
      </c>
      <c r="BE26" s="4">
        <v>2227</v>
      </c>
      <c r="BF26" s="4">
        <v>1468</v>
      </c>
      <c r="BG26" s="4">
        <v>3021</v>
      </c>
      <c r="BH26" s="4">
        <v>1159</v>
      </c>
      <c r="BI26" s="4">
        <v>19519</v>
      </c>
      <c r="BJ26" s="4">
        <v>2188</v>
      </c>
      <c r="BK26" s="4">
        <v>4868</v>
      </c>
      <c r="BL26" s="4">
        <v>2235</v>
      </c>
      <c r="BM26" s="4">
        <v>3602</v>
      </c>
      <c r="BN26" s="4">
        <v>1109</v>
      </c>
      <c r="BO26" s="4">
        <v>1647</v>
      </c>
      <c r="BP26" s="4">
        <v>15997</v>
      </c>
      <c r="BQ26" s="4">
        <v>2323</v>
      </c>
      <c r="BR26" s="4">
        <v>48964</v>
      </c>
      <c r="BS26" s="4">
        <v>7855</v>
      </c>
      <c r="BT26" s="4">
        <v>5863</v>
      </c>
      <c r="BU26" s="4">
        <v>13780</v>
      </c>
      <c r="BV26" s="4">
        <v>2200</v>
      </c>
      <c r="BW26" s="4">
        <v>9342</v>
      </c>
      <c r="BX26" s="4">
        <v>1709</v>
      </c>
      <c r="BY26" s="4">
        <v>4050</v>
      </c>
      <c r="BZ26" s="4">
        <v>14363</v>
      </c>
      <c r="CA26" s="4">
        <v>1613</v>
      </c>
      <c r="CB26" s="4">
        <v>755</v>
      </c>
      <c r="CC26" s="4">
        <v>5537</v>
      </c>
      <c r="CD26" s="4">
        <v>2564</v>
      </c>
      <c r="CE26" s="4">
        <v>2179</v>
      </c>
      <c r="CF26" s="4">
        <v>5025</v>
      </c>
      <c r="CG26" s="4">
        <v>70605</v>
      </c>
      <c r="CH26" s="4">
        <v>10506</v>
      </c>
      <c r="CI26" s="4">
        <v>22622</v>
      </c>
      <c r="CJ26" s="4">
        <v>4046</v>
      </c>
      <c r="CK26" s="4">
        <v>13109</v>
      </c>
      <c r="CL26" s="4">
        <v>11067</v>
      </c>
      <c r="CM26" s="4">
        <v>11438</v>
      </c>
      <c r="CN26" s="4">
        <v>29643</v>
      </c>
      <c r="CO26" s="4">
        <v>4598</v>
      </c>
      <c r="CP26" s="4">
        <v>2180</v>
      </c>
      <c r="CQ26" s="4">
        <v>2948</v>
      </c>
      <c r="CR26" s="4">
        <v>5143</v>
      </c>
      <c r="CS26" s="4">
        <v>17642</v>
      </c>
      <c r="CT26" s="4">
        <v>12133</v>
      </c>
      <c r="CU26" s="4">
        <v>1310</v>
      </c>
      <c r="CV26" s="4">
        <v>143779</v>
      </c>
      <c r="CW26" s="4">
        <v>3302</v>
      </c>
      <c r="CX26" s="4">
        <v>1174</v>
      </c>
      <c r="CY26" s="4">
        <v>16207</v>
      </c>
      <c r="CZ26" s="4">
        <v>2458</v>
      </c>
      <c r="DA26" s="4">
        <v>4807</v>
      </c>
      <c r="DB26" s="4">
        <v>7733</v>
      </c>
      <c r="DC26" s="4">
        <v>2297</v>
      </c>
      <c r="DD26" s="4">
        <v>2132</v>
      </c>
      <c r="DE26" s="4">
        <v>1561</v>
      </c>
      <c r="DF26" s="4">
        <v>28384</v>
      </c>
      <c r="DG26" s="4">
        <v>9160</v>
      </c>
      <c r="DH26" s="4">
        <v>9336</v>
      </c>
      <c r="DI26" s="4">
        <v>3045</v>
      </c>
      <c r="DJ26" s="4">
        <v>15914</v>
      </c>
      <c r="DK26" s="4">
        <v>9965</v>
      </c>
      <c r="DL26" s="4">
        <v>6318</v>
      </c>
      <c r="DM26" s="4">
        <v>7779</v>
      </c>
      <c r="DN26" s="4">
        <v>9517</v>
      </c>
      <c r="DO26" s="4">
        <v>1805</v>
      </c>
      <c r="DP26" s="4">
        <v>4987</v>
      </c>
      <c r="DQ26" s="4">
        <v>36137</v>
      </c>
      <c r="DR26" s="4">
        <v>1932</v>
      </c>
      <c r="DS26" s="4">
        <v>4465</v>
      </c>
      <c r="DT26" s="4">
        <v>559</v>
      </c>
      <c r="DU26" s="4">
        <v>5864</v>
      </c>
      <c r="DV26" s="4">
        <v>3503</v>
      </c>
      <c r="DW26" s="4">
        <v>2856</v>
      </c>
      <c r="DX26" s="4">
        <v>4553</v>
      </c>
      <c r="DY26" s="4">
        <v>1019</v>
      </c>
      <c r="DZ26" s="4">
        <v>1597</v>
      </c>
      <c r="EA26" s="4">
        <v>5676</v>
      </c>
      <c r="EB26" s="4">
        <v>2585</v>
      </c>
      <c r="EC26" s="4">
        <v>558</v>
      </c>
      <c r="ED26" s="4">
        <v>516</v>
      </c>
      <c r="EE26" s="4">
        <v>17878</v>
      </c>
      <c r="EF26" s="4">
        <v>2262</v>
      </c>
      <c r="EG26" s="4">
        <v>6401</v>
      </c>
      <c r="EH26" s="4">
        <v>15958</v>
      </c>
      <c r="EJ26" s="4">
        <f t="shared" si="0"/>
        <v>962829</v>
      </c>
    </row>
    <row r="27" spans="1:140" x14ac:dyDescent="0.25">
      <c r="A27" s="4" t="s">
        <v>163</v>
      </c>
      <c r="B27" s="4">
        <v>1621</v>
      </c>
      <c r="C27" s="4">
        <v>3119</v>
      </c>
      <c r="D27" s="4">
        <v>72</v>
      </c>
      <c r="E27" s="4">
        <v>1381</v>
      </c>
      <c r="F27" s="4">
        <v>5</v>
      </c>
      <c r="G27" s="4">
        <v>9</v>
      </c>
      <c r="H27" s="4">
        <v>9225</v>
      </c>
      <c r="I27" s="4">
        <v>25</v>
      </c>
      <c r="J27" s="4">
        <v>651</v>
      </c>
      <c r="K27" s="4">
        <v>8</v>
      </c>
      <c r="L27" s="4">
        <v>635</v>
      </c>
      <c r="M27" s="4">
        <v>299</v>
      </c>
      <c r="N27" s="4">
        <v>7225</v>
      </c>
      <c r="O27" s="4">
        <v>736</v>
      </c>
      <c r="P27" s="4">
        <v>520</v>
      </c>
      <c r="Q27" s="4">
        <v>4781</v>
      </c>
      <c r="R27" s="4">
        <v>26</v>
      </c>
      <c r="S27" s="4">
        <v>966</v>
      </c>
      <c r="T27" s="4">
        <v>1685</v>
      </c>
      <c r="U27" s="4">
        <v>1111</v>
      </c>
      <c r="V27" s="4">
        <v>2394</v>
      </c>
      <c r="W27" s="4">
        <v>2029</v>
      </c>
      <c r="X27" s="4">
        <v>359</v>
      </c>
      <c r="Y27" s="4">
        <v>930</v>
      </c>
      <c r="Z27" s="4">
        <v>428</v>
      </c>
      <c r="AA27" s="4">
        <v>317</v>
      </c>
      <c r="AB27" s="4">
        <v>3065</v>
      </c>
      <c r="AC27" s="4">
        <v>248</v>
      </c>
      <c r="AD27" s="4">
        <v>200</v>
      </c>
      <c r="AE27" s="4">
        <v>1936</v>
      </c>
      <c r="AF27" s="4">
        <v>833</v>
      </c>
      <c r="AG27">
        <v>13159</v>
      </c>
      <c r="AH27" s="4">
        <v>175</v>
      </c>
      <c r="AI27" s="4">
        <v>2108</v>
      </c>
      <c r="AJ27" s="4">
        <v>137</v>
      </c>
      <c r="AK27" s="4">
        <v>951</v>
      </c>
      <c r="AL27" s="4">
        <v>2847</v>
      </c>
      <c r="AM27" s="4">
        <v>488</v>
      </c>
      <c r="AN27" s="4">
        <v>116</v>
      </c>
      <c r="AO27" s="4">
        <v>8732</v>
      </c>
      <c r="AP27" s="4">
        <v>317</v>
      </c>
      <c r="AQ27" s="4">
        <v>73</v>
      </c>
      <c r="AR27" s="4">
        <v>1147</v>
      </c>
      <c r="AS27" s="4">
        <v>5511</v>
      </c>
      <c r="AT27" s="4">
        <v>450</v>
      </c>
      <c r="AU27" s="4">
        <v>1244</v>
      </c>
      <c r="AV27" s="4">
        <v>1926</v>
      </c>
      <c r="AW27" s="4">
        <v>14715</v>
      </c>
      <c r="AX27" s="4">
        <v>15338</v>
      </c>
      <c r="AY27" s="4">
        <v>60</v>
      </c>
      <c r="AZ27" s="4">
        <v>399</v>
      </c>
      <c r="BA27" s="4">
        <v>15449</v>
      </c>
      <c r="BB27" s="4">
        <v>127</v>
      </c>
      <c r="BC27" s="4">
        <v>305</v>
      </c>
      <c r="BD27" s="4">
        <v>6507</v>
      </c>
      <c r="BE27" s="4">
        <v>3462</v>
      </c>
      <c r="BF27" s="4">
        <v>1069</v>
      </c>
      <c r="BG27" s="4">
        <v>2657</v>
      </c>
      <c r="BH27" s="4">
        <v>985</v>
      </c>
      <c r="BI27" s="4">
        <v>18476</v>
      </c>
      <c r="BJ27" s="4">
        <v>2158</v>
      </c>
      <c r="BK27" s="4">
        <v>4634</v>
      </c>
      <c r="BL27" s="4">
        <v>3034</v>
      </c>
      <c r="BM27" s="4">
        <v>3362</v>
      </c>
      <c r="BN27" s="4">
        <v>757</v>
      </c>
      <c r="BO27" s="4">
        <v>1079</v>
      </c>
      <c r="BP27" s="4">
        <v>14814</v>
      </c>
      <c r="BQ27" s="4">
        <v>1950</v>
      </c>
      <c r="BR27" s="4">
        <v>43672</v>
      </c>
      <c r="BS27" s="4">
        <v>6712</v>
      </c>
      <c r="BT27" s="4">
        <v>5634</v>
      </c>
      <c r="BU27" s="4">
        <v>12519</v>
      </c>
      <c r="BV27" s="4">
        <v>2162</v>
      </c>
      <c r="BW27" s="4">
        <v>7962</v>
      </c>
      <c r="BX27" s="4">
        <v>1727</v>
      </c>
      <c r="BY27" s="4">
        <v>4314</v>
      </c>
      <c r="BZ27" s="4">
        <v>14216</v>
      </c>
      <c r="CA27" s="4">
        <v>1342</v>
      </c>
      <c r="CB27" s="4">
        <v>579</v>
      </c>
      <c r="CC27" s="4">
        <v>3648</v>
      </c>
      <c r="CD27" s="4">
        <v>2367</v>
      </c>
      <c r="CE27" s="4">
        <v>1911</v>
      </c>
      <c r="CF27" s="4">
        <v>5042</v>
      </c>
      <c r="CG27" s="4">
        <v>56809</v>
      </c>
      <c r="CH27" s="4">
        <v>8294</v>
      </c>
      <c r="CI27" s="4">
        <v>15970</v>
      </c>
      <c r="CJ27" s="4">
        <v>4342</v>
      </c>
      <c r="CK27" s="4">
        <v>10646</v>
      </c>
      <c r="CL27" s="4">
        <v>8127</v>
      </c>
      <c r="CM27" s="4">
        <v>9306</v>
      </c>
      <c r="CN27" s="4">
        <v>26127</v>
      </c>
      <c r="CO27" s="4">
        <v>4294</v>
      </c>
      <c r="CP27" s="4">
        <v>2039</v>
      </c>
      <c r="CQ27" s="4">
        <v>2546</v>
      </c>
      <c r="CR27" s="4">
        <v>5830</v>
      </c>
      <c r="CS27" s="4">
        <v>17064</v>
      </c>
      <c r="CT27" s="4">
        <v>10901</v>
      </c>
      <c r="CU27" s="4">
        <v>1228</v>
      </c>
      <c r="CV27" s="4">
        <v>135434</v>
      </c>
      <c r="CW27" s="4">
        <v>3314</v>
      </c>
      <c r="CX27" s="4">
        <v>1126</v>
      </c>
      <c r="CY27" s="4">
        <v>14179</v>
      </c>
      <c r="CZ27" s="4">
        <v>1751</v>
      </c>
      <c r="DA27" s="4">
        <v>4779</v>
      </c>
      <c r="DB27" s="4">
        <v>7584</v>
      </c>
      <c r="DC27" s="4">
        <v>2731</v>
      </c>
      <c r="DD27" s="4">
        <v>2082</v>
      </c>
      <c r="DE27" s="4">
        <v>1616</v>
      </c>
      <c r="DF27" s="4">
        <v>28134</v>
      </c>
      <c r="DG27" s="4">
        <v>9428</v>
      </c>
      <c r="DH27" s="4">
        <v>9806</v>
      </c>
      <c r="DI27" s="4">
        <v>3004</v>
      </c>
      <c r="DJ27" s="4">
        <v>16732</v>
      </c>
      <c r="DK27" s="4">
        <v>11168</v>
      </c>
      <c r="DL27" s="4">
        <v>6201</v>
      </c>
      <c r="DM27" s="4">
        <v>7554</v>
      </c>
      <c r="DN27" s="4">
        <v>10649</v>
      </c>
      <c r="DO27" s="4">
        <v>1667</v>
      </c>
      <c r="DP27" s="4">
        <v>4443</v>
      </c>
      <c r="DQ27" s="4">
        <v>35307</v>
      </c>
      <c r="DR27" s="4">
        <v>1635</v>
      </c>
      <c r="DS27" s="4">
        <v>2621</v>
      </c>
      <c r="DT27" s="4">
        <v>462</v>
      </c>
      <c r="DU27" s="4">
        <v>5546</v>
      </c>
      <c r="DV27" s="4">
        <v>2420</v>
      </c>
      <c r="DW27" s="4">
        <v>2783</v>
      </c>
      <c r="DX27" s="4">
        <v>4734</v>
      </c>
      <c r="DY27" s="4">
        <v>984</v>
      </c>
      <c r="DZ27" s="4">
        <v>1556</v>
      </c>
      <c r="EA27" s="4">
        <v>5781</v>
      </c>
      <c r="EB27" s="4">
        <v>2714</v>
      </c>
      <c r="EC27" s="4">
        <v>383</v>
      </c>
      <c r="ED27" s="4">
        <v>437</v>
      </c>
      <c r="EE27" s="4">
        <v>17809</v>
      </c>
      <c r="EF27" s="4">
        <v>1823</v>
      </c>
      <c r="EG27" s="4">
        <v>6394</v>
      </c>
      <c r="EH27" s="4">
        <v>14690</v>
      </c>
      <c r="EJ27" s="4">
        <f t="shared" si="0"/>
        <v>886348</v>
      </c>
    </row>
    <row r="28" spans="1:140" x14ac:dyDescent="0.25">
      <c r="A28" s="4" t="s">
        <v>164</v>
      </c>
      <c r="B28" s="4">
        <v>2165</v>
      </c>
      <c r="C28" s="4">
        <v>4201</v>
      </c>
      <c r="D28" s="4">
        <v>105</v>
      </c>
      <c r="E28" s="4">
        <v>1010</v>
      </c>
      <c r="F28" s="4">
        <v>9</v>
      </c>
      <c r="G28" s="4">
        <v>18</v>
      </c>
      <c r="H28" s="4">
        <v>10300</v>
      </c>
      <c r="I28" s="4">
        <v>47</v>
      </c>
      <c r="J28" s="4">
        <v>576</v>
      </c>
      <c r="K28" s="4">
        <v>18</v>
      </c>
      <c r="L28" s="4">
        <v>850</v>
      </c>
      <c r="M28" s="4">
        <v>310</v>
      </c>
      <c r="N28" s="4">
        <v>9591</v>
      </c>
      <c r="O28" s="4">
        <v>1098</v>
      </c>
      <c r="P28" s="4">
        <v>654</v>
      </c>
      <c r="Q28" s="4">
        <v>6220</v>
      </c>
      <c r="R28" s="4">
        <v>20</v>
      </c>
      <c r="S28" s="4">
        <v>1085</v>
      </c>
      <c r="T28" s="4">
        <v>2147</v>
      </c>
      <c r="U28" s="4">
        <v>1465</v>
      </c>
      <c r="V28" s="4">
        <v>3214</v>
      </c>
      <c r="W28" s="4">
        <v>2507</v>
      </c>
      <c r="X28" s="4">
        <v>313</v>
      </c>
      <c r="Y28" s="4">
        <v>546</v>
      </c>
      <c r="Z28" s="4">
        <v>687</v>
      </c>
      <c r="AA28" s="4">
        <v>389</v>
      </c>
      <c r="AB28" s="4">
        <v>3006</v>
      </c>
      <c r="AC28" s="4">
        <v>375</v>
      </c>
      <c r="AD28" s="4">
        <v>230</v>
      </c>
      <c r="AE28" s="4">
        <v>1116</v>
      </c>
      <c r="AF28" s="4">
        <v>1435</v>
      </c>
      <c r="AG28">
        <v>15401</v>
      </c>
      <c r="AH28" s="4">
        <v>197</v>
      </c>
      <c r="AI28" s="4">
        <v>1863</v>
      </c>
      <c r="AJ28" s="4">
        <v>216</v>
      </c>
      <c r="AK28" s="4">
        <v>1135</v>
      </c>
      <c r="AL28" s="4">
        <v>3210</v>
      </c>
      <c r="AM28" s="4">
        <v>558</v>
      </c>
      <c r="AN28" s="4">
        <v>238</v>
      </c>
      <c r="AO28" s="4">
        <v>8724</v>
      </c>
      <c r="AP28" s="4">
        <v>438</v>
      </c>
      <c r="AQ28" s="4">
        <v>103</v>
      </c>
      <c r="AR28" s="4">
        <v>1615</v>
      </c>
      <c r="AS28" s="4">
        <v>4124</v>
      </c>
      <c r="AT28" s="4">
        <v>723</v>
      </c>
      <c r="AU28" s="4">
        <v>1748</v>
      </c>
      <c r="AV28" s="4">
        <v>2492</v>
      </c>
      <c r="AW28" s="4">
        <v>3841</v>
      </c>
      <c r="AX28" s="4">
        <v>14450</v>
      </c>
      <c r="AY28" s="4">
        <v>108</v>
      </c>
      <c r="AZ28" s="4">
        <v>631</v>
      </c>
      <c r="BA28" s="4">
        <v>18291</v>
      </c>
      <c r="BB28" s="4">
        <v>131</v>
      </c>
      <c r="BC28" s="4">
        <v>392</v>
      </c>
      <c r="BD28" s="4">
        <v>4250</v>
      </c>
      <c r="BE28" s="4">
        <v>4175</v>
      </c>
      <c r="BF28" s="4">
        <v>1874</v>
      </c>
      <c r="BG28" s="4">
        <v>3651</v>
      </c>
      <c r="BH28" s="4">
        <v>1442</v>
      </c>
      <c r="BI28" s="4">
        <v>20694</v>
      </c>
      <c r="BJ28" s="4">
        <v>2618</v>
      </c>
      <c r="BK28" s="4">
        <v>5905</v>
      </c>
      <c r="BL28" s="4">
        <v>2392</v>
      </c>
      <c r="BM28" s="4">
        <v>4315</v>
      </c>
      <c r="BN28" s="4">
        <v>994</v>
      </c>
      <c r="BO28" s="4">
        <v>1174</v>
      </c>
      <c r="BP28" s="4">
        <v>18308</v>
      </c>
      <c r="BQ28" s="4">
        <v>2544</v>
      </c>
      <c r="BR28" s="4">
        <v>54566</v>
      </c>
      <c r="BS28" s="4">
        <v>8266</v>
      </c>
      <c r="BT28" s="4">
        <v>7822</v>
      </c>
      <c r="BU28" s="4">
        <v>15134</v>
      </c>
      <c r="BV28" s="4">
        <v>2740</v>
      </c>
      <c r="BW28" s="4">
        <v>9482</v>
      </c>
      <c r="BX28" s="4">
        <v>1862</v>
      </c>
      <c r="BY28" s="4">
        <v>4514</v>
      </c>
      <c r="BZ28" s="4">
        <v>15801</v>
      </c>
      <c r="CA28" s="4">
        <v>1941</v>
      </c>
      <c r="CB28" s="4">
        <v>921</v>
      </c>
      <c r="CC28" s="4">
        <v>4458</v>
      </c>
      <c r="CD28" s="4">
        <v>2861</v>
      </c>
      <c r="CE28" s="4">
        <v>3021</v>
      </c>
      <c r="CF28" s="4">
        <v>5782</v>
      </c>
      <c r="CG28" s="4">
        <v>70669</v>
      </c>
      <c r="CH28" s="4">
        <v>10435</v>
      </c>
      <c r="CI28" s="4">
        <v>20066</v>
      </c>
      <c r="CJ28" s="4">
        <v>5211</v>
      </c>
      <c r="CK28" s="4">
        <v>13469</v>
      </c>
      <c r="CL28" s="4">
        <v>8253</v>
      </c>
      <c r="CM28" s="4">
        <v>11365</v>
      </c>
      <c r="CN28" s="4">
        <v>30936</v>
      </c>
      <c r="CO28" s="4">
        <v>4566</v>
      </c>
      <c r="CP28" s="4">
        <v>2414</v>
      </c>
      <c r="CQ28" s="4">
        <v>3522</v>
      </c>
      <c r="CR28" s="4">
        <v>5390</v>
      </c>
      <c r="CS28" s="4">
        <v>19583</v>
      </c>
      <c r="CT28" s="4">
        <v>13111</v>
      </c>
      <c r="CU28" s="4">
        <v>1669</v>
      </c>
      <c r="CV28" s="4">
        <v>162646</v>
      </c>
      <c r="CW28" s="4">
        <v>4146</v>
      </c>
      <c r="CX28" s="4">
        <v>1266</v>
      </c>
      <c r="CY28" s="4">
        <v>17778</v>
      </c>
      <c r="CZ28" s="4">
        <v>2524</v>
      </c>
      <c r="DA28" s="4">
        <v>4926</v>
      </c>
      <c r="DB28" s="4">
        <v>9358</v>
      </c>
      <c r="DC28" s="4">
        <v>2934</v>
      </c>
      <c r="DD28" s="4">
        <v>2344</v>
      </c>
      <c r="DE28" s="4">
        <v>1755</v>
      </c>
      <c r="DF28" s="4">
        <v>33813</v>
      </c>
      <c r="DG28" s="4">
        <v>14504</v>
      </c>
      <c r="DH28" s="4">
        <v>11527</v>
      </c>
      <c r="DI28" s="4">
        <v>5531</v>
      </c>
      <c r="DJ28" s="4">
        <v>19165</v>
      </c>
      <c r="DK28" s="4">
        <v>13171</v>
      </c>
      <c r="DL28" s="4">
        <v>8404</v>
      </c>
      <c r="DM28" s="4">
        <v>9311</v>
      </c>
      <c r="DN28" s="4">
        <v>18304</v>
      </c>
      <c r="DO28" s="4">
        <v>2164</v>
      </c>
      <c r="DP28" s="4">
        <v>5639</v>
      </c>
      <c r="DQ28" s="4">
        <v>44407</v>
      </c>
      <c r="DR28" s="4">
        <v>2609</v>
      </c>
      <c r="DS28" s="4">
        <v>3513</v>
      </c>
      <c r="DT28" s="4">
        <v>519</v>
      </c>
      <c r="DU28" s="4">
        <v>7000</v>
      </c>
      <c r="DV28" s="4">
        <v>3184</v>
      </c>
      <c r="DW28" s="4">
        <v>4164</v>
      </c>
      <c r="DX28" s="4">
        <v>6627</v>
      </c>
      <c r="DY28" s="4">
        <v>1245</v>
      </c>
      <c r="DZ28" s="4">
        <v>2155</v>
      </c>
      <c r="EA28" s="4">
        <v>6455</v>
      </c>
      <c r="EB28" s="4">
        <v>3385</v>
      </c>
      <c r="EC28" s="4">
        <v>551</v>
      </c>
      <c r="ED28" s="4">
        <v>550</v>
      </c>
      <c r="EE28" s="4">
        <v>19935</v>
      </c>
      <c r="EF28" s="4">
        <v>1799</v>
      </c>
      <c r="EG28" s="4">
        <v>7210</v>
      </c>
      <c r="EH28" s="4">
        <v>16162</v>
      </c>
      <c r="EJ28" s="4">
        <f t="shared" si="0"/>
        <v>1053182</v>
      </c>
    </row>
    <row r="29" spans="1:140" x14ac:dyDescent="0.25">
      <c r="A29" s="4" t="s">
        <v>165</v>
      </c>
      <c r="B29" s="4">
        <v>1425</v>
      </c>
      <c r="C29" s="4">
        <v>2675</v>
      </c>
      <c r="D29" s="4">
        <v>78</v>
      </c>
      <c r="E29" s="4">
        <v>777</v>
      </c>
      <c r="F29" s="4">
        <v>7</v>
      </c>
      <c r="G29" s="4">
        <v>9</v>
      </c>
      <c r="H29" s="4">
        <v>9233</v>
      </c>
      <c r="I29" s="4">
        <v>26</v>
      </c>
      <c r="J29" s="4">
        <v>571</v>
      </c>
      <c r="K29" s="4">
        <v>13</v>
      </c>
      <c r="L29" s="4">
        <v>591</v>
      </c>
      <c r="M29" s="4">
        <v>107</v>
      </c>
      <c r="N29" s="4">
        <v>7134</v>
      </c>
      <c r="O29" s="4">
        <v>723</v>
      </c>
      <c r="P29" s="4">
        <v>491</v>
      </c>
      <c r="Q29" s="4">
        <v>5342</v>
      </c>
      <c r="R29" s="4">
        <v>19</v>
      </c>
      <c r="S29" s="4">
        <v>918</v>
      </c>
      <c r="T29" s="4">
        <v>1525</v>
      </c>
      <c r="U29" s="4">
        <v>1287</v>
      </c>
      <c r="V29" s="4">
        <v>2474</v>
      </c>
      <c r="W29" s="4">
        <v>1672</v>
      </c>
      <c r="X29" s="4">
        <v>228</v>
      </c>
      <c r="Y29" s="4">
        <v>402</v>
      </c>
      <c r="Z29" s="4">
        <v>795</v>
      </c>
      <c r="AA29" s="4">
        <v>424</v>
      </c>
      <c r="AB29" s="4">
        <v>2363</v>
      </c>
      <c r="AC29" s="4">
        <v>283</v>
      </c>
      <c r="AD29" s="4">
        <v>182</v>
      </c>
      <c r="AE29" s="4">
        <v>881</v>
      </c>
      <c r="AF29" s="4">
        <v>798</v>
      </c>
      <c r="AG29">
        <v>12508</v>
      </c>
      <c r="AH29" s="4">
        <v>181</v>
      </c>
      <c r="AI29" s="4">
        <v>692</v>
      </c>
      <c r="AJ29" s="4">
        <v>169</v>
      </c>
      <c r="AK29" s="4">
        <v>876</v>
      </c>
      <c r="AL29" s="4">
        <v>2102</v>
      </c>
      <c r="AM29" s="4">
        <v>386</v>
      </c>
      <c r="AN29" s="4">
        <v>202</v>
      </c>
      <c r="AO29" s="4">
        <v>6032</v>
      </c>
      <c r="AP29" s="4">
        <v>345</v>
      </c>
      <c r="AQ29" s="4">
        <v>67</v>
      </c>
      <c r="AR29" s="4">
        <v>1060</v>
      </c>
      <c r="AS29" s="4">
        <v>2988</v>
      </c>
      <c r="AT29" s="4">
        <v>534</v>
      </c>
      <c r="AU29" s="4">
        <v>1551</v>
      </c>
      <c r="AV29" s="4">
        <v>2216</v>
      </c>
      <c r="AW29" s="4">
        <v>1830</v>
      </c>
      <c r="AX29" s="4">
        <v>13029</v>
      </c>
      <c r="AY29" s="4">
        <v>56</v>
      </c>
      <c r="AZ29" s="4">
        <v>415</v>
      </c>
      <c r="BA29" s="4">
        <v>6804</v>
      </c>
      <c r="BB29" s="4">
        <v>80</v>
      </c>
      <c r="BC29" s="4">
        <v>274</v>
      </c>
      <c r="BD29" s="4">
        <v>3566</v>
      </c>
      <c r="BE29" s="4">
        <v>3847</v>
      </c>
      <c r="BF29" s="4">
        <v>1485</v>
      </c>
      <c r="BG29" s="4">
        <v>2515</v>
      </c>
      <c r="BH29" s="4">
        <v>1240</v>
      </c>
      <c r="BI29" s="4">
        <v>18034</v>
      </c>
      <c r="BJ29" s="4">
        <v>1960</v>
      </c>
      <c r="BK29" s="4">
        <v>4527</v>
      </c>
      <c r="BL29" s="4">
        <v>1930</v>
      </c>
      <c r="BM29" s="4">
        <v>2981</v>
      </c>
      <c r="BN29" s="4">
        <v>872</v>
      </c>
      <c r="BO29" s="4">
        <v>807</v>
      </c>
      <c r="BP29" s="4">
        <v>15548</v>
      </c>
      <c r="BQ29" s="4">
        <v>1920</v>
      </c>
      <c r="BR29" s="4">
        <v>46159</v>
      </c>
      <c r="BS29" s="4">
        <v>6164</v>
      </c>
      <c r="BT29" s="4">
        <v>5956</v>
      </c>
      <c r="BU29" s="4">
        <v>12149</v>
      </c>
      <c r="BV29" s="4">
        <v>1805</v>
      </c>
      <c r="BW29" s="4">
        <v>7748</v>
      </c>
      <c r="BX29" s="4">
        <v>1721</v>
      </c>
      <c r="BY29" s="4">
        <v>4338</v>
      </c>
      <c r="BZ29" s="4">
        <v>11816</v>
      </c>
      <c r="CA29" s="4">
        <v>1256</v>
      </c>
      <c r="CB29" s="4">
        <v>658</v>
      </c>
      <c r="CC29" s="4">
        <v>3467</v>
      </c>
      <c r="CD29" s="4">
        <v>2149</v>
      </c>
      <c r="CE29" s="4">
        <v>1895</v>
      </c>
      <c r="CF29" s="4">
        <v>4010</v>
      </c>
      <c r="CG29" s="4">
        <v>57628</v>
      </c>
      <c r="CH29" s="4">
        <v>11033</v>
      </c>
      <c r="CI29" s="4">
        <v>19377</v>
      </c>
      <c r="CJ29" s="4">
        <v>4367</v>
      </c>
      <c r="CK29" s="4">
        <v>10984</v>
      </c>
      <c r="CL29" s="4">
        <v>6213</v>
      </c>
      <c r="CM29" s="4">
        <v>10999</v>
      </c>
      <c r="CN29" s="4">
        <v>27603</v>
      </c>
      <c r="CO29" s="4">
        <v>3273</v>
      </c>
      <c r="CP29" s="4">
        <v>1958</v>
      </c>
      <c r="CQ29" s="4">
        <v>3237</v>
      </c>
      <c r="CR29" s="4">
        <v>5286</v>
      </c>
      <c r="CS29" s="4">
        <v>15556</v>
      </c>
      <c r="CT29" s="4">
        <v>9595</v>
      </c>
      <c r="CU29" s="4">
        <v>925</v>
      </c>
      <c r="CV29" s="4">
        <v>134367</v>
      </c>
      <c r="CW29" s="4">
        <v>3122</v>
      </c>
      <c r="CX29" s="4">
        <v>1099</v>
      </c>
      <c r="CY29" s="4">
        <v>15538</v>
      </c>
      <c r="CZ29" s="4">
        <v>2007</v>
      </c>
      <c r="DA29" s="4">
        <v>4068</v>
      </c>
      <c r="DB29" s="4">
        <v>6967</v>
      </c>
      <c r="DC29" s="4">
        <v>2209</v>
      </c>
      <c r="DD29" s="4">
        <v>1920</v>
      </c>
      <c r="DE29" s="4">
        <v>1032</v>
      </c>
      <c r="DF29" s="4">
        <v>25929</v>
      </c>
      <c r="DG29" s="4">
        <v>9205</v>
      </c>
      <c r="DH29" s="4">
        <v>9716</v>
      </c>
      <c r="DI29" s="4">
        <v>2830</v>
      </c>
      <c r="DJ29" s="4">
        <v>15166</v>
      </c>
      <c r="DK29" s="4">
        <v>10115</v>
      </c>
      <c r="DL29" s="4">
        <v>5515</v>
      </c>
      <c r="DM29" s="4">
        <v>8162</v>
      </c>
      <c r="DN29" s="4">
        <v>10728</v>
      </c>
      <c r="DO29" s="4">
        <v>1535</v>
      </c>
      <c r="DP29" s="4">
        <v>5271</v>
      </c>
      <c r="DQ29" s="4">
        <v>35025</v>
      </c>
      <c r="DR29" s="4">
        <v>2339</v>
      </c>
      <c r="DS29" s="4">
        <v>3269</v>
      </c>
      <c r="DT29" s="4">
        <v>455</v>
      </c>
      <c r="DU29" s="4">
        <v>6309</v>
      </c>
      <c r="DV29" s="4">
        <v>2746</v>
      </c>
      <c r="DW29" s="4">
        <v>3277</v>
      </c>
      <c r="DX29" s="4">
        <v>7606</v>
      </c>
      <c r="DY29" s="4">
        <v>1160</v>
      </c>
      <c r="DZ29" s="4">
        <v>1678</v>
      </c>
      <c r="EA29" s="4">
        <v>4672</v>
      </c>
      <c r="EB29" s="4">
        <v>4368</v>
      </c>
      <c r="EC29" s="4">
        <v>445</v>
      </c>
      <c r="ED29" s="4">
        <v>476</v>
      </c>
      <c r="EE29" s="4">
        <v>16746</v>
      </c>
      <c r="EF29" s="4">
        <v>1675</v>
      </c>
      <c r="EG29" s="4">
        <v>6558</v>
      </c>
      <c r="EH29" s="4">
        <v>12587</v>
      </c>
      <c r="EJ29" s="4">
        <f t="shared" si="0"/>
        <v>846299</v>
      </c>
    </row>
    <row r="30" spans="1:140" x14ac:dyDescent="0.25">
      <c r="A30" s="4" t="s">
        <v>166</v>
      </c>
      <c r="B30" s="4">
        <v>1936</v>
      </c>
      <c r="C30" s="4">
        <v>3580</v>
      </c>
      <c r="D30" s="4">
        <v>77</v>
      </c>
      <c r="E30" s="4">
        <v>1303</v>
      </c>
      <c r="F30" s="4">
        <v>7</v>
      </c>
      <c r="G30" s="4">
        <v>12</v>
      </c>
      <c r="H30" s="4">
        <v>10502</v>
      </c>
      <c r="I30" s="4">
        <v>38</v>
      </c>
      <c r="J30" s="4">
        <v>552</v>
      </c>
      <c r="K30" s="4">
        <v>87</v>
      </c>
      <c r="L30" s="4">
        <v>658</v>
      </c>
      <c r="M30" s="4">
        <v>324</v>
      </c>
      <c r="N30" s="4">
        <v>7533</v>
      </c>
      <c r="O30" s="4">
        <v>1302</v>
      </c>
      <c r="P30" s="4">
        <v>499</v>
      </c>
      <c r="Q30" s="4">
        <v>5417</v>
      </c>
      <c r="R30" s="4">
        <v>35</v>
      </c>
      <c r="S30" s="4">
        <v>1048</v>
      </c>
      <c r="T30" s="4">
        <v>1912</v>
      </c>
      <c r="U30" s="4">
        <v>1530</v>
      </c>
      <c r="V30" s="4">
        <v>2981</v>
      </c>
      <c r="W30" s="4">
        <v>1737</v>
      </c>
      <c r="X30" s="4">
        <v>321</v>
      </c>
      <c r="Y30" s="4">
        <v>553</v>
      </c>
      <c r="Z30" s="4">
        <v>1434</v>
      </c>
      <c r="AA30" s="4">
        <v>300</v>
      </c>
      <c r="AB30" s="4">
        <v>2684</v>
      </c>
      <c r="AC30" s="4">
        <v>523</v>
      </c>
      <c r="AD30" s="4">
        <v>187</v>
      </c>
      <c r="AE30" s="4">
        <v>769</v>
      </c>
      <c r="AF30" s="4">
        <v>956</v>
      </c>
      <c r="AG30">
        <v>14532</v>
      </c>
      <c r="AH30" s="4">
        <v>147</v>
      </c>
      <c r="AI30" s="4">
        <v>664</v>
      </c>
      <c r="AJ30" s="4">
        <v>233</v>
      </c>
      <c r="AK30" s="4">
        <v>1146</v>
      </c>
      <c r="AL30" s="4">
        <v>2240</v>
      </c>
      <c r="AM30" s="4">
        <v>468</v>
      </c>
      <c r="AN30" s="4">
        <v>217</v>
      </c>
      <c r="AO30" s="4">
        <v>7199</v>
      </c>
      <c r="AP30" s="4">
        <v>311</v>
      </c>
      <c r="AQ30" s="4">
        <v>95</v>
      </c>
      <c r="AR30" s="4">
        <v>1377</v>
      </c>
      <c r="AS30" s="4">
        <v>3340</v>
      </c>
      <c r="AT30" s="4">
        <v>638</v>
      </c>
      <c r="AU30" s="4">
        <v>1748</v>
      </c>
      <c r="AV30" s="4">
        <v>2605</v>
      </c>
      <c r="AW30" s="4">
        <v>1593</v>
      </c>
      <c r="AX30" s="4">
        <v>14449</v>
      </c>
      <c r="AY30" s="4">
        <v>69</v>
      </c>
      <c r="AZ30" s="4">
        <v>524</v>
      </c>
      <c r="BA30" s="4">
        <v>4752</v>
      </c>
      <c r="BB30" s="4">
        <v>158</v>
      </c>
      <c r="BC30" s="4">
        <v>469</v>
      </c>
      <c r="BD30" s="4">
        <v>4537</v>
      </c>
      <c r="BE30" s="4">
        <v>3771</v>
      </c>
      <c r="BF30" s="4">
        <v>1570</v>
      </c>
      <c r="BG30" s="4">
        <v>3113</v>
      </c>
      <c r="BH30" s="4">
        <v>1103</v>
      </c>
      <c r="BI30" s="4">
        <v>19466</v>
      </c>
      <c r="BJ30" s="4">
        <v>2483</v>
      </c>
      <c r="BK30" s="4">
        <v>4853</v>
      </c>
      <c r="BL30" s="4">
        <v>2582</v>
      </c>
      <c r="BM30" s="4">
        <v>4016</v>
      </c>
      <c r="BN30" s="4">
        <v>845</v>
      </c>
      <c r="BO30" s="4">
        <v>741</v>
      </c>
      <c r="BP30" s="4">
        <v>19765</v>
      </c>
      <c r="BQ30" s="4">
        <v>2320</v>
      </c>
      <c r="BR30" s="4">
        <v>51620</v>
      </c>
      <c r="BS30" s="4">
        <v>8086</v>
      </c>
      <c r="BT30" s="4">
        <v>7010</v>
      </c>
      <c r="BU30" s="4">
        <v>14722</v>
      </c>
      <c r="BV30" s="4">
        <v>2239</v>
      </c>
      <c r="BW30" s="4">
        <v>9222</v>
      </c>
      <c r="BX30" s="4">
        <v>2695</v>
      </c>
      <c r="BY30" s="4">
        <v>6738</v>
      </c>
      <c r="BZ30" s="4">
        <v>14044</v>
      </c>
      <c r="CA30" s="4">
        <v>1756</v>
      </c>
      <c r="CB30" s="4">
        <v>859</v>
      </c>
      <c r="CC30" s="4">
        <v>4042</v>
      </c>
      <c r="CD30" s="4">
        <v>2523</v>
      </c>
      <c r="CE30" s="4">
        <v>2199</v>
      </c>
      <c r="CF30" s="4">
        <v>4534</v>
      </c>
      <c r="CG30" s="4">
        <v>66276</v>
      </c>
      <c r="CH30" s="4">
        <v>12412</v>
      </c>
      <c r="CI30" s="4">
        <v>20566</v>
      </c>
      <c r="CJ30" s="4">
        <v>5355</v>
      </c>
      <c r="CK30" s="4">
        <v>13393</v>
      </c>
      <c r="CL30" s="4">
        <v>7355</v>
      </c>
      <c r="CM30" s="4">
        <v>10659</v>
      </c>
      <c r="CN30" s="4">
        <v>30232</v>
      </c>
      <c r="CO30" s="4">
        <v>4253</v>
      </c>
      <c r="CP30" s="4">
        <v>2377</v>
      </c>
      <c r="CQ30" s="4">
        <v>3329</v>
      </c>
      <c r="CR30" s="4">
        <v>5110</v>
      </c>
      <c r="CS30" s="4">
        <v>18215</v>
      </c>
      <c r="CT30" s="4">
        <v>11420</v>
      </c>
      <c r="CU30" s="4">
        <v>1230</v>
      </c>
      <c r="CV30" s="4">
        <v>150781</v>
      </c>
      <c r="CW30" s="4">
        <v>3580</v>
      </c>
      <c r="CX30" s="4">
        <v>968</v>
      </c>
      <c r="CY30" s="4">
        <v>15411</v>
      </c>
      <c r="CZ30" s="4">
        <v>2216</v>
      </c>
      <c r="DA30" s="4">
        <v>5039</v>
      </c>
      <c r="DB30" s="4">
        <v>6831</v>
      </c>
      <c r="DC30" s="4">
        <v>2369</v>
      </c>
      <c r="DD30" s="4">
        <v>2416</v>
      </c>
      <c r="DE30" s="4">
        <v>1415</v>
      </c>
      <c r="DF30" s="4">
        <v>29914</v>
      </c>
      <c r="DG30" s="4">
        <v>10631</v>
      </c>
      <c r="DH30" s="4">
        <v>10762</v>
      </c>
      <c r="DI30" s="4">
        <v>5271</v>
      </c>
      <c r="DJ30" s="4">
        <v>16801</v>
      </c>
      <c r="DK30" s="4">
        <v>9889</v>
      </c>
      <c r="DL30" s="4">
        <v>6502</v>
      </c>
      <c r="DM30" s="4">
        <v>9106</v>
      </c>
      <c r="DN30" s="4">
        <v>13978</v>
      </c>
      <c r="DO30" s="4">
        <v>2205</v>
      </c>
      <c r="DP30" s="4">
        <v>5652</v>
      </c>
      <c r="DQ30" s="4">
        <v>39562</v>
      </c>
      <c r="DR30" s="4">
        <v>3043</v>
      </c>
      <c r="DS30" s="4">
        <v>3692</v>
      </c>
      <c r="DT30" s="4">
        <v>492</v>
      </c>
      <c r="DU30" s="4">
        <v>6666</v>
      </c>
      <c r="DV30" s="4">
        <v>2908</v>
      </c>
      <c r="DW30" s="4">
        <v>3704</v>
      </c>
      <c r="DX30" s="4">
        <v>6880</v>
      </c>
      <c r="DY30" s="4">
        <v>1613</v>
      </c>
      <c r="DZ30" s="4">
        <v>1987</v>
      </c>
      <c r="EA30" s="4">
        <v>6208</v>
      </c>
      <c r="EB30" s="4">
        <v>5025</v>
      </c>
      <c r="EC30" s="4">
        <v>587</v>
      </c>
      <c r="ED30" s="4">
        <v>605</v>
      </c>
      <c r="EE30" s="4">
        <v>19262</v>
      </c>
      <c r="EF30" s="4">
        <v>2432</v>
      </c>
      <c r="EG30" s="4">
        <v>9652</v>
      </c>
      <c r="EH30" s="4">
        <v>15478</v>
      </c>
      <c r="EJ30" s="4">
        <f t="shared" si="0"/>
        <v>966940</v>
      </c>
    </row>
    <row r="31" spans="1:140" x14ac:dyDescent="0.25">
      <c r="A31" s="4" t="s">
        <v>167</v>
      </c>
      <c r="B31" s="4">
        <v>1890</v>
      </c>
      <c r="C31" s="4">
        <v>3436</v>
      </c>
      <c r="D31" s="4">
        <v>75</v>
      </c>
      <c r="E31" s="4">
        <v>989</v>
      </c>
      <c r="F31" s="4">
        <v>3</v>
      </c>
      <c r="G31" s="4">
        <v>18</v>
      </c>
      <c r="H31" s="4">
        <v>11122</v>
      </c>
      <c r="I31" s="4">
        <v>26</v>
      </c>
      <c r="J31" s="4">
        <v>573</v>
      </c>
      <c r="K31" s="4">
        <v>14</v>
      </c>
      <c r="L31" s="4">
        <v>736</v>
      </c>
      <c r="M31" s="4">
        <v>321</v>
      </c>
      <c r="N31" s="4">
        <v>7467</v>
      </c>
      <c r="O31" s="4">
        <v>889</v>
      </c>
      <c r="P31" s="4">
        <v>410</v>
      </c>
      <c r="Q31" s="4">
        <v>5302</v>
      </c>
      <c r="R31" s="4">
        <v>21</v>
      </c>
      <c r="S31" s="4">
        <v>1083</v>
      </c>
      <c r="T31" s="4">
        <v>2162</v>
      </c>
      <c r="U31" s="4">
        <v>1354</v>
      </c>
      <c r="V31" s="4">
        <v>2663</v>
      </c>
      <c r="W31" s="4">
        <v>1917</v>
      </c>
      <c r="X31" s="4">
        <v>334</v>
      </c>
      <c r="Y31" s="4">
        <v>481</v>
      </c>
      <c r="Z31" s="4">
        <v>891</v>
      </c>
      <c r="AA31" s="4">
        <v>312</v>
      </c>
      <c r="AB31" s="4">
        <v>2936</v>
      </c>
      <c r="AC31" s="4">
        <v>483</v>
      </c>
      <c r="AD31" s="4">
        <v>158</v>
      </c>
      <c r="AE31" s="4">
        <v>908</v>
      </c>
      <c r="AF31" s="4">
        <v>901</v>
      </c>
      <c r="AG31">
        <v>14496</v>
      </c>
      <c r="AH31" s="4">
        <v>196</v>
      </c>
      <c r="AI31" s="4">
        <v>597</v>
      </c>
      <c r="AJ31" s="4">
        <v>198</v>
      </c>
      <c r="AK31" s="4">
        <v>1062</v>
      </c>
      <c r="AL31" s="4">
        <v>1976</v>
      </c>
      <c r="AM31" s="4">
        <v>491</v>
      </c>
      <c r="AN31" s="4">
        <v>180</v>
      </c>
      <c r="AO31" s="4">
        <v>7439</v>
      </c>
      <c r="AP31" s="4">
        <v>253</v>
      </c>
      <c r="AQ31" s="4">
        <v>71</v>
      </c>
      <c r="AR31" s="4">
        <v>1385</v>
      </c>
      <c r="AS31" s="4">
        <v>2968</v>
      </c>
      <c r="AT31" s="4">
        <v>517</v>
      </c>
      <c r="AU31" s="4">
        <v>1845</v>
      </c>
      <c r="AV31" s="4">
        <v>2639</v>
      </c>
      <c r="AW31" s="4">
        <v>1607</v>
      </c>
      <c r="AX31" s="4">
        <v>13620</v>
      </c>
      <c r="AY31" s="4">
        <v>73</v>
      </c>
      <c r="AZ31" s="4">
        <v>452</v>
      </c>
      <c r="BA31" s="4">
        <v>4189</v>
      </c>
      <c r="BB31" s="4">
        <v>93</v>
      </c>
      <c r="BC31" s="4">
        <v>392</v>
      </c>
      <c r="BD31" s="4">
        <v>4225</v>
      </c>
      <c r="BE31" s="4">
        <v>3348</v>
      </c>
      <c r="BF31" s="4">
        <v>1434</v>
      </c>
      <c r="BG31" s="4">
        <v>2807</v>
      </c>
      <c r="BH31" s="4">
        <v>1162</v>
      </c>
      <c r="BI31" s="4">
        <v>19721</v>
      </c>
      <c r="BJ31" s="4">
        <v>2246</v>
      </c>
      <c r="BK31" s="4">
        <v>6423</v>
      </c>
      <c r="BL31" s="4">
        <v>1601</v>
      </c>
      <c r="BM31" s="4">
        <v>3554</v>
      </c>
      <c r="BN31" s="4">
        <v>793</v>
      </c>
      <c r="BO31" s="4">
        <v>1052</v>
      </c>
      <c r="BP31" s="4">
        <v>18483</v>
      </c>
      <c r="BQ31" s="4">
        <v>2119</v>
      </c>
      <c r="BR31" s="4">
        <v>51651</v>
      </c>
      <c r="BS31" s="4">
        <v>8678</v>
      </c>
      <c r="BT31" s="4">
        <v>6712</v>
      </c>
      <c r="BU31" s="4">
        <v>16388</v>
      </c>
      <c r="BV31" s="4">
        <v>2052</v>
      </c>
      <c r="BW31" s="4">
        <v>9367</v>
      </c>
      <c r="BX31" s="4">
        <v>3634</v>
      </c>
      <c r="BY31" s="4">
        <v>8934</v>
      </c>
      <c r="BZ31" s="4">
        <v>13178</v>
      </c>
      <c r="CA31" s="4">
        <v>1577</v>
      </c>
      <c r="CB31" s="4">
        <v>709</v>
      </c>
      <c r="CC31" s="4">
        <v>4808</v>
      </c>
      <c r="CD31" s="4">
        <v>2299</v>
      </c>
      <c r="CE31" s="4">
        <v>2001</v>
      </c>
      <c r="CF31" s="4">
        <v>4932</v>
      </c>
      <c r="CG31" s="4">
        <v>62552</v>
      </c>
      <c r="CH31" s="4">
        <v>9957</v>
      </c>
      <c r="CI31" s="4">
        <v>19609</v>
      </c>
      <c r="CJ31" s="4">
        <v>5173</v>
      </c>
      <c r="CK31" s="4">
        <v>11284</v>
      </c>
      <c r="CL31" s="4">
        <v>7197</v>
      </c>
      <c r="CM31" s="4">
        <v>10348</v>
      </c>
      <c r="CN31" s="4">
        <v>31418</v>
      </c>
      <c r="CO31" s="4">
        <v>4442</v>
      </c>
      <c r="CP31" s="4">
        <v>2552</v>
      </c>
      <c r="CQ31" s="4">
        <v>2998</v>
      </c>
      <c r="CR31" s="4">
        <v>5067</v>
      </c>
      <c r="CS31" s="4">
        <v>16851</v>
      </c>
      <c r="CT31" s="4">
        <v>11270</v>
      </c>
      <c r="CU31" s="4">
        <v>1191</v>
      </c>
      <c r="CV31" s="4">
        <v>148728</v>
      </c>
      <c r="CW31" s="4">
        <v>3783</v>
      </c>
      <c r="CX31" s="4">
        <v>1166</v>
      </c>
      <c r="CY31" s="4">
        <v>15252</v>
      </c>
      <c r="CZ31" s="4">
        <v>2173</v>
      </c>
      <c r="DA31" s="4">
        <v>4971</v>
      </c>
      <c r="DB31" s="4">
        <v>7307</v>
      </c>
      <c r="DC31" s="4">
        <v>2136</v>
      </c>
      <c r="DD31" s="4">
        <v>2121</v>
      </c>
      <c r="DE31" s="4">
        <v>1368</v>
      </c>
      <c r="DF31" s="4">
        <v>29033</v>
      </c>
      <c r="DG31" s="4">
        <v>8207</v>
      </c>
      <c r="DH31" s="4">
        <v>9435</v>
      </c>
      <c r="DI31" s="4">
        <v>2918</v>
      </c>
      <c r="DJ31" s="4">
        <v>15700</v>
      </c>
      <c r="DK31" s="4">
        <v>9445</v>
      </c>
      <c r="DL31" s="4">
        <v>5991</v>
      </c>
      <c r="DM31" s="4">
        <v>7720</v>
      </c>
      <c r="DN31" s="4">
        <v>9880</v>
      </c>
      <c r="DO31" s="4">
        <v>1864</v>
      </c>
      <c r="DP31" s="4">
        <v>6132</v>
      </c>
      <c r="DQ31" s="4">
        <v>35673</v>
      </c>
      <c r="DR31" s="4">
        <v>2144</v>
      </c>
      <c r="DS31" s="4">
        <v>2953</v>
      </c>
      <c r="DT31" s="4">
        <v>498</v>
      </c>
      <c r="DU31" s="4">
        <v>6214</v>
      </c>
      <c r="DV31" s="4">
        <v>2949</v>
      </c>
      <c r="DW31" s="4">
        <v>3187</v>
      </c>
      <c r="DX31" s="4">
        <v>4519</v>
      </c>
      <c r="DY31" s="4">
        <v>1058</v>
      </c>
      <c r="DZ31" s="4">
        <v>2057</v>
      </c>
      <c r="EA31" s="4">
        <v>5860</v>
      </c>
      <c r="EB31" s="4">
        <v>3040</v>
      </c>
      <c r="EC31" s="4">
        <v>513</v>
      </c>
      <c r="ED31" s="4">
        <v>669</v>
      </c>
      <c r="EE31" s="4">
        <v>19274</v>
      </c>
      <c r="EF31" s="4">
        <v>1879</v>
      </c>
      <c r="EG31" s="4">
        <v>6721</v>
      </c>
      <c r="EH31" s="4">
        <v>16008</v>
      </c>
      <c r="EJ31" s="4">
        <f t="shared" si="0"/>
        <v>924957</v>
      </c>
    </row>
    <row r="32" spans="1:140" x14ac:dyDescent="0.25">
      <c r="A32" s="4" t="s">
        <v>168</v>
      </c>
      <c r="B32" s="4">
        <v>2043</v>
      </c>
      <c r="C32" s="4">
        <v>3547</v>
      </c>
      <c r="D32" s="4">
        <v>126</v>
      </c>
      <c r="E32" s="4">
        <v>1202</v>
      </c>
      <c r="F32" s="4">
        <v>8</v>
      </c>
      <c r="G32" s="4">
        <v>12</v>
      </c>
      <c r="H32" s="4">
        <v>11431</v>
      </c>
      <c r="I32" s="4">
        <v>23</v>
      </c>
      <c r="J32" s="4">
        <v>617</v>
      </c>
      <c r="K32" s="4">
        <v>24</v>
      </c>
      <c r="L32" s="4">
        <v>690</v>
      </c>
      <c r="M32" s="4">
        <v>134</v>
      </c>
      <c r="N32" s="4">
        <v>7953</v>
      </c>
      <c r="O32" s="4">
        <v>1057</v>
      </c>
      <c r="P32" s="4">
        <v>528</v>
      </c>
      <c r="Q32" s="4">
        <v>5364</v>
      </c>
      <c r="R32" s="4">
        <v>14</v>
      </c>
      <c r="S32" s="4">
        <v>983</v>
      </c>
      <c r="T32" s="4">
        <v>2049</v>
      </c>
      <c r="U32" s="4">
        <v>1625</v>
      </c>
      <c r="V32" s="4">
        <v>2507</v>
      </c>
      <c r="W32" s="4">
        <v>1815</v>
      </c>
      <c r="X32" s="4">
        <v>286</v>
      </c>
      <c r="Y32" s="4">
        <v>421</v>
      </c>
      <c r="Z32" s="4">
        <v>686</v>
      </c>
      <c r="AA32" s="4">
        <v>361</v>
      </c>
      <c r="AB32" s="4">
        <v>2794</v>
      </c>
      <c r="AC32" s="4">
        <v>464</v>
      </c>
      <c r="AD32" s="4">
        <v>157</v>
      </c>
      <c r="AE32" s="4">
        <v>850</v>
      </c>
      <c r="AF32" s="4">
        <v>816</v>
      </c>
      <c r="AG32">
        <v>14108</v>
      </c>
      <c r="AH32" s="4">
        <v>212</v>
      </c>
      <c r="AI32" s="4">
        <v>584</v>
      </c>
      <c r="AJ32" s="4">
        <v>182</v>
      </c>
      <c r="AK32" s="4">
        <v>1218</v>
      </c>
      <c r="AL32" s="4">
        <v>1860</v>
      </c>
      <c r="AM32" s="4">
        <v>507</v>
      </c>
      <c r="AN32" s="4">
        <v>230</v>
      </c>
      <c r="AO32" s="4">
        <v>7369</v>
      </c>
      <c r="AP32" s="4">
        <v>361</v>
      </c>
      <c r="AQ32" s="4">
        <v>81</v>
      </c>
      <c r="AR32" s="4">
        <v>1432</v>
      </c>
      <c r="AS32" s="4">
        <v>3216</v>
      </c>
      <c r="AT32" s="4">
        <v>531</v>
      </c>
      <c r="AU32" s="4">
        <v>1723</v>
      </c>
      <c r="AV32" s="4">
        <v>2234</v>
      </c>
      <c r="AW32" s="4">
        <v>1888</v>
      </c>
      <c r="AX32" s="4">
        <v>14312</v>
      </c>
      <c r="AY32" s="4">
        <v>72</v>
      </c>
      <c r="AZ32" s="4">
        <v>459</v>
      </c>
      <c r="BA32" s="4">
        <v>4064</v>
      </c>
      <c r="BB32" s="4">
        <v>137</v>
      </c>
      <c r="BC32" s="4">
        <v>390</v>
      </c>
      <c r="BD32" s="4">
        <v>4456</v>
      </c>
      <c r="BE32" s="4">
        <v>3664</v>
      </c>
      <c r="BF32" s="4">
        <v>1468</v>
      </c>
      <c r="BG32" s="4">
        <v>2694</v>
      </c>
      <c r="BH32" s="4">
        <v>1414</v>
      </c>
      <c r="BI32" s="4">
        <v>21179</v>
      </c>
      <c r="BJ32" s="4">
        <v>2811</v>
      </c>
      <c r="BK32" s="4">
        <v>7440</v>
      </c>
      <c r="BL32" s="4">
        <v>2253</v>
      </c>
      <c r="BM32" s="4">
        <v>3442</v>
      </c>
      <c r="BN32" s="4">
        <v>1081</v>
      </c>
      <c r="BO32" s="4">
        <v>1339</v>
      </c>
      <c r="BP32" s="4">
        <v>21619</v>
      </c>
      <c r="BQ32" s="4">
        <v>2377</v>
      </c>
      <c r="BR32" s="4">
        <v>49783</v>
      </c>
      <c r="BS32" s="4">
        <v>9058</v>
      </c>
      <c r="BT32" s="4">
        <v>7322</v>
      </c>
      <c r="BU32" s="4">
        <v>18731</v>
      </c>
      <c r="BV32" s="4">
        <v>2411</v>
      </c>
      <c r="BW32" s="4">
        <v>10559</v>
      </c>
      <c r="BX32" s="4">
        <v>2010</v>
      </c>
      <c r="BY32" s="4">
        <v>5601</v>
      </c>
      <c r="BZ32" s="4">
        <v>13353</v>
      </c>
      <c r="CA32" s="4">
        <v>1796</v>
      </c>
      <c r="CB32" s="4">
        <v>619</v>
      </c>
      <c r="CC32" s="4">
        <v>4141</v>
      </c>
      <c r="CD32" s="4">
        <v>2383</v>
      </c>
      <c r="CE32" s="4">
        <v>1945</v>
      </c>
      <c r="CF32" s="4">
        <v>4911</v>
      </c>
      <c r="CG32" s="4">
        <v>61360</v>
      </c>
      <c r="CH32" s="4">
        <v>9504</v>
      </c>
      <c r="CI32" s="4">
        <v>19301</v>
      </c>
      <c r="CJ32" s="4">
        <v>5394</v>
      </c>
      <c r="CK32" s="4">
        <v>12092</v>
      </c>
      <c r="CL32" s="4">
        <v>6998</v>
      </c>
      <c r="CM32" s="4">
        <v>9905</v>
      </c>
      <c r="CN32" s="4">
        <v>29425</v>
      </c>
      <c r="CO32" s="4">
        <v>4207</v>
      </c>
      <c r="CP32" s="4">
        <v>2703</v>
      </c>
      <c r="CQ32" s="4">
        <v>2936</v>
      </c>
      <c r="CR32" s="4">
        <v>4385</v>
      </c>
      <c r="CS32" s="4">
        <v>17181</v>
      </c>
      <c r="CT32" s="4">
        <v>11016</v>
      </c>
      <c r="CU32" s="4">
        <v>1173</v>
      </c>
      <c r="CV32" s="4">
        <v>143244</v>
      </c>
      <c r="CW32" s="4">
        <v>3748</v>
      </c>
      <c r="CX32" s="4">
        <v>1058</v>
      </c>
      <c r="CY32" s="4">
        <v>15335</v>
      </c>
      <c r="CZ32" s="4">
        <v>2133</v>
      </c>
      <c r="DA32" s="4">
        <v>4099</v>
      </c>
      <c r="DB32" s="4">
        <v>7293</v>
      </c>
      <c r="DC32" s="4">
        <v>2380</v>
      </c>
      <c r="DD32" s="4">
        <v>2006</v>
      </c>
      <c r="DE32" s="4">
        <v>1524</v>
      </c>
      <c r="DF32" s="4">
        <v>29053</v>
      </c>
      <c r="DG32" s="4">
        <v>8563</v>
      </c>
      <c r="DH32" s="4">
        <v>10132</v>
      </c>
      <c r="DI32" s="4">
        <v>2869</v>
      </c>
      <c r="DJ32" s="4">
        <v>15739</v>
      </c>
      <c r="DK32" s="4">
        <v>9423</v>
      </c>
      <c r="DL32" s="4">
        <v>6163</v>
      </c>
      <c r="DM32" s="4">
        <v>7502</v>
      </c>
      <c r="DN32" s="4">
        <v>9573</v>
      </c>
      <c r="DO32" s="4">
        <v>1721</v>
      </c>
      <c r="DP32" s="4">
        <v>12225</v>
      </c>
      <c r="DQ32" s="4">
        <v>33828</v>
      </c>
      <c r="DR32" s="4">
        <v>1870</v>
      </c>
      <c r="DS32" s="4">
        <v>2736</v>
      </c>
      <c r="DT32" s="4">
        <v>503</v>
      </c>
      <c r="DU32" s="4">
        <v>7692</v>
      </c>
      <c r="DV32" s="4">
        <v>2634</v>
      </c>
      <c r="DW32" s="4">
        <v>3072</v>
      </c>
      <c r="DX32" s="4">
        <v>4466</v>
      </c>
      <c r="DY32" s="4">
        <v>1066</v>
      </c>
      <c r="DZ32" s="4">
        <v>1861</v>
      </c>
      <c r="EA32" s="4">
        <v>6692</v>
      </c>
      <c r="EB32" s="4">
        <v>2639</v>
      </c>
      <c r="EC32" s="4">
        <v>423</v>
      </c>
      <c r="ED32" s="4">
        <v>502</v>
      </c>
      <c r="EE32" s="4">
        <v>18821</v>
      </c>
      <c r="EF32" s="4">
        <v>1915</v>
      </c>
      <c r="EG32" s="4">
        <v>6128</v>
      </c>
      <c r="EH32" s="4">
        <v>15561</v>
      </c>
      <c r="EJ32" s="4">
        <f t="shared" si="0"/>
        <v>925389</v>
      </c>
    </row>
    <row r="33" spans="1:140" x14ac:dyDescent="0.25">
      <c r="A33" s="4" t="s">
        <v>169</v>
      </c>
      <c r="B33" s="4">
        <v>2010</v>
      </c>
      <c r="C33" s="4">
        <v>3658</v>
      </c>
      <c r="D33" s="4">
        <v>81</v>
      </c>
      <c r="E33" s="4">
        <v>1305</v>
      </c>
      <c r="F33" s="4">
        <v>5</v>
      </c>
      <c r="G33" s="4">
        <v>19</v>
      </c>
      <c r="H33" s="4">
        <v>11512</v>
      </c>
      <c r="I33" s="4">
        <v>29</v>
      </c>
      <c r="J33" s="4">
        <v>547</v>
      </c>
      <c r="K33" s="4">
        <v>26</v>
      </c>
      <c r="L33" s="4">
        <v>993</v>
      </c>
      <c r="M33" s="4">
        <v>202</v>
      </c>
      <c r="N33" s="4">
        <v>8195</v>
      </c>
      <c r="O33" s="4">
        <v>959</v>
      </c>
      <c r="P33" s="4">
        <v>408</v>
      </c>
      <c r="Q33" s="4">
        <v>5468</v>
      </c>
      <c r="R33" s="4">
        <v>11</v>
      </c>
      <c r="S33" s="4">
        <v>1013</v>
      </c>
      <c r="T33" s="4">
        <v>1996</v>
      </c>
      <c r="U33" s="4">
        <v>2111</v>
      </c>
      <c r="V33" s="4">
        <v>3367</v>
      </c>
      <c r="W33" s="4">
        <v>1776</v>
      </c>
      <c r="X33" s="4">
        <v>306</v>
      </c>
      <c r="Y33" s="4">
        <v>498</v>
      </c>
      <c r="Z33" s="4">
        <v>634</v>
      </c>
      <c r="AA33" s="4">
        <v>339</v>
      </c>
      <c r="AB33" s="4">
        <v>3656</v>
      </c>
      <c r="AC33" s="4">
        <v>682</v>
      </c>
      <c r="AD33" s="4">
        <v>193</v>
      </c>
      <c r="AE33" s="4">
        <v>901</v>
      </c>
      <c r="AF33" s="4">
        <v>785</v>
      </c>
      <c r="AG33">
        <v>16374</v>
      </c>
      <c r="AH33" s="4">
        <v>193</v>
      </c>
      <c r="AI33" s="4">
        <v>735</v>
      </c>
      <c r="AJ33" s="4">
        <v>266</v>
      </c>
      <c r="AK33" s="4">
        <v>1151</v>
      </c>
      <c r="AL33" s="4">
        <v>1794</v>
      </c>
      <c r="AM33" s="4">
        <v>467</v>
      </c>
      <c r="AN33" s="4">
        <v>629</v>
      </c>
      <c r="AO33" s="4">
        <v>7932</v>
      </c>
      <c r="AP33" s="4">
        <v>374</v>
      </c>
      <c r="AQ33" s="4">
        <v>94</v>
      </c>
      <c r="AR33" s="4">
        <v>1753</v>
      </c>
      <c r="AS33" s="4">
        <v>4117</v>
      </c>
      <c r="AT33" s="4">
        <v>592</v>
      </c>
      <c r="AU33" s="4">
        <v>2322</v>
      </c>
      <c r="AV33" s="4">
        <v>2476</v>
      </c>
      <c r="AW33" s="4">
        <v>5332</v>
      </c>
      <c r="AX33" s="4">
        <v>15262</v>
      </c>
      <c r="AY33" s="4">
        <v>78</v>
      </c>
      <c r="AZ33" s="4">
        <v>1213</v>
      </c>
      <c r="BA33" s="4">
        <v>5831</v>
      </c>
      <c r="BB33" s="4">
        <v>82</v>
      </c>
      <c r="BC33" s="4">
        <v>345</v>
      </c>
      <c r="BD33" s="4">
        <v>4745</v>
      </c>
      <c r="BE33" s="4">
        <v>4231</v>
      </c>
      <c r="BF33" s="4">
        <v>1519</v>
      </c>
      <c r="BG33" s="4">
        <v>2952</v>
      </c>
      <c r="BH33" s="4">
        <v>1045</v>
      </c>
      <c r="BI33" s="4">
        <v>21897</v>
      </c>
      <c r="BJ33" s="4">
        <v>4007</v>
      </c>
      <c r="BK33" s="4">
        <v>5704</v>
      </c>
      <c r="BL33" s="4">
        <v>3216</v>
      </c>
      <c r="BM33" s="4">
        <v>4014</v>
      </c>
      <c r="BN33" s="4">
        <v>1574</v>
      </c>
      <c r="BO33" s="4">
        <v>1410</v>
      </c>
      <c r="BP33" s="4">
        <v>26383</v>
      </c>
      <c r="BQ33" s="4">
        <v>2732</v>
      </c>
      <c r="BR33" s="4">
        <v>56842</v>
      </c>
      <c r="BS33" s="4">
        <v>10323</v>
      </c>
      <c r="BT33" s="4">
        <v>8622</v>
      </c>
      <c r="BU33" s="4">
        <v>23283</v>
      </c>
      <c r="BV33" s="4">
        <v>2820</v>
      </c>
      <c r="BW33" s="4">
        <v>11899</v>
      </c>
      <c r="BX33" s="4">
        <v>2234</v>
      </c>
      <c r="BY33" s="4">
        <v>5264</v>
      </c>
      <c r="BZ33" s="4">
        <v>15546</v>
      </c>
      <c r="CA33" s="4">
        <v>2030</v>
      </c>
      <c r="CB33" s="4">
        <v>604</v>
      </c>
      <c r="CC33" s="4">
        <v>4351</v>
      </c>
      <c r="CD33" s="4">
        <v>2686</v>
      </c>
      <c r="CE33" s="4">
        <v>2128</v>
      </c>
      <c r="CF33" s="4">
        <v>4775</v>
      </c>
      <c r="CG33" s="4">
        <v>69633</v>
      </c>
      <c r="CH33" s="4">
        <v>10859</v>
      </c>
      <c r="CI33" s="4">
        <v>22467</v>
      </c>
      <c r="CJ33" s="4">
        <v>5214</v>
      </c>
      <c r="CK33" s="4">
        <v>11940</v>
      </c>
      <c r="CL33" s="4">
        <v>7972</v>
      </c>
      <c r="CM33" s="4">
        <v>11661</v>
      </c>
      <c r="CN33" s="4">
        <v>32191</v>
      </c>
      <c r="CO33" s="4">
        <v>4123</v>
      </c>
      <c r="CP33" s="4">
        <v>3986</v>
      </c>
      <c r="CQ33" s="4">
        <v>3122</v>
      </c>
      <c r="CR33" s="4">
        <v>4366</v>
      </c>
      <c r="CS33" s="4">
        <v>19720</v>
      </c>
      <c r="CT33" s="4">
        <v>12786</v>
      </c>
      <c r="CU33" s="4">
        <v>1279</v>
      </c>
      <c r="CV33" s="4">
        <v>157067</v>
      </c>
      <c r="CW33" s="4">
        <v>3561</v>
      </c>
      <c r="CX33" s="4">
        <v>1033</v>
      </c>
      <c r="CY33" s="4">
        <v>15365</v>
      </c>
      <c r="CZ33" s="4">
        <v>2534</v>
      </c>
      <c r="DA33" s="4">
        <v>4669</v>
      </c>
      <c r="DB33" s="4">
        <v>7708</v>
      </c>
      <c r="DC33" s="4">
        <v>2391</v>
      </c>
      <c r="DD33" s="4">
        <v>2243</v>
      </c>
      <c r="DE33" s="4">
        <v>1599</v>
      </c>
      <c r="DF33" s="4">
        <v>29577</v>
      </c>
      <c r="DG33" s="4">
        <v>8631</v>
      </c>
      <c r="DH33" s="4">
        <v>11395</v>
      </c>
      <c r="DI33" s="4">
        <v>3173</v>
      </c>
      <c r="DJ33" s="4">
        <v>17386</v>
      </c>
      <c r="DK33" s="4">
        <v>9360</v>
      </c>
      <c r="DL33" s="4">
        <v>6746</v>
      </c>
      <c r="DM33" s="4">
        <v>7561</v>
      </c>
      <c r="DN33" s="4">
        <v>10311</v>
      </c>
      <c r="DO33" s="4">
        <v>1709</v>
      </c>
      <c r="DP33" s="4">
        <v>7616</v>
      </c>
      <c r="DQ33" s="4">
        <v>39587</v>
      </c>
      <c r="DR33" s="4">
        <v>1835</v>
      </c>
      <c r="DS33" s="4">
        <v>2562</v>
      </c>
      <c r="DT33" s="4">
        <v>489</v>
      </c>
      <c r="DU33" s="4">
        <v>7209</v>
      </c>
      <c r="DV33" s="4">
        <v>2757</v>
      </c>
      <c r="DW33" s="4">
        <v>3437</v>
      </c>
      <c r="DX33" s="4">
        <v>5538</v>
      </c>
      <c r="DY33" s="4">
        <v>989</v>
      </c>
      <c r="DZ33" s="4">
        <v>1872</v>
      </c>
      <c r="EA33" s="4">
        <v>6243</v>
      </c>
      <c r="EB33" s="4">
        <v>3399</v>
      </c>
      <c r="EC33" s="4">
        <v>722</v>
      </c>
      <c r="ED33" s="4">
        <v>485</v>
      </c>
      <c r="EE33" s="4">
        <v>19938</v>
      </c>
      <c r="EF33" s="4">
        <v>2219</v>
      </c>
      <c r="EG33" s="4">
        <v>7188</v>
      </c>
      <c r="EH33" s="4">
        <v>16451</v>
      </c>
      <c r="EJ33" s="4">
        <f t="shared" si="0"/>
        <v>1017807</v>
      </c>
    </row>
    <row r="34" spans="1:140" x14ac:dyDescent="0.25">
      <c r="A34" s="4" t="s">
        <v>170</v>
      </c>
      <c r="B34" s="4">
        <v>1708</v>
      </c>
      <c r="C34" s="4">
        <v>3279</v>
      </c>
      <c r="D34" s="4">
        <v>109</v>
      </c>
      <c r="E34" s="4">
        <v>1036</v>
      </c>
      <c r="F34" s="4">
        <v>4</v>
      </c>
      <c r="G34" s="4">
        <v>20</v>
      </c>
      <c r="H34" s="4">
        <v>9982</v>
      </c>
      <c r="I34" s="4">
        <v>30</v>
      </c>
      <c r="J34" s="4">
        <v>427</v>
      </c>
      <c r="K34" s="4">
        <v>19</v>
      </c>
      <c r="L34" s="4">
        <v>1180</v>
      </c>
      <c r="M34" s="4">
        <v>162</v>
      </c>
      <c r="N34" s="4">
        <v>8227</v>
      </c>
      <c r="O34" s="4">
        <v>1177</v>
      </c>
      <c r="P34" s="4">
        <v>542</v>
      </c>
      <c r="Q34" s="4">
        <v>5670</v>
      </c>
      <c r="R34" s="4">
        <v>20</v>
      </c>
      <c r="S34" s="4">
        <v>1100</v>
      </c>
      <c r="T34" s="4">
        <v>2440</v>
      </c>
      <c r="U34" s="4">
        <v>1609</v>
      </c>
      <c r="V34" s="4">
        <v>2862</v>
      </c>
      <c r="W34" s="4">
        <v>1397</v>
      </c>
      <c r="X34" s="4">
        <v>282</v>
      </c>
      <c r="Y34" s="4">
        <v>410</v>
      </c>
      <c r="Z34" s="4">
        <v>500</v>
      </c>
      <c r="AA34" s="4">
        <v>295</v>
      </c>
      <c r="AB34" s="4">
        <v>3112</v>
      </c>
      <c r="AC34" s="4">
        <v>604</v>
      </c>
      <c r="AD34" s="4">
        <v>192</v>
      </c>
      <c r="AE34" s="4">
        <v>803</v>
      </c>
      <c r="AF34" s="4">
        <v>840</v>
      </c>
      <c r="AG34">
        <v>14143</v>
      </c>
      <c r="AH34" s="4">
        <v>217</v>
      </c>
      <c r="AI34" s="4">
        <v>876</v>
      </c>
      <c r="AJ34" s="4">
        <v>193</v>
      </c>
      <c r="AK34" s="4">
        <v>1003</v>
      </c>
      <c r="AL34" s="4">
        <v>1611</v>
      </c>
      <c r="AM34" s="4">
        <v>388</v>
      </c>
      <c r="AN34" s="4">
        <v>176</v>
      </c>
      <c r="AO34" s="4">
        <v>6798</v>
      </c>
      <c r="AP34" s="4">
        <v>352</v>
      </c>
      <c r="AQ34" s="4">
        <v>60</v>
      </c>
      <c r="AR34" s="4">
        <v>1288</v>
      </c>
      <c r="AS34" s="4">
        <v>3276</v>
      </c>
      <c r="AT34" s="4">
        <v>565</v>
      </c>
      <c r="AU34" s="4">
        <v>3098</v>
      </c>
      <c r="AV34" s="4">
        <v>2101</v>
      </c>
      <c r="AW34" s="4">
        <v>2232</v>
      </c>
      <c r="AX34" s="4">
        <v>13499</v>
      </c>
      <c r="AY34" s="4">
        <v>85</v>
      </c>
      <c r="AZ34" s="4">
        <v>758</v>
      </c>
      <c r="BA34" s="4">
        <v>4377</v>
      </c>
      <c r="BB34" s="4">
        <v>100</v>
      </c>
      <c r="BC34" s="4">
        <v>336</v>
      </c>
      <c r="BD34" s="4">
        <v>5046</v>
      </c>
      <c r="BE34" s="4">
        <v>3153</v>
      </c>
      <c r="BF34" s="4">
        <v>1806</v>
      </c>
      <c r="BG34" s="4">
        <v>2600</v>
      </c>
      <c r="BH34" s="4">
        <v>1252</v>
      </c>
      <c r="BI34" s="4">
        <v>18721</v>
      </c>
      <c r="BJ34" s="4">
        <v>3517</v>
      </c>
      <c r="BK34" s="4">
        <v>4556</v>
      </c>
      <c r="BL34" s="4">
        <v>3261</v>
      </c>
      <c r="BM34" s="4">
        <v>3803</v>
      </c>
      <c r="BN34" s="4">
        <v>1606</v>
      </c>
      <c r="BO34" s="4">
        <v>1173</v>
      </c>
      <c r="BP34" s="4">
        <v>29979</v>
      </c>
      <c r="BQ34" s="4">
        <v>2725</v>
      </c>
      <c r="BR34" s="4">
        <v>52953</v>
      </c>
      <c r="BS34" s="4">
        <v>7955</v>
      </c>
      <c r="BT34" s="4">
        <v>8575</v>
      </c>
      <c r="BU34" s="4">
        <v>25682</v>
      </c>
      <c r="BV34" s="4">
        <v>2738</v>
      </c>
      <c r="BW34" s="4">
        <v>9363</v>
      </c>
      <c r="BX34" s="4">
        <v>2321</v>
      </c>
      <c r="BY34" s="4">
        <v>4938</v>
      </c>
      <c r="BZ34" s="4">
        <v>14302</v>
      </c>
      <c r="CA34" s="4">
        <v>1889</v>
      </c>
      <c r="CB34" s="4">
        <v>600</v>
      </c>
      <c r="CC34" s="4">
        <v>4535</v>
      </c>
      <c r="CD34" s="4">
        <v>2276</v>
      </c>
      <c r="CE34" s="4">
        <v>2040</v>
      </c>
      <c r="CF34" s="4">
        <v>4608</v>
      </c>
      <c r="CG34" s="4">
        <v>57666</v>
      </c>
      <c r="CH34" s="4">
        <v>8102</v>
      </c>
      <c r="CI34" s="4">
        <v>20675</v>
      </c>
      <c r="CJ34" s="4">
        <v>4949</v>
      </c>
      <c r="CK34" s="4">
        <v>10245</v>
      </c>
      <c r="CL34" s="4">
        <v>6398</v>
      </c>
      <c r="CM34" s="4">
        <v>9579</v>
      </c>
      <c r="CN34" s="4">
        <v>28201</v>
      </c>
      <c r="CO34" s="4">
        <v>3239</v>
      </c>
      <c r="CP34" s="4">
        <v>3846</v>
      </c>
      <c r="CQ34" s="4">
        <v>3225</v>
      </c>
      <c r="CR34" s="4">
        <v>3878</v>
      </c>
      <c r="CS34" s="4">
        <v>15906</v>
      </c>
      <c r="CT34" s="4">
        <v>10137</v>
      </c>
      <c r="CU34" s="4">
        <v>889</v>
      </c>
      <c r="CV34" s="4">
        <v>144441</v>
      </c>
      <c r="CW34" s="4">
        <v>3260</v>
      </c>
      <c r="CX34" s="4">
        <v>1021</v>
      </c>
      <c r="CY34" s="4">
        <v>14344</v>
      </c>
      <c r="CZ34" s="4">
        <v>2589</v>
      </c>
      <c r="DA34" s="4">
        <v>4398</v>
      </c>
      <c r="DB34" s="4">
        <v>6807</v>
      </c>
      <c r="DC34" s="4">
        <v>2100</v>
      </c>
      <c r="DD34" s="4">
        <v>1827</v>
      </c>
      <c r="DE34" s="4">
        <v>1446</v>
      </c>
      <c r="DF34" s="4">
        <v>26898</v>
      </c>
      <c r="DG34" s="4">
        <v>8193</v>
      </c>
      <c r="DH34" s="4">
        <v>9558</v>
      </c>
      <c r="DI34" s="4">
        <v>2565</v>
      </c>
      <c r="DJ34" s="4">
        <v>14819</v>
      </c>
      <c r="DK34" s="4">
        <v>8847</v>
      </c>
      <c r="DL34" s="4">
        <v>5573</v>
      </c>
      <c r="DM34" s="4">
        <v>6294</v>
      </c>
      <c r="DN34" s="4">
        <v>8955</v>
      </c>
      <c r="DO34" s="4">
        <v>1688</v>
      </c>
      <c r="DP34" s="4">
        <v>8348</v>
      </c>
      <c r="DQ34" s="4">
        <v>32644</v>
      </c>
      <c r="DR34" s="4">
        <v>1642</v>
      </c>
      <c r="DS34" s="4">
        <v>2489</v>
      </c>
      <c r="DT34" s="4">
        <v>457</v>
      </c>
      <c r="DU34" s="4">
        <v>5744</v>
      </c>
      <c r="DV34" s="4">
        <v>2413</v>
      </c>
      <c r="DW34" s="4">
        <v>2822</v>
      </c>
      <c r="DX34" s="4">
        <v>5037</v>
      </c>
      <c r="DY34" s="4">
        <v>955</v>
      </c>
      <c r="DZ34" s="4">
        <v>2010</v>
      </c>
      <c r="EA34" s="4">
        <v>5920</v>
      </c>
      <c r="EB34" s="4">
        <v>3416</v>
      </c>
      <c r="EC34" s="4">
        <v>561</v>
      </c>
      <c r="ED34" s="4">
        <v>472</v>
      </c>
      <c r="EE34" s="4">
        <v>18223</v>
      </c>
      <c r="EF34" s="4">
        <v>2242</v>
      </c>
      <c r="EG34" s="4">
        <v>6907</v>
      </c>
      <c r="EH34" s="4">
        <v>15523</v>
      </c>
      <c r="EJ34" s="4">
        <f t="shared" si="0"/>
        <v>915926</v>
      </c>
    </row>
    <row r="35" spans="1:140" x14ac:dyDescent="0.25">
      <c r="A35" s="4" t="s">
        <v>171</v>
      </c>
      <c r="B35" s="4">
        <v>1767</v>
      </c>
      <c r="C35" s="4">
        <v>3583</v>
      </c>
      <c r="D35" s="4">
        <v>71</v>
      </c>
      <c r="E35" s="4">
        <v>1395</v>
      </c>
      <c r="F35" s="4">
        <v>5</v>
      </c>
      <c r="G35" s="4">
        <v>10</v>
      </c>
      <c r="H35" s="4">
        <v>10643</v>
      </c>
      <c r="I35" s="4">
        <v>27</v>
      </c>
      <c r="J35" s="4">
        <v>667</v>
      </c>
      <c r="K35" s="4">
        <v>32</v>
      </c>
      <c r="L35" s="4">
        <v>856</v>
      </c>
      <c r="M35" s="4">
        <v>305</v>
      </c>
      <c r="N35" s="4">
        <v>8110</v>
      </c>
      <c r="O35" s="4">
        <v>1694</v>
      </c>
      <c r="P35" s="4">
        <v>526</v>
      </c>
      <c r="Q35" s="4">
        <v>6059</v>
      </c>
      <c r="R35" s="4">
        <v>21</v>
      </c>
      <c r="S35" s="4">
        <v>1231</v>
      </c>
      <c r="T35" s="4">
        <v>1784</v>
      </c>
      <c r="U35" s="4">
        <v>1175</v>
      </c>
      <c r="V35" s="4">
        <v>3008</v>
      </c>
      <c r="W35" s="4">
        <v>1761</v>
      </c>
      <c r="X35" s="4">
        <v>242</v>
      </c>
      <c r="Y35" s="4">
        <v>1553</v>
      </c>
      <c r="Z35" s="4">
        <v>542</v>
      </c>
      <c r="AA35" s="4">
        <v>385</v>
      </c>
      <c r="AB35" s="4">
        <v>3237</v>
      </c>
      <c r="AC35" s="4">
        <v>831</v>
      </c>
      <c r="AD35" s="4">
        <v>171</v>
      </c>
      <c r="AE35" s="4">
        <v>736</v>
      </c>
      <c r="AF35" s="4">
        <v>824</v>
      </c>
      <c r="AG35">
        <v>14879</v>
      </c>
      <c r="AH35" s="4">
        <v>294</v>
      </c>
      <c r="AI35" s="4">
        <v>2007</v>
      </c>
      <c r="AJ35" s="4">
        <v>243</v>
      </c>
      <c r="AK35" s="4">
        <v>1096</v>
      </c>
      <c r="AL35" s="4">
        <v>1643</v>
      </c>
      <c r="AM35" s="4">
        <v>434</v>
      </c>
      <c r="AN35" s="4">
        <v>197</v>
      </c>
      <c r="AO35" s="4">
        <v>8290</v>
      </c>
      <c r="AP35" s="4">
        <v>310</v>
      </c>
      <c r="AQ35" s="4">
        <v>70</v>
      </c>
      <c r="AR35" s="4">
        <v>1178</v>
      </c>
      <c r="AS35" s="4">
        <v>3137</v>
      </c>
      <c r="AT35" s="4">
        <v>735</v>
      </c>
      <c r="AU35" s="4">
        <v>3428</v>
      </c>
      <c r="AV35" s="4">
        <v>2181</v>
      </c>
      <c r="AW35" s="4">
        <v>2599</v>
      </c>
      <c r="AX35" s="4">
        <v>13283</v>
      </c>
      <c r="AY35" s="4">
        <v>82</v>
      </c>
      <c r="AZ35" s="4">
        <v>634</v>
      </c>
      <c r="BA35" s="4">
        <v>5511</v>
      </c>
      <c r="BB35" s="4">
        <v>126</v>
      </c>
      <c r="BC35" s="4">
        <v>329</v>
      </c>
      <c r="BD35" s="4">
        <v>4976</v>
      </c>
      <c r="BE35" s="4">
        <v>2746</v>
      </c>
      <c r="BF35" s="4">
        <v>3703</v>
      </c>
      <c r="BG35" s="4">
        <v>2517</v>
      </c>
      <c r="BH35" s="4">
        <v>1973</v>
      </c>
      <c r="BI35" s="4">
        <v>20071</v>
      </c>
      <c r="BJ35" s="4">
        <v>3531</v>
      </c>
      <c r="BK35" s="4">
        <v>4542</v>
      </c>
      <c r="BL35" s="4">
        <v>2542</v>
      </c>
      <c r="BM35" s="4">
        <v>3573</v>
      </c>
      <c r="BN35" s="4">
        <v>1999</v>
      </c>
      <c r="BO35" s="4">
        <v>1589</v>
      </c>
      <c r="BP35" s="4">
        <v>24001</v>
      </c>
      <c r="BQ35" s="4">
        <v>2131</v>
      </c>
      <c r="BR35" s="4">
        <v>47579</v>
      </c>
      <c r="BS35" s="4">
        <v>9014</v>
      </c>
      <c r="BT35" s="4">
        <v>7753</v>
      </c>
      <c r="BU35" s="4">
        <v>31038</v>
      </c>
      <c r="BV35" s="4">
        <v>3487</v>
      </c>
      <c r="BW35" s="4">
        <v>9975</v>
      </c>
      <c r="BX35" s="4">
        <v>2021</v>
      </c>
      <c r="BY35" s="4">
        <v>4716</v>
      </c>
      <c r="BZ35" s="4">
        <v>14005</v>
      </c>
      <c r="CA35" s="4">
        <v>2239</v>
      </c>
      <c r="CB35" s="4">
        <v>603</v>
      </c>
      <c r="CC35" s="4">
        <v>6562</v>
      </c>
      <c r="CD35" s="4">
        <v>2258</v>
      </c>
      <c r="CE35" s="4">
        <v>2197</v>
      </c>
      <c r="CF35" s="4">
        <v>4603</v>
      </c>
      <c r="CG35" s="4">
        <v>58856</v>
      </c>
      <c r="CH35" s="4">
        <v>8977</v>
      </c>
      <c r="CI35" s="4">
        <v>23806</v>
      </c>
      <c r="CJ35" s="4">
        <v>4601</v>
      </c>
      <c r="CK35" s="4">
        <v>13846</v>
      </c>
      <c r="CL35" s="4">
        <v>8828</v>
      </c>
      <c r="CM35" s="4">
        <v>11306</v>
      </c>
      <c r="CN35" s="4">
        <v>29932</v>
      </c>
      <c r="CO35" s="4">
        <v>3963</v>
      </c>
      <c r="CP35" s="4">
        <v>2626</v>
      </c>
      <c r="CQ35" s="4">
        <v>2827</v>
      </c>
      <c r="CR35" s="4">
        <v>4362</v>
      </c>
      <c r="CS35" s="4">
        <v>17066</v>
      </c>
      <c r="CT35" s="4">
        <v>11078</v>
      </c>
      <c r="CU35" s="4">
        <v>1079</v>
      </c>
      <c r="CV35" s="4">
        <v>143199</v>
      </c>
      <c r="CW35" s="4">
        <v>3503</v>
      </c>
      <c r="CX35" s="4">
        <v>1328</v>
      </c>
      <c r="CY35" s="4">
        <v>15299</v>
      </c>
      <c r="CZ35" s="4">
        <v>2552</v>
      </c>
      <c r="DA35" s="4">
        <v>4039</v>
      </c>
      <c r="DB35" s="4">
        <v>6950</v>
      </c>
      <c r="DC35" s="4">
        <v>2288</v>
      </c>
      <c r="DD35" s="4">
        <v>1813</v>
      </c>
      <c r="DE35" s="4">
        <v>1137</v>
      </c>
      <c r="DF35" s="4">
        <v>27986</v>
      </c>
      <c r="DG35" s="4">
        <v>7920</v>
      </c>
      <c r="DH35" s="4">
        <v>9447</v>
      </c>
      <c r="DI35" s="4">
        <v>2780</v>
      </c>
      <c r="DJ35" s="4">
        <v>16421</v>
      </c>
      <c r="DK35" s="4">
        <v>9591</v>
      </c>
      <c r="DL35" s="4">
        <v>5926</v>
      </c>
      <c r="DM35" s="4">
        <v>7232</v>
      </c>
      <c r="DN35" s="4">
        <v>9768</v>
      </c>
      <c r="DO35" s="4">
        <v>1585</v>
      </c>
      <c r="DP35" s="4">
        <v>5621</v>
      </c>
      <c r="DQ35" s="4">
        <v>34466</v>
      </c>
      <c r="DR35" s="4">
        <v>1821</v>
      </c>
      <c r="DS35" s="4">
        <v>2796</v>
      </c>
      <c r="DT35" s="4">
        <v>622</v>
      </c>
      <c r="DU35" s="4">
        <v>6350</v>
      </c>
      <c r="DV35" s="4">
        <v>2505</v>
      </c>
      <c r="DW35" s="4">
        <v>4760</v>
      </c>
      <c r="DX35" s="4">
        <v>5387</v>
      </c>
      <c r="DY35" s="4">
        <v>978</v>
      </c>
      <c r="DZ35" s="4">
        <v>2944</v>
      </c>
      <c r="EA35" s="4">
        <v>6090</v>
      </c>
      <c r="EB35" s="4">
        <v>5261</v>
      </c>
      <c r="EC35" s="4">
        <v>568</v>
      </c>
      <c r="ED35" s="4">
        <v>637</v>
      </c>
      <c r="EE35" s="4">
        <v>19109</v>
      </c>
      <c r="EF35" s="4">
        <v>2370</v>
      </c>
      <c r="EG35" s="4">
        <v>6667</v>
      </c>
      <c r="EH35" s="4">
        <v>13847</v>
      </c>
      <c r="EJ35" s="4">
        <f t="shared" si="0"/>
        <v>950597</v>
      </c>
    </row>
    <row r="36" spans="1:140" x14ac:dyDescent="0.25">
      <c r="A36" s="4" t="s">
        <v>172</v>
      </c>
      <c r="B36" s="4">
        <v>1876</v>
      </c>
      <c r="C36" s="4">
        <v>3875</v>
      </c>
      <c r="D36" s="4">
        <v>59</v>
      </c>
      <c r="E36" s="4">
        <v>1665</v>
      </c>
      <c r="F36" s="4">
        <v>324</v>
      </c>
      <c r="G36" s="4">
        <v>16</v>
      </c>
      <c r="H36" s="4">
        <v>9463</v>
      </c>
      <c r="I36" s="4">
        <v>24</v>
      </c>
      <c r="J36" s="4">
        <v>664</v>
      </c>
      <c r="K36" s="4">
        <v>15</v>
      </c>
      <c r="L36" s="4">
        <v>801</v>
      </c>
      <c r="M36" s="4">
        <v>320</v>
      </c>
      <c r="N36" s="4">
        <v>8545</v>
      </c>
      <c r="O36" s="4">
        <v>911</v>
      </c>
      <c r="P36" s="4">
        <v>509</v>
      </c>
      <c r="Q36" s="4">
        <v>6556</v>
      </c>
      <c r="R36" s="4">
        <v>125</v>
      </c>
      <c r="S36" s="4">
        <v>1007</v>
      </c>
      <c r="T36" s="4">
        <v>2138</v>
      </c>
      <c r="U36" s="4">
        <v>1776</v>
      </c>
      <c r="V36" s="4">
        <v>2964</v>
      </c>
      <c r="W36" s="4">
        <v>1788</v>
      </c>
      <c r="X36" s="4">
        <v>245</v>
      </c>
      <c r="Y36" s="4">
        <v>1583</v>
      </c>
      <c r="Z36" s="4">
        <v>617</v>
      </c>
      <c r="AA36" s="4">
        <v>362</v>
      </c>
      <c r="AB36" s="4">
        <v>3384</v>
      </c>
      <c r="AC36" s="4">
        <v>1321</v>
      </c>
      <c r="AD36" s="4">
        <v>197</v>
      </c>
      <c r="AE36" s="4">
        <v>852</v>
      </c>
      <c r="AF36" s="4">
        <v>826</v>
      </c>
      <c r="AG36">
        <v>14360</v>
      </c>
      <c r="AH36" s="4">
        <v>325</v>
      </c>
      <c r="AI36" s="4">
        <v>1557</v>
      </c>
      <c r="AJ36" s="4">
        <v>173</v>
      </c>
      <c r="AK36" s="4">
        <v>1105</v>
      </c>
      <c r="AL36" s="4">
        <v>1849</v>
      </c>
      <c r="AM36" s="4">
        <v>419</v>
      </c>
      <c r="AN36" s="4">
        <v>158</v>
      </c>
      <c r="AO36" s="4">
        <v>7730</v>
      </c>
      <c r="AP36" s="4">
        <v>311</v>
      </c>
      <c r="AQ36" s="4">
        <v>82</v>
      </c>
      <c r="AR36" s="4">
        <v>1545</v>
      </c>
      <c r="AS36" s="4">
        <v>3388</v>
      </c>
      <c r="AT36" s="4">
        <v>612</v>
      </c>
      <c r="AU36" s="4">
        <v>5467</v>
      </c>
      <c r="AV36" s="4">
        <v>2287</v>
      </c>
      <c r="AW36" s="4">
        <v>2317</v>
      </c>
      <c r="AX36" s="4">
        <v>14004</v>
      </c>
      <c r="AY36" s="4">
        <v>80</v>
      </c>
      <c r="AZ36" s="4">
        <v>534</v>
      </c>
      <c r="BA36" s="4">
        <v>5536</v>
      </c>
      <c r="BB36" s="4">
        <v>78</v>
      </c>
      <c r="BC36" s="4">
        <v>387</v>
      </c>
      <c r="BD36" s="4">
        <v>4772</v>
      </c>
      <c r="BE36" s="4">
        <v>3007</v>
      </c>
      <c r="BF36" s="4">
        <v>4924</v>
      </c>
      <c r="BG36" s="4">
        <v>2717</v>
      </c>
      <c r="BH36" s="4">
        <v>1536</v>
      </c>
      <c r="BI36" s="4">
        <v>17876</v>
      </c>
      <c r="BJ36" s="4">
        <v>3165</v>
      </c>
      <c r="BK36" s="4">
        <v>4930</v>
      </c>
      <c r="BL36" s="4">
        <v>2937</v>
      </c>
      <c r="BM36" s="4">
        <v>3534</v>
      </c>
      <c r="BN36" s="4">
        <v>984</v>
      </c>
      <c r="BO36" s="4">
        <v>870</v>
      </c>
      <c r="BP36" s="4">
        <v>23879</v>
      </c>
      <c r="BQ36" s="4">
        <v>2469</v>
      </c>
      <c r="BR36" s="4">
        <v>52248</v>
      </c>
      <c r="BS36" s="4">
        <v>7440</v>
      </c>
      <c r="BT36" s="4">
        <v>5978</v>
      </c>
      <c r="BU36" s="4">
        <v>24925</v>
      </c>
      <c r="BV36" s="4">
        <v>2252</v>
      </c>
      <c r="BW36" s="4">
        <v>8868</v>
      </c>
      <c r="BX36" s="4">
        <v>1918</v>
      </c>
      <c r="BY36" s="4">
        <v>4900</v>
      </c>
      <c r="BZ36" s="4">
        <v>14352</v>
      </c>
      <c r="CA36" s="4">
        <v>1965</v>
      </c>
      <c r="CB36" s="4">
        <v>590</v>
      </c>
      <c r="CC36" s="4">
        <v>3915</v>
      </c>
      <c r="CD36" s="4">
        <v>2476</v>
      </c>
      <c r="CE36" s="4">
        <v>1971</v>
      </c>
      <c r="CF36" s="4">
        <v>3963</v>
      </c>
      <c r="CG36" s="4">
        <v>58203</v>
      </c>
      <c r="CH36" s="4">
        <v>17285</v>
      </c>
      <c r="CI36" s="4">
        <v>38803</v>
      </c>
      <c r="CJ36" s="4">
        <v>10374</v>
      </c>
      <c r="CK36" s="4">
        <v>18960</v>
      </c>
      <c r="CL36" s="4">
        <v>9461</v>
      </c>
      <c r="CM36" s="4">
        <v>19825</v>
      </c>
      <c r="CN36" s="4">
        <v>34233</v>
      </c>
      <c r="CO36" s="4">
        <v>7768</v>
      </c>
      <c r="CP36" s="4">
        <v>2193</v>
      </c>
      <c r="CQ36" s="4">
        <v>5880</v>
      </c>
      <c r="CR36" s="4">
        <v>4783</v>
      </c>
      <c r="CS36" s="4">
        <v>17135</v>
      </c>
      <c r="CT36" s="4">
        <v>10984</v>
      </c>
      <c r="CU36" s="4">
        <v>998</v>
      </c>
      <c r="CV36" s="4">
        <v>145938</v>
      </c>
      <c r="CW36" s="4">
        <v>7410</v>
      </c>
      <c r="CX36" s="4">
        <v>1124</v>
      </c>
      <c r="CY36" s="4">
        <v>19186</v>
      </c>
      <c r="CZ36" s="4">
        <v>1891</v>
      </c>
      <c r="DA36" s="4">
        <v>4178</v>
      </c>
      <c r="DB36" s="4">
        <v>7218</v>
      </c>
      <c r="DC36" s="4">
        <v>2204</v>
      </c>
      <c r="DD36" s="4">
        <v>1925</v>
      </c>
      <c r="DE36" s="4">
        <v>1124</v>
      </c>
      <c r="DF36" s="4">
        <v>28086</v>
      </c>
      <c r="DG36" s="4">
        <v>8824</v>
      </c>
      <c r="DH36" s="4">
        <v>9121</v>
      </c>
      <c r="DI36" s="4">
        <v>2937</v>
      </c>
      <c r="DJ36" s="4">
        <v>15147</v>
      </c>
      <c r="DK36" s="4">
        <v>9527</v>
      </c>
      <c r="DL36" s="4">
        <v>6195</v>
      </c>
      <c r="DM36" s="4">
        <v>6981</v>
      </c>
      <c r="DN36" s="4">
        <v>9903</v>
      </c>
      <c r="DO36" s="4">
        <v>1685</v>
      </c>
      <c r="DP36" s="4">
        <v>4742</v>
      </c>
      <c r="DQ36" s="4">
        <v>35202</v>
      </c>
      <c r="DR36" s="4">
        <v>1869</v>
      </c>
      <c r="DS36" s="4">
        <v>3134</v>
      </c>
      <c r="DT36" s="4">
        <v>622</v>
      </c>
      <c r="DU36" s="4">
        <v>7442</v>
      </c>
      <c r="DV36" s="4">
        <v>2551</v>
      </c>
      <c r="DW36" s="4">
        <v>3320</v>
      </c>
      <c r="DX36" s="4">
        <v>7399</v>
      </c>
      <c r="DY36" s="4">
        <v>1415</v>
      </c>
      <c r="DZ36" s="4">
        <v>4706</v>
      </c>
      <c r="EA36" s="4">
        <v>5731</v>
      </c>
      <c r="EB36" s="4">
        <v>3336</v>
      </c>
      <c r="EC36" s="4">
        <v>530</v>
      </c>
      <c r="ED36" s="4">
        <v>460</v>
      </c>
      <c r="EE36" s="4">
        <v>24330</v>
      </c>
      <c r="EF36" s="4">
        <v>3106</v>
      </c>
      <c r="EG36" s="4">
        <v>6777</v>
      </c>
      <c r="EH36" s="4">
        <v>16774</v>
      </c>
      <c r="EJ36" s="4">
        <f t="shared" si="0"/>
        <v>1015408</v>
      </c>
    </row>
    <row r="37" spans="1:140" x14ac:dyDescent="0.25">
      <c r="A37" s="4" t="s">
        <v>173</v>
      </c>
      <c r="B37" s="4">
        <v>2423</v>
      </c>
      <c r="C37" s="4">
        <v>4172</v>
      </c>
      <c r="D37" s="4">
        <v>71</v>
      </c>
      <c r="E37" s="4">
        <v>1940</v>
      </c>
      <c r="F37" s="4">
        <v>14</v>
      </c>
      <c r="G37" s="4">
        <v>20</v>
      </c>
      <c r="H37" s="4">
        <v>15368</v>
      </c>
      <c r="I37" s="4">
        <v>30</v>
      </c>
      <c r="J37" s="4">
        <v>589</v>
      </c>
      <c r="K37" s="4">
        <v>26</v>
      </c>
      <c r="L37" s="4">
        <v>1031</v>
      </c>
      <c r="M37" s="4">
        <v>383</v>
      </c>
      <c r="N37" s="4">
        <v>9660</v>
      </c>
      <c r="O37" s="4">
        <v>1199</v>
      </c>
      <c r="P37" s="4">
        <v>712</v>
      </c>
      <c r="Q37" s="4">
        <v>6997</v>
      </c>
      <c r="R37" s="4">
        <v>103</v>
      </c>
      <c r="S37" s="4">
        <v>1294</v>
      </c>
      <c r="T37" s="4">
        <v>2048</v>
      </c>
      <c r="U37" s="4">
        <v>1820</v>
      </c>
      <c r="V37" s="4">
        <v>3398</v>
      </c>
      <c r="W37" s="4">
        <v>2232</v>
      </c>
      <c r="X37" s="4">
        <v>253</v>
      </c>
      <c r="Y37" s="4">
        <v>1115</v>
      </c>
      <c r="Z37" s="4">
        <v>2103</v>
      </c>
      <c r="AA37" s="4">
        <v>333</v>
      </c>
      <c r="AB37" s="4">
        <v>4454</v>
      </c>
      <c r="AC37" s="4">
        <v>1074</v>
      </c>
      <c r="AD37" s="4">
        <v>281</v>
      </c>
      <c r="AE37" s="4">
        <v>2293</v>
      </c>
      <c r="AF37" s="4">
        <v>909</v>
      </c>
      <c r="AG37">
        <v>15012</v>
      </c>
      <c r="AH37" s="4">
        <v>198</v>
      </c>
      <c r="AI37" s="4">
        <v>1366</v>
      </c>
      <c r="AJ37" s="4">
        <v>271</v>
      </c>
      <c r="AK37" s="4">
        <v>1743</v>
      </c>
      <c r="AL37" s="4">
        <v>2302</v>
      </c>
      <c r="AM37" s="4">
        <v>580</v>
      </c>
      <c r="AN37" s="4">
        <v>201</v>
      </c>
      <c r="AO37" s="4">
        <v>9226</v>
      </c>
      <c r="AP37" s="4">
        <v>291</v>
      </c>
      <c r="AQ37" s="4">
        <v>105</v>
      </c>
      <c r="AR37" s="4">
        <v>1658</v>
      </c>
      <c r="AS37" s="4">
        <v>4179</v>
      </c>
      <c r="AT37" s="4">
        <v>739</v>
      </c>
      <c r="AU37" s="4">
        <v>4948</v>
      </c>
      <c r="AV37" s="4">
        <v>2517</v>
      </c>
      <c r="AW37" s="4">
        <v>2514</v>
      </c>
      <c r="AX37" s="4">
        <v>16526</v>
      </c>
      <c r="AY37" s="4">
        <v>107</v>
      </c>
      <c r="AZ37" s="4">
        <v>643</v>
      </c>
      <c r="BA37" s="4">
        <v>6173</v>
      </c>
      <c r="BB37" s="4">
        <v>96</v>
      </c>
      <c r="BC37" s="4">
        <v>424</v>
      </c>
      <c r="BD37" s="4">
        <v>5861</v>
      </c>
      <c r="BE37" s="4">
        <v>2576</v>
      </c>
      <c r="BF37" s="4">
        <v>3904</v>
      </c>
      <c r="BG37" s="4">
        <v>2922</v>
      </c>
      <c r="BH37" s="4">
        <v>1254</v>
      </c>
      <c r="BI37" s="4">
        <v>19847</v>
      </c>
      <c r="BJ37" s="4">
        <v>2829</v>
      </c>
      <c r="BK37" s="4">
        <v>4565</v>
      </c>
      <c r="BL37" s="4">
        <v>2541</v>
      </c>
      <c r="BM37" s="4">
        <v>3729</v>
      </c>
      <c r="BN37" s="4">
        <v>957</v>
      </c>
      <c r="BO37" s="4">
        <v>1531</v>
      </c>
      <c r="BP37" s="4">
        <v>26660</v>
      </c>
      <c r="BQ37" s="4">
        <v>3959</v>
      </c>
      <c r="BR37" s="4">
        <v>56079</v>
      </c>
      <c r="BS37" s="4">
        <v>8861</v>
      </c>
      <c r="BT37" s="4">
        <v>8913</v>
      </c>
      <c r="BU37" s="4">
        <v>18109</v>
      </c>
      <c r="BV37" s="4">
        <v>2490</v>
      </c>
      <c r="BW37" s="4">
        <v>9945</v>
      </c>
      <c r="BX37" s="4">
        <v>2627</v>
      </c>
      <c r="BY37" s="4">
        <v>5647</v>
      </c>
      <c r="BZ37" s="4">
        <v>15662</v>
      </c>
      <c r="CA37" s="4">
        <v>1841</v>
      </c>
      <c r="CB37" s="4">
        <v>746</v>
      </c>
      <c r="CC37" s="4">
        <v>4467</v>
      </c>
      <c r="CD37" s="4">
        <v>2565</v>
      </c>
      <c r="CE37" s="4">
        <v>2548</v>
      </c>
      <c r="CF37" s="4">
        <v>5358</v>
      </c>
      <c r="CG37" s="4">
        <v>65653</v>
      </c>
      <c r="CH37" s="4">
        <v>32621</v>
      </c>
      <c r="CI37" s="4">
        <v>49715</v>
      </c>
      <c r="CJ37" s="4">
        <v>16045</v>
      </c>
      <c r="CK37" s="4">
        <v>15735</v>
      </c>
      <c r="CL37" s="4">
        <v>12763</v>
      </c>
      <c r="CM37" s="4">
        <v>15065</v>
      </c>
      <c r="CN37" s="4">
        <v>35010</v>
      </c>
      <c r="CO37" s="4">
        <v>8476</v>
      </c>
      <c r="CP37" s="4">
        <v>2395</v>
      </c>
      <c r="CQ37" s="4">
        <v>9457</v>
      </c>
      <c r="CR37" s="4">
        <v>7161</v>
      </c>
      <c r="CS37" s="4">
        <v>19626</v>
      </c>
      <c r="CT37" s="4">
        <v>13627</v>
      </c>
      <c r="CU37" s="4">
        <v>1029</v>
      </c>
      <c r="CV37" s="4">
        <v>153040</v>
      </c>
      <c r="CW37" s="4">
        <v>5586</v>
      </c>
      <c r="CX37" s="4">
        <v>1243</v>
      </c>
      <c r="CY37" s="4">
        <v>17363</v>
      </c>
      <c r="CZ37" s="4">
        <v>7569</v>
      </c>
      <c r="DA37" s="4">
        <v>4443</v>
      </c>
      <c r="DB37" s="4">
        <v>8158</v>
      </c>
      <c r="DC37" s="4">
        <v>2298</v>
      </c>
      <c r="DD37" s="4">
        <v>1822</v>
      </c>
      <c r="DE37" s="4">
        <v>1262</v>
      </c>
      <c r="DF37" s="4">
        <v>30073</v>
      </c>
      <c r="DG37" s="4">
        <v>11887</v>
      </c>
      <c r="DH37" s="4">
        <v>8690</v>
      </c>
      <c r="DI37" s="4">
        <v>5265</v>
      </c>
      <c r="DJ37" s="4">
        <v>17000</v>
      </c>
      <c r="DK37" s="4">
        <v>10603</v>
      </c>
      <c r="DL37" s="4">
        <v>6459</v>
      </c>
      <c r="DM37" s="4">
        <v>7511</v>
      </c>
      <c r="DN37" s="4">
        <v>13907</v>
      </c>
      <c r="DO37" s="4">
        <v>2042</v>
      </c>
      <c r="DP37" s="4">
        <v>5501</v>
      </c>
      <c r="DQ37" s="4">
        <v>36061</v>
      </c>
      <c r="DR37" s="4">
        <v>1865</v>
      </c>
      <c r="DS37" s="4">
        <v>6445</v>
      </c>
      <c r="DT37" s="4">
        <v>506</v>
      </c>
      <c r="DU37" s="4">
        <v>6691</v>
      </c>
      <c r="DV37" s="4">
        <v>4101</v>
      </c>
      <c r="DW37" s="4">
        <v>7191</v>
      </c>
      <c r="DX37" s="4">
        <v>5583</v>
      </c>
      <c r="DY37" s="4">
        <v>1594</v>
      </c>
      <c r="DZ37" s="4">
        <v>3392</v>
      </c>
      <c r="EA37" s="4">
        <v>5461</v>
      </c>
      <c r="EB37" s="4">
        <v>2713</v>
      </c>
      <c r="EC37" s="4">
        <v>587</v>
      </c>
      <c r="ED37" s="4">
        <v>743</v>
      </c>
      <c r="EE37" s="4">
        <v>24125</v>
      </c>
      <c r="EF37" s="4">
        <v>3151</v>
      </c>
      <c r="EG37" s="4">
        <v>13200</v>
      </c>
      <c r="EH37" s="4">
        <v>18115</v>
      </c>
      <c r="EJ37" s="4">
        <f t="shared" si="0"/>
        <v>1136781</v>
      </c>
    </row>
    <row r="38" spans="1:140" x14ac:dyDescent="0.25">
      <c r="A38" s="4" t="s">
        <v>174</v>
      </c>
      <c r="B38" s="4">
        <v>1927</v>
      </c>
      <c r="C38" s="4">
        <v>3628</v>
      </c>
      <c r="D38" s="4">
        <v>100</v>
      </c>
      <c r="E38" s="4">
        <v>1456</v>
      </c>
      <c r="F38" s="4">
        <v>3</v>
      </c>
      <c r="G38" s="4">
        <v>31</v>
      </c>
      <c r="H38" s="4">
        <v>11718</v>
      </c>
      <c r="I38" s="4">
        <v>49</v>
      </c>
      <c r="J38" s="4">
        <v>536</v>
      </c>
      <c r="K38" s="4">
        <v>16</v>
      </c>
      <c r="L38" s="4">
        <v>1192</v>
      </c>
      <c r="M38" s="4">
        <v>110</v>
      </c>
      <c r="N38" s="4">
        <v>9782</v>
      </c>
      <c r="O38" s="4">
        <v>1357</v>
      </c>
      <c r="P38" s="4">
        <v>552</v>
      </c>
      <c r="Q38" s="4">
        <v>6625</v>
      </c>
      <c r="R38" s="4">
        <v>41</v>
      </c>
      <c r="S38" s="4">
        <v>1384</v>
      </c>
      <c r="T38" s="4">
        <v>2044</v>
      </c>
      <c r="U38" s="4">
        <v>1309</v>
      </c>
      <c r="V38" s="4">
        <v>4250</v>
      </c>
      <c r="W38" s="4">
        <v>2339</v>
      </c>
      <c r="X38" s="4">
        <v>565</v>
      </c>
      <c r="Y38" s="4">
        <v>528</v>
      </c>
      <c r="Z38" s="4">
        <v>996</v>
      </c>
      <c r="AA38" s="4">
        <v>328</v>
      </c>
      <c r="AB38" s="4">
        <v>3515</v>
      </c>
      <c r="AC38" s="4">
        <v>591</v>
      </c>
      <c r="AD38" s="4">
        <v>243</v>
      </c>
      <c r="AE38" s="4">
        <v>2244</v>
      </c>
      <c r="AF38" s="4">
        <v>1671</v>
      </c>
      <c r="AG38">
        <v>18313</v>
      </c>
      <c r="AH38" s="4">
        <v>280</v>
      </c>
      <c r="AI38" s="4">
        <v>2616</v>
      </c>
      <c r="AJ38" s="4">
        <v>271</v>
      </c>
      <c r="AK38" s="4">
        <v>1230</v>
      </c>
      <c r="AL38" s="4">
        <v>3096</v>
      </c>
      <c r="AM38" s="4">
        <v>628</v>
      </c>
      <c r="AN38" s="4">
        <v>255</v>
      </c>
      <c r="AO38" s="4">
        <v>10488</v>
      </c>
      <c r="AP38" s="4">
        <v>424</v>
      </c>
      <c r="AQ38" s="4">
        <v>71</v>
      </c>
      <c r="AR38" s="4">
        <v>2593</v>
      </c>
      <c r="AS38" s="4">
        <v>9945</v>
      </c>
      <c r="AT38" s="4">
        <v>698</v>
      </c>
      <c r="AU38" s="4">
        <v>1898</v>
      </c>
      <c r="AV38" s="4">
        <v>2664</v>
      </c>
      <c r="AW38" s="4">
        <v>9227</v>
      </c>
      <c r="AX38" s="4">
        <v>19755</v>
      </c>
      <c r="AY38" s="4">
        <v>189</v>
      </c>
      <c r="AZ38" s="4">
        <v>514</v>
      </c>
      <c r="BA38" s="4">
        <v>8717</v>
      </c>
      <c r="BB38" s="4">
        <v>101</v>
      </c>
      <c r="BC38" s="4">
        <v>477</v>
      </c>
      <c r="BD38" s="4">
        <v>4880</v>
      </c>
      <c r="BE38" s="4">
        <v>2633</v>
      </c>
      <c r="BF38" s="4">
        <v>1669</v>
      </c>
      <c r="BG38" s="4">
        <v>3286</v>
      </c>
      <c r="BH38" s="4">
        <v>1649</v>
      </c>
      <c r="BI38" s="4">
        <v>21812</v>
      </c>
      <c r="BJ38" s="4">
        <v>2741</v>
      </c>
      <c r="BK38" s="4">
        <v>4726</v>
      </c>
      <c r="BL38" s="4">
        <v>2203</v>
      </c>
      <c r="BM38" s="4">
        <v>4016</v>
      </c>
      <c r="BN38" s="4">
        <v>940</v>
      </c>
      <c r="BO38" s="4">
        <v>1051</v>
      </c>
      <c r="BP38" s="4">
        <v>18242</v>
      </c>
      <c r="BQ38" s="4">
        <v>2401</v>
      </c>
      <c r="BR38" s="4">
        <v>54576</v>
      </c>
      <c r="BS38" s="4">
        <v>8060</v>
      </c>
      <c r="BT38" s="4">
        <v>6524</v>
      </c>
      <c r="BU38" s="4">
        <v>15539</v>
      </c>
      <c r="BV38" s="4">
        <v>2292</v>
      </c>
      <c r="BW38" s="4">
        <v>9607</v>
      </c>
      <c r="BX38" s="4">
        <v>1892</v>
      </c>
      <c r="BY38" s="4">
        <v>4245</v>
      </c>
      <c r="BZ38" s="4">
        <v>16254</v>
      </c>
      <c r="CA38" s="4">
        <v>1821</v>
      </c>
      <c r="CB38" s="4">
        <v>869</v>
      </c>
      <c r="CC38" s="4">
        <v>4708</v>
      </c>
      <c r="CD38" s="4">
        <v>2665</v>
      </c>
      <c r="CE38" s="4">
        <v>3528</v>
      </c>
      <c r="CF38" s="4">
        <v>5105</v>
      </c>
      <c r="CG38" s="4">
        <v>77101</v>
      </c>
      <c r="CH38" s="4">
        <v>11716</v>
      </c>
      <c r="CI38" s="4">
        <v>22932</v>
      </c>
      <c r="CJ38" s="4">
        <v>4370</v>
      </c>
      <c r="CK38" s="4">
        <v>12885</v>
      </c>
      <c r="CL38" s="4">
        <v>9578</v>
      </c>
      <c r="CM38" s="4">
        <v>12097</v>
      </c>
      <c r="CN38" s="4">
        <v>32772</v>
      </c>
      <c r="CO38" s="4">
        <v>4696</v>
      </c>
      <c r="CP38" s="4">
        <v>2350</v>
      </c>
      <c r="CQ38" s="4">
        <v>3696</v>
      </c>
      <c r="CR38" s="4">
        <v>6174</v>
      </c>
      <c r="CS38" s="4">
        <v>19338</v>
      </c>
      <c r="CT38" s="4">
        <v>14089</v>
      </c>
      <c r="CU38" s="4">
        <v>1391</v>
      </c>
      <c r="CV38" s="4">
        <v>160461</v>
      </c>
      <c r="CW38" s="4">
        <v>3767</v>
      </c>
      <c r="CX38" s="4">
        <v>1237</v>
      </c>
      <c r="CY38" s="4">
        <v>15256</v>
      </c>
      <c r="CZ38" s="4">
        <v>2751</v>
      </c>
      <c r="DA38" s="4">
        <v>5344</v>
      </c>
      <c r="DB38" s="4">
        <v>7811</v>
      </c>
      <c r="DC38" s="4">
        <v>2444</v>
      </c>
      <c r="DD38" s="4">
        <v>1938</v>
      </c>
      <c r="DE38" s="4">
        <v>1508</v>
      </c>
      <c r="DF38" s="4">
        <v>32072</v>
      </c>
      <c r="DG38" s="4">
        <v>9860</v>
      </c>
      <c r="DH38" s="4">
        <v>10410</v>
      </c>
      <c r="DI38" s="4">
        <v>3186</v>
      </c>
      <c r="DJ38" s="4">
        <v>18383</v>
      </c>
      <c r="DK38" s="4">
        <v>10440</v>
      </c>
      <c r="DL38" s="4">
        <v>6890</v>
      </c>
      <c r="DM38" s="4">
        <v>8360</v>
      </c>
      <c r="DN38" s="4">
        <v>9786</v>
      </c>
      <c r="DO38" s="4">
        <v>1828</v>
      </c>
      <c r="DP38" s="4">
        <v>5191</v>
      </c>
      <c r="DQ38" s="4">
        <v>35898</v>
      </c>
      <c r="DR38" s="4">
        <v>2078</v>
      </c>
      <c r="DS38" s="4">
        <v>4487</v>
      </c>
      <c r="DT38" s="4">
        <v>543</v>
      </c>
      <c r="DU38" s="4">
        <v>7295</v>
      </c>
      <c r="DV38" s="4">
        <v>2629</v>
      </c>
      <c r="DW38" s="4">
        <v>2980</v>
      </c>
      <c r="DX38" s="4">
        <v>5001</v>
      </c>
      <c r="DY38" s="4">
        <v>992</v>
      </c>
      <c r="DZ38" s="4">
        <v>1705</v>
      </c>
      <c r="EA38" s="4">
        <v>6238</v>
      </c>
      <c r="EB38" s="4">
        <v>2693</v>
      </c>
      <c r="EC38" s="4">
        <v>597</v>
      </c>
      <c r="ED38" s="4">
        <v>623</v>
      </c>
      <c r="EE38" s="4">
        <v>19438</v>
      </c>
      <c r="EF38" s="4">
        <v>2201</v>
      </c>
      <c r="EG38" s="4">
        <v>6834</v>
      </c>
      <c r="EH38" s="4">
        <v>16721</v>
      </c>
      <c r="EJ38" s="4">
        <f t="shared" si="0"/>
        <v>1038575</v>
      </c>
    </row>
    <row r="39" spans="1:140" x14ac:dyDescent="0.25">
      <c r="A39" s="4" t="s">
        <v>175</v>
      </c>
      <c r="B39" s="4">
        <v>1756</v>
      </c>
      <c r="C39" s="4">
        <v>3781</v>
      </c>
      <c r="D39" s="4">
        <v>92</v>
      </c>
      <c r="E39" s="4">
        <v>1156</v>
      </c>
      <c r="F39" s="4">
        <v>5</v>
      </c>
      <c r="G39" s="4">
        <v>17</v>
      </c>
      <c r="H39" s="4">
        <v>10857</v>
      </c>
      <c r="I39" s="4">
        <v>28</v>
      </c>
      <c r="J39" s="4">
        <v>582</v>
      </c>
      <c r="K39" s="4">
        <v>7</v>
      </c>
      <c r="L39" s="4">
        <v>788</v>
      </c>
      <c r="M39" s="4">
        <v>118</v>
      </c>
      <c r="N39" s="4">
        <v>8002</v>
      </c>
      <c r="O39" s="4">
        <v>1119</v>
      </c>
      <c r="P39" s="4">
        <v>494</v>
      </c>
      <c r="Q39" s="4">
        <v>5628</v>
      </c>
      <c r="R39" s="4">
        <v>33</v>
      </c>
      <c r="S39" s="4">
        <v>1136</v>
      </c>
      <c r="T39" s="4">
        <v>1593</v>
      </c>
      <c r="U39" s="4">
        <v>1376</v>
      </c>
      <c r="V39" s="4">
        <v>3281</v>
      </c>
      <c r="W39" s="4">
        <v>2020</v>
      </c>
      <c r="X39" s="4">
        <v>371</v>
      </c>
      <c r="Y39" s="4">
        <v>497</v>
      </c>
      <c r="Z39" s="4">
        <v>562</v>
      </c>
      <c r="AA39" s="4">
        <v>282</v>
      </c>
      <c r="AB39" s="4">
        <v>3841</v>
      </c>
      <c r="AC39" s="4">
        <v>489</v>
      </c>
      <c r="AD39" s="4">
        <v>233</v>
      </c>
      <c r="AE39" s="4">
        <v>1229</v>
      </c>
      <c r="AF39" s="4">
        <v>1058</v>
      </c>
      <c r="AG39">
        <v>14392</v>
      </c>
      <c r="AH39" s="4">
        <v>375</v>
      </c>
      <c r="AI39" s="4">
        <v>3055</v>
      </c>
      <c r="AJ39" s="4">
        <v>275</v>
      </c>
      <c r="AK39" s="4">
        <v>1385</v>
      </c>
      <c r="AL39" s="4">
        <v>2815</v>
      </c>
      <c r="AM39" s="4">
        <v>484</v>
      </c>
      <c r="AN39" s="4">
        <v>240</v>
      </c>
      <c r="AO39" s="4">
        <v>7265</v>
      </c>
      <c r="AP39" s="4">
        <v>361</v>
      </c>
      <c r="AQ39" s="4">
        <v>75</v>
      </c>
      <c r="AR39" s="4">
        <v>1318</v>
      </c>
      <c r="AS39" s="4">
        <v>5991</v>
      </c>
      <c r="AT39" s="4">
        <v>640</v>
      </c>
      <c r="AU39" s="4">
        <v>1380</v>
      </c>
      <c r="AV39" s="4">
        <v>2267</v>
      </c>
      <c r="AW39" s="4">
        <v>15286</v>
      </c>
      <c r="AX39" s="4">
        <v>17423</v>
      </c>
      <c r="AY39" s="4">
        <v>89</v>
      </c>
      <c r="AZ39" s="4">
        <v>543</v>
      </c>
      <c r="BA39" s="4">
        <v>14969</v>
      </c>
      <c r="BB39" s="4">
        <v>62</v>
      </c>
      <c r="BC39" s="4">
        <v>453</v>
      </c>
      <c r="BD39" s="4">
        <v>4408</v>
      </c>
      <c r="BE39" s="4">
        <v>2896</v>
      </c>
      <c r="BF39" s="4">
        <v>1427</v>
      </c>
      <c r="BG39" s="4">
        <v>3323</v>
      </c>
      <c r="BH39" s="4">
        <v>888</v>
      </c>
      <c r="BI39" s="4">
        <v>18853</v>
      </c>
      <c r="BJ39" s="4">
        <v>2461</v>
      </c>
      <c r="BK39" s="4">
        <v>4452</v>
      </c>
      <c r="BL39" s="4">
        <v>2438</v>
      </c>
      <c r="BM39" s="4">
        <v>3402</v>
      </c>
      <c r="BN39" s="4">
        <v>974</v>
      </c>
      <c r="BO39" s="4">
        <v>815</v>
      </c>
      <c r="BP39" s="4">
        <v>17815</v>
      </c>
      <c r="BQ39" s="4">
        <v>1996</v>
      </c>
      <c r="BR39" s="4">
        <v>49845</v>
      </c>
      <c r="BS39" s="4">
        <v>6931</v>
      </c>
      <c r="BT39" s="4">
        <v>6709</v>
      </c>
      <c r="BU39" s="4">
        <v>14283</v>
      </c>
      <c r="BV39" s="4">
        <v>2193</v>
      </c>
      <c r="BW39" s="4">
        <v>9091</v>
      </c>
      <c r="BX39" s="4">
        <v>1934</v>
      </c>
      <c r="BY39" s="4">
        <v>4536</v>
      </c>
      <c r="BZ39" s="4">
        <v>17458</v>
      </c>
      <c r="CA39" s="4">
        <v>1876</v>
      </c>
      <c r="CB39" s="4">
        <v>633</v>
      </c>
      <c r="CC39" s="4">
        <v>4048</v>
      </c>
      <c r="CD39" s="4">
        <v>3478</v>
      </c>
      <c r="CE39" s="4">
        <v>2465</v>
      </c>
      <c r="CF39" s="4">
        <v>4639</v>
      </c>
      <c r="CG39" s="4">
        <v>62459</v>
      </c>
      <c r="CH39" s="4">
        <v>10454</v>
      </c>
      <c r="CI39" s="4">
        <v>22986</v>
      </c>
      <c r="CJ39" s="4">
        <v>4760</v>
      </c>
      <c r="CK39" s="4">
        <v>12457</v>
      </c>
      <c r="CL39" s="4">
        <v>9839</v>
      </c>
      <c r="CM39" s="4">
        <v>11980</v>
      </c>
      <c r="CN39" s="4">
        <v>30405</v>
      </c>
      <c r="CO39" s="4">
        <v>4139</v>
      </c>
      <c r="CP39" s="4">
        <v>2256</v>
      </c>
      <c r="CQ39" s="4">
        <v>3047</v>
      </c>
      <c r="CR39" s="4">
        <v>5247</v>
      </c>
      <c r="CS39" s="4">
        <v>19569</v>
      </c>
      <c r="CT39" s="4">
        <v>12308</v>
      </c>
      <c r="CU39" s="4">
        <v>1431</v>
      </c>
      <c r="CV39" s="4">
        <v>154319</v>
      </c>
      <c r="CW39" s="4">
        <v>4107</v>
      </c>
      <c r="CX39" s="4">
        <v>1325</v>
      </c>
      <c r="CY39" s="4">
        <v>16474</v>
      </c>
      <c r="CZ39" s="4">
        <v>2030</v>
      </c>
      <c r="DA39" s="4">
        <v>5264</v>
      </c>
      <c r="DB39" s="4">
        <v>8085</v>
      </c>
      <c r="DC39" s="4">
        <v>2629</v>
      </c>
      <c r="DD39" s="4">
        <v>2047</v>
      </c>
      <c r="DE39" s="4">
        <v>1227</v>
      </c>
      <c r="DF39" s="4">
        <v>30659</v>
      </c>
      <c r="DG39" s="4">
        <v>10667</v>
      </c>
      <c r="DH39" s="4">
        <v>10577</v>
      </c>
      <c r="DI39" s="4">
        <v>4348</v>
      </c>
      <c r="DJ39" s="4">
        <v>18945</v>
      </c>
      <c r="DK39" s="4">
        <v>10944</v>
      </c>
      <c r="DL39" s="4">
        <v>7132</v>
      </c>
      <c r="DM39" s="4">
        <v>8193</v>
      </c>
      <c r="DN39" s="4">
        <v>12770</v>
      </c>
      <c r="DO39" s="4">
        <v>1711</v>
      </c>
      <c r="DP39" s="4">
        <v>4920</v>
      </c>
      <c r="DQ39" s="4">
        <v>37695</v>
      </c>
      <c r="DR39" s="4">
        <v>1826</v>
      </c>
      <c r="DS39" s="4">
        <v>2866</v>
      </c>
      <c r="DT39" s="4">
        <v>508</v>
      </c>
      <c r="DU39" s="4">
        <v>6240</v>
      </c>
      <c r="DV39" s="4">
        <v>2744</v>
      </c>
      <c r="DW39" s="4">
        <v>3337</v>
      </c>
      <c r="DX39" s="4">
        <v>5079</v>
      </c>
      <c r="DY39" s="4">
        <v>896</v>
      </c>
      <c r="DZ39" s="4">
        <v>1728</v>
      </c>
      <c r="EA39" s="4">
        <v>5845</v>
      </c>
      <c r="EB39" s="4">
        <v>2760</v>
      </c>
      <c r="EC39" s="4">
        <v>458</v>
      </c>
      <c r="ED39" s="4">
        <v>644</v>
      </c>
      <c r="EE39" s="4">
        <v>18865</v>
      </c>
      <c r="EF39" s="4">
        <v>1684</v>
      </c>
      <c r="EG39" s="4">
        <v>6752</v>
      </c>
      <c r="EH39" s="4">
        <v>18240</v>
      </c>
      <c r="EJ39" s="4">
        <f t="shared" si="0"/>
        <v>989718</v>
      </c>
    </row>
    <row r="40" spans="1:140" x14ac:dyDescent="0.25">
      <c r="A40" s="4" t="s">
        <v>176</v>
      </c>
      <c r="B40" s="4">
        <v>1973</v>
      </c>
      <c r="C40" s="4">
        <v>3720</v>
      </c>
      <c r="D40" s="4">
        <v>94</v>
      </c>
      <c r="E40" s="4">
        <v>1169</v>
      </c>
      <c r="F40" s="4">
        <v>3</v>
      </c>
      <c r="G40" s="4">
        <v>17</v>
      </c>
      <c r="H40" s="4">
        <v>10622</v>
      </c>
      <c r="I40" s="4">
        <v>29</v>
      </c>
      <c r="J40" s="4">
        <v>571</v>
      </c>
      <c r="K40" s="4">
        <v>22</v>
      </c>
      <c r="L40" s="4">
        <v>933</v>
      </c>
      <c r="M40" s="4">
        <v>127</v>
      </c>
      <c r="N40" s="4">
        <v>9333</v>
      </c>
      <c r="O40" s="4">
        <v>1591</v>
      </c>
      <c r="P40" s="4">
        <v>752</v>
      </c>
      <c r="Q40" s="4">
        <v>6299</v>
      </c>
      <c r="R40" s="4">
        <v>17</v>
      </c>
      <c r="S40" s="4">
        <v>1156</v>
      </c>
      <c r="T40" s="4">
        <v>1980</v>
      </c>
      <c r="U40" s="4">
        <v>1458</v>
      </c>
      <c r="V40" s="4">
        <v>3999</v>
      </c>
      <c r="W40" s="4">
        <v>1926</v>
      </c>
      <c r="X40" s="4">
        <v>403</v>
      </c>
      <c r="Y40" s="4">
        <v>476</v>
      </c>
      <c r="Z40" s="4">
        <v>565</v>
      </c>
      <c r="AA40" s="4">
        <v>343</v>
      </c>
      <c r="AB40" s="4">
        <v>3743</v>
      </c>
      <c r="AC40" s="4">
        <v>384</v>
      </c>
      <c r="AD40" s="4">
        <v>217</v>
      </c>
      <c r="AE40" s="4">
        <v>1200</v>
      </c>
      <c r="AF40" s="4">
        <v>1040</v>
      </c>
      <c r="AG40">
        <v>15620</v>
      </c>
      <c r="AH40" s="4">
        <v>242</v>
      </c>
      <c r="AI40" s="4">
        <v>1870</v>
      </c>
      <c r="AJ40" s="4">
        <v>254</v>
      </c>
      <c r="AK40" s="4">
        <v>1143</v>
      </c>
      <c r="AL40" s="4">
        <v>3469</v>
      </c>
      <c r="AM40" s="4">
        <v>632</v>
      </c>
      <c r="AN40" s="4">
        <v>291</v>
      </c>
      <c r="AO40" s="4">
        <v>7520</v>
      </c>
      <c r="AP40" s="4">
        <v>546</v>
      </c>
      <c r="AQ40" s="4">
        <v>60</v>
      </c>
      <c r="AR40" s="4">
        <v>1584</v>
      </c>
      <c r="AS40" s="4">
        <v>4922</v>
      </c>
      <c r="AT40" s="4">
        <v>684</v>
      </c>
      <c r="AU40" s="4">
        <v>2050</v>
      </c>
      <c r="AV40" s="4">
        <v>2527</v>
      </c>
      <c r="AW40" s="4">
        <v>3776</v>
      </c>
      <c r="AX40" s="4">
        <v>16553</v>
      </c>
      <c r="AY40" s="4">
        <v>115</v>
      </c>
      <c r="AZ40" s="4">
        <v>769</v>
      </c>
      <c r="BA40" s="4">
        <v>20823</v>
      </c>
      <c r="BB40" s="4">
        <v>83</v>
      </c>
      <c r="BC40" s="4">
        <v>421</v>
      </c>
      <c r="BD40" s="4">
        <v>6696</v>
      </c>
      <c r="BE40" s="4">
        <v>2903</v>
      </c>
      <c r="BF40" s="4">
        <v>1407</v>
      </c>
      <c r="BG40" s="4">
        <v>3493</v>
      </c>
      <c r="BH40" s="4">
        <v>1326</v>
      </c>
      <c r="BI40" s="4">
        <v>21164</v>
      </c>
      <c r="BJ40" s="4">
        <v>3188</v>
      </c>
      <c r="BK40" s="4">
        <v>5336</v>
      </c>
      <c r="BL40" s="4">
        <v>2188</v>
      </c>
      <c r="BM40" s="4">
        <v>4324</v>
      </c>
      <c r="BN40" s="4">
        <v>1115</v>
      </c>
      <c r="BO40" s="4">
        <v>1109</v>
      </c>
      <c r="BP40" s="4">
        <v>18650</v>
      </c>
      <c r="BQ40" s="4">
        <v>2454</v>
      </c>
      <c r="BR40" s="4">
        <v>58966</v>
      </c>
      <c r="BS40" s="4">
        <v>8265</v>
      </c>
      <c r="BT40" s="4">
        <v>8059</v>
      </c>
      <c r="BU40" s="4">
        <v>15389</v>
      </c>
      <c r="BV40" s="4">
        <v>2268</v>
      </c>
      <c r="BW40" s="4">
        <v>10569</v>
      </c>
      <c r="BX40" s="4">
        <v>2120</v>
      </c>
      <c r="BY40" s="4">
        <v>4831</v>
      </c>
      <c r="BZ40" s="4">
        <v>17155</v>
      </c>
      <c r="CA40" s="4">
        <v>2077</v>
      </c>
      <c r="CB40" s="4">
        <v>755</v>
      </c>
      <c r="CC40" s="4">
        <v>4775</v>
      </c>
      <c r="CD40" s="4">
        <v>3600</v>
      </c>
      <c r="CE40" s="4">
        <v>3026</v>
      </c>
      <c r="CF40" s="4">
        <v>5927</v>
      </c>
      <c r="CG40" s="4">
        <v>72615</v>
      </c>
      <c r="CH40" s="4">
        <v>11878</v>
      </c>
      <c r="CI40" s="4">
        <v>21183</v>
      </c>
      <c r="CJ40" s="4">
        <v>5592</v>
      </c>
      <c r="CK40" s="4">
        <v>14758</v>
      </c>
      <c r="CL40" s="4">
        <v>10652</v>
      </c>
      <c r="CM40" s="4">
        <v>12376</v>
      </c>
      <c r="CN40" s="4">
        <v>33321</v>
      </c>
      <c r="CO40" s="4">
        <v>5153</v>
      </c>
      <c r="CP40" s="4">
        <v>2637</v>
      </c>
      <c r="CQ40" s="4">
        <v>4380</v>
      </c>
      <c r="CR40" s="4">
        <v>5219</v>
      </c>
      <c r="CS40" s="4">
        <v>20614</v>
      </c>
      <c r="CT40" s="4">
        <v>13348</v>
      </c>
      <c r="CU40" s="4">
        <v>1700</v>
      </c>
      <c r="CV40" s="4">
        <v>176942</v>
      </c>
      <c r="CW40" s="4">
        <v>4445</v>
      </c>
      <c r="CX40" s="4">
        <v>1216</v>
      </c>
      <c r="CY40" s="4">
        <v>18214</v>
      </c>
      <c r="CZ40" s="4">
        <v>2358</v>
      </c>
      <c r="DA40" s="4">
        <v>5057</v>
      </c>
      <c r="DB40" s="4">
        <v>8927</v>
      </c>
      <c r="DC40" s="4">
        <v>2780</v>
      </c>
      <c r="DD40" s="4">
        <v>2043</v>
      </c>
      <c r="DE40" s="4">
        <v>1423</v>
      </c>
      <c r="DF40" s="4">
        <v>35698</v>
      </c>
      <c r="DG40" s="4">
        <v>14382</v>
      </c>
      <c r="DH40" s="4">
        <v>11957</v>
      </c>
      <c r="DI40" s="4">
        <v>5573</v>
      </c>
      <c r="DJ40" s="4">
        <v>19862</v>
      </c>
      <c r="DK40" s="4">
        <v>12391</v>
      </c>
      <c r="DL40" s="4">
        <v>7561</v>
      </c>
      <c r="DM40" s="4">
        <v>9276</v>
      </c>
      <c r="DN40" s="4">
        <v>18997</v>
      </c>
      <c r="DO40" s="4">
        <v>2274</v>
      </c>
      <c r="DP40" s="4">
        <v>6667</v>
      </c>
      <c r="DQ40" s="4">
        <v>44137</v>
      </c>
      <c r="DR40" s="4">
        <v>2399</v>
      </c>
      <c r="DS40" s="4">
        <v>3709</v>
      </c>
      <c r="DT40" s="4">
        <v>583</v>
      </c>
      <c r="DU40" s="4">
        <v>7345</v>
      </c>
      <c r="DV40" s="4">
        <v>3078</v>
      </c>
      <c r="DW40" s="4">
        <v>4749</v>
      </c>
      <c r="DX40" s="4">
        <v>6779</v>
      </c>
      <c r="DY40" s="4">
        <v>1282</v>
      </c>
      <c r="DZ40" s="4">
        <v>1893</v>
      </c>
      <c r="EA40" s="4">
        <v>6620</v>
      </c>
      <c r="EB40" s="4">
        <v>4160</v>
      </c>
      <c r="EC40" s="4">
        <v>521</v>
      </c>
      <c r="ED40" s="4">
        <v>632</v>
      </c>
      <c r="EE40" s="4">
        <v>20243</v>
      </c>
      <c r="EF40" s="4">
        <v>1919</v>
      </c>
      <c r="EG40" s="4">
        <v>8935</v>
      </c>
      <c r="EH40" s="4">
        <v>21785</v>
      </c>
      <c r="EJ40" s="4">
        <f t="shared" si="0"/>
        <v>1109489</v>
      </c>
    </row>
    <row r="41" spans="1:140" x14ac:dyDescent="0.25">
      <c r="A41" s="4" t="s">
        <v>177</v>
      </c>
      <c r="B41" s="4">
        <v>1407</v>
      </c>
      <c r="C41" s="4">
        <v>3564</v>
      </c>
      <c r="D41" s="4">
        <v>65</v>
      </c>
      <c r="E41" s="4">
        <v>1027</v>
      </c>
      <c r="F41" s="4">
        <v>1</v>
      </c>
      <c r="G41" s="4">
        <v>9</v>
      </c>
      <c r="H41" s="4">
        <v>10171</v>
      </c>
      <c r="I41" s="4">
        <v>26</v>
      </c>
      <c r="J41" s="4">
        <v>748</v>
      </c>
      <c r="K41" s="4">
        <v>20</v>
      </c>
      <c r="L41" s="4">
        <v>1003</v>
      </c>
      <c r="M41" s="4">
        <v>106</v>
      </c>
      <c r="N41" s="4">
        <v>7382</v>
      </c>
      <c r="O41" s="4">
        <v>1145</v>
      </c>
      <c r="P41" s="4">
        <v>544</v>
      </c>
      <c r="Q41" s="4">
        <v>5336</v>
      </c>
      <c r="R41" s="4">
        <v>18</v>
      </c>
      <c r="S41" s="4">
        <v>952</v>
      </c>
      <c r="T41" s="4">
        <v>1683</v>
      </c>
      <c r="U41" s="4">
        <v>1272</v>
      </c>
      <c r="V41" s="4">
        <v>3757</v>
      </c>
      <c r="W41" s="4">
        <v>1785</v>
      </c>
      <c r="X41" s="4">
        <v>274</v>
      </c>
      <c r="Y41" s="4">
        <v>387</v>
      </c>
      <c r="Z41" s="4">
        <v>700</v>
      </c>
      <c r="AA41" s="4">
        <v>289</v>
      </c>
      <c r="AB41" s="4">
        <v>2611</v>
      </c>
      <c r="AC41" s="4">
        <v>544</v>
      </c>
      <c r="AD41" s="4">
        <v>255</v>
      </c>
      <c r="AE41" s="4">
        <v>1048</v>
      </c>
      <c r="AF41" s="4">
        <v>681</v>
      </c>
      <c r="AG41">
        <v>14307</v>
      </c>
      <c r="AH41" s="4">
        <v>285</v>
      </c>
      <c r="AI41" s="4">
        <v>818</v>
      </c>
      <c r="AJ41" s="4">
        <v>228</v>
      </c>
      <c r="AK41" s="4">
        <v>982</v>
      </c>
      <c r="AL41" s="4">
        <v>2273</v>
      </c>
      <c r="AM41" s="4">
        <v>628</v>
      </c>
      <c r="AN41" s="4">
        <v>143</v>
      </c>
      <c r="AO41" s="4">
        <v>6323</v>
      </c>
      <c r="AP41" s="4">
        <v>317</v>
      </c>
      <c r="AQ41" s="4">
        <v>62</v>
      </c>
      <c r="AR41" s="4">
        <v>1228</v>
      </c>
      <c r="AS41" s="4">
        <v>3293</v>
      </c>
      <c r="AT41" s="4">
        <v>557</v>
      </c>
      <c r="AU41" s="4">
        <v>1592</v>
      </c>
      <c r="AV41" s="4">
        <v>2339</v>
      </c>
      <c r="AW41" s="4">
        <v>3095</v>
      </c>
      <c r="AX41" s="4">
        <v>15207</v>
      </c>
      <c r="AY41" s="4">
        <v>120</v>
      </c>
      <c r="AZ41" s="4">
        <v>361</v>
      </c>
      <c r="BA41" s="4">
        <v>12699</v>
      </c>
      <c r="BB41" s="4">
        <v>95</v>
      </c>
      <c r="BC41" s="4">
        <v>310</v>
      </c>
      <c r="BD41" s="4">
        <v>4846</v>
      </c>
      <c r="BE41" s="4">
        <v>3260</v>
      </c>
      <c r="BF41" s="4">
        <v>1502</v>
      </c>
      <c r="BG41" s="4">
        <v>3322</v>
      </c>
      <c r="BH41" s="4">
        <v>1189</v>
      </c>
      <c r="BI41" s="4">
        <v>18973</v>
      </c>
      <c r="BJ41" s="4">
        <v>2557</v>
      </c>
      <c r="BK41" s="4">
        <v>5412</v>
      </c>
      <c r="BL41" s="4">
        <v>2729</v>
      </c>
      <c r="BM41" s="4">
        <v>3180</v>
      </c>
      <c r="BN41" s="4">
        <v>1029</v>
      </c>
      <c r="BO41" s="4">
        <v>1010</v>
      </c>
      <c r="BP41" s="4">
        <v>20624</v>
      </c>
      <c r="BQ41" s="4">
        <v>2228</v>
      </c>
      <c r="BR41" s="4">
        <v>50621</v>
      </c>
      <c r="BS41" s="4">
        <v>6872</v>
      </c>
      <c r="BT41" s="4">
        <v>6410</v>
      </c>
      <c r="BU41" s="4">
        <v>13412</v>
      </c>
      <c r="BV41" s="4">
        <v>1806</v>
      </c>
      <c r="BW41" s="4">
        <v>8464</v>
      </c>
      <c r="BX41" s="4">
        <v>1990</v>
      </c>
      <c r="BY41" s="4">
        <v>4163</v>
      </c>
      <c r="BZ41" s="4">
        <v>14555</v>
      </c>
      <c r="CA41" s="4">
        <v>1497</v>
      </c>
      <c r="CB41" s="4">
        <v>550</v>
      </c>
      <c r="CC41" s="4">
        <v>9029</v>
      </c>
      <c r="CD41" s="4">
        <v>2583</v>
      </c>
      <c r="CE41" s="4">
        <v>2070</v>
      </c>
      <c r="CF41" s="4">
        <v>4576</v>
      </c>
      <c r="CG41" s="4">
        <v>61551</v>
      </c>
      <c r="CH41" s="4">
        <v>13492</v>
      </c>
      <c r="CI41" s="4">
        <v>26002</v>
      </c>
      <c r="CJ41" s="4">
        <v>5594</v>
      </c>
      <c r="CK41" s="4">
        <v>13268</v>
      </c>
      <c r="CL41" s="4">
        <v>7636</v>
      </c>
      <c r="CM41" s="4">
        <v>13038</v>
      </c>
      <c r="CN41" s="4">
        <v>29590</v>
      </c>
      <c r="CO41" s="4">
        <v>4210</v>
      </c>
      <c r="CP41" s="4">
        <v>2110</v>
      </c>
      <c r="CQ41" s="4">
        <v>4248</v>
      </c>
      <c r="CR41" s="4">
        <v>4838</v>
      </c>
      <c r="CS41" s="4">
        <v>17815</v>
      </c>
      <c r="CT41" s="4">
        <v>11449</v>
      </c>
      <c r="CU41" s="4">
        <v>1713</v>
      </c>
      <c r="CV41" s="4">
        <v>152967</v>
      </c>
      <c r="CW41" s="4">
        <v>4231</v>
      </c>
      <c r="CX41" s="4">
        <v>1321</v>
      </c>
      <c r="CY41" s="4">
        <v>17995</v>
      </c>
      <c r="CZ41" s="4">
        <v>2233</v>
      </c>
      <c r="DA41" s="4">
        <v>4627</v>
      </c>
      <c r="DB41" s="4">
        <v>7539</v>
      </c>
      <c r="DC41" s="4">
        <v>2514</v>
      </c>
      <c r="DD41" s="4">
        <v>2012</v>
      </c>
      <c r="DE41" s="4">
        <v>1204</v>
      </c>
      <c r="DF41" s="4">
        <v>29668</v>
      </c>
      <c r="DG41" s="4">
        <v>10902</v>
      </c>
      <c r="DH41" s="4">
        <v>11043</v>
      </c>
      <c r="DI41" s="4">
        <v>3271</v>
      </c>
      <c r="DJ41" s="4">
        <v>18084</v>
      </c>
      <c r="DK41" s="4">
        <v>10196</v>
      </c>
      <c r="DL41" s="4">
        <v>6232</v>
      </c>
      <c r="DM41" s="4">
        <v>8712</v>
      </c>
      <c r="DN41" s="4">
        <v>12205</v>
      </c>
      <c r="DO41" s="4">
        <v>1929</v>
      </c>
      <c r="DP41" s="4">
        <v>5611</v>
      </c>
      <c r="DQ41" s="4">
        <v>38227</v>
      </c>
      <c r="DR41" s="4">
        <v>2384</v>
      </c>
      <c r="DS41" s="4">
        <v>3613</v>
      </c>
      <c r="DT41" s="4">
        <v>519</v>
      </c>
      <c r="DU41" s="4">
        <v>6374</v>
      </c>
      <c r="DV41" s="4">
        <v>3033</v>
      </c>
      <c r="DW41" s="4">
        <v>3944</v>
      </c>
      <c r="DX41" s="4">
        <v>7501</v>
      </c>
      <c r="DY41" s="4">
        <v>1339</v>
      </c>
      <c r="DZ41" s="4">
        <v>1888</v>
      </c>
      <c r="EA41" s="4">
        <v>4744</v>
      </c>
      <c r="EB41" s="4">
        <v>4568</v>
      </c>
      <c r="EC41" s="4">
        <v>416</v>
      </c>
      <c r="ED41" s="4">
        <v>587</v>
      </c>
      <c r="EE41" s="4">
        <v>18249</v>
      </c>
      <c r="EF41" s="4">
        <v>2082</v>
      </c>
      <c r="EG41" s="4">
        <v>10679</v>
      </c>
      <c r="EH41" s="4">
        <v>13232</v>
      </c>
      <c r="EJ41" s="4">
        <f t="shared" si="0"/>
        <v>970960</v>
      </c>
    </row>
    <row r="42" spans="1:140" x14ac:dyDescent="0.25">
      <c r="A42" s="4" t="s">
        <v>178</v>
      </c>
      <c r="B42" s="4">
        <v>2313</v>
      </c>
      <c r="C42" s="4">
        <v>3802</v>
      </c>
      <c r="D42" s="4">
        <v>75</v>
      </c>
      <c r="E42" s="4">
        <v>1280</v>
      </c>
      <c r="F42" s="4">
        <v>9</v>
      </c>
      <c r="G42" s="4">
        <v>17</v>
      </c>
      <c r="H42" s="4">
        <v>12079</v>
      </c>
      <c r="I42" s="4">
        <v>26</v>
      </c>
      <c r="J42" s="4">
        <v>654</v>
      </c>
      <c r="K42" s="4">
        <v>18</v>
      </c>
      <c r="L42" s="4">
        <v>899</v>
      </c>
      <c r="M42" s="4">
        <v>216</v>
      </c>
      <c r="N42" s="4">
        <v>9157</v>
      </c>
      <c r="O42" s="4">
        <v>1229</v>
      </c>
      <c r="P42" s="4">
        <v>621</v>
      </c>
      <c r="Q42" s="4">
        <v>6373</v>
      </c>
      <c r="R42" s="4">
        <v>11</v>
      </c>
      <c r="S42" s="4">
        <v>1333</v>
      </c>
      <c r="T42" s="4">
        <v>2222</v>
      </c>
      <c r="U42" s="4">
        <v>1462</v>
      </c>
      <c r="V42" s="4">
        <v>3825</v>
      </c>
      <c r="W42" s="4">
        <v>1986</v>
      </c>
      <c r="X42" s="4">
        <v>438</v>
      </c>
      <c r="Y42" s="4">
        <v>864</v>
      </c>
      <c r="Z42" s="4">
        <v>816</v>
      </c>
      <c r="AA42" s="4">
        <v>338</v>
      </c>
      <c r="AB42" s="4">
        <v>3269</v>
      </c>
      <c r="AC42" s="4">
        <v>539</v>
      </c>
      <c r="AD42" s="4">
        <v>224</v>
      </c>
      <c r="AE42" s="4">
        <v>1006</v>
      </c>
      <c r="AF42" s="4">
        <v>815</v>
      </c>
      <c r="AG42">
        <v>17397</v>
      </c>
      <c r="AH42" s="4">
        <v>318</v>
      </c>
      <c r="AI42" s="4">
        <v>692</v>
      </c>
      <c r="AJ42" s="4">
        <v>371</v>
      </c>
      <c r="AK42" s="4">
        <v>1193</v>
      </c>
      <c r="AL42" s="4">
        <v>2503</v>
      </c>
      <c r="AM42" s="4">
        <v>546</v>
      </c>
      <c r="AN42" s="4">
        <v>256</v>
      </c>
      <c r="AO42" s="4">
        <v>7653</v>
      </c>
      <c r="AP42" s="4">
        <v>404</v>
      </c>
      <c r="AQ42" s="4">
        <v>84</v>
      </c>
      <c r="AR42" s="4">
        <v>1493</v>
      </c>
      <c r="AS42" s="4">
        <v>3940</v>
      </c>
      <c r="AT42" s="4">
        <v>678</v>
      </c>
      <c r="AU42" s="4">
        <v>1844</v>
      </c>
      <c r="AV42" s="4">
        <v>2756</v>
      </c>
      <c r="AW42" s="4">
        <v>2342</v>
      </c>
      <c r="AX42" s="4">
        <v>15031</v>
      </c>
      <c r="AY42" s="4">
        <v>71</v>
      </c>
      <c r="AZ42" s="4">
        <v>434</v>
      </c>
      <c r="BA42" s="4">
        <v>5521</v>
      </c>
      <c r="BB42" s="4">
        <v>99</v>
      </c>
      <c r="BC42" s="4">
        <v>548</v>
      </c>
      <c r="BD42" s="4">
        <v>5199</v>
      </c>
      <c r="BE42" s="4">
        <v>4051</v>
      </c>
      <c r="BF42" s="4">
        <v>1420</v>
      </c>
      <c r="BG42" s="4">
        <v>3235</v>
      </c>
      <c r="BH42" s="4">
        <v>1509</v>
      </c>
      <c r="BI42" s="4">
        <v>21187</v>
      </c>
      <c r="BJ42" s="4">
        <v>2705</v>
      </c>
      <c r="BK42" s="4">
        <v>6580</v>
      </c>
      <c r="BL42" s="4">
        <v>2927</v>
      </c>
      <c r="BM42" s="4">
        <v>4365</v>
      </c>
      <c r="BN42" s="4">
        <v>922</v>
      </c>
      <c r="BO42" s="4">
        <v>1329</v>
      </c>
      <c r="BP42" s="4">
        <v>20701</v>
      </c>
      <c r="BQ42" s="4">
        <v>2449</v>
      </c>
      <c r="BR42" s="4">
        <v>57769</v>
      </c>
      <c r="BS42" s="4">
        <v>9158</v>
      </c>
      <c r="BT42" s="4">
        <v>7683</v>
      </c>
      <c r="BU42" s="4">
        <v>15813</v>
      </c>
      <c r="BV42" s="4">
        <v>2217</v>
      </c>
      <c r="BW42" s="4">
        <v>10171</v>
      </c>
      <c r="BX42" s="4">
        <v>3421</v>
      </c>
      <c r="BY42" s="4">
        <v>9112</v>
      </c>
      <c r="BZ42" s="4">
        <v>16234</v>
      </c>
      <c r="CA42" s="4">
        <v>2093</v>
      </c>
      <c r="CB42" s="4">
        <v>754</v>
      </c>
      <c r="CC42" s="4">
        <v>4927</v>
      </c>
      <c r="CD42" s="4">
        <v>3242</v>
      </c>
      <c r="CE42" s="4">
        <v>2363</v>
      </c>
      <c r="CF42" s="4">
        <v>5201</v>
      </c>
      <c r="CG42" s="4">
        <v>71291</v>
      </c>
      <c r="CH42" s="4">
        <v>13363</v>
      </c>
      <c r="CI42" s="4">
        <v>22324</v>
      </c>
      <c r="CJ42" s="4">
        <v>7571</v>
      </c>
      <c r="CK42" s="4">
        <v>14043</v>
      </c>
      <c r="CL42" s="4">
        <v>7821</v>
      </c>
      <c r="CM42" s="4">
        <v>12237</v>
      </c>
      <c r="CN42" s="4">
        <v>33316</v>
      </c>
      <c r="CO42" s="4">
        <v>5310</v>
      </c>
      <c r="CP42" s="4">
        <v>2558</v>
      </c>
      <c r="CQ42" s="4">
        <v>3810</v>
      </c>
      <c r="CR42" s="4">
        <v>5154</v>
      </c>
      <c r="CS42" s="4">
        <v>20747</v>
      </c>
      <c r="CT42" s="4">
        <v>13607</v>
      </c>
      <c r="CU42" s="4">
        <v>1374</v>
      </c>
      <c r="CV42" s="4">
        <v>178889</v>
      </c>
      <c r="CW42" s="4">
        <v>4644</v>
      </c>
      <c r="CX42" s="4">
        <v>1196</v>
      </c>
      <c r="CY42" s="4">
        <v>17010</v>
      </c>
      <c r="CZ42" s="4">
        <v>2684</v>
      </c>
      <c r="DA42" s="4">
        <v>6031</v>
      </c>
      <c r="DB42" s="4">
        <v>7428</v>
      </c>
      <c r="DC42" s="4">
        <v>2474</v>
      </c>
      <c r="DD42" s="4">
        <v>2489</v>
      </c>
      <c r="DE42" s="4">
        <v>1470</v>
      </c>
      <c r="DF42" s="4">
        <v>32657</v>
      </c>
      <c r="DG42" s="4">
        <v>11386</v>
      </c>
      <c r="DH42" s="4">
        <v>12448</v>
      </c>
      <c r="DI42" s="4">
        <v>5599</v>
      </c>
      <c r="DJ42" s="4">
        <v>18635</v>
      </c>
      <c r="DK42" s="4">
        <v>10124</v>
      </c>
      <c r="DL42" s="4">
        <v>7289</v>
      </c>
      <c r="DM42" s="4">
        <v>10045</v>
      </c>
      <c r="DN42" s="4">
        <v>14098</v>
      </c>
      <c r="DO42" s="4">
        <v>2764</v>
      </c>
      <c r="DP42" s="4">
        <v>6452</v>
      </c>
      <c r="DQ42" s="4">
        <v>40693</v>
      </c>
      <c r="DR42" s="4">
        <v>2966</v>
      </c>
      <c r="DS42" s="4">
        <v>4098</v>
      </c>
      <c r="DT42" s="4">
        <v>520</v>
      </c>
      <c r="DU42" s="4">
        <v>6908</v>
      </c>
      <c r="DV42" s="4">
        <v>3716</v>
      </c>
      <c r="DW42" s="4">
        <v>4430</v>
      </c>
      <c r="DX42" s="4">
        <v>6535</v>
      </c>
      <c r="DY42" s="4">
        <v>1524</v>
      </c>
      <c r="DZ42" s="4">
        <v>2564</v>
      </c>
      <c r="EA42" s="4">
        <v>6772</v>
      </c>
      <c r="EB42" s="4">
        <v>4224</v>
      </c>
      <c r="EC42" s="4">
        <v>436</v>
      </c>
      <c r="ED42" s="4">
        <v>760</v>
      </c>
      <c r="EE42" s="4">
        <v>20964</v>
      </c>
      <c r="EF42" s="4">
        <v>2389</v>
      </c>
      <c r="EG42" s="4">
        <v>10416</v>
      </c>
      <c r="EH42" s="4">
        <v>18200</v>
      </c>
      <c r="EJ42" s="4">
        <f t="shared" si="0"/>
        <v>1081280</v>
      </c>
    </row>
    <row r="43" spans="1:140" x14ac:dyDescent="0.25">
      <c r="A43" s="4" t="s">
        <v>179</v>
      </c>
      <c r="B43" s="4">
        <v>1917</v>
      </c>
      <c r="C43" s="4">
        <v>3727</v>
      </c>
      <c r="D43" s="4">
        <v>81</v>
      </c>
      <c r="E43" s="4">
        <v>1032</v>
      </c>
      <c r="F43" s="4">
        <v>2</v>
      </c>
      <c r="G43" s="4">
        <v>19</v>
      </c>
      <c r="H43" s="4">
        <v>11152</v>
      </c>
      <c r="I43" s="4">
        <v>43</v>
      </c>
      <c r="J43" s="4">
        <v>690</v>
      </c>
      <c r="K43" s="4">
        <v>35</v>
      </c>
      <c r="L43" s="4">
        <v>897</v>
      </c>
      <c r="M43" s="4">
        <v>147</v>
      </c>
      <c r="N43" s="4">
        <v>8402</v>
      </c>
      <c r="O43" s="4">
        <v>1205</v>
      </c>
      <c r="P43" s="4">
        <v>560</v>
      </c>
      <c r="Q43" s="4">
        <v>7156</v>
      </c>
      <c r="R43" s="4">
        <v>8</v>
      </c>
      <c r="S43" s="4">
        <v>1536</v>
      </c>
      <c r="T43" s="4">
        <v>2055</v>
      </c>
      <c r="U43" s="4">
        <v>1344</v>
      </c>
      <c r="V43" s="4">
        <v>3732</v>
      </c>
      <c r="W43" s="4">
        <v>2157</v>
      </c>
      <c r="X43" s="4">
        <v>565</v>
      </c>
      <c r="Y43" s="4">
        <v>529</v>
      </c>
      <c r="Z43" s="4">
        <v>726</v>
      </c>
      <c r="AA43" s="4">
        <v>404</v>
      </c>
      <c r="AB43" s="4">
        <v>3654</v>
      </c>
      <c r="AC43" s="4">
        <v>451</v>
      </c>
      <c r="AD43" s="4">
        <v>250</v>
      </c>
      <c r="AE43" s="4">
        <v>957</v>
      </c>
      <c r="AF43" s="4">
        <v>775</v>
      </c>
      <c r="AG43">
        <v>16762</v>
      </c>
      <c r="AH43" s="4">
        <v>244</v>
      </c>
      <c r="AI43" s="4">
        <v>806</v>
      </c>
      <c r="AJ43" s="4">
        <v>238</v>
      </c>
      <c r="AK43" s="4">
        <v>1134</v>
      </c>
      <c r="AL43" s="4">
        <v>2144</v>
      </c>
      <c r="AM43" s="4">
        <v>563</v>
      </c>
      <c r="AN43" s="4">
        <v>210</v>
      </c>
      <c r="AO43" s="4">
        <v>6796</v>
      </c>
      <c r="AP43" s="4">
        <v>306</v>
      </c>
      <c r="AQ43" s="4">
        <v>99</v>
      </c>
      <c r="AR43" s="4">
        <v>1443</v>
      </c>
      <c r="AS43" s="4">
        <v>3890</v>
      </c>
      <c r="AT43" s="4">
        <v>688</v>
      </c>
      <c r="AU43" s="4">
        <v>1379</v>
      </c>
      <c r="AV43" s="4">
        <v>2560</v>
      </c>
      <c r="AW43" s="4">
        <v>1672</v>
      </c>
      <c r="AX43" s="4">
        <v>13917</v>
      </c>
      <c r="AY43" s="4">
        <v>72</v>
      </c>
      <c r="AZ43" s="4">
        <v>433</v>
      </c>
      <c r="BA43" s="4">
        <v>4660</v>
      </c>
      <c r="BB43" s="4">
        <v>88</v>
      </c>
      <c r="BC43" s="4">
        <v>381</v>
      </c>
      <c r="BD43" s="4">
        <v>4923</v>
      </c>
      <c r="BE43" s="4">
        <v>3612</v>
      </c>
      <c r="BF43" s="4">
        <v>1078</v>
      </c>
      <c r="BG43" s="4">
        <v>3406</v>
      </c>
      <c r="BH43" s="4">
        <v>1271</v>
      </c>
      <c r="BI43" s="4">
        <v>20732</v>
      </c>
      <c r="BJ43" s="4">
        <v>2884</v>
      </c>
      <c r="BK43" s="4">
        <v>8184</v>
      </c>
      <c r="BL43" s="4">
        <v>2151</v>
      </c>
      <c r="BM43" s="4">
        <v>3943</v>
      </c>
      <c r="BN43" s="4">
        <v>830</v>
      </c>
      <c r="BO43" s="4">
        <v>1123</v>
      </c>
      <c r="BP43" s="4">
        <v>20708</v>
      </c>
      <c r="BQ43" s="4">
        <v>2648</v>
      </c>
      <c r="BR43" s="4">
        <v>54656</v>
      </c>
      <c r="BS43" s="4">
        <v>8035</v>
      </c>
      <c r="BT43" s="4">
        <v>7916</v>
      </c>
      <c r="BU43" s="4">
        <v>17784</v>
      </c>
      <c r="BV43" s="4">
        <v>2257</v>
      </c>
      <c r="BW43" s="4">
        <v>10047</v>
      </c>
      <c r="BX43" s="4">
        <v>3694</v>
      </c>
      <c r="BY43" s="4">
        <v>9766</v>
      </c>
      <c r="BZ43" s="4">
        <v>15676</v>
      </c>
      <c r="CA43" s="4">
        <v>1908</v>
      </c>
      <c r="CB43" s="4">
        <v>658</v>
      </c>
      <c r="CC43" s="4">
        <v>4907</v>
      </c>
      <c r="CD43" s="4">
        <v>5249</v>
      </c>
      <c r="CE43" s="4">
        <v>2204</v>
      </c>
      <c r="CF43" s="4">
        <v>5094</v>
      </c>
      <c r="CG43" s="4">
        <v>66452</v>
      </c>
      <c r="CH43" s="4">
        <v>11086</v>
      </c>
      <c r="CI43" s="4">
        <v>20709</v>
      </c>
      <c r="CJ43" s="4">
        <v>5845</v>
      </c>
      <c r="CK43" s="4">
        <v>12757</v>
      </c>
      <c r="CL43" s="4">
        <v>7373</v>
      </c>
      <c r="CM43" s="4">
        <v>12026</v>
      </c>
      <c r="CN43" s="4">
        <v>31566</v>
      </c>
      <c r="CO43" s="4">
        <v>5846</v>
      </c>
      <c r="CP43" s="4">
        <v>2671</v>
      </c>
      <c r="CQ43" s="4">
        <v>3988</v>
      </c>
      <c r="CR43" s="4">
        <v>4864</v>
      </c>
      <c r="CS43" s="4">
        <v>19830</v>
      </c>
      <c r="CT43" s="4">
        <v>12334</v>
      </c>
      <c r="CU43" s="4">
        <v>1201</v>
      </c>
      <c r="CV43" s="4">
        <v>168067</v>
      </c>
      <c r="CW43" s="4">
        <v>4823</v>
      </c>
      <c r="CX43" s="4">
        <v>1157</v>
      </c>
      <c r="CY43" s="4">
        <v>16650</v>
      </c>
      <c r="CZ43" s="4">
        <v>3034</v>
      </c>
      <c r="DA43" s="4">
        <v>5048</v>
      </c>
      <c r="DB43" s="4">
        <v>7427</v>
      </c>
      <c r="DC43" s="4">
        <v>2350</v>
      </c>
      <c r="DD43" s="4">
        <v>2237</v>
      </c>
      <c r="DE43" s="4">
        <v>1247</v>
      </c>
      <c r="DF43" s="4">
        <v>32486</v>
      </c>
      <c r="DG43" s="4">
        <v>9787</v>
      </c>
      <c r="DH43" s="4">
        <v>10646</v>
      </c>
      <c r="DI43" s="4">
        <v>2930</v>
      </c>
      <c r="DJ43" s="4">
        <v>17332</v>
      </c>
      <c r="DK43" s="4">
        <v>10186</v>
      </c>
      <c r="DL43" s="4">
        <v>6805</v>
      </c>
      <c r="DM43" s="4">
        <v>7926</v>
      </c>
      <c r="DN43" s="4">
        <v>11102</v>
      </c>
      <c r="DO43" s="4">
        <v>1864</v>
      </c>
      <c r="DP43" s="4">
        <v>8325</v>
      </c>
      <c r="DQ43" s="4">
        <v>36363</v>
      </c>
      <c r="DR43" s="4">
        <v>2425</v>
      </c>
      <c r="DS43" s="4">
        <v>3347</v>
      </c>
      <c r="DT43" s="4">
        <v>490</v>
      </c>
      <c r="DU43" s="4">
        <v>5838</v>
      </c>
      <c r="DV43" s="4">
        <v>3255</v>
      </c>
      <c r="DW43" s="4">
        <v>4119</v>
      </c>
      <c r="DX43" s="4">
        <v>5505</v>
      </c>
      <c r="DY43" s="4">
        <v>1088</v>
      </c>
      <c r="DZ43" s="4">
        <v>2810</v>
      </c>
      <c r="EA43" s="4">
        <v>6278</v>
      </c>
      <c r="EB43" s="4">
        <v>2955</v>
      </c>
      <c r="EC43" s="4">
        <v>484</v>
      </c>
      <c r="ED43" s="4">
        <v>759</v>
      </c>
      <c r="EE43" s="4">
        <v>20373</v>
      </c>
      <c r="EF43" s="4">
        <v>2142</v>
      </c>
      <c r="EG43" s="4">
        <v>7829</v>
      </c>
      <c r="EH43" s="4">
        <v>15868</v>
      </c>
      <c r="EJ43" s="4">
        <f t="shared" si="0"/>
        <v>1015942</v>
      </c>
    </row>
    <row r="44" spans="1:140" x14ac:dyDescent="0.25">
      <c r="A44" s="4" t="s">
        <v>180</v>
      </c>
      <c r="B44" s="4">
        <v>2140</v>
      </c>
      <c r="C44" s="4">
        <v>3792</v>
      </c>
      <c r="D44" s="4">
        <v>91</v>
      </c>
      <c r="E44" s="4">
        <v>1532</v>
      </c>
      <c r="F44" s="4">
        <v>3</v>
      </c>
      <c r="G44" s="4">
        <v>13</v>
      </c>
      <c r="H44" s="4">
        <v>11890</v>
      </c>
      <c r="I44" s="4">
        <v>39</v>
      </c>
      <c r="J44" s="4">
        <v>740</v>
      </c>
      <c r="K44" s="4">
        <v>23</v>
      </c>
      <c r="L44" s="4">
        <v>832</v>
      </c>
      <c r="M44" s="4">
        <v>116</v>
      </c>
      <c r="N44" s="4">
        <v>8024</v>
      </c>
      <c r="O44" s="4">
        <v>1226</v>
      </c>
      <c r="P44" s="4">
        <v>539</v>
      </c>
      <c r="Q44" s="4">
        <v>5813</v>
      </c>
      <c r="R44" s="4">
        <v>31</v>
      </c>
      <c r="S44" s="4">
        <v>1361</v>
      </c>
      <c r="T44" s="4">
        <v>2026</v>
      </c>
      <c r="U44" s="4">
        <v>1689</v>
      </c>
      <c r="V44" s="4">
        <v>4430</v>
      </c>
      <c r="W44" s="4">
        <v>1849</v>
      </c>
      <c r="X44" s="4">
        <v>481</v>
      </c>
      <c r="Y44" s="4">
        <v>421</v>
      </c>
      <c r="Z44" s="4">
        <v>895</v>
      </c>
      <c r="AA44" s="4">
        <v>329</v>
      </c>
      <c r="AB44" s="4">
        <v>3448</v>
      </c>
      <c r="AC44" s="4">
        <v>432</v>
      </c>
      <c r="AD44" s="4">
        <v>219</v>
      </c>
      <c r="AE44" s="4">
        <v>857</v>
      </c>
      <c r="AF44" s="4">
        <v>674</v>
      </c>
      <c r="AG44">
        <v>16045</v>
      </c>
      <c r="AH44" s="4">
        <v>252</v>
      </c>
      <c r="AI44" s="4">
        <v>738</v>
      </c>
      <c r="AJ44" s="4">
        <v>219</v>
      </c>
      <c r="AK44" s="4">
        <v>1127</v>
      </c>
      <c r="AL44" s="4">
        <v>2059</v>
      </c>
      <c r="AM44" s="4">
        <v>524</v>
      </c>
      <c r="AN44" s="4">
        <v>188</v>
      </c>
      <c r="AO44" s="4">
        <v>7398</v>
      </c>
      <c r="AP44" s="4">
        <v>350</v>
      </c>
      <c r="AQ44" s="4">
        <v>77</v>
      </c>
      <c r="AR44" s="4">
        <v>1654</v>
      </c>
      <c r="AS44" s="4">
        <v>4128</v>
      </c>
      <c r="AT44" s="4">
        <v>719</v>
      </c>
      <c r="AU44" s="4">
        <v>2189</v>
      </c>
      <c r="AV44" s="4">
        <v>2795</v>
      </c>
      <c r="AW44" s="4">
        <v>3463</v>
      </c>
      <c r="AX44" s="4">
        <v>15142</v>
      </c>
      <c r="AY44" s="4">
        <v>71</v>
      </c>
      <c r="AZ44" s="4">
        <v>446</v>
      </c>
      <c r="BA44" s="4">
        <v>4599</v>
      </c>
      <c r="BB44" s="4">
        <v>83</v>
      </c>
      <c r="BC44" s="4">
        <v>433</v>
      </c>
      <c r="BD44" s="4">
        <v>4773</v>
      </c>
      <c r="BE44" s="4">
        <v>3701</v>
      </c>
      <c r="BF44" s="4">
        <v>1469</v>
      </c>
      <c r="BG44" s="4">
        <v>3221</v>
      </c>
      <c r="BH44" s="4">
        <v>922</v>
      </c>
      <c r="BI44" s="4">
        <v>20613</v>
      </c>
      <c r="BJ44" s="4">
        <v>3571</v>
      </c>
      <c r="BK44" s="4">
        <v>5470</v>
      </c>
      <c r="BL44" s="4">
        <v>2744</v>
      </c>
      <c r="BM44" s="4">
        <v>4184</v>
      </c>
      <c r="BN44" s="4">
        <v>1346</v>
      </c>
      <c r="BO44" s="4">
        <v>1285</v>
      </c>
      <c r="BP44" s="4">
        <v>26624</v>
      </c>
      <c r="BQ44" s="4">
        <v>2691</v>
      </c>
      <c r="BR44" s="4">
        <v>62688</v>
      </c>
      <c r="BS44" s="4">
        <v>8717</v>
      </c>
      <c r="BT44" s="4">
        <v>9150</v>
      </c>
      <c r="BU44" s="4">
        <v>24292</v>
      </c>
      <c r="BV44" s="4">
        <v>2859</v>
      </c>
      <c r="BW44" s="4">
        <v>12321</v>
      </c>
      <c r="BX44" s="4">
        <v>2401</v>
      </c>
      <c r="BY44" s="4">
        <v>5394</v>
      </c>
      <c r="BZ44" s="4">
        <v>16450</v>
      </c>
      <c r="CA44" s="4">
        <v>2248</v>
      </c>
      <c r="CB44" s="4">
        <v>827</v>
      </c>
      <c r="CC44" s="4">
        <v>5081</v>
      </c>
      <c r="CD44" s="4">
        <v>3012</v>
      </c>
      <c r="CE44" s="4">
        <v>2412</v>
      </c>
      <c r="CF44" s="4">
        <v>5616</v>
      </c>
      <c r="CG44" s="4">
        <v>73185</v>
      </c>
      <c r="CH44" s="4">
        <v>11937</v>
      </c>
      <c r="CI44" s="4">
        <v>23340</v>
      </c>
      <c r="CJ44" s="4">
        <v>6604</v>
      </c>
      <c r="CK44" s="4">
        <v>12969</v>
      </c>
      <c r="CL44" s="4">
        <v>8404</v>
      </c>
      <c r="CM44" s="4">
        <v>11905</v>
      </c>
      <c r="CN44" s="4">
        <v>31069</v>
      </c>
      <c r="CO44" s="4">
        <v>5734</v>
      </c>
      <c r="CP44" s="4">
        <v>2786</v>
      </c>
      <c r="CQ44" s="4">
        <v>3696</v>
      </c>
      <c r="CR44" s="4">
        <v>5063</v>
      </c>
      <c r="CS44" s="4">
        <v>19188</v>
      </c>
      <c r="CT44" s="4">
        <v>12645</v>
      </c>
      <c r="CU44" s="4">
        <v>1266</v>
      </c>
      <c r="CV44" s="4">
        <v>167387</v>
      </c>
      <c r="CW44" s="4">
        <v>4561</v>
      </c>
      <c r="CX44" s="4">
        <v>1310</v>
      </c>
      <c r="CY44" s="4">
        <v>17297</v>
      </c>
      <c r="CZ44" s="4">
        <v>2431</v>
      </c>
      <c r="DA44" s="4">
        <v>5116</v>
      </c>
      <c r="DB44" s="4">
        <v>7996</v>
      </c>
      <c r="DC44" s="4">
        <v>2477</v>
      </c>
      <c r="DD44" s="4">
        <v>2131</v>
      </c>
      <c r="DE44" s="4">
        <v>1559</v>
      </c>
      <c r="DF44" s="4">
        <v>32690</v>
      </c>
      <c r="DG44" s="4">
        <v>10491</v>
      </c>
      <c r="DH44" s="4">
        <v>12284</v>
      </c>
      <c r="DI44" s="4">
        <v>2920</v>
      </c>
      <c r="DJ44" s="4">
        <v>17932</v>
      </c>
      <c r="DK44" s="4">
        <v>10433</v>
      </c>
      <c r="DL44" s="4">
        <v>6880</v>
      </c>
      <c r="DM44" s="4">
        <v>8188</v>
      </c>
      <c r="DN44" s="4">
        <v>11631</v>
      </c>
      <c r="DO44" s="4">
        <v>1918</v>
      </c>
      <c r="DP44" s="4">
        <v>11699</v>
      </c>
      <c r="DQ44" s="4">
        <v>36714</v>
      </c>
      <c r="DR44" s="4">
        <v>2019</v>
      </c>
      <c r="DS44" s="4">
        <v>3333</v>
      </c>
      <c r="DT44" s="4">
        <v>563</v>
      </c>
      <c r="DU44" s="4">
        <v>6821</v>
      </c>
      <c r="DV44" s="4">
        <v>3214</v>
      </c>
      <c r="DW44" s="4">
        <v>5736</v>
      </c>
      <c r="DX44" s="4">
        <v>6311</v>
      </c>
      <c r="DY44" s="4">
        <v>1140</v>
      </c>
      <c r="DZ44" s="4">
        <v>2669</v>
      </c>
      <c r="EA44" s="4">
        <v>6662</v>
      </c>
      <c r="EB44" s="4">
        <v>3201</v>
      </c>
      <c r="EC44" s="4">
        <v>589</v>
      </c>
      <c r="ED44" s="4">
        <v>859</v>
      </c>
      <c r="EE44" s="4">
        <v>21258</v>
      </c>
      <c r="EF44" s="4">
        <v>2009</v>
      </c>
      <c r="EG44" s="4">
        <v>8409</v>
      </c>
      <c r="EH44" s="4">
        <v>16178</v>
      </c>
      <c r="EJ44" s="4">
        <f t="shared" si="0"/>
        <v>1063543</v>
      </c>
    </row>
    <row r="45" spans="1:140" x14ac:dyDescent="0.25">
      <c r="A45" s="4" t="s">
        <v>181</v>
      </c>
      <c r="B45" s="4">
        <v>2174</v>
      </c>
      <c r="C45" s="4">
        <v>4343</v>
      </c>
      <c r="D45" s="4">
        <v>104</v>
      </c>
      <c r="E45" s="4">
        <v>1401</v>
      </c>
      <c r="F45" s="4">
        <v>4</v>
      </c>
      <c r="G45" s="4">
        <v>8</v>
      </c>
      <c r="H45" s="4">
        <v>11508</v>
      </c>
      <c r="I45" s="4">
        <v>34</v>
      </c>
      <c r="J45" s="4">
        <v>754</v>
      </c>
      <c r="K45" s="4">
        <v>33</v>
      </c>
      <c r="L45" s="4">
        <v>947</v>
      </c>
      <c r="M45" s="4">
        <v>221</v>
      </c>
      <c r="N45" s="4">
        <v>8419</v>
      </c>
      <c r="O45" s="4">
        <v>1076</v>
      </c>
      <c r="P45" s="4">
        <v>555</v>
      </c>
      <c r="Q45" s="4">
        <v>5878</v>
      </c>
      <c r="R45" s="4">
        <v>21</v>
      </c>
      <c r="S45" s="4">
        <v>1540</v>
      </c>
      <c r="T45" s="4">
        <v>2212</v>
      </c>
      <c r="U45" s="4">
        <v>1930</v>
      </c>
      <c r="V45" s="4">
        <v>4452</v>
      </c>
      <c r="W45" s="4">
        <v>2075</v>
      </c>
      <c r="X45" s="4">
        <v>502</v>
      </c>
      <c r="Y45" s="4">
        <v>599</v>
      </c>
      <c r="Z45" s="4">
        <v>773</v>
      </c>
      <c r="AA45" s="4">
        <v>381</v>
      </c>
      <c r="AB45" s="4">
        <v>3784</v>
      </c>
      <c r="AC45" s="4">
        <v>520</v>
      </c>
      <c r="AD45" s="4">
        <v>240</v>
      </c>
      <c r="AE45" s="4">
        <v>861</v>
      </c>
      <c r="AF45" s="4">
        <v>881</v>
      </c>
      <c r="AG45">
        <v>17488</v>
      </c>
      <c r="AH45" s="4">
        <v>229</v>
      </c>
      <c r="AI45" s="4">
        <v>973</v>
      </c>
      <c r="AJ45" s="4">
        <v>260</v>
      </c>
      <c r="AK45" s="4">
        <v>1244</v>
      </c>
      <c r="AL45" s="4">
        <v>2406</v>
      </c>
      <c r="AM45" s="4">
        <v>568</v>
      </c>
      <c r="AN45" s="4">
        <v>538</v>
      </c>
      <c r="AO45" s="4">
        <v>7070</v>
      </c>
      <c r="AP45" s="4">
        <v>384</v>
      </c>
      <c r="AQ45" s="4">
        <v>86</v>
      </c>
      <c r="AR45" s="4">
        <v>1635</v>
      </c>
      <c r="AS45" s="4">
        <v>4654</v>
      </c>
      <c r="AT45" s="4">
        <v>599</v>
      </c>
      <c r="AU45" s="4">
        <v>2372</v>
      </c>
      <c r="AV45" s="4">
        <v>3059</v>
      </c>
      <c r="AW45" s="4">
        <v>3327</v>
      </c>
      <c r="AX45" s="4">
        <v>15213</v>
      </c>
      <c r="AY45" s="4">
        <v>130</v>
      </c>
      <c r="AZ45" s="4">
        <v>1291</v>
      </c>
      <c r="BA45" s="4">
        <v>5688</v>
      </c>
      <c r="BB45" s="4">
        <v>104</v>
      </c>
      <c r="BC45" s="4">
        <v>443</v>
      </c>
      <c r="BD45" s="4">
        <v>4941</v>
      </c>
      <c r="BE45" s="4">
        <v>4348</v>
      </c>
      <c r="BF45" s="4">
        <v>1698</v>
      </c>
      <c r="BG45" s="4">
        <v>3512</v>
      </c>
      <c r="BH45" s="4">
        <v>979</v>
      </c>
      <c r="BI45" s="4">
        <v>21409</v>
      </c>
      <c r="BJ45" s="4">
        <v>3950</v>
      </c>
      <c r="BK45" s="4">
        <v>6662</v>
      </c>
      <c r="BL45" s="4">
        <v>3167</v>
      </c>
      <c r="BM45" s="4">
        <v>5165</v>
      </c>
      <c r="BN45" s="4">
        <v>1827</v>
      </c>
      <c r="BO45" s="4">
        <v>1091</v>
      </c>
      <c r="BP45" s="4">
        <v>32471</v>
      </c>
      <c r="BQ45" s="4">
        <v>2466</v>
      </c>
      <c r="BR45" s="4">
        <v>60051</v>
      </c>
      <c r="BS45" s="4">
        <v>10109</v>
      </c>
      <c r="BT45" s="4">
        <v>11037</v>
      </c>
      <c r="BU45" s="4">
        <v>33816</v>
      </c>
      <c r="BV45" s="4">
        <v>3645</v>
      </c>
      <c r="BW45" s="4">
        <v>12059</v>
      </c>
      <c r="BX45" s="4">
        <v>2263</v>
      </c>
      <c r="BY45" s="4">
        <v>5213</v>
      </c>
      <c r="BZ45" s="4">
        <v>16758</v>
      </c>
      <c r="CA45" s="4">
        <v>2782</v>
      </c>
      <c r="CB45" s="4">
        <v>933</v>
      </c>
      <c r="CC45" s="4">
        <v>5090</v>
      </c>
      <c r="CD45" s="4">
        <v>3179</v>
      </c>
      <c r="CE45" s="4">
        <v>2372</v>
      </c>
      <c r="CF45" s="4">
        <v>5936</v>
      </c>
      <c r="CG45" s="4">
        <v>74448</v>
      </c>
      <c r="CH45" s="4">
        <v>10986</v>
      </c>
      <c r="CI45" s="4">
        <v>24579</v>
      </c>
      <c r="CJ45" s="4">
        <v>6086</v>
      </c>
      <c r="CK45" s="4">
        <v>12956</v>
      </c>
      <c r="CL45" s="4">
        <v>8543</v>
      </c>
      <c r="CM45" s="4">
        <v>12430</v>
      </c>
      <c r="CN45" s="4">
        <v>34951</v>
      </c>
      <c r="CO45" s="4">
        <v>4763</v>
      </c>
      <c r="CP45" s="4">
        <v>3367</v>
      </c>
      <c r="CQ45" s="4">
        <v>3665</v>
      </c>
      <c r="CR45" s="4">
        <v>4813</v>
      </c>
      <c r="CS45" s="4">
        <v>20943</v>
      </c>
      <c r="CT45" s="4">
        <v>14071</v>
      </c>
      <c r="CU45" s="4">
        <v>1191</v>
      </c>
      <c r="CV45" s="4">
        <v>176676</v>
      </c>
      <c r="CW45" s="4">
        <v>4397</v>
      </c>
      <c r="CX45" s="4">
        <v>1277</v>
      </c>
      <c r="CY45" s="4">
        <v>17413</v>
      </c>
      <c r="CZ45" s="4">
        <v>3089</v>
      </c>
      <c r="DA45" s="4">
        <v>4915</v>
      </c>
      <c r="DB45" s="4">
        <v>8400</v>
      </c>
      <c r="DC45" s="4">
        <v>2873</v>
      </c>
      <c r="DD45" s="4">
        <v>1877</v>
      </c>
      <c r="DE45" s="4">
        <v>1496</v>
      </c>
      <c r="DF45" s="4">
        <v>33197</v>
      </c>
      <c r="DG45" s="4">
        <v>10071</v>
      </c>
      <c r="DH45" s="4">
        <v>13566</v>
      </c>
      <c r="DI45" s="4">
        <v>2971</v>
      </c>
      <c r="DJ45" s="4">
        <v>19508</v>
      </c>
      <c r="DK45" s="4">
        <v>9982</v>
      </c>
      <c r="DL45" s="4">
        <v>6799</v>
      </c>
      <c r="DM45" s="4">
        <v>10391</v>
      </c>
      <c r="DN45" s="4">
        <v>11509</v>
      </c>
      <c r="DO45" s="4">
        <v>2209</v>
      </c>
      <c r="DP45" s="4">
        <v>10527</v>
      </c>
      <c r="DQ45" s="4">
        <v>41280</v>
      </c>
      <c r="DR45" s="4">
        <v>1849</v>
      </c>
      <c r="DS45" s="4">
        <v>2944</v>
      </c>
      <c r="DT45" s="4">
        <v>509</v>
      </c>
      <c r="DU45" s="4">
        <v>6449</v>
      </c>
      <c r="DV45" s="4">
        <v>3699</v>
      </c>
      <c r="DW45" s="4">
        <v>3733</v>
      </c>
      <c r="DX45" s="4">
        <v>6802</v>
      </c>
      <c r="DY45" s="4">
        <v>1201</v>
      </c>
      <c r="DZ45" s="4">
        <v>2117</v>
      </c>
      <c r="EA45" s="4">
        <v>6612</v>
      </c>
      <c r="EB45" s="4">
        <v>3635</v>
      </c>
      <c r="EC45" s="4">
        <v>520</v>
      </c>
      <c r="ED45" s="4">
        <v>744</v>
      </c>
      <c r="EE45" s="4">
        <v>22025</v>
      </c>
      <c r="EF45" s="4">
        <v>2233</v>
      </c>
      <c r="EG45" s="4">
        <v>8700</v>
      </c>
      <c r="EH45" s="4">
        <v>17287</v>
      </c>
      <c r="EJ45" s="4">
        <f t="shared" si="0"/>
        <v>1120194</v>
      </c>
    </row>
    <row r="46" spans="1:140" x14ac:dyDescent="0.25">
      <c r="A46" s="4" t="s">
        <v>182</v>
      </c>
      <c r="B46" s="4">
        <v>1933</v>
      </c>
      <c r="C46" s="4">
        <v>3814</v>
      </c>
      <c r="D46" s="4">
        <v>90</v>
      </c>
      <c r="E46" s="4">
        <v>995</v>
      </c>
      <c r="F46" s="4">
        <v>1</v>
      </c>
      <c r="G46" s="4">
        <v>7</v>
      </c>
      <c r="H46" s="4">
        <v>10987</v>
      </c>
      <c r="I46" s="4">
        <v>35</v>
      </c>
      <c r="J46" s="4">
        <v>504</v>
      </c>
      <c r="K46" s="4">
        <v>17</v>
      </c>
      <c r="L46" s="4">
        <v>898</v>
      </c>
      <c r="M46" s="4">
        <v>135</v>
      </c>
      <c r="N46" s="4">
        <v>8794</v>
      </c>
      <c r="O46" s="4">
        <v>1574</v>
      </c>
      <c r="P46" s="4">
        <v>537</v>
      </c>
      <c r="Q46" s="4">
        <v>5735</v>
      </c>
      <c r="R46" s="4">
        <v>37</v>
      </c>
      <c r="S46" s="4">
        <v>1207</v>
      </c>
      <c r="T46" s="4">
        <v>2243</v>
      </c>
      <c r="U46" s="4">
        <v>1538</v>
      </c>
      <c r="V46" s="4">
        <v>3848</v>
      </c>
      <c r="W46" s="4">
        <v>1828</v>
      </c>
      <c r="X46" s="4">
        <v>474</v>
      </c>
      <c r="Y46" s="4">
        <v>787</v>
      </c>
      <c r="Z46" s="4">
        <v>679</v>
      </c>
      <c r="AA46" s="4">
        <v>335</v>
      </c>
      <c r="AB46" s="4">
        <v>3183</v>
      </c>
      <c r="AC46" s="4">
        <v>369</v>
      </c>
      <c r="AD46" s="4">
        <v>186</v>
      </c>
      <c r="AE46" s="4">
        <v>755</v>
      </c>
      <c r="AF46" s="4">
        <v>661</v>
      </c>
      <c r="AG46">
        <v>14741</v>
      </c>
      <c r="AH46" s="4">
        <v>271</v>
      </c>
      <c r="AI46" s="4">
        <v>787</v>
      </c>
      <c r="AJ46" s="4">
        <v>209</v>
      </c>
      <c r="AK46" s="4">
        <v>1062</v>
      </c>
      <c r="AL46" s="4">
        <v>2260</v>
      </c>
      <c r="AM46" s="4">
        <v>456</v>
      </c>
      <c r="AN46" s="4">
        <v>199</v>
      </c>
      <c r="AO46" s="4">
        <v>6439</v>
      </c>
      <c r="AP46" s="4">
        <v>294</v>
      </c>
      <c r="AQ46" s="4">
        <v>85</v>
      </c>
      <c r="AR46" s="4">
        <v>1351</v>
      </c>
      <c r="AS46" s="4">
        <v>3679</v>
      </c>
      <c r="AT46" s="4">
        <v>553</v>
      </c>
      <c r="AU46" s="4">
        <v>2850</v>
      </c>
      <c r="AV46" s="4">
        <v>2214</v>
      </c>
      <c r="AW46" s="4">
        <v>1605</v>
      </c>
      <c r="AX46" s="4">
        <v>14364</v>
      </c>
      <c r="AY46" s="4">
        <v>102</v>
      </c>
      <c r="AZ46" s="4">
        <v>945</v>
      </c>
      <c r="BA46" s="4">
        <v>4010</v>
      </c>
      <c r="BB46" s="4">
        <v>110</v>
      </c>
      <c r="BC46" s="4">
        <v>581</v>
      </c>
      <c r="BD46" s="4">
        <v>4514</v>
      </c>
      <c r="BE46" s="4">
        <v>3220</v>
      </c>
      <c r="BF46" s="4">
        <v>1887</v>
      </c>
      <c r="BG46" s="4">
        <v>2970</v>
      </c>
      <c r="BH46" s="4">
        <v>1177</v>
      </c>
      <c r="BI46" s="4">
        <v>19077</v>
      </c>
      <c r="BJ46" s="4">
        <v>2873</v>
      </c>
      <c r="BK46" s="4">
        <v>5216</v>
      </c>
      <c r="BL46" s="4">
        <v>3366</v>
      </c>
      <c r="BM46" s="4">
        <v>3945</v>
      </c>
      <c r="BN46" s="4">
        <v>1856</v>
      </c>
      <c r="BO46" s="4">
        <v>741</v>
      </c>
      <c r="BP46" s="4">
        <v>23229</v>
      </c>
      <c r="BQ46" s="4">
        <v>2316</v>
      </c>
      <c r="BR46" s="4">
        <v>52915</v>
      </c>
      <c r="BS46" s="4">
        <v>7304</v>
      </c>
      <c r="BT46" s="4">
        <v>7329</v>
      </c>
      <c r="BU46" s="4">
        <v>24627</v>
      </c>
      <c r="BV46" s="4">
        <v>2696</v>
      </c>
      <c r="BW46" s="4">
        <v>11235</v>
      </c>
      <c r="BX46" s="4">
        <v>2227</v>
      </c>
      <c r="BY46" s="4">
        <v>4895</v>
      </c>
      <c r="BZ46" s="4">
        <v>13886</v>
      </c>
      <c r="CA46" s="4">
        <v>2371</v>
      </c>
      <c r="CB46" s="4">
        <v>708</v>
      </c>
      <c r="CC46" s="4">
        <v>5303</v>
      </c>
      <c r="CD46" s="4">
        <v>2924</v>
      </c>
      <c r="CE46" s="4">
        <v>2091</v>
      </c>
      <c r="CF46" s="4">
        <v>4546</v>
      </c>
      <c r="CG46" s="4">
        <v>62835</v>
      </c>
      <c r="CH46" s="4">
        <v>10020</v>
      </c>
      <c r="CI46" s="4">
        <v>20722</v>
      </c>
      <c r="CJ46" s="4">
        <v>5987</v>
      </c>
      <c r="CK46" s="4">
        <v>12496</v>
      </c>
      <c r="CL46" s="4">
        <v>7688</v>
      </c>
      <c r="CM46" s="4">
        <v>10750</v>
      </c>
      <c r="CN46" s="4">
        <v>30577</v>
      </c>
      <c r="CO46" s="4">
        <v>4261</v>
      </c>
      <c r="CP46" s="4">
        <v>2105</v>
      </c>
      <c r="CQ46" s="4">
        <v>3603</v>
      </c>
      <c r="CR46" s="4">
        <v>4163</v>
      </c>
      <c r="CS46" s="4">
        <v>18329</v>
      </c>
      <c r="CT46" s="4">
        <v>12863</v>
      </c>
      <c r="CU46" s="4">
        <v>1173</v>
      </c>
      <c r="CV46" s="4">
        <v>157665</v>
      </c>
      <c r="CW46" s="4">
        <v>4811</v>
      </c>
      <c r="CX46" s="4">
        <v>1195</v>
      </c>
      <c r="CY46" s="4">
        <v>16328</v>
      </c>
      <c r="CZ46" s="4">
        <v>2871</v>
      </c>
      <c r="DA46" s="4">
        <v>4494</v>
      </c>
      <c r="DB46" s="4">
        <v>7812</v>
      </c>
      <c r="DC46" s="4">
        <v>2513</v>
      </c>
      <c r="DD46" s="4">
        <v>1952</v>
      </c>
      <c r="DE46" s="4">
        <v>1441</v>
      </c>
      <c r="DF46" s="4">
        <v>29871</v>
      </c>
      <c r="DG46" s="4">
        <v>8969</v>
      </c>
      <c r="DH46" s="4">
        <v>10749</v>
      </c>
      <c r="DI46" s="4">
        <v>2689</v>
      </c>
      <c r="DJ46" s="4">
        <v>16783</v>
      </c>
      <c r="DK46" s="4">
        <v>9554</v>
      </c>
      <c r="DL46" s="4">
        <v>6094</v>
      </c>
      <c r="DM46" s="4">
        <v>7219</v>
      </c>
      <c r="DN46" s="4">
        <v>10318</v>
      </c>
      <c r="DO46" s="4">
        <v>1677</v>
      </c>
      <c r="DP46" s="4">
        <v>5730</v>
      </c>
      <c r="DQ46" s="4">
        <v>34058</v>
      </c>
      <c r="DR46" s="4">
        <v>1519</v>
      </c>
      <c r="DS46" s="4">
        <v>2926</v>
      </c>
      <c r="DT46" s="4">
        <v>489</v>
      </c>
      <c r="DU46" s="4">
        <v>6288</v>
      </c>
      <c r="DV46" s="4">
        <v>3119</v>
      </c>
      <c r="DW46" s="4">
        <v>3687</v>
      </c>
      <c r="DX46" s="4">
        <v>6608</v>
      </c>
      <c r="DY46" s="4">
        <v>1128</v>
      </c>
      <c r="DZ46" s="4">
        <v>2206</v>
      </c>
      <c r="EA46" s="4">
        <v>6552</v>
      </c>
      <c r="EB46" s="4">
        <v>3713</v>
      </c>
      <c r="EC46" s="4">
        <v>545</v>
      </c>
      <c r="ED46" s="4">
        <v>665</v>
      </c>
      <c r="EE46" s="4">
        <v>20227</v>
      </c>
      <c r="EF46" s="4">
        <v>2542</v>
      </c>
      <c r="EG46" s="4">
        <v>8804</v>
      </c>
      <c r="EH46" s="4">
        <v>14939</v>
      </c>
      <c r="EJ46" s="4">
        <f t="shared" si="0"/>
        <v>973119</v>
      </c>
    </row>
    <row r="47" spans="1:140" x14ac:dyDescent="0.25">
      <c r="A47" s="4" t="s">
        <v>183</v>
      </c>
      <c r="B47" s="4">
        <v>2139</v>
      </c>
      <c r="C47" s="4">
        <v>3788</v>
      </c>
      <c r="D47" s="4">
        <v>71</v>
      </c>
      <c r="E47" s="4">
        <v>1459</v>
      </c>
      <c r="F47" s="4">
        <v>1</v>
      </c>
      <c r="G47" s="4">
        <v>14</v>
      </c>
      <c r="H47" s="4">
        <v>11556</v>
      </c>
      <c r="I47" s="4">
        <v>53</v>
      </c>
      <c r="J47" s="4">
        <v>733</v>
      </c>
      <c r="K47" s="4">
        <v>22</v>
      </c>
      <c r="L47" s="4">
        <v>1317</v>
      </c>
      <c r="M47" s="4">
        <v>107</v>
      </c>
      <c r="N47" s="4">
        <v>9498</v>
      </c>
      <c r="O47" s="4">
        <v>1846</v>
      </c>
      <c r="P47" s="4">
        <v>769</v>
      </c>
      <c r="Q47" s="4">
        <v>6315</v>
      </c>
      <c r="R47" s="4">
        <v>30</v>
      </c>
      <c r="S47" s="4">
        <v>1582</v>
      </c>
      <c r="T47" s="4">
        <v>2472</v>
      </c>
      <c r="U47" s="4">
        <v>1889</v>
      </c>
      <c r="V47" s="4">
        <v>3928</v>
      </c>
      <c r="W47" s="4">
        <v>1973</v>
      </c>
      <c r="X47" s="4">
        <v>490</v>
      </c>
      <c r="Y47" s="4">
        <v>1409</v>
      </c>
      <c r="Z47" s="4">
        <v>852</v>
      </c>
      <c r="AA47" s="4">
        <v>293</v>
      </c>
      <c r="AB47" s="4">
        <v>2758</v>
      </c>
      <c r="AC47" s="4">
        <v>463</v>
      </c>
      <c r="AD47" s="4">
        <v>206</v>
      </c>
      <c r="AE47" s="4">
        <v>937</v>
      </c>
      <c r="AF47" s="4">
        <v>760</v>
      </c>
      <c r="AG47">
        <v>18860</v>
      </c>
      <c r="AH47" s="4">
        <v>304</v>
      </c>
      <c r="AI47" s="4">
        <v>825</v>
      </c>
      <c r="AJ47" s="4">
        <v>239</v>
      </c>
      <c r="AK47" s="4">
        <v>1192</v>
      </c>
      <c r="AL47" s="4">
        <v>2688</v>
      </c>
      <c r="AM47" s="4">
        <v>481</v>
      </c>
      <c r="AN47" s="4">
        <v>386</v>
      </c>
      <c r="AO47" s="4">
        <v>8613</v>
      </c>
      <c r="AP47" s="4">
        <v>361</v>
      </c>
      <c r="AQ47" s="4">
        <v>68</v>
      </c>
      <c r="AR47" s="4">
        <v>1459</v>
      </c>
      <c r="AS47" s="4">
        <v>3557</v>
      </c>
      <c r="AT47" s="4">
        <v>667</v>
      </c>
      <c r="AU47" s="4">
        <v>4578</v>
      </c>
      <c r="AV47" s="4">
        <v>2493</v>
      </c>
      <c r="AW47" s="4">
        <v>2698</v>
      </c>
      <c r="AX47" s="4">
        <v>15788</v>
      </c>
      <c r="AY47" s="4">
        <v>86</v>
      </c>
      <c r="AZ47" s="4">
        <v>524</v>
      </c>
      <c r="BA47" s="4">
        <v>6276</v>
      </c>
      <c r="BB47" s="4">
        <v>99</v>
      </c>
      <c r="BC47" s="4">
        <v>504</v>
      </c>
      <c r="BD47" s="4">
        <v>5110</v>
      </c>
      <c r="BE47" s="4">
        <v>4028</v>
      </c>
      <c r="BF47" s="4">
        <v>3826</v>
      </c>
      <c r="BG47" s="4">
        <v>3250</v>
      </c>
      <c r="BH47" s="4">
        <v>1586</v>
      </c>
      <c r="BI47" s="4">
        <v>20788</v>
      </c>
      <c r="BJ47" s="4">
        <v>3258</v>
      </c>
      <c r="BK47" s="4">
        <v>5191</v>
      </c>
      <c r="BL47" s="4">
        <v>3016</v>
      </c>
      <c r="BM47" s="4">
        <v>4310</v>
      </c>
      <c r="BN47" s="4">
        <v>1562</v>
      </c>
      <c r="BO47" s="4">
        <v>949</v>
      </c>
      <c r="BP47" s="4">
        <v>21584</v>
      </c>
      <c r="BQ47" s="4">
        <v>2452</v>
      </c>
      <c r="BR47" s="4">
        <v>57066</v>
      </c>
      <c r="BS47" s="4">
        <v>10040</v>
      </c>
      <c r="BT47" s="4">
        <v>7143</v>
      </c>
      <c r="BU47" s="4">
        <v>17493</v>
      </c>
      <c r="BV47" s="4">
        <v>2682</v>
      </c>
      <c r="BW47" s="4">
        <v>10556</v>
      </c>
      <c r="BX47" s="4">
        <v>2250</v>
      </c>
      <c r="BY47" s="4">
        <v>6470</v>
      </c>
      <c r="BZ47" s="4">
        <v>16221</v>
      </c>
      <c r="CA47" s="4">
        <v>2553</v>
      </c>
      <c r="CB47" s="4">
        <v>716</v>
      </c>
      <c r="CC47" s="4">
        <v>6552</v>
      </c>
      <c r="CD47" s="4">
        <v>2860</v>
      </c>
      <c r="CE47" s="4">
        <v>2737</v>
      </c>
      <c r="CF47" s="4">
        <v>5742</v>
      </c>
      <c r="CG47" s="4">
        <v>67202</v>
      </c>
      <c r="CH47" s="4">
        <v>11587</v>
      </c>
      <c r="CI47" s="4">
        <v>23329</v>
      </c>
      <c r="CJ47" s="4">
        <v>7252</v>
      </c>
      <c r="CK47" s="4">
        <v>12929</v>
      </c>
      <c r="CL47" s="4">
        <v>8659</v>
      </c>
      <c r="CM47" s="4">
        <v>12984</v>
      </c>
      <c r="CN47" s="4">
        <v>33138</v>
      </c>
      <c r="CO47" s="4">
        <v>5247</v>
      </c>
      <c r="CP47" s="4">
        <v>2390</v>
      </c>
      <c r="CQ47" s="4">
        <v>3932</v>
      </c>
      <c r="CR47" s="4">
        <v>4615</v>
      </c>
      <c r="CS47" s="4">
        <v>21051</v>
      </c>
      <c r="CT47" s="4">
        <v>12663</v>
      </c>
      <c r="CU47" s="4">
        <v>1215</v>
      </c>
      <c r="CV47" s="4">
        <v>171356</v>
      </c>
      <c r="CW47" s="4">
        <v>4434</v>
      </c>
      <c r="CX47" s="4">
        <v>1275</v>
      </c>
      <c r="CY47" s="4">
        <v>18605</v>
      </c>
      <c r="CZ47" s="4">
        <v>2587</v>
      </c>
      <c r="DA47" s="4">
        <v>5077</v>
      </c>
      <c r="DB47" s="4">
        <v>9493</v>
      </c>
      <c r="DC47" s="4">
        <v>2711</v>
      </c>
      <c r="DD47" s="4">
        <v>1991</v>
      </c>
      <c r="DE47" s="4">
        <v>1675</v>
      </c>
      <c r="DF47" s="4">
        <v>34559</v>
      </c>
      <c r="DG47" s="4">
        <v>10158</v>
      </c>
      <c r="DH47" s="4">
        <v>12795</v>
      </c>
      <c r="DI47" s="4">
        <v>3527</v>
      </c>
      <c r="DJ47" s="4">
        <v>19935</v>
      </c>
      <c r="DK47" s="4">
        <v>11167</v>
      </c>
      <c r="DL47" s="4">
        <v>7236</v>
      </c>
      <c r="DM47" s="4">
        <v>8745</v>
      </c>
      <c r="DN47" s="4">
        <v>11693</v>
      </c>
      <c r="DO47" s="4">
        <v>2062</v>
      </c>
      <c r="DP47" s="4">
        <v>6264</v>
      </c>
      <c r="DQ47" s="4">
        <v>39693</v>
      </c>
      <c r="DR47" s="4">
        <v>1820</v>
      </c>
      <c r="DS47" s="4">
        <v>3368</v>
      </c>
      <c r="DT47" s="4">
        <v>627</v>
      </c>
      <c r="DU47" s="4">
        <v>6462</v>
      </c>
      <c r="DV47" s="4">
        <v>3809</v>
      </c>
      <c r="DW47" s="4">
        <v>3263</v>
      </c>
      <c r="DX47" s="4">
        <v>6879</v>
      </c>
      <c r="DY47" s="4">
        <v>1196</v>
      </c>
      <c r="DZ47" s="4">
        <v>3014</v>
      </c>
      <c r="EA47" s="4">
        <v>6785</v>
      </c>
      <c r="EB47" s="4">
        <v>5368</v>
      </c>
      <c r="EC47" s="4">
        <v>592</v>
      </c>
      <c r="ED47" s="4">
        <v>818</v>
      </c>
      <c r="EE47" s="4">
        <v>24169</v>
      </c>
      <c r="EF47" s="4">
        <v>2663</v>
      </c>
      <c r="EG47" s="4">
        <v>9004</v>
      </c>
      <c r="EH47" s="4">
        <v>15906</v>
      </c>
      <c r="EJ47" s="4">
        <f t="shared" si="0"/>
        <v>1075441</v>
      </c>
    </row>
    <row r="48" spans="1:140" x14ac:dyDescent="0.25">
      <c r="A48" s="4" t="s">
        <v>184</v>
      </c>
      <c r="B48" s="4">
        <v>2041</v>
      </c>
      <c r="C48" s="4">
        <v>4210</v>
      </c>
      <c r="D48" s="4">
        <v>82</v>
      </c>
      <c r="E48" s="4">
        <v>1327</v>
      </c>
      <c r="F48" s="4">
        <v>1</v>
      </c>
      <c r="G48" s="4">
        <v>7</v>
      </c>
      <c r="H48" s="4">
        <v>10783</v>
      </c>
      <c r="I48" s="4">
        <v>76</v>
      </c>
      <c r="J48" s="4">
        <v>712</v>
      </c>
      <c r="K48" s="4">
        <v>42</v>
      </c>
      <c r="L48" s="4">
        <v>928</v>
      </c>
      <c r="M48" s="4">
        <v>187</v>
      </c>
      <c r="N48" s="4">
        <v>8297</v>
      </c>
      <c r="O48" s="4">
        <v>1250</v>
      </c>
      <c r="P48" s="4">
        <v>604</v>
      </c>
      <c r="Q48" s="4">
        <v>5538</v>
      </c>
      <c r="R48" s="4">
        <v>65</v>
      </c>
      <c r="S48" s="4">
        <v>1350</v>
      </c>
      <c r="T48" s="4">
        <v>2204</v>
      </c>
      <c r="U48" s="4">
        <v>1766</v>
      </c>
      <c r="V48" s="4">
        <v>4510</v>
      </c>
      <c r="W48" s="4">
        <v>1978</v>
      </c>
      <c r="X48" s="4">
        <v>413</v>
      </c>
      <c r="Y48" s="4">
        <v>542</v>
      </c>
      <c r="Z48" s="4">
        <v>1371</v>
      </c>
      <c r="AA48" s="4">
        <v>329</v>
      </c>
      <c r="AB48" s="4">
        <v>4264</v>
      </c>
      <c r="AC48" s="4">
        <v>433</v>
      </c>
      <c r="AD48" s="4">
        <v>192</v>
      </c>
      <c r="AE48" s="4">
        <v>783</v>
      </c>
      <c r="AF48" s="4">
        <v>834</v>
      </c>
      <c r="AG48">
        <v>15861</v>
      </c>
      <c r="AH48" s="4">
        <v>261</v>
      </c>
      <c r="AI48" s="4">
        <v>932</v>
      </c>
      <c r="AJ48" s="4">
        <v>239</v>
      </c>
      <c r="AK48" s="4">
        <v>1125</v>
      </c>
      <c r="AL48" s="4">
        <v>3135</v>
      </c>
      <c r="AM48" s="4">
        <v>580</v>
      </c>
      <c r="AN48" s="4">
        <v>326</v>
      </c>
      <c r="AO48" s="4">
        <v>7312</v>
      </c>
      <c r="AP48" s="4">
        <v>397</v>
      </c>
      <c r="AQ48" s="4">
        <v>77</v>
      </c>
      <c r="AR48" s="4">
        <v>1487</v>
      </c>
      <c r="AS48" s="4">
        <v>4006</v>
      </c>
      <c r="AT48" s="4">
        <v>643</v>
      </c>
      <c r="AU48" s="4">
        <v>5232</v>
      </c>
      <c r="AV48" s="4">
        <v>2434</v>
      </c>
      <c r="AW48" s="4">
        <v>2380</v>
      </c>
      <c r="AX48" s="4">
        <v>14090</v>
      </c>
      <c r="AY48" s="4">
        <v>78</v>
      </c>
      <c r="AZ48" s="4">
        <v>535</v>
      </c>
      <c r="BA48" s="4">
        <v>7065</v>
      </c>
      <c r="BB48" s="4">
        <v>114</v>
      </c>
      <c r="BC48" s="4">
        <v>490</v>
      </c>
      <c r="BD48" s="4">
        <v>4814</v>
      </c>
      <c r="BE48" s="4">
        <v>2690</v>
      </c>
      <c r="BF48" s="4">
        <v>6123</v>
      </c>
      <c r="BG48" s="4">
        <v>3197</v>
      </c>
      <c r="BH48" s="4">
        <v>1520</v>
      </c>
      <c r="BI48" s="4">
        <v>20101</v>
      </c>
      <c r="BJ48" s="4">
        <v>3666</v>
      </c>
      <c r="BK48" s="4">
        <v>5167</v>
      </c>
      <c r="BL48" s="4">
        <v>3220</v>
      </c>
      <c r="BM48" s="4">
        <v>3666</v>
      </c>
      <c r="BN48" s="4">
        <v>1032</v>
      </c>
      <c r="BO48" s="4">
        <v>1169</v>
      </c>
      <c r="BP48" s="4">
        <v>22925</v>
      </c>
      <c r="BQ48" s="4">
        <v>3269</v>
      </c>
      <c r="BR48" s="4">
        <v>55975</v>
      </c>
      <c r="BS48" s="4">
        <v>8002</v>
      </c>
      <c r="BT48" s="4">
        <v>6820</v>
      </c>
      <c r="BU48" s="4">
        <v>14828</v>
      </c>
      <c r="BV48" s="4">
        <v>2032</v>
      </c>
      <c r="BW48" s="4">
        <v>9097</v>
      </c>
      <c r="BX48" s="4">
        <v>2029</v>
      </c>
      <c r="BY48" s="4">
        <v>5793</v>
      </c>
      <c r="BZ48" s="4">
        <v>14785</v>
      </c>
      <c r="CA48" s="4">
        <v>2069</v>
      </c>
      <c r="CB48" s="4">
        <v>684</v>
      </c>
      <c r="CC48" s="4">
        <v>5472</v>
      </c>
      <c r="CD48" s="4">
        <v>2850</v>
      </c>
      <c r="CE48" s="4">
        <v>2285</v>
      </c>
      <c r="CF48" s="4">
        <v>4647</v>
      </c>
      <c r="CG48" s="4">
        <v>63918</v>
      </c>
      <c r="CH48" s="4">
        <v>15897</v>
      </c>
      <c r="CI48" s="4">
        <v>33586</v>
      </c>
      <c r="CJ48" s="4">
        <v>7003</v>
      </c>
      <c r="CK48" s="4">
        <v>13821</v>
      </c>
      <c r="CL48" s="4">
        <v>8441</v>
      </c>
      <c r="CM48" s="4">
        <v>14519</v>
      </c>
      <c r="CN48" s="4">
        <v>34535</v>
      </c>
      <c r="CO48" s="4">
        <v>7411</v>
      </c>
      <c r="CP48" s="4">
        <v>2134</v>
      </c>
      <c r="CQ48" s="4">
        <v>3708</v>
      </c>
      <c r="CR48" s="4">
        <v>4962</v>
      </c>
      <c r="CS48" s="4">
        <v>19441</v>
      </c>
      <c r="CT48" s="4">
        <v>11949</v>
      </c>
      <c r="CU48" s="4">
        <v>1055</v>
      </c>
      <c r="CV48" s="4">
        <v>158414</v>
      </c>
      <c r="CW48" s="4">
        <v>5376</v>
      </c>
      <c r="CX48" s="4">
        <v>1167</v>
      </c>
      <c r="CY48" s="4">
        <v>15120</v>
      </c>
      <c r="CZ48" s="4">
        <v>2863</v>
      </c>
      <c r="DA48" s="4">
        <v>4641</v>
      </c>
      <c r="DB48" s="4">
        <v>8522</v>
      </c>
      <c r="DC48" s="4">
        <v>2250</v>
      </c>
      <c r="DD48" s="4">
        <v>2068</v>
      </c>
      <c r="DE48" s="4">
        <v>1538</v>
      </c>
      <c r="DF48" s="4">
        <v>36230</v>
      </c>
      <c r="DG48" s="4">
        <v>9881</v>
      </c>
      <c r="DH48" s="4">
        <v>11650</v>
      </c>
      <c r="DI48" s="4">
        <v>3532</v>
      </c>
      <c r="DJ48" s="4">
        <v>17693</v>
      </c>
      <c r="DK48" s="4">
        <v>11383</v>
      </c>
      <c r="DL48" s="4">
        <v>6322</v>
      </c>
      <c r="DM48" s="4">
        <v>8530</v>
      </c>
      <c r="DN48" s="4">
        <v>12606</v>
      </c>
      <c r="DO48" s="4">
        <v>1927</v>
      </c>
      <c r="DP48" s="4">
        <v>5342</v>
      </c>
      <c r="DQ48" s="4">
        <v>38631</v>
      </c>
      <c r="DR48" s="4">
        <v>1782</v>
      </c>
      <c r="DS48" s="4">
        <v>3204</v>
      </c>
      <c r="DT48" s="4">
        <v>508</v>
      </c>
      <c r="DU48" s="4">
        <v>8937</v>
      </c>
      <c r="DV48" s="4">
        <v>4832</v>
      </c>
      <c r="DW48" s="4">
        <v>3087</v>
      </c>
      <c r="DX48" s="4">
        <v>8194</v>
      </c>
      <c r="DY48" s="4">
        <v>1251</v>
      </c>
      <c r="DZ48" s="4">
        <v>3626</v>
      </c>
      <c r="EA48" s="4">
        <v>6053</v>
      </c>
      <c r="EB48" s="4">
        <v>4675</v>
      </c>
      <c r="EC48" s="4">
        <v>531</v>
      </c>
      <c r="ED48" s="4">
        <v>793</v>
      </c>
      <c r="EE48" s="4">
        <v>25761</v>
      </c>
      <c r="EF48" s="4">
        <v>2876</v>
      </c>
      <c r="EG48" s="4">
        <v>12105</v>
      </c>
      <c r="EH48" s="4">
        <v>15968</v>
      </c>
      <c r="EJ48" s="4">
        <f t="shared" si="0"/>
        <v>1058094</v>
      </c>
    </row>
    <row r="49" spans="1:140" x14ac:dyDescent="0.25">
      <c r="A49" s="4" t="s">
        <v>185</v>
      </c>
      <c r="B49" s="4">
        <v>2231</v>
      </c>
      <c r="C49" s="4">
        <v>4881</v>
      </c>
      <c r="D49" s="4">
        <v>74</v>
      </c>
      <c r="E49" s="4">
        <v>1521</v>
      </c>
      <c r="F49" s="4">
        <v>39</v>
      </c>
      <c r="G49" s="4">
        <v>9</v>
      </c>
      <c r="H49" s="4">
        <v>14923</v>
      </c>
      <c r="I49" s="4">
        <v>52</v>
      </c>
      <c r="J49" s="4">
        <v>679</v>
      </c>
      <c r="K49" s="4">
        <v>22</v>
      </c>
      <c r="L49" s="4">
        <v>1065</v>
      </c>
      <c r="M49" s="4">
        <v>151</v>
      </c>
      <c r="N49" s="4">
        <v>9119</v>
      </c>
      <c r="O49" s="4">
        <v>1619</v>
      </c>
      <c r="P49" s="4">
        <v>1004</v>
      </c>
      <c r="Q49" s="4">
        <v>7093</v>
      </c>
      <c r="R49" s="4">
        <v>195</v>
      </c>
      <c r="S49" s="4">
        <v>1293</v>
      </c>
      <c r="T49" s="4">
        <v>3211</v>
      </c>
      <c r="U49" s="4">
        <v>2056</v>
      </c>
      <c r="V49" s="4">
        <v>3669</v>
      </c>
      <c r="W49" s="4">
        <v>1878</v>
      </c>
      <c r="X49" s="4">
        <v>365</v>
      </c>
      <c r="Y49" s="4">
        <v>636</v>
      </c>
      <c r="Z49" s="4">
        <v>2159</v>
      </c>
      <c r="AA49" s="4">
        <v>400</v>
      </c>
      <c r="AB49" s="4">
        <v>3509</v>
      </c>
      <c r="AC49" s="4">
        <v>416</v>
      </c>
      <c r="AD49" s="4">
        <v>160</v>
      </c>
      <c r="AE49" s="4">
        <v>806</v>
      </c>
      <c r="AF49" s="4">
        <v>990</v>
      </c>
      <c r="AG49">
        <v>16666</v>
      </c>
      <c r="AH49" s="4">
        <v>259</v>
      </c>
      <c r="AI49" s="4">
        <v>1308</v>
      </c>
      <c r="AJ49" s="4">
        <v>256</v>
      </c>
      <c r="AK49" s="4">
        <v>1520</v>
      </c>
      <c r="AL49" s="4">
        <v>2639</v>
      </c>
      <c r="AM49" s="4">
        <v>456</v>
      </c>
      <c r="AN49" s="4">
        <v>358</v>
      </c>
      <c r="AO49" s="4">
        <v>7080</v>
      </c>
      <c r="AP49" s="4">
        <v>447</v>
      </c>
      <c r="AQ49" s="4">
        <v>87</v>
      </c>
      <c r="AR49" s="4">
        <v>1704</v>
      </c>
      <c r="AS49" s="4">
        <v>4147</v>
      </c>
      <c r="AT49" s="4">
        <v>574</v>
      </c>
      <c r="AU49" s="4">
        <v>3736</v>
      </c>
      <c r="AV49" s="4">
        <v>2551</v>
      </c>
      <c r="AW49" s="4">
        <v>2361</v>
      </c>
      <c r="AX49" s="4">
        <v>14445</v>
      </c>
      <c r="AY49" s="4">
        <v>69</v>
      </c>
      <c r="AZ49" s="4">
        <v>519</v>
      </c>
      <c r="BA49" s="4">
        <v>6145</v>
      </c>
      <c r="BB49" s="4">
        <v>89</v>
      </c>
      <c r="BC49" s="4">
        <v>390</v>
      </c>
      <c r="BD49" s="4">
        <v>5481</v>
      </c>
      <c r="BE49" s="4">
        <v>2966</v>
      </c>
      <c r="BF49" s="4">
        <v>2190</v>
      </c>
      <c r="BG49" s="4">
        <v>2973</v>
      </c>
      <c r="BH49" s="4">
        <v>1766</v>
      </c>
      <c r="BI49" s="4">
        <v>22447</v>
      </c>
      <c r="BJ49" s="4">
        <v>2997</v>
      </c>
      <c r="BK49" s="4">
        <v>5154</v>
      </c>
      <c r="BL49" s="4">
        <v>2996</v>
      </c>
      <c r="BM49" s="4">
        <v>4151</v>
      </c>
      <c r="BN49" s="4">
        <v>897</v>
      </c>
      <c r="BO49" s="4">
        <v>1521</v>
      </c>
      <c r="BP49" s="4">
        <v>26144</v>
      </c>
      <c r="BQ49" s="4">
        <v>2601</v>
      </c>
      <c r="BR49" s="4">
        <v>56220</v>
      </c>
      <c r="BS49" s="4">
        <v>8508</v>
      </c>
      <c r="BT49" s="4">
        <v>9590</v>
      </c>
      <c r="BU49" s="4">
        <v>17312</v>
      </c>
      <c r="BV49" s="4">
        <v>2484</v>
      </c>
      <c r="BW49" s="4">
        <v>10195</v>
      </c>
      <c r="BX49" s="4">
        <v>2607</v>
      </c>
      <c r="BY49" s="4">
        <v>5389</v>
      </c>
      <c r="BZ49" s="4">
        <v>14846</v>
      </c>
      <c r="CA49" s="4">
        <v>2299</v>
      </c>
      <c r="CB49" s="4">
        <v>736</v>
      </c>
      <c r="CC49" s="4">
        <v>4736</v>
      </c>
      <c r="CD49" s="4">
        <v>2536</v>
      </c>
      <c r="CE49" s="4">
        <v>2695</v>
      </c>
      <c r="CF49" s="4">
        <v>5356</v>
      </c>
      <c r="CG49" s="4">
        <v>66678</v>
      </c>
      <c r="CH49" s="4">
        <v>38957</v>
      </c>
      <c r="CI49" s="4">
        <v>55133</v>
      </c>
      <c r="CJ49" s="4">
        <v>18789</v>
      </c>
      <c r="CK49" s="4">
        <v>24244</v>
      </c>
      <c r="CL49" s="4">
        <v>17276</v>
      </c>
      <c r="CM49" s="4">
        <v>22973</v>
      </c>
      <c r="CN49" s="4">
        <v>40529</v>
      </c>
      <c r="CO49" s="4">
        <v>9159</v>
      </c>
      <c r="CP49" s="4">
        <v>2619</v>
      </c>
      <c r="CQ49" s="4">
        <v>10154</v>
      </c>
      <c r="CR49" s="4">
        <v>9195</v>
      </c>
      <c r="CS49" s="4">
        <v>22414</v>
      </c>
      <c r="CT49" s="4">
        <v>14558</v>
      </c>
      <c r="CU49" s="4">
        <v>1313</v>
      </c>
      <c r="CV49" s="4">
        <v>167037</v>
      </c>
      <c r="CW49" s="4">
        <v>9512</v>
      </c>
      <c r="CX49" s="4">
        <v>1834</v>
      </c>
      <c r="CY49" s="4">
        <v>25394</v>
      </c>
      <c r="CZ49" s="4">
        <v>6201</v>
      </c>
      <c r="DA49" s="4">
        <v>5038</v>
      </c>
      <c r="DB49" s="4">
        <v>8653</v>
      </c>
      <c r="DC49" s="4">
        <v>2555</v>
      </c>
      <c r="DD49" s="4">
        <v>2039</v>
      </c>
      <c r="DE49" s="4">
        <v>1446</v>
      </c>
      <c r="DF49" s="4">
        <v>32355</v>
      </c>
      <c r="DG49" s="4">
        <v>12562</v>
      </c>
      <c r="DH49" s="4">
        <v>11779</v>
      </c>
      <c r="DI49" s="4">
        <v>5000</v>
      </c>
      <c r="DJ49" s="4">
        <v>18504</v>
      </c>
      <c r="DK49" s="4">
        <v>10608</v>
      </c>
      <c r="DL49" s="4">
        <v>7720</v>
      </c>
      <c r="DM49" s="4">
        <v>9869</v>
      </c>
      <c r="DN49" s="4">
        <v>13003</v>
      </c>
      <c r="DO49" s="4">
        <v>2221</v>
      </c>
      <c r="DP49" s="4">
        <v>5148</v>
      </c>
      <c r="DQ49" s="4">
        <v>38924</v>
      </c>
      <c r="DR49" s="4">
        <v>2047</v>
      </c>
      <c r="DS49" s="4">
        <v>5121</v>
      </c>
      <c r="DT49" s="4">
        <v>538</v>
      </c>
      <c r="DU49" s="4">
        <v>6547</v>
      </c>
      <c r="DV49" s="4">
        <v>4072</v>
      </c>
      <c r="DW49" s="4">
        <v>9811</v>
      </c>
      <c r="DX49" s="4">
        <v>6889</v>
      </c>
      <c r="DY49" s="4">
        <v>1767</v>
      </c>
      <c r="DZ49" s="4">
        <v>4439</v>
      </c>
      <c r="EA49" s="4">
        <v>6105</v>
      </c>
      <c r="EB49" s="4">
        <v>3533</v>
      </c>
      <c r="EC49" s="4">
        <v>476</v>
      </c>
      <c r="ED49" s="4">
        <v>1088</v>
      </c>
      <c r="EE49" s="4">
        <v>28892</v>
      </c>
      <c r="EF49" s="4">
        <v>2690</v>
      </c>
      <c r="EG49" s="4">
        <v>12059</v>
      </c>
      <c r="EH49" s="4">
        <v>16251</v>
      </c>
      <c r="EJ49" s="4">
        <f t="shared" si="0"/>
        <v>1227542</v>
      </c>
    </row>
    <row r="50" spans="1:140" x14ac:dyDescent="0.25">
      <c r="A50" s="4" t="s">
        <v>186</v>
      </c>
      <c r="B50" s="4">
        <v>1881</v>
      </c>
      <c r="C50" s="4">
        <v>4147</v>
      </c>
      <c r="D50" s="4">
        <v>134</v>
      </c>
      <c r="E50" s="4">
        <v>2032</v>
      </c>
      <c r="F50" s="4">
        <v>1</v>
      </c>
      <c r="G50" s="4">
        <v>15</v>
      </c>
      <c r="H50" s="4">
        <v>13228</v>
      </c>
      <c r="I50" s="4">
        <v>40</v>
      </c>
      <c r="J50" s="4">
        <v>777</v>
      </c>
      <c r="K50" s="4">
        <v>9</v>
      </c>
      <c r="L50" s="4">
        <v>1085</v>
      </c>
      <c r="M50" s="4">
        <v>133</v>
      </c>
      <c r="N50" s="4">
        <v>10654</v>
      </c>
      <c r="O50" s="4">
        <v>1236</v>
      </c>
      <c r="P50" s="4">
        <v>726</v>
      </c>
      <c r="Q50" s="4">
        <v>6974</v>
      </c>
      <c r="R50" s="4">
        <v>122</v>
      </c>
      <c r="S50" s="4">
        <v>1481</v>
      </c>
      <c r="T50" s="4">
        <v>2231</v>
      </c>
      <c r="U50" s="4">
        <v>1499</v>
      </c>
      <c r="V50" s="4">
        <v>4807</v>
      </c>
      <c r="W50" s="4">
        <v>2030</v>
      </c>
      <c r="X50" s="4">
        <v>396</v>
      </c>
      <c r="Y50" s="4">
        <v>893</v>
      </c>
      <c r="Z50" s="4">
        <v>824</v>
      </c>
      <c r="AA50" s="4">
        <v>396</v>
      </c>
      <c r="AB50" s="4">
        <v>3500</v>
      </c>
      <c r="AC50" s="4">
        <v>568</v>
      </c>
      <c r="AD50" s="4">
        <v>337</v>
      </c>
      <c r="AE50" s="4">
        <v>2759</v>
      </c>
      <c r="AF50" s="4">
        <v>1428</v>
      </c>
      <c r="AG50">
        <v>21419</v>
      </c>
      <c r="AH50" s="4">
        <v>362</v>
      </c>
      <c r="AI50" s="4">
        <v>2467</v>
      </c>
      <c r="AJ50" s="4">
        <v>244</v>
      </c>
      <c r="AK50" s="4">
        <v>1573</v>
      </c>
      <c r="AL50" s="4">
        <v>3683</v>
      </c>
      <c r="AM50" s="4">
        <v>636</v>
      </c>
      <c r="AN50" s="4">
        <v>270</v>
      </c>
      <c r="AO50" s="4">
        <v>8981</v>
      </c>
      <c r="AP50" s="4">
        <v>607</v>
      </c>
      <c r="AQ50" s="4">
        <v>62</v>
      </c>
      <c r="AR50" s="4">
        <v>1710</v>
      </c>
      <c r="AS50" s="4">
        <v>5008</v>
      </c>
      <c r="AT50" s="4">
        <v>789</v>
      </c>
      <c r="AU50" s="4">
        <v>2213</v>
      </c>
      <c r="AV50" s="4">
        <v>2986</v>
      </c>
      <c r="AW50" s="4">
        <v>5764</v>
      </c>
      <c r="AX50" s="4">
        <v>19024</v>
      </c>
      <c r="AY50" s="4">
        <v>149</v>
      </c>
      <c r="AZ50" s="4">
        <v>517</v>
      </c>
      <c r="BA50" s="4">
        <v>6783</v>
      </c>
      <c r="BB50" s="4">
        <v>121</v>
      </c>
      <c r="BC50" s="4">
        <v>418</v>
      </c>
      <c r="BD50" s="4">
        <v>6111</v>
      </c>
      <c r="BE50" s="4">
        <v>2273</v>
      </c>
      <c r="BF50" s="4">
        <v>1891</v>
      </c>
      <c r="BG50" s="4">
        <v>3583</v>
      </c>
      <c r="BH50" s="4">
        <v>1520</v>
      </c>
      <c r="BI50" s="4">
        <v>27117</v>
      </c>
      <c r="BJ50" s="4">
        <v>3041</v>
      </c>
      <c r="BK50" s="4">
        <v>5427</v>
      </c>
      <c r="BL50" s="4">
        <v>2344</v>
      </c>
      <c r="BM50" s="4">
        <v>4175</v>
      </c>
      <c r="BN50" s="4">
        <v>1124</v>
      </c>
      <c r="BO50" s="4">
        <v>1021</v>
      </c>
      <c r="BP50" s="4">
        <v>19143</v>
      </c>
      <c r="BQ50" s="4">
        <v>3000</v>
      </c>
      <c r="BR50" s="4">
        <v>60850</v>
      </c>
      <c r="BS50" s="4">
        <v>8348</v>
      </c>
      <c r="BT50" s="4">
        <v>7089</v>
      </c>
      <c r="BU50" s="4">
        <v>16007</v>
      </c>
      <c r="BV50" s="4">
        <v>2547</v>
      </c>
      <c r="BW50" s="4">
        <v>10729</v>
      </c>
      <c r="BX50" s="4">
        <v>2114</v>
      </c>
      <c r="BY50" s="4">
        <v>4773</v>
      </c>
      <c r="BZ50" s="4">
        <v>17851</v>
      </c>
      <c r="CA50" s="4">
        <v>1993</v>
      </c>
      <c r="CB50" s="4">
        <v>810</v>
      </c>
      <c r="CC50" s="4">
        <v>5207</v>
      </c>
      <c r="CD50" s="4">
        <v>2960</v>
      </c>
      <c r="CE50" s="4">
        <v>3690</v>
      </c>
      <c r="CF50" s="4">
        <v>6460</v>
      </c>
      <c r="CG50" s="4">
        <v>83517</v>
      </c>
      <c r="CH50" s="4">
        <v>12964</v>
      </c>
      <c r="CI50" s="4">
        <v>25469</v>
      </c>
      <c r="CJ50" s="4">
        <v>5358</v>
      </c>
      <c r="CK50" s="4">
        <v>16211</v>
      </c>
      <c r="CL50" s="4">
        <v>11708</v>
      </c>
      <c r="CM50" s="4">
        <v>15092</v>
      </c>
      <c r="CN50" s="4">
        <v>38044</v>
      </c>
      <c r="CO50" s="4">
        <v>5344</v>
      </c>
      <c r="CP50" s="4">
        <v>2636</v>
      </c>
      <c r="CQ50" s="4">
        <v>5593</v>
      </c>
      <c r="CR50" s="4">
        <v>5674</v>
      </c>
      <c r="CS50" s="4">
        <v>22665</v>
      </c>
      <c r="CT50" s="4">
        <v>15132</v>
      </c>
      <c r="CU50" s="4">
        <v>1505</v>
      </c>
      <c r="CV50" s="4">
        <v>185721</v>
      </c>
      <c r="CW50" s="4">
        <v>4829</v>
      </c>
      <c r="CX50" s="4">
        <v>1443</v>
      </c>
      <c r="CY50" s="4">
        <v>19084</v>
      </c>
      <c r="CZ50" s="4">
        <v>3457</v>
      </c>
      <c r="DA50" s="4">
        <v>5516</v>
      </c>
      <c r="DB50" s="4">
        <v>9231</v>
      </c>
      <c r="DC50" s="4">
        <v>2572</v>
      </c>
      <c r="DD50" s="4">
        <v>2341</v>
      </c>
      <c r="DE50" s="4">
        <v>1635</v>
      </c>
      <c r="DF50" s="4">
        <v>37004</v>
      </c>
      <c r="DG50" s="4">
        <v>11111</v>
      </c>
      <c r="DH50" s="4">
        <v>12547</v>
      </c>
      <c r="DI50" s="4">
        <v>3388</v>
      </c>
      <c r="DJ50" s="4">
        <v>20558</v>
      </c>
      <c r="DK50" s="4">
        <v>12229</v>
      </c>
      <c r="DL50" s="4">
        <v>7568</v>
      </c>
      <c r="DM50" s="4">
        <v>11491</v>
      </c>
      <c r="DN50" s="4">
        <v>12340</v>
      </c>
      <c r="DO50" s="4">
        <v>2103</v>
      </c>
      <c r="DP50" s="4">
        <v>6037</v>
      </c>
      <c r="DQ50" s="4">
        <v>41863</v>
      </c>
      <c r="DR50" s="4">
        <v>2213</v>
      </c>
      <c r="DS50" s="4">
        <v>6598</v>
      </c>
      <c r="DT50" s="4">
        <v>587</v>
      </c>
      <c r="DU50" s="4">
        <v>7854</v>
      </c>
      <c r="DV50" s="4">
        <v>3750</v>
      </c>
      <c r="DW50" s="4">
        <v>5445</v>
      </c>
      <c r="DX50" s="4">
        <v>5923</v>
      </c>
      <c r="DY50" s="4">
        <v>1456</v>
      </c>
      <c r="DZ50" s="4">
        <v>2084</v>
      </c>
      <c r="EA50" s="4">
        <v>7144</v>
      </c>
      <c r="EB50" s="4">
        <v>3281</v>
      </c>
      <c r="EC50" s="4">
        <v>550</v>
      </c>
      <c r="ED50" s="4">
        <v>779</v>
      </c>
      <c r="EE50" s="4">
        <v>22537</v>
      </c>
      <c r="EF50" s="4">
        <v>2244</v>
      </c>
      <c r="EG50" s="4">
        <v>8235</v>
      </c>
      <c r="EH50" s="4">
        <v>19014</v>
      </c>
      <c r="EJ50" s="4">
        <f t="shared" si="0"/>
        <v>1166001</v>
      </c>
    </row>
    <row r="51" spans="1:140" x14ac:dyDescent="0.25">
      <c r="A51" s="4" t="s">
        <v>187</v>
      </c>
      <c r="B51" s="4">
        <v>2520</v>
      </c>
      <c r="C51" s="4">
        <v>4299</v>
      </c>
      <c r="D51" s="4">
        <v>77</v>
      </c>
      <c r="E51" s="4">
        <v>1602</v>
      </c>
      <c r="F51" s="4">
        <v>2</v>
      </c>
      <c r="G51" s="4">
        <v>21</v>
      </c>
      <c r="H51" s="4">
        <v>13537</v>
      </c>
      <c r="I51" s="4">
        <v>34</v>
      </c>
      <c r="J51" s="4">
        <v>922</v>
      </c>
      <c r="K51" s="4">
        <v>37</v>
      </c>
      <c r="L51" s="4">
        <v>1444</v>
      </c>
      <c r="M51" s="4">
        <v>236</v>
      </c>
      <c r="N51" s="4">
        <v>9568</v>
      </c>
      <c r="O51" s="4">
        <v>1501</v>
      </c>
      <c r="P51" s="4">
        <v>649</v>
      </c>
      <c r="Q51" s="4">
        <v>7160</v>
      </c>
      <c r="R51" s="4">
        <v>21</v>
      </c>
      <c r="S51" s="4">
        <v>1541</v>
      </c>
      <c r="T51" s="4">
        <v>2117</v>
      </c>
      <c r="U51" s="4">
        <v>1676</v>
      </c>
      <c r="V51" s="4">
        <v>4475</v>
      </c>
      <c r="W51" s="4">
        <v>1996</v>
      </c>
      <c r="X51" s="4">
        <v>487</v>
      </c>
      <c r="Y51" s="4">
        <v>579</v>
      </c>
      <c r="Z51" s="4">
        <v>830</v>
      </c>
      <c r="AA51" s="4">
        <v>398</v>
      </c>
      <c r="AB51" s="4">
        <v>3745</v>
      </c>
      <c r="AC51" s="4">
        <v>564</v>
      </c>
      <c r="AD51" s="4">
        <v>248</v>
      </c>
      <c r="AE51" s="4">
        <v>1771</v>
      </c>
      <c r="AF51" s="4">
        <v>1227</v>
      </c>
      <c r="AG51">
        <v>18443</v>
      </c>
      <c r="AH51" s="4">
        <v>391</v>
      </c>
      <c r="AI51" s="4">
        <v>2972</v>
      </c>
      <c r="AJ51" s="4">
        <v>244</v>
      </c>
      <c r="AK51" s="4">
        <v>1452</v>
      </c>
      <c r="AL51" s="4">
        <v>3448</v>
      </c>
      <c r="AM51" s="4">
        <v>573</v>
      </c>
      <c r="AN51" s="4">
        <v>481</v>
      </c>
      <c r="AO51" s="4">
        <v>10151</v>
      </c>
      <c r="AP51" s="4">
        <v>470</v>
      </c>
      <c r="AQ51" s="4">
        <v>113</v>
      </c>
      <c r="AR51" s="4">
        <v>2902</v>
      </c>
      <c r="AS51" s="4">
        <v>10181</v>
      </c>
      <c r="AT51" s="4">
        <v>673</v>
      </c>
      <c r="AU51" s="4">
        <v>2054</v>
      </c>
      <c r="AV51" s="4">
        <v>2465</v>
      </c>
      <c r="AW51" s="4">
        <v>5200</v>
      </c>
      <c r="AX51" s="4">
        <v>21077</v>
      </c>
      <c r="AY51" s="4">
        <v>135</v>
      </c>
      <c r="AZ51" s="4">
        <v>563</v>
      </c>
      <c r="BA51" s="4">
        <v>7413</v>
      </c>
      <c r="BB51" s="4">
        <v>124</v>
      </c>
      <c r="BC51" s="4">
        <v>427</v>
      </c>
      <c r="BD51" s="4">
        <v>5179</v>
      </c>
      <c r="BE51" s="4">
        <v>3123</v>
      </c>
      <c r="BF51" s="4">
        <v>2106</v>
      </c>
      <c r="BG51" s="4">
        <v>3797</v>
      </c>
      <c r="BH51" s="4">
        <v>1346</v>
      </c>
      <c r="BI51" s="4">
        <v>23852</v>
      </c>
      <c r="BJ51" s="4">
        <v>3620</v>
      </c>
      <c r="BK51" s="4">
        <v>5344</v>
      </c>
      <c r="BL51" s="4">
        <v>2943</v>
      </c>
      <c r="BM51" s="4">
        <v>4848</v>
      </c>
      <c r="BN51" s="4">
        <v>882</v>
      </c>
      <c r="BO51" s="4">
        <v>996</v>
      </c>
      <c r="BP51" s="4">
        <v>19922</v>
      </c>
      <c r="BQ51" s="4">
        <v>2716</v>
      </c>
      <c r="BR51" s="4">
        <v>58119</v>
      </c>
      <c r="BS51" s="4">
        <v>7780</v>
      </c>
      <c r="BT51" s="4">
        <v>7041</v>
      </c>
      <c r="BU51" s="4">
        <v>15772</v>
      </c>
      <c r="BV51" s="4">
        <v>2572</v>
      </c>
      <c r="BW51" s="4">
        <v>10030</v>
      </c>
      <c r="BX51" s="4">
        <v>2179</v>
      </c>
      <c r="BY51" s="4">
        <v>4472</v>
      </c>
      <c r="BZ51" s="4">
        <v>19004</v>
      </c>
      <c r="CA51" s="4">
        <v>2158</v>
      </c>
      <c r="CB51" s="4">
        <v>857</v>
      </c>
      <c r="CC51" s="4">
        <v>4839</v>
      </c>
      <c r="CD51" s="4">
        <v>3813</v>
      </c>
      <c r="CE51" s="4">
        <v>3220</v>
      </c>
      <c r="CF51" s="4">
        <v>5990</v>
      </c>
      <c r="CG51" s="4">
        <v>72862</v>
      </c>
      <c r="CH51" s="4">
        <v>12031</v>
      </c>
      <c r="CI51" s="4">
        <v>22803</v>
      </c>
      <c r="CJ51" s="4">
        <v>5855</v>
      </c>
      <c r="CK51" s="4">
        <v>15327</v>
      </c>
      <c r="CL51" s="4">
        <v>11750</v>
      </c>
      <c r="CM51" s="4">
        <v>13768</v>
      </c>
      <c r="CN51" s="4">
        <v>36697</v>
      </c>
      <c r="CO51" s="4">
        <v>5014</v>
      </c>
      <c r="CP51" s="4">
        <v>2709</v>
      </c>
      <c r="CQ51" s="4">
        <v>4214</v>
      </c>
      <c r="CR51" s="4">
        <v>5285</v>
      </c>
      <c r="CS51" s="4">
        <v>22451</v>
      </c>
      <c r="CT51" s="4">
        <v>15515</v>
      </c>
      <c r="CU51" s="4">
        <v>1979</v>
      </c>
      <c r="CV51" s="4">
        <v>192575</v>
      </c>
      <c r="CW51" s="4">
        <v>5363</v>
      </c>
      <c r="CX51" s="4">
        <v>1438</v>
      </c>
      <c r="CY51" s="4">
        <v>18708</v>
      </c>
      <c r="CZ51" s="4">
        <v>2979</v>
      </c>
      <c r="DA51" s="4">
        <v>5359</v>
      </c>
      <c r="DB51" s="4">
        <v>10360</v>
      </c>
      <c r="DC51" s="4">
        <v>3083</v>
      </c>
      <c r="DD51" s="4">
        <v>2627</v>
      </c>
      <c r="DE51" s="4">
        <v>1760</v>
      </c>
      <c r="DF51" s="4">
        <v>39654</v>
      </c>
      <c r="DG51" s="4">
        <v>13461</v>
      </c>
      <c r="DH51" s="4">
        <v>13503</v>
      </c>
      <c r="DI51" s="4">
        <v>4938</v>
      </c>
      <c r="DJ51" s="4">
        <v>24195</v>
      </c>
      <c r="DK51" s="4">
        <v>13570</v>
      </c>
      <c r="DL51" s="4">
        <v>8854</v>
      </c>
      <c r="DM51" s="4">
        <v>10434</v>
      </c>
      <c r="DN51" s="4">
        <v>16545</v>
      </c>
      <c r="DO51" s="4">
        <v>1993</v>
      </c>
      <c r="DP51" s="4">
        <v>5952</v>
      </c>
      <c r="DQ51" s="4">
        <v>45027</v>
      </c>
      <c r="DR51" s="4">
        <v>2240</v>
      </c>
      <c r="DS51" s="4">
        <v>3270</v>
      </c>
      <c r="DT51" s="4">
        <v>561</v>
      </c>
      <c r="DU51" s="4">
        <v>7582</v>
      </c>
      <c r="DV51" s="4">
        <v>4365</v>
      </c>
      <c r="DW51" s="4">
        <v>4484</v>
      </c>
      <c r="DX51" s="4">
        <v>6674</v>
      </c>
      <c r="DY51" s="4">
        <v>1212</v>
      </c>
      <c r="DZ51" s="4">
        <v>1984</v>
      </c>
      <c r="EA51" s="4">
        <v>6928</v>
      </c>
      <c r="EB51" s="4">
        <v>3678</v>
      </c>
      <c r="EC51" s="4">
        <v>543</v>
      </c>
      <c r="ED51" s="4">
        <v>671</v>
      </c>
      <c r="EE51" s="4">
        <v>22119</v>
      </c>
      <c r="EF51" s="4">
        <v>2267</v>
      </c>
      <c r="EG51" s="4">
        <v>9010</v>
      </c>
      <c r="EH51" s="4">
        <v>17963</v>
      </c>
      <c r="EJ51" s="4">
        <f t="shared" si="0"/>
        <v>1171945</v>
      </c>
    </row>
    <row r="52" spans="1:140" x14ac:dyDescent="0.25">
      <c r="A52" s="4" t="s">
        <v>188</v>
      </c>
      <c r="B52" s="4">
        <v>2336</v>
      </c>
      <c r="C52" s="4">
        <v>4672</v>
      </c>
      <c r="D52" s="4">
        <v>141</v>
      </c>
      <c r="E52" s="4">
        <v>1450</v>
      </c>
      <c r="F52" s="4">
        <v>5</v>
      </c>
      <c r="G52" s="4">
        <v>19</v>
      </c>
      <c r="H52" s="4">
        <v>12915</v>
      </c>
      <c r="I52" s="4">
        <v>38</v>
      </c>
      <c r="J52" s="4">
        <v>874</v>
      </c>
      <c r="K52" s="4">
        <v>17</v>
      </c>
      <c r="L52" s="4">
        <v>1329</v>
      </c>
      <c r="M52" s="4">
        <v>302</v>
      </c>
      <c r="N52" s="4">
        <v>10160</v>
      </c>
      <c r="O52" s="4">
        <v>1983</v>
      </c>
      <c r="P52" s="4">
        <v>884</v>
      </c>
      <c r="Q52" s="4">
        <v>7994</v>
      </c>
      <c r="R52" s="4">
        <v>11</v>
      </c>
      <c r="S52" s="4">
        <v>1369</v>
      </c>
      <c r="T52" s="4">
        <v>2252</v>
      </c>
      <c r="U52" s="4">
        <v>1775</v>
      </c>
      <c r="V52" s="4">
        <v>5253</v>
      </c>
      <c r="W52" s="4">
        <v>2251</v>
      </c>
      <c r="X52" s="4">
        <v>487</v>
      </c>
      <c r="Y52" s="4">
        <v>561</v>
      </c>
      <c r="Z52" s="4">
        <v>808</v>
      </c>
      <c r="AA52" s="4">
        <v>439</v>
      </c>
      <c r="AB52" s="4">
        <v>3891</v>
      </c>
      <c r="AC52" s="4">
        <v>473</v>
      </c>
      <c r="AD52" s="4">
        <v>242</v>
      </c>
      <c r="AE52" s="4">
        <v>1148</v>
      </c>
      <c r="AF52" s="4">
        <v>661</v>
      </c>
      <c r="AG52">
        <v>17292</v>
      </c>
      <c r="AH52" s="4">
        <v>353</v>
      </c>
      <c r="AI52" s="4">
        <v>2344</v>
      </c>
      <c r="AJ52" s="4">
        <v>272</v>
      </c>
      <c r="AK52" s="4">
        <v>1054</v>
      </c>
      <c r="AL52" s="4">
        <v>2867</v>
      </c>
      <c r="AM52" s="4">
        <v>641</v>
      </c>
      <c r="AN52" s="4">
        <v>461</v>
      </c>
      <c r="AO52" s="4">
        <v>7448</v>
      </c>
      <c r="AP52" s="4">
        <v>432</v>
      </c>
      <c r="AQ52" s="4">
        <v>102</v>
      </c>
      <c r="AR52" s="4">
        <v>1803</v>
      </c>
      <c r="AS52" s="4">
        <v>8581</v>
      </c>
      <c r="AT52" s="4">
        <v>801</v>
      </c>
      <c r="AU52" s="4">
        <v>1591</v>
      </c>
      <c r="AV52" s="4">
        <v>3225</v>
      </c>
      <c r="AW52" s="4">
        <v>12616</v>
      </c>
      <c r="AX52" s="4">
        <v>17943</v>
      </c>
      <c r="AY52" s="4">
        <v>332</v>
      </c>
      <c r="AZ52" s="4">
        <v>487</v>
      </c>
      <c r="BA52" s="4">
        <v>22759</v>
      </c>
      <c r="BB52" s="4">
        <v>126</v>
      </c>
      <c r="BC52" s="4">
        <v>458</v>
      </c>
      <c r="BD52" s="4">
        <v>5785</v>
      </c>
      <c r="BE52" s="4">
        <v>3305</v>
      </c>
      <c r="BF52" s="4">
        <v>1495</v>
      </c>
      <c r="BG52" s="4">
        <v>3765</v>
      </c>
      <c r="BH52" s="4">
        <v>1882</v>
      </c>
      <c r="BI52" s="4">
        <v>21393</v>
      </c>
      <c r="BJ52" s="4">
        <v>3175</v>
      </c>
      <c r="BK52" s="4">
        <v>6087</v>
      </c>
      <c r="BL52" s="4">
        <v>2987</v>
      </c>
      <c r="BM52" s="4">
        <v>4249</v>
      </c>
      <c r="BN52" s="4">
        <v>1016</v>
      </c>
      <c r="BO52" s="4">
        <v>1035</v>
      </c>
      <c r="BP52" s="4">
        <v>18951</v>
      </c>
      <c r="BQ52" s="4">
        <v>2770</v>
      </c>
      <c r="BR52" s="4">
        <v>63296</v>
      </c>
      <c r="BS52" s="4">
        <v>8302</v>
      </c>
      <c r="BT52" s="4">
        <v>8343</v>
      </c>
      <c r="BU52" s="4">
        <v>15632</v>
      </c>
      <c r="BV52" s="4">
        <v>2532</v>
      </c>
      <c r="BW52" s="4">
        <v>10513</v>
      </c>
      <c r="BX52" s="4">
        <v>2160</v>
      </c>
      <c r="BY52" s="4">
        <v>5197</v>
      </c>
      <c r="BZ52" s="4">
        <v>18877</v>
      </c>
      <c r="CA52" s="4">
        <v>2161</v>
      </c>
      <c r="CB52" s="4">
        <v>884</v>
      </c>
      <c r="CC52" s="4">
        <v>5543</v>
      </c>
      <c r="CD52" s="4">
        <v>3755</v>
      </c>
      <c r="CE52" s="4">
        <v>3004</v>
      </c>
      <c r="CF52" s="4">
        <v>6373</v>
      </c>
      <c r="CG52" s="4">
        <v>79550</v>
      </c>
      <c r="CH52" s="4">
        <v>12588</v>
      </c>
      <c r="CI52" s="4">
        <v>22708</v>
      </c>
      <c r="CJ52" s="4">
        <v>6397</v>
      </c>
      <c r="CK52" s="4">
        <v>15037</v>
      </c>
      <c r="CL52" s="4">
        <v>10802</v>
      </c>
      <c r="CM52" s="4">
        <v>13830</v>
      </c>
      <c r="CN52" s="4">
        <v>37609</v>
      </c>
      <c r="CO52" s="4">
        <v>5233</v>
      </c>
      <c r="CP52" s="4">
        <v>2574</v>
      </c>
      <c r="CQ52" s="4">
        <v>3926</v>
      </c>
      <c r="CR52" s="4">
        <v>6567</v>
      </c>
      <c r="CS52" s="4">
        <v>24173</v>
      </c>
      <c r="CT52" s="4">
        <v>15140</v>
      </c>
      <c r="CU52" s="4">
        <v>1709</v>
      </c>
      <c r="CV52" s="4">
        <v>201120</v>
      </c>
      <c r="CW52" s="4">
        <v>5383</v>
      </c>
      <c r="CX52" s="4">
        <v>1519</v>
      </c>
      <c r="CY52" s="4">
        <v>21186</v>
      </c>
      <c r="CZ52" s="4">
        <v>2756</v>
      </c>
      <c r="DA52" s="4">
        <v>5601</v>
      </c>
      <c r="DB52" s="4">
        <v>10573</v>
      </c>
      <c r="DC52" s="4">
        <v>2972</v>
      </c>
      <c r="DD52" s="4">
        <v>2603</v>
      </c>
      <c r="DE52" s="4">
        <v>1671</v>
      </c>
      <c r="DF52" s="4">
        <v>38001</v>
      </c>
      <c r="DG52" s="4">
        <v>14915</v>
      </c>
      <c r="DH52" s="4">
        <v>13168</v>
      </c>
      <c r="DI52" s="4">
        <v>5519</v>
      </c>
      <c r="DJ52" s="4">
        <v>23157</v>
      </c>
      <c r="DK52" s="4">
        <v>14439</v>
      </c>
      <c r="DL52" s="4">
        <v>8393</v>
      </c>
      <c r="DM52" s="4">
        <v>11743</v>
      </c>
      <c r="DN52" s="4">
        <v>19245</v>
      </c>
      <c r="DO52" s="4">
        <v>2375</v>
      </c>
      <c r="DP52" s="4">
        <v>6258</v>
      </c>
      <c r="DQ52" s="4">
        <v>48184</v>
      </c>
      <c r="DR52" s="4">
        <v>2531</v>
      </c>
      <c r="DS52" s="4">
        <v>4282</v>
      </c>
      <c r="DT52" s="4">
        <v>703</v>
      </c>
      <c r="DU52" s="4">
        <v>8247</v>
      </c>
      <c r="DV52" s="4">
        <v>4293</v>
      </c>
      <c r="DW52" s="4">
        <v>4529</v>
      </c>
      <c r="DX52" s="4">
        <v>8457</v>
      </c>
      <c r="DY52" s="4">
        <v>1301</v>
      </c>
      <c r="DZ52" s="4">
        <v>2054</v>
      </c>
      <c r="EA52" s="4">
        <v>7863</v>
      </c>
      <c r="EB52" s="4">
        <v>4037</v>
      </c>
      <c r="EC52" s="4">
        <v>609</v>
      </c>
      <c r="ED52" s="4">
        <v>765</v>
      </c>
      <c r="EE52" s="4">
        <v>20362</v>
      </c>
      <c r="EF52" s="4">
        <v>2378</v>
      </c>
      <c r="EG52" s="4">
        <v>12369</v>
      </c>
      <c r="EH52" s="4">
        <v>17985</v>
      </c>
      <c r="EJ52" s="4">
        <f t="shared" si="0"/>
        <v>1226584</v>
      </c>
    </row>
    <row r="53" spans="1:140" x14ac:dyDescent="0.25">
      <c r="A53" s="4" t="s">
        <v>189</v>
      </c>
      <c r="B53" s="4">
        <v>1903</v>
      </c>
      <c r="C53" s="4">
        <v>4771</v>
      </c>
      <c r="D53" s="4">
        <v>119</v>
      </c>
      <c r="E53" s="4">
        <v>1193</v>
      </c>
      <c r="F53" s="4">
        <v>2</v>
      </c>
      <c r="G53" s="4">
        <v>19</v>
      </c>
      <c r="H53" s="4">
        <v>11826</v>
      </c>
      <c r="I53" s="4">
        <v>22</v>
      </c>
      <c r="J53" s="4">
        <v>939</v>
      </c>
      <c r="K53" s="4">
        <v>16</v>
      </c>
      <c r="L53" s="4">
        <v>933</v>
      </c>
      <c r="M53" s="4">
        <v>105</v>
      </c>
      <c r="N53" s="4">
        <v>9314</v>
      </c>
      <c r="O53" s="4">
        <v>1150</v>
      </c>
      <c r="P53" s="4">
        <v>667</v>
      </c>
      <c r="Q53" s="4">
        <v>7431</v>
      </c>
      <c r="R53" s="4">
        <v>18</v>
      </c>
      <c r="S53" s="4">
        <v>1320</v>
      </c>
      <c r="T53" s="4">
        <v>2730</v>
      </c>
      <c r="U53" s="4">
        <v>1677</v>
      </c>
      <c r="V53" s="4">
        <v>5105</v>
      </c>
      <c r="W53" s="4">
        <v>2098</v>
      </c>
      <c r="X53" s="4">
        <v>537</v>
      </c>
      <c r="Y53" s="4">
        <v>606</v>
      </c>
      <c r="Z53" s="4">
        <v>818</v>
      </c>
      <c r="AA53" s="4">
        <v>360</v>
      </c>
      <c r="AB53" s="4">
        <v>3190</v>
      </c>
      <c r="AC53" s="4">
        <v>472</v>
      </c>
      <c r="AD53" s="4">
        <v>272</v>
      </c>
      <c r="AE53" s="4">
        <v>1201</v>
      </c>
      <c r="AF53" s="4">
        <v>668</v>
      </c>
      <c r="AG53">
        <v>17688</v>
      </c>
      <c r="AH53" s="4">
        <v>331</v>
      </c>
      <c r="AI53" s="4">
        <v>1517</v>
      </c>
      <c r="AJ53" s="4">
        <v>301</v>
      </c>
      <c r="AK53" s="4">
        <v>1596</v>
      </c>
      <c r="AL53" s="4">
        <v>2932</v>
      </c>
      <c r="AM53" s="4">
        <v>740</v>
      </c>
      <c r="AN53" s="4">
        <v>263</v>
      </c>
      <c r="AO53" s="4">
        <v>7721</v>
      </c>
      <c r="AP53" s="4">
        <v>472</v>
      </c>
      <c r="AQ53" s="4">
        <v>94</v>
      </c>
      <c r="AR53" s="4">
        <v>1568</v>
      </c>
      <c r="AS53" s="4">
        <v>4505</v>
      </c>
      <c r="AT53" s="4">
        <v>710</v>
      </c>
      <c r="AU53" s="4">
        <v>1908</v>
      </c>
      <c r="AV53" s="4">
        <v>3222</v>
      </c>
      <c r="AW53" s="4">
        <v>6989</v>
      </c>
      <c r="AX53" s="4">
        <v>18926</v>
      </c>
      <c r="AY53" s="4">
        <v>303</v>
      </c>
      <c r="AZ53" s="4">
        <v>512</v>
      </c>
      <c r="BA53" s="4">
        <v>15492</v>
      </c>
      <c r="BB53" s="4">
        <v>123</v>
      </c>
      <c r="BC53" s="4">
        <v>448</v>
      </c>
      <c r="BD53" s="4">
        <v>6101</v>
      </c>
      <c r="BE53" s="4">
        <v>3158</v>
      </c>
      <c r="BF53" s="4">
        <v>1415</v>
      </c>
      <c r="BG53" s="4">
        <v>3744</v>
      </c>
      <c r="BH53" s="4">
        <v>1260</v>
      </c>
      <c r="BI53" s="4">
        <v>25039</v>
      </c>
      <c r="BJ53" s="4">
        <v>2993</v>
      </c>
      <c r="BK53" s="4">
        <v>6028</v>
      </c>
      <c r="BL53" s="4">
        <v>2808</v>
      </c>
      <c r="BM53" s="4">
        <v>3758</v>
      </c>
      <c r="BN53" s="4">
        <v>909</v>
      </c>
      <c r="BO53" s="4">
        <v>1052</v>
      </c>
      <c r="BP53" s="4">
        <v>21055</v>
      </c>
      <c r="BQ53" s="4">
        <v>2953</v>
      </c>
      <c r="BR53" s="4">
        <v>65166</v>
      </c>
      <c r="BS53" s="4">
        <v>9295</v>
      </c>
      <c r="BT53" s="4">
        <v>8265</v>
      </c>
      <c r="BU53" s="4">
        <v>15710</v>
      </c>
      <c r="BV53" s="4">
        <v>2304</v>
      </c>
      <c r="BW53" s="4">
        <v>10671</v>
      </c>
      <c r="BX53" s="4">
        <v>2414</v>
      </c>
      <c r="BY53" s="4">
        <v>5442</v>
      </c>
      <c r="BZ53" s="4">
        <v>17840</v>
      </c>
      <c r="CA53" s="4">
        <v>1867</v>
      </c>
      <c r="CB53" s="4">
        <v>704</v>
      </c>
      <c r="CC53" s="4">
        <v>5064</v>
      </c>
      <c r="CD53" s="4">
        <v>3182</v>
      </c>
      <c r="CE53" s="4">
        <v>2742</v>
      </c>
      <c r="CF53" s="4">
        <v>5930</v>
      </c>
      <c r="CG53" s="4">
        <v>76579</v>
      </c>
      <c r="CH53" s="4">
        <v>13890</v>
      </c>
      <c r="CI53" s="4">
        <v>24982</v>
      </c>
      <c r="CJ53" s="4">
        <v>6763</v>
      </c>
      <c r="CK53" s="4">
        <v>15700</v>
      </c>
      <c r="CL53" s="4">
        <v>8535</v>
      </c>
      <c r="CM53" s="4">
        <v>14513</v>
      </c>
      <c r="CN53" s="4">
        <v>39130</v>
      </c>
      <c r="CO53" s="4">
        <v>5371</v>
      </c>
      <c r="CP53" s="4">
        <v>2663</v>
      </c>
      <c r="CQ53" s="4">
        <v>4281</v>
      </c>
      <c r="CR53" s="4">
        <v>5715</v>
      </c>
      <c r="CS53" s="4">
        <v>24292</v>
      </c>
      <c r="CT53" s="4">
        <v>14665</v>
      </c>
      <c r="CU53" s="4">
        <v>1566</v>
      </c>
      <c r="CV53" s="4">
        <v>203389</v>
      </c>
      <c r="CW53" s="4">
        <v>5546</v>
      </c>
      <c r="CX53" s="4">
        <v>1510</v>
      </c>
      <c r="CY53" s="4">
        <v>21180</v>
      </c>
      <c r="CZ53" s="4">
        <v>3070</v>
      </c>
      <c r="DA53" s="4">
        <v>4879</v>
      </c>
      <c r="DB53" s="4">
        <v>9814</v>
      </c>
      <c r="DC53" s="4">
        <v>2884</v>
      </c>
      <c r="DD53" s="4">
        <v>2345</v>
      </c>
      <c r="DE53" s="4">
        <v>1449</v>
      </c>
      <c r="DF53" s="4">
        <v>38360</v>
      </c>
      <c r="DG53" s="4">
        <v>13027</v>
      </c>
      <c r="DH53" s="4">
        <v>14192</v>
      </c>
      <c r="DI53" s="4">
        <v>4875</v>
      </c>
      <c r="DJ53" s="4">
        <v>21963</v>
      </c>
      <c r="DK53" s="4">
        <v>12420</v>
      </c>
      <c r="DL53" s="4">
        <v>7675</v>
      </c>
      <c r="DM53" s="4">
        <v>11487</v>
      </c>
      <c r="DN53" s="4">
        <v>16963</v>
      </c>
      <c r="DO53" s="4">
        <v>2230</v>
      </c>
      <c r="DP53" s="4">
        <v>6254</v>
      </c>
      <c r="DQ53" s="4">
        <v>47523</v>
      </c>
      <c r="DR53" s="4">
        <v>2831</v>
      </c>
      <c r="DS53" s="4">
        <v>4639</v>
      </c>
      <c r="DT53" s="4">
        <v>607</v>
      </c>
      <c r="DU53" s="4">
        <v>9285</v>
      </c>
      <c r="DV53" s="4">
        <v>4592</v>
      </c>
      <c r="DW53" s="4">
        <v>5020</v>
      </c>
      <c r="DX53" s="4">
        <v>9552</v>
      </c>
      <c r="DY53" s="4">
        <v>1539</v>
      </c>
      <c r="DZ53" s="4">
        <v>2173</v>
      </c>
      <c r="EA53" s="4">
        <v>6265</v>
      </c>
      <c r="EB53" s="4">
        <v>5638</v>
      </c>
      <c r="EC53" s="4">
        <v>541</v>
      </c>
      <c r="ED53" s="4">
        <v>740</v>
      </c>
      <c r="EE53" s="4">
        <v>22762</v>
      </c>
      <c r="EF53" s="4">
        <v>2501</v>
      </c>
      <c r="EG53" s="4">
        <v>12529</v>
      </c>
      <c r="EH53" s="4">
        <v>17030</v>
      </c>
      <c r="EJ53" s="4">
        <f t="shared" si="0"/>
        <v>1208636</v>
      </c>
    </row>
    <row r="54" spans="1:140" x14ac:dyDescent="0.25">
      <c r="A54" s="4" t="s">
        <v>190</v>
      </c>
      <c r="B54" s="4">
        <v>2705</v>
      </c>
      <c r="C54" s="4">
        <v>4975</v>
      </c>
      <c r="D54" s="4">
        <v>75</v>
      </c>
      <c r="E54" s="4">
        <v>1224</v>
      </c>
      <c r="F54" s="4">
        <v>13</v>
      </c>
      <c r="G54" s="4">
        <v>16</v>
      </c>
      <c r="H54" s="4">
        <v>13197</v>
      </c>
      <c r="I54" s="4">
        <v>40</v>
      </c>
      <c r="J54" s="4">
        <v>1190</v>
      </c>
      <c r="K54" s="4">
        <v>22</v>
      </c>
      <c r="L54" s="4">
        <v>1130</v>
      </c>
      <c r="M54" s="4">
        <v>140</v>
      </c>
      <c r="N54" s="4">
        <v>9492</v>
      </c>
      <c r="O54" s="4">
        <v>1298</v>
      </c>
      <c r="P54" s="4">
        <v>677</v>
      </c>
      <c r="Q54" s="4">
        <v>7209</v>
      </c>
      <c r="R54" s="4">
        <v>22</v>
      </c>
      <c r="S54" s="4">
        <v>1509</v>
      </c>
      <c r="T54" s="4">
        <v>2590</v>
      </c>
      <c r="U54" s="4">
        <v>1672</v>
      </c>
      <c r="V54" s="4">
        <v>4942</v>
      </c>
      <c r="W54" s="4">
        <v>2488</v>
      </c>
      <c r="X54" s="4">
        <v>411</v>
      </c>
      <c r="Y54" s="4">
        <v>636</v>
      </c>
      <c r="Z54" s="4">
        <v>1284</v>
      </c>
      <c r="AA54" s="4">
        <v>392</v>
      </c>
      <c r="AB54" s="4">
        <v>2911</v>
      </c>
      <c r="AC54" s="4">
        <v>724</v>
      </c>
      <c r="AD54" s="4">
        <v>233</v>
      </c>
      <c r="AE54" s="4">
        <v>1031</v>
      </c>
      <c r="AF54" s="4">
        <v>1281</v>
      </c>
      <c r="AG54">
        <v>18517</v>
      </c>
      <c r="AH54" s="4">
        <v>272</v>
      </c>
      <c r="AI54" s="4">
        <v>844</v>
      </c>
      <c r="AJ54" s="4">
        <v>288</v>
      </c>
      <c r="AK54" s="4">
        <v>1434</v>
      </c>
      <c r="AL54" s="4">
        <v>2524</v>
      </c>
      <c r="AM54" s="4">
        <v>638</v>
      </c>
      <c r="AN54" s="4">
        <v>311</v>
      </c>
      <c r="AO54" s="4">
        <v>7794</v>
      </c>
      <c r="AP54" s="4">
        <v>485</v>
      </c>
      <c r="AQ54" s="4">
        <v>100</v>
      </c>
      <c r="AR54" s="4">
        <v>1837</v>
      </c>
      <c r="AS54" s="4">
        <v>4125</v>
      </c>
      <c r="AT54" s="4">
        <v>779</v>
      </c>
      <c r="AU54" s="4">
        <v>1979</v>
      </c>
      <c r="AV54" s="4">
        <v>2910</v>
      </c>
      <c r="AW54" s="4">
        <v>3462</v>
      </c>
      <c r="AX54" s="4">
        <v>16562</v>
      </c>
      <c r="AY54" s="4">
        <v>93</v>
      </c>
      <c r="AZ54" s="4">
        <v>543</v>
      </c>
      <c r="BA54" s="4">
        <v>13229</v>
      </c>
      <c r="BB54" s="4">
        <v>160</v>
      </c>
      <c r="BC54" s="4">
        <v>516</v>
      </c>
      <c r="BD54" s="4">
        <v>6195</v>
      </c>
      <c r="BE54" s="4">
        <v>3472</v>
      </c>
      <c r="BF54" s="4">
        <v>1393</v>
      </c>
      <c r="BG54" s="4">
        <v>3570</v>
      </c>
      <c r="BH54" s="4">
        <v>1387</v>
      </c>
      <c r="BI54" s="4">
        <v>24719</v>
      </c>
      <c r="BJ54" s="4">
        <v>2961</v>
      </c>
      <c r="BK54" s="4">
        <v>5978</v>
      </c>
      <c r="BL54" s="4">
        <v>3542</v>
      </c>
      <c r="BM54" s="4">
        <v>4404</v>
      </c>
      <c r="BN54" s="4">
        <v>860</v>
      </c>
      <c r="BO54" s="4">
        <v>980</v>
      </c>
      <c r="BP54" s="4">
        <v>22284</v>
      </c>
      <c r="BQ54" s="4">
        <v>2879</v>
      </c>
      <c r="BR54" s="4">
        <v>64094</v>
      </c>
      <c r="BS54" s="4">
        <v>8664</v>
      </c>
      <c r="BT54" s="4">
        <v>7777</v>
      </c>
      <c r="BU54" s="4">
        <v>16000</v>
      </c>
      <c r="BV54" s="4">
        <v>2361</v>
      </c>
      <c r="BW54" s="4">
        <v>10592</v>
      </c>
      <c r="BX54" s="4">
        <v>3470</v>
      </c>
      <c r="BY54" s="4">
        <v>6669</v>
      </c>
      <c r="BZ54" s="4">
        <v>18020</v>
      </c>
      <c r="CA54" s="4">
        <v>2160</v>
      </c>
      <c r="CB54" s="4">
        <v>848</v>
      </c>
      <c r="CC54" s="4">
        <v>5745</v>
      </c>
      <c r="CD54" s="4">
        <v>3032</v>
      </c>
      <c r="CE54" s="4">
        <v>3038</v>
      </c>
      <c r="CF54" s="4">
        <v>5787</v>
      </c>
      <c r="CG54" s="4">
        <v>76355</v>
      </c>
      <c r="CH54" s="4">
        <v>14072</v>
      </c>
      <c r="CI54" s="4">
        <v>23526</v>
      </c>
      <c r="CJ54" s="4">
        <v>7180</v>
      </c>
      <c r="CK54" s="4">
        <v>14536</v>
      </c>
      <c r="CL54" s="4">
        <v>8048</v>
      </c>
      <c r="CM54" s="4">
        <v>13401</v>
      </c>
      <c r="CN54" s="4">
        <v>37272</v>
      </c>
      <c r="CO54" s="4">
        <v>5593</v>
      </c>
      <c r="CP54" s="4">
        <v>2567</v>
      </c>
      <c r="CQ54" s="4">
        <v>4157</v>
      </c>
      <c r="CR54" s="4">
        <v>5332</v>
      </c>
      <c r="CS54" s="4">
        <v>23628</v>
      </c>
      <c r="CT54" s="4">
        <v>14962</v>
      </c>
      <c r="CU54" s="4">
        <v>1506</v>
      </c>
      <c r="CV54" s="4">
        <v>200096</v>
      </c>
      <c r="CW54" s="4">
        <v>5153</v>
      </c>
      <c r="CX54" s="4">
        <v>1174</v>
      </c>
      <c r="CY54" s="4">
        <v>19056</v>
      </c>
      <c r="CZ54" s="4">
        <v>3045</v>
      </c>
      <c r="DA54" s="4">
        <v>5151</v>
      </c>
      <c r="DB54" s="4">
        <v>8404</v>
      </c>
      <c r="DC54" s="4">
        <v>2650</v>
      </c>
      <c r="DD54" s="4">
        <v>2453</v>
      </c>
      <c r="DE54" s="4">
        <v>1567</v>
      </c>
      <c r="DF54" s="4">
        <v>37620</v>
      </c>
      <c r="DG54" s="4">
        <v>12441</v>
      </c>
      <c r="DH54" s="4">
        <v>14163</v>
      </c>
      <c r="DI54" s="4">
        <v>4061</v>
      </c>
      <c r="DJ54" s="4">
        <v>21088</v>
      </c>
      <c r="DK54" s="4">
        <v>11123</v>
      </c>
      <c r="DL54" s="4">
        <v>7579</v>
      </c>
      <c r="DM54" s="4">
        <v>11589</v>
      </c>
      <c r="DN54" s="4">
        <v>14480</v>
      </c>
      <c r="DO54" s="4">
        <v>2719</v>
      </c>
      <c r="DP54" s="4">
        <v>7621</v>
      </c>
      <c r="DQ54" s="4">
        <v>43459</v>
      </c>
      <c r="DR54" s="4">
        <v>2987</v>
      </c>
      <c r="DS54" s="4">
        <v>4037</v>
      </c>
      <c r="DT54" s="4">
        <v>566</v>
      </c>
      <c r="DU54" s="4">
        <v>8058</v>
      </c>
      <c r="DV54" s="4">
        <v>4772</v>
      </c>
      <c r="DW54" s="4">
        <v>5124</v>
      </c>
      <c r="DX54" s="4">
        <v>7941</v>
      </c>
      <c r="DY54" s="4">
        <v>1531</v>
      </c>
      <c r="DZ54" s="4">
        <v>2820</v>
      </c>
      <c r="EA54" s="4">
        <v>7633</v>
      </c>
      <c r="EB54" s="4">
        <v>4418</v>
      </c>
      <c r="EC54" s="4">
        <v>428</v>
      </c>
      <c r="ED54" s="4">
        <v>953</v>
      </c>
      <c r="EE54" s="4">
        <v>23281</v>
      </c>
      <c r="EF54" s="4">
        <v>2704</v>
      </c>
      <c r="EG54" s="4">
        <v>12960</v>
      </c>
      <c r="EH54" s="4">
        <v>19753</v>
      </c>
      <c r="EJ54" s="4">
        <f t="shared" si="0"/>
        <v>1186605</v>
      </c>
    </row>
    <row r="55" spans="1:140" x14ac:dyDescent="0.25">
      <c r="A55" s="4" t="s">
        <v>191</v>
      </c>
      <c r="B55" s="4">
        <v>2387</v>
      </c>
      <c r="C55" s="4">
        <v>4210</v>
      </c>
      <c r="D55" s="4">
        <v>54</v>
      </c>
      <c r="E55" s="4">
        <v>1267</v>
      </c>
      <c r="F55" s="4">
        <v>5</v>
      </c>
      <c r="G55" s="4">
        <v>15</v>
      </c>
      <c r="H55" s="4">
        <v>12077</v>
      </c>
      <c r="I55" s="4">
        <v>28</v>
      </c>
      <c r="J55" s="4">
        <v>1093</v>
      </c>
      <c r="K55" s="4">
        <v>10</v>
      </c>
      <c r="L55" s="4">
        <v>1114</v>
      </c>
      <c r="M55" s="4">
        <v>182</v>
      </c>
      <c r="N55" s="4">
        <v>9480</v>
      </c>
      <c r="O55" s="4">
        <v>1214</v>
      </c>
      <c r="P55" s="4">
        <v>596</v>
      </c>
      <c r="Q55" s="4">
        <v>6717</v>
      </c>
      <c r="R55" s="4">
        <v>17</v>
      </c>
      <c r="S55" s="4">
        <v>1513</v>
      </c>
      <c r="T55" s="4">
        <v>2788</v>
      </c>
      <c r="U55" s="4">
        <v>1683</v>
      </c>
      <c r="V55" s="4">
        <v>5645</v>
      </c>
      <c r="W55" s="4">
        <v>2503</v>
      </c>
      <c r="X55" s="4">
        <v>390</v>
      </c>
      <c r="Y55" s="4">
        <v>635</v>
      </c>
      <c r="Z55" s="4">
        <v>1101</v>
      </c>
      <c r="AA55" s="4">
        <v>398</v>
      </c>
      <c r="AB55" s="4">
        <v>3388</v>
      </c>
      <c r="AC55" s="4">
        <v>589</v>
      </c>
      <c r="AD55" s="4">
        <v>239</v>
      </c>
      <c r="AE55" s="4">
        <v>927</v>
      </c>
      <c r="AF55" s="4">
        <v>841</v>
      </c>
      <c r="AG55">
        <v>18374</v>
      </c>
      <c r="AH55" s="4">
        <v>310</v>
      </c>
      <c r="AI55" s="4">
        <v>790</v>
      </c>
      <c r="AJ55" s="4">
        <v>193</v>
      </c>
      <c r="AK55" s="4">
        <v>1366</v>
      </c>
      <c r="AL55" s="4">
        <v>2579</v>
      </c>
      <c r="AM55" s="4">
        <v>687</v>
      </c>
      <c r="AN55" s="4">
        <v>182</v>
      </c>
      <c r="AO55" s="4">
        <v>7492</v>
      </c>
      <c r="AP55" s="4">
        <v>406</v>
      </c>
      <c r="AQ55" s="4">
        <v>87</v>
      </c>
      <c r="AR55" s="4">
        <v>1669</v>
      </c>
      <c r="AS55" s="4">
        <v>3975</v>
      </c>
      <c r="AT55" s="4">
        <v>664</v>
      </c>
      <c r="AU55" s="4">
        <v>1558</v>
      </c>
      <c r="AV55" s="4">
        <v>2753</v>
      </c>
      <c r="AW55" s="4">
        <v>1381</v>
      </c>
      <c r="AX55" s="4">
        <v>15551</v>
      </c>
      <c r="AY55" s="4">
        <v>77</v>
      </c>
      <c r="AZ55" s="4">
        <v>451</v>
      </c>
      <c r="BA55" s="4">
        <v>5013</v>
      </c>
      <c r="BB55" s="4">
        <v>108</v>
      </c>
      <c r="BC55" s="4">
        <v>359</v>
      </c>
      <c r="BD55" s="4">
        <v>5284</v>
      </c>
      <c r="BE55" s="4">
        <v>3263</v>
      </c>
      <c r="BF55" s="4">
        <v>1758</v>
      </c>
      <c r="BG55" s="4">
        <v>3504</v>
      </c>
      <c r="BH55" s="4">
        <v>1386</v>
      </c>
      <c r="BI55" s="4">
        <v>24330</v>
      </c>
      <c r="BJ55" s="4">
        <v>3028</v>
      </c>
      <c r="BK55" s="4">
        <v>8746</v>
      </c>
      <c r="BL55" s="4">
        <v>3090</v>
      </c>
      <c r="BM55" s="4">
        <v>4127</v>
      </c>
      <c r="BN55" s="4">
        <v>696</v>
      </c>
      <c r="BO55" s="4">
        <v>1078</v>
      </c>
      <c r="BP55" s="4">
        <v>21717</v>
      </c>
      <c r="BQ55" s="4">
        <v>2668</v>
      </c>
      <c r="BR55" s="4">
        <v>65514</v>
      </c>
      <c r="BS55" s="4">
        <v>8554</v>
      </c>
      <c r="BT55" s="4">
        <v>7582</v>
      </c>
      <c r="BU55" s="4">
        <v>18921</v>
      </c>
      <c r="BV55" s="4">
        <v>2201</v>
      </c>
      <c r="BW55" s="4">
        <v>10439</v>
      </c>
      <c r="BX55" s="4">
        <v>4400</v>
      </c>
      <c r="BY55" s="4">
        <v>10975</v>
      </c>
      <c r="BZ55" s="4">
        <v>18696</v>
      </c>
      <c r="CA55" s="4">
        <v>2178</v>
      </c>
      <c r="CB55" s="4">
        <v>765</v>
      </c>
      <c r="CC55" s="4">
        <v>5483</v>
      </c>
      <c r="CD55" s="4">
        <v>3049</v>
      </c>
      <c r="CE55" s="4">
        <v>2499</v>
      </c>
      <c r="CF55" s="4">
        <v>5894</v>
      </c>
      <c r="CG55" s="4">
        <v>82629</v>
      </c>
      <c r="CH55" s="4">
        <v>12560</v>
      </c>
      <c r="CI55" s="4">
        <v>24197</v>
      </c>
      <c r="CJ55" s="4">
        <v>7620</v>
      </c>
      <c r="CK55" s="4">
        <v>14071</v>
      </c>
      <c r="CL55" s="4">
        <v>8783</v>
      </c>
      <c r="CM55" s="4">
        <v>13631</v>
      </c>
      <c r="CN55" s="4">
        <v>38139</v>
      </c>
      <c r="CO55" s="4">
        <v>6349</v>
      </c>
      <c r="CP55" s="4">
        <v>2565</v>
      </c>
      <c r="CQ55" s="4">
        <v>4677</v>
      </c>
      <c r="CR55" s="4">
        <v>5634</v>
      </c>
      <c r="CS55" s="4">
        <v>24532</v>
      </c>
      <c r="CT55" s="4">
        <v>14906</v>
      </c>
      <c r="CU55" s="4">
        <v>1311</v>
      </c>
      <c r="CV55" s="4">
        <v>198670</v>
      </c>
      <c r="CW55" s="4">
        <v>5528</v>
      </c>
      <c r="CX55" s="4">
        <v>1477</v>
      </c>
      <c r="CY55" s="4">
        <v>20618</v>
      </c>
      <c r="CZ55" s="4">
        <v>2783</v>
      </c>
      <c r="DA55" s="4">
        <v>5437</v>
      </c>
      <c r="DB55" s="4">
        <v>9431</v>
      </c>
      <c r="DC55" s="4">
        <v>3030</v>
      </c>
      <c r="DD55" s="4">
        <v>2384</v>
      </c>
      <c r="DE55" s="4">
        <v>1611</v>
      </c>
      <c r="DF55" s="4">
        <v>40254</v>
      </c>
      <c r="DG55" s="4">
        <v>12038</v>
      </c>
      <c r="DH55" s="4">
        <v>13895</v>
      </c>
      <c r="DI55" s="4">
        <v>3142</v>
      </c>
      <c r="DJ55" s="4">
        <v>21334</v>
      </c>
      <c r="DK55" s="4">
        <v>12113</v>
      </c>
      <c r="DL55" s="4">
        <v>7868</v>
      </c>
      <c r="DM55" s="4">
        <v>10201</v>
      </c>
      <c r="DN55" s="4">
        <v>13693</v>
      </c>
      <c r="DO55" s="4">
        <v>2237</v>
      </c>
      <c r="DP55" s="4">
        <v>7808</v>
      </c>
      <c r="DQ55" s="4">
        <v>41623</v>
      </c>
      <c r="DR55" s="4">
        <v>2467</v>
      </c>
      <c r="DS55" s="4">
        <v>3964</v>
      </c>
      <c r="DT55" s="4">
        <v>548</v>
      </c>
      <c r="DU55" s="4">
        <v>8452</v>
      </c>
      <c r="DV55" s="4">
        <v>4395</v>
      </c>
      <c r="DW55" s="4">
        <v>4560</v>
      </c>
      <c r="DX55" s="4">
        <v>7045</v>
      </c>
      <c r="DY55" s="4">
        <v>1265</v>
      </c>
      <c r="DZ55" s="4">
        <v>2083</v>
      </c>
      <c r="EA55" s="4">
        <v>7524</v>
      </c>
      <c r="EB55" s="4">
        <v>3891</v>
      </c>
      <c r="EC55" s="4">
        <v>539</v>
      </c>
      <c r="ED55" s="4">
        <v>821</v>
      </c>
      <c r="EE55" s="4">
        <v>22850</v>
      </c>
      <c r="EF55" s="4">
        <v>2433</v>
      </c>
      <c r="EG55" s="4">
        <v>11282</v>
      </c>
      <c r="EH55" s="4">
        <v>18755</v>
      </c>
      <c r="EJ55" s="4">
        <f t="shared" si="0"/>
        <v>1182609</v>
      </c>
    </row>
    <row r="56" spans="1:140" x14ac:dyDescent="0.25">
      <c r="A56" s="4" t="s">
        <v>192</v>
      </c>
      <c r="B56" s="4">
        <v>2891</v>
      </c>
      <c r="C56" s="4">
        <v>5286</v>
      </c>
      <c r="D56" s="4">
        <v>93</v>
      </c>
      <c r="E56" s="4">
        <v>1623</v>
      </c>
      <c r="F56" s="4">
        <v>15</v>
      </c>
      <c r="G56" s="4">
        <v>27</v>
      </c>
      <c r="H56" s="4">
        <v>14227</v>
      </c>
      <c r="I56" s="4">
        <v>75</v>
      </c>
      <c r="J56" s="4">
        <v>1190</v>
      </c>
      <c r="K56" s="4">
        <v>28</v>
      </c>
      <c r="L56" s="4">
        <v>1282</v>
      </c>
      <c r="M56" s="4">
        <v>564</v>
      </c>
      <c r="N56" s="4">
        <v>10896</v>
      </c>
      <c r="O56" s="4">
        <v>1638</v>
      </c>
      <c r="P56" s="4">
        <v>628</v>
      </c>
      <c r="Q56" s="4">
        <v>7460</v>
      </c>
      <c r="R56" s="4">
        <v>39</v>
      </c>
      <c r="S56" s="4">
        <v>1767</v>
      </c>
      <c r="T56" s="4">
        <v>2961</v>
      </c>
      <c r="U56" s="4">
        <v>2185</v>
      </c>
      <c r="V56" s="4">
        <v>5757</v>
      </c>
      <c r="W56" s="4">
        <v>2847</v>
      </c>
      <c r="X56" s="4">
        <v>387</v>
      </c>
      <c r="Y56" s="4">
        <v>750</v>
      </c>
      <c r="Z56" s="4">
        <v>1067</v>
      </c>
      <c r="AA56" s="4">
        <v>476</v>
      </c>
      <c r="AB56" s="4">
        <v>4371</v>
      </c>
      <c r="AC56" s="4">
        <v>604</v>
      </c>
      <c r="AD56" s="4">
        <v>285</v>
      </c>
      <c r="AE56" s="4">
        <v>1042</v>
      </c>
      <c r="AF56" s="4">
        <v>1111</v>
      </c>
      <c r="AG56">
        <v>20531</v>
      </c>
      <c r="AH56" s="4">
        <v>459</v>
      </c>
      <c r="AI56" s="4">
        <v>901</v>
      </c>
      <c r="AJ56" s="4">
        <v>330</v>
      </c>
      <c r="AK56" s="4">
        <v>1360</v>
      </c>
      <c r="AL56" s="4">
        <v>2365</v>
      </c>
      <c r="AM56" s="4">
        <v>673</v>
      </c>
      <c r="AN56" s="4">
        <v>252</v>
      </c>
      <c r="AO56" s="4">
        <v>9006</v>
      </c>
      <c r="AP56" s="4">
        <v>439</v>
      </c>
      <c r="AQ56" s="4">
        <v>100</v>
      </c>
      <c r="AR56" s="4">
        <v>1981</v>
      </c>
      <c r="AS56" s="4">
        <v>4659</v>
      </c>
      <c r="AT56" s="4">
        <v>809</v>
      </c>
      <c r="AU56" s="4">
        <v>2324</v>
      </c>
      <c r="AV56" s="4">
        <v>3360</v>
      </c>
      <c r="AW56" s="4">
        <v>1830</v>
      </c>
      <c r="AX56" s="4">
        <v>18683</v>
      </c>
      <c r="AY56" s="4">
        <v>99</v>
      </c>
      <c r="AZ56" s="4">
        <v>495</v>
      </c>
      <c r="BA56" s="4">
        <v>5220</v>
      </c>
      <c r="BB56" s="4">
        <v>127</v>
      </c>
      <c r="BC56" s="4">
        <v>564</v>
      </c>
      <c r="BD56" s="4">
        <v>5807</v>
      </c>
      <c r="BE56" s="4">
        <v>3657</v>
      </c>
      <c r="BF56" s="4">
        <v>1571</v>
      </c>
      <c r="BG56" s="4">
        <v>4142</v>
      </c>
      <c r="BH56" s="4">
        <v>1212</v>
      </c>
      <c r="BI56" s="4">
        <v>27878</v>
      </c>
      <c r="BJ56" s="4">
        <v>3337</v>
      </c>
      <c r="BK56" s="4">
        <v>7459</v>
      </c>
      <c r="BL56" s="4">
        <v>3677</v>
      </c>
      <c r="BM56" s="4">
        <v>5232</v>
      </c>
      <c r="BN56" s="4">
        <v>838</v>
      </c>
      <c r="BO56" s="4">
        <v>1496</v>
      </c>
      <c r="BP56" s="4">
        <v>24603</v>
      </c>
      <c r="BQ56" s="4">
        <v>3087</v>
      </c>
      <c r="BR56" s="4">
        <v>75127</v>
      </c>
      <c r="BS56" s="4">
        <v>9956</v>
      </c>
      <c r="BT56" s="4">
        <v>9790</v>
      </c>
      <c r="BU56" s="4">
        <v>22715</v>
      </c>
      <c r="BV56" s="4">
        <v>2837</v>
      </c>
      <c r="BW56" s="4">
        <v>12800</v>
      </c>
      <c r="BX56" s="4">
        <v>2683</v>
      </c>
      <c r="BY56" s="4">
        <v>7609</v>
      </c>
      <c r="BZ56" s="4">
        <v>19808</v>
      </c>
      <c r="CA56" s="4">
        <v>2337</v>
      </c>
      <c r="CB56" s="4">
        <v>891</v>
      </c>
      <c r="CC56" s="4">
        <v>6343</v>
      </c>
      <c r="CD56" s="4">
        <v>3485</v>
      </c>
      <c r="CE56" s="4">
        <v>2764</v>
      </c>
      <c r="CF56" s="4">
        <v>6361</v>
      </c>
      <c r="CG56" s="4">
        <v>85355</v>
      </c>
      <c r="CH56" s="4">
        <v>13407</v>
      </c>
      <c r="CI56" s="4">
        <v>25877</v>
      </c>
      <c r="CJ56" s="4">
        <v>9505</v>
      </c>
      <c r="CK56" s="4">
        <v>17159</v>
      </c>
      <c r="CL56" s="4">
        <v>10449</v>
      </c>
      <c r="CM56" s="4">
        <v>14669</v>
      </c>
      <c r="CN56" s="4">
        <v>40663</v>
      </c>
      <c r="CO56" s="4">
        <v>6167</v>
      </c>
      <c r="CP56" s="4">
        <v>3012</v>
      </c>
      <c r="CQ56" s="4">
        <v>4538</v>
      </c>
      <c r="CR56" s="4">
        <v>6078</v>
      </c>
      <c r="CS56" s="4">
        <v>25476</v>
      </c>
      <c r="CT56" s="4">
        <v>17221</v>
      </c>
      <c r="CU56" s="4">
        <v>1698</v>
      </c>
      <c r="CV56" s="4">
        <v>214705</v>
      </c>
      <c r="CW56" s="4">
        <v>5665</v>
      </c>
      <c r="CX56" s="4">
        <v>1505</v>
      </c>
      <c r="CY56" s="4">
        <v>22463</v>
      </c>
      <c r="CZ56" s="4">
        <v>3108</v>
      </c>
      <c r="DA56" s="4">
        <v>5393</v>
      </c>
      <c r="DB56" s="4">
        <v>10421</v>
      </c>
      <c r="DC56" s="4">
        <v>3105</v>
      </c>
      <c r="DD56" s="4">
        <v>2619</v>
      </c>
      <c r="DE56" s="4">
        <v>1797</v>
      </c>
      <c r="DF56" s="4">
        <v>43183</v>
      </c>
      <c r="DG56" s="4">
        <v>12884</v>
      </c>
      <c r="DH56" s="4">
        <v>14973</v>
      </c>
      <c r="DI56" s="4">
        <v>3480</v>
      </c>
      <c r="DJ56" s="4">
        <v>22109</v>
      </c>
      <c r="DK56" s="4">
        <v>11995</v>
      </c>
      <c r="DL56" s="4">
        <v>8379</v>
      </c>
      <c r="DM56" s="4">
        <v>11801</v>
      </c>
      <c r="DN56" s="4">
        <v>15167</v>
      </c>
      <c r="DO56" s="4">
        <v>2682</v>
      </c>
      <c r="DP56" s="4">
        <v>9054</v>
      </c>
      <c r="DQ56" s="4">
        <v>46961</v>
      </c>
      <c r="DR56" s="4">
        <v>2397</v>
      </c>
      <c r="DS56" s="4">
        <v>4230</v>
      </c>
      <c r="DT56" s="4">
        <v>708</v>
      </c>
      <c r="DU56" s="4">
        <v>9774</v>
      </c>
      <c r="DV56" s="4">
        <v>4500</v>
      </c>
      <c r="DW56" s="4">
        <v>6575</v>
      </c>
      <c r="DX56" s="4">
        <v>8531</v>
      </c>
      <c r="DY56" s="4">
        <v>1422</v>
      </c>
      <c r="DZ56" s="4">
        <v>2515</v>
      </c>
      <c r="EA56" s="4">
        <v>8540</v>
      </c>
      <c r="EB56" s="4">
        <v>4315</v>
      </c>
      <c r="EC56" s="4">
        <v>529</v>
      </c>
      <c r="ED56" s="4">
        <v>930</v>
      </c>
      <c r="EE56" s="4">
        <v>25706</v>
      </c>
      <c r="EF56" s="4">
        <v>2425</v>
      </c>
      <c r="EG56" s="4">
        <v>12024</v>
      </c>
      <c r="EH56" s="4">
        <v>20105</v>
      </c>
      <c r="EJ56" s="4">
        <f t="shared" si="0"/>
        <v>1299590</v>
      </c>
    </row>
    <row r="57" spans="1:140" x14ac:dyDescent="0.25">
      <c r="A57" s="4" t="s">
        <v>193</v>
      </c>
      <c r="B57" s="4">
        <v>2610</v>
      </c>
      <c r="C57" s="4">
        <v>4824</v>
      </c>
      <c r="D57" s="4">
        <v>79</v>
      </c>
      <c r="E57" s="4">
        <v>1429</v>
      </c>
      <c r="F57" s="4">
        <v>37</v>
      </c>
      <c r="G57" s="4">
        <v>14</v>
      </c>
      <c r="H57" s="4">
        <v>13956</v>
      </c>
      <c r="I57" s="4">
        <v>66</v>
      </c>
      <c r="J57" s="4">
        <v>1036</v>
      </c>
      <c r="K57" s="4">
        <v>28</v>
      </c>
      <c r="L57" s="4">
        <v>1204</v>
      </c>
      <c r="M57" s="4">
        <v>106</v>
      </c>
      <c r="N57" s="4">
        <v>10781</v>
      </c>
      <c r="O57" s="4">
        <v>1301</v>
      </c>
      <c r="P57" s="4">
        <v>678</v>
      </c>
      <c r="Q57" s="4">
        <v>7775</v>
      </c>
      <c r="R57" s="4">
        <v>21</v>
      </c>
      <c r="S57" s="4">
        <v>2001</v>
      </c>
      <c r="T57" s="4">
        <v>2922</v>
      </c>
      <c r="U57" s="4">
        <v>1775</v>
      </c>
      <c r="V57" s="4">
        <v>5108</v>
      </c>
      <c r="W57" s="4">
        <v>2353</v>
      </c>
      <c r="X57" s="4">
        <v>482</v>
      </c>
      <c r="Y57" s="4">
        <v>659</v>
      </c>
      <c r="Z57" s="4">
        <v>1248</v>
      </c>
      <c r="AA57" s="4">
        <v>412</v>
      </c>
      <c r="AB57" s="4">
        <v>3657</v>
      </c>
      <c r="AC57" s="4">
        <v>861</v>
      </c>
      <c r="AD57" s="4">
        <v>264</v>
      </c>
      <c r="AE57" s="4">
        <v>987</v>
      </c>
      <c r="AF57" s="4">
        <v>1005</v>
      </c>
      <c r="AG57">
        <v>18682</v>
      </c>
      <c r="AH57" s="4">
        <v>311</v>
      </c>
      <c r="AI57" s="4">
        <v>947</v>
      </c>
      <c r="AJ57" s="4">
        <v>263</v>
      </c>
      <c r="AK57" s="4">
        <v>1468</v>
      </c>
      <c r="AL57" s="4">
        <v>2958</v>
      </c>
      <c r="AM57" s="4">
        <v>734</v>
      </c>
      <c r="AN57" s="4">
        <v>216</v>
      </c>
      <c r="AO57" s="4">
        <v>8250</v>
      </c>
      <c r="AP57" s="4">
        <v>413</v>
      </c>
      <c r="AQ57" s="4">
        <v>107</v>
      </c>
      <c r="AR57" s="4">
        <v>1836</v>
      </c>
      <c r="AS57" s="4">
        <v>4762</v>
      </c>
      <c r="AT57" s="4">
        <v>748</v>
      </c>
      <c r="AU57" s="4">
        <v>2403</v>
      </c>
      <c r="AV57" s="4">
        <v>2859</v>
      </c>
      <c r="AW57" s="4">
        <v>2730</v>
      </c>
      <c r="AX57" s="4">
        <v>17418</v>
      </c>
      <c r="AY57" s="4">
        <v>105</v>
      </c>
      <c r="AZ57" s="4">
        <v>1041</v>
      </c>
      <c r="BA57" s="4">
        <v>5361</v>
      </c>
      <c r="BB57" s="4">
        <v>136</v>
      </c>
      <c r="BC57" s="4">
        <v>489</v>
      </c>
      <c r="BD57" s="4">
        <v>5204</v>
      </c>
      <c r="BE57" s="4">
        <v>4359</v>
      </c>
      <c r="BF57" s="4">
        <v>2094</v>
      </c>
      <c r="BG57" s="4">
        <v>3727</v>
      </c>
      <c r="BH57" s="4">
        <v>1649</v>
      </c>
      <c r="BI57" s="4">
        <v>26767</v>
      </c>
      <c r="BJ57" s="4">
        <v>4118</v>
      </c>
      <c r="BK57" s="4">
        <v>6549</v>
      </c>
      <c r="BL57" s="4">
        <v>3698</v>
      </c>
      <c r="BM57" s="4">
        <v>4848</v>
      </c>
      <c r="BN57" s="4">
        <v>1077</v>
      </c>
      <c r="BO57" s="4">
        <v>1223</v>
      </c>
      <c r="BP57" s="4">
        <v>26973</v>
      </c>
      <c r="BQ57" s="4">
        <v>3030</v>
      </c>
      <c r="BR57" s="4">
        <v>68432</v>
      </c>
      <c r="BS57" s="4">
        <v>9688</v>
      </c>
      <c r="BT57" s="4">
        <v>9383</v>
      </c>
      <c r="BU57" s="4">
        <v>22788</v>
      </c>
      <c r="BV57" s="4">
        <v>2643</v>
      </c>
      <c r="BW57" s="4">
        <v>12612</v>
      </c>
      <c r="BX57" s="4">
        <v>2384</v>
      </c>
      <c r="BY57" s="4">
        <v>5514</v>
      </c>
      <c r="BZ57" s="4">
        <v>20154</v>
      </c>
      <c r="CA57" s="4">
        <v>2333</v>
      </c>
      <c r="CB57" s="4">
        <v>801</v>
      </c>
      <c r="CC57" s="4">
        <v>6064</v>
      </c>
      <c r="CD57" s="4">
        <v>3417</v>
      </c>
      <c r="CE57" s="4">
        <v>2588</v>
      </c>
      <c r="CF57" s="4">
        <v>6135</v>
      </c>
      <c r="CG57" s="4">
        <v>81307</v>
      </c>
      <c r="CH57" s="4">
        <v>11784</v>
      </c>
      <c r="CI57" s="4">
        <v>25744</v>
      </c>
      <c r="CJ57" s="4">
        <v>7389</v>
      </c>
      <c r="CK57" s="4">
        <v>15552</v>
      </c>
      <c r="CL57" s="4">
        <v>9491</v>
      </c>
      <c r="CM57" s="4">
        <v>14462</v>
      </c>
      <c r="CN57" s="4">
        <v>40697</v>
      </c>
      <c r="CO57" s="4">
        <v>5812</v>
      </c>
      <c r="CP57" s="4">
        <v>3204</v>
      </c>
      <c r="CQ57" s="4">
        <v>4759</v>
      </c>
      <c r="CR57" s="4">
        <v>5104</v>
      </c>
      <c r="CS57" s="4">
        <v>25408</v>
      </c>
      <c r="CT57" s="4">
        <v>16719</v>
      </c>
      <c r="CU57" s="4">
        <v>1319</v>
      </c>
      <c r="CV57" s="4">
        <v>203635</v>
      </c>
      <c r="CW57" s="4">
        <v>5293</v>
      </c>
      <c r="CX57" s="4">
        <v>1325</v>
      </c>
      <c r="CY57" s="4">
        <v>20600</v>
      </c>
      <c r="CZ57" s="4">
        <v>3161</v>
      </c>
      <c r="DA57" s="4">
        <v>5332</v>
      </c>
      <c r="DB57" s="4">
        <v>9758</v>
      </c>
      <c r="DC57" s="4">
        <v>2873</v>
      </c>
      <c r="DD57" s="4">
        <v>2097</v>
      </c>
      <c r="DE57" s="4">
        <v>1587</v>
      </c>
      <c r="DF57" s="4">
        <v>41183</v>
      </c>
      <c r="DG57" s="4">
        <v>11849</v>
      </c>
      <c r="DH57" s="4">
        <v>14519</v>
      </c>
      <c r="DI57" s="4">
        <v>3079</v>
      </c>
      <c r="DJ57" s="4">
        <v>20873</v>
      </c>
      <c r="DK57" s="4">
        <v>11816</v>
      </c>
      <c r="DL57" s="4">
        <v>7875</v>
      </c>
      <c r="DM57" s="4">
        <v>10815</v>
      </c>
      <c r="DN57" s="4">
        <v>13060</v>
      </c>
      <c r="DO57" s="4">
        <v>2122</v>
      </c>
      <c r="DP57" s="4">
        <v>12450</v>
      </c>
      <c r="DQ57" s="4">
        <v>46207</v>
      </c>
      <c r="DR57" s="4">
        <v>1930</v>
      </c>
      <c r="DS57" s="4">
        <v>3837</v>
      </c>
      <c r="DT57" s="4">
        <v>662</v>
      </c>
      <c r="DU57" s="4">
        <v>9444</v>
      </c>
      <c r="DV57" s="4">
        <v>4352</v>
      </c>
      <c r="DW57" s="4">
        <v>4371</v>
      </c>
      <c r="DX57" s="4">
        <v>8641</v>
      </c>
      <c r="DY57" s="4">
        <v>1570</v>
      </c>
      <c r="DZ57" s="4">
        <v>2426</v>
      </c>
      <c r="EA57" s="4">
        <v>8655</v>
      </c>
      <c r="EB57" s="4">
        <v>4718</v>
      </c>
      <c r="EC57" s="4">
        <v>675</v>
      </c>
      <c r="ED57" s="4">
        <v>785</v>
      </c>
      <c r="EE57" s="4">
        <v>24986</v>
      </c>
      <c r="EF57" s="4">
        <v>2573</v>
      </c>
      <c r="EG57" s="4">
        <v>11165</v>
      </c>
      <c r="EH57" s="4">
        <v>19665</v>
      </c>
      <c r="EJ57" s="4">
        <f t="shared" si="0"/>
        <v>1244883</v>
      </c>
    </row>
    <row r="58" spans="1:140" x14ac:dyDescent="0.25">
      <c r="A58" s="4" t="s">
        <v>194</v>
      </c>
      <c r="B58" s="4">
        <v>2792</v>
      </c>
      <c r="C58" s="4">
        <v>4613</v>
      </c>
      <c r="D58" s="4">
        <v>99</v>
      </c>
      <c r="E58" s="4">
        <v>1562</v>
      </c>
      <c r="F58" s="4">
        <v>15</v>
      </c>
      <c r="G58" s="4">
        <v>20</v>
      </c>
      <c r="H58" s="4">
        <v>15182</v>
      </c>
      <c r="I58" s="4">
        <v>77</v>
      </c>
      <c r="J58" s="4">
        <v>1089</v>
      </c>
      <c r="K58" s="4">
        <v>26</v>
      </c>
      <c r="L58" s="4">
        <v>1506</v>
      </c>
      <c r="M58" s="4">
        <v>134</v>
      </c>
      <c r="N58" s="4">
        <v>10620</v>
      </c>
      <c r="O58" s="4">
        <v>1748</v>
      </c>
      <c r="P58" s="4">
        <v>735</v>
      </c>
      <c r="Q58" s="4">
        <v>7891</v>
      </c>
      <c r="R58" s="4">
        <v>20</v>
      </c>
      <c r="S58" s="4">
        <v>1765</v>
      </c>
      <c r="T58" s="4">
        <v>3328</v>
      </c>
      <c r="U58" s="4">
        <v>1997</v>
      </c>
      <c r="V58" s="4">
        <v>4441</v>
      </c>
      <c r="W58" s="4">
        <v>2157</v>
      </c>
      <c r="X58" s="4">
        <v>524</v>
      </c>
      <c r="Y58" s="4">
        <v>711</v>
      </c>
      <c r="Z58" s="4">
        <v>1201</v>
      </c>
      <c r="AA58" s="4">
        <v>349</v>
      </c>
      <c r="AB58" s="4">
        <v>3708</v>
      </c>
      <c r="AC58" s="4">
        <v>661</v>
      </c>
      <c r="AD58" s="4">
        <v>345</v>
      </c>
      <c r="AE58" s="4">
        <v>1153</v>
      </c>
      <c r="AF58" s="4">
        <v>764</v>
      </c>
      <c r="AG58">
        <v>18956</v>
      </c>
      <c r="AH58" s="4">
        <v>361</v>
      </c>
      <c r="AI58" s="4">
        <v>1112</v>
      </c>
      <c r="AJ58" s="4">
        <v>255</v>
      </c>
      <c r="AK58" s="4">
        <v>1419</v>
      </c>
      <c r="AL58" s="4">
        <v>2414</v>
      </c>
      <c r="AM58" s="4">
        <v>611</v>
      </c>
      <c r="AN58" s="4">
        <v>201</v>
      </c>
      <c r="AO58" s="4">
        <v>7924</v>
      </c>
      <c r="AP58" s="4">
        <v>438</v>
      </c>
      <c r="AQ58" s="4">
        <v>76</v>
      </c>
      <c r="AR58" s="4">
        <v>1762</v>
      </c>
      <c r="AS58" s="4">
        <v>4311</v>
      </c>
      <c r="AT58" s="4">
        <v>929</v>
      </c>
      <c r="AU58" s="4">
        <v>2949</v>
      </c>
      <c r="AV58" s="4">
        <v>2903</v>
      </c>
      <c r="AW58" s="4">
        <v>2437</v>
      </c>
      <c r="AX58" s="4">
        <v>17171</v>
      </c>
      <c r="AY58" s="4">
        <v>106</v>
      </c>
      <c r="AZ58" s="4">
        <v>1041</v>
      </c>
      <c r="BA58" s="4">
        <v>5072</v>
      </c>
      <c r="BB58" s="4">
        <v>143</v>
      </c>
      <c r="BC58" s="4">
        <v>471</v>
      </c>
      <c r="BD58" s="4">
        <v>5208</v>
      </c>
      <c r="BE58" s="4">
        <v>5344</v>
      </c>
      <c r="BF58" s="4">
        <v>2223</v>
      </c>
      <c r="BG58" s="4">
        <v>3939</v>
      </c>
      <c r="BH58" s="4">
        <v>1584</v>
      </c>
      <c r="BI58" s="4">
        <v>25851</v>
      </c>
      <c r="BJ58" s="4">
        <v>4475</v>
      </c>
      <c r="BK58" s="4">
        <v>6166</v>
      </c>
      <c r="BL58" s="4">
        <v>4117</v>
      </c>
      <c r="BM58" s="4">
        <v>5530</v>
      </c>
      <c r="BN58" s="4">
        <v>1735</v>
      </c>
      <c r="BO58" s="4">
        <v>1162</v>
      </c>
      <c r="BP58" s="4">
        <v>28933</v>
      </c>
      <c r="BQ58" s="4">
        <v>3013</v>
      </c>
      <c r="BR58" s="4">
        <v>67724</v>
      </c>
      <c r="BS58" s="4">
        <v>9892</v>
      </c>
      <c r="BT58" s="4">
        <v>10163</v>
      </c>
      <c r="BU58" s="4">
        <v>30033</v>
      </c>
      <c r="BV58" s="4">
        <v>3059</v>
      </c>
      <c r="BW58" s="4">
        <v>13297</v>
      </c>
      <c r="BX58" s="4">
        <v>1985</v>
      </c>
      <c r="BY58" s="4">
        <v>4794</v>
      </c>
      <c r="BZ58" s="4">
        <v>18349</v>
      </c>
      <c r="CA58" s="4">
        <v>2216</v>
      </c>
      <c r="CB58" s="4">
        <v>778</v>
      </c>
      <c r="CC58" s="4">
        <v>5967</v>
      </c>
      <c r="CD58" s="4">
        <v>3068</v>
      </c>
      <c r="CE58" s="4">
        <v>3101</v>
      </c>
      <c r="CF58" s="4">
        <v>6417</v>
      </c>
      <c r="CG58" s="4">
        <v>81543</v>
      </c>
      <c r="CH58" s="4">
        <v>12579</v>
      </c>
      <c r="CI58" s="4">
        <v>27930</v>
      </c>
      <c r="CJ58" s="4">
        <v>6714</v>
      </c>
      <c r="CK58" s="4">
        <v>15745</v>
      </c>
      <c r="CL58" s="4">
        <v>10393</v>
      </c>
      <c r="CM58" s="4">
        <v>14836</v>
      </c>
      <c r="CN58" s="4">
        <v>41742</v>
      </c>
      <c r="CO58" s="4">
        <v>6238</v>
      </c>
      <c r="CP58" s="4">
        <v>4110</v>
      </c>
      <c r="CQ58" s="4">
        <v>4283</v>
      </c>
      <c r="CR58" s="4">
        <v>5367</v>
      </c>
      <c r="CS58" s="4">
        <v>25806</v>
      </c>
      <c r="CT58" s="4">
        <v>16598</v>
      </c>
      <c r="CU58" s="4">
        <v>1329</v>
      </c>
      <c r="CV58" s="4">
        <v>211899</v>
      </c>
      <c r="CW58" s="4">
        <v>5351</v>
      </c>
      <c r="CX58" s="4">
        <v>1437</v>
      </c>
      <c r="CY58" s="4">
        <v>22306</v>
      </c>
      <c r="CZ58" s="4">
        <v>3384</v>
      </c>
      <c r="DA58" s="4">
        <v>5209</v>
      </c>
      <c r="DB58" s="4">
        <v>10083</v>
      </c>
      <c r="DC58" s="4">
        <v>3089</v>
      </c>
      <c r="DD58" s="4">
        <v>2338</v>
      </c>
      <c r="DE58" s="4">
        <v>1608</v>
      </c>
      <c r="DF58" s="4">
        <v>41448</v>
      </c>
      <c r="DG58" s="4">
        <v>11805</v>
      </c>
      <c r="DH58" s="4">
        <v>14387</v>
      </c>
      <c r="DI58" s="4">
        <v>3349</v>
      </c>
      <c r="DJ58" s="4">
        <v>20773</v>
      </c>
      <c r="DK58" s="4">
        <v>12289</v>
      </c>
      <c r="DL58" s="4">
        <v>7801</v>
      </c>
      <c r="DM58" s="4">
        <v>11356</v>
      </c>
      <c r="DN58" s="4">
        <v>13859</v>
      </c>
      <c r="DO58" s="4">
        <v>2126</v>
      </c>
      <c r="DP58" s="4">
        <v>8380</v>
      </c>
      <c r="DQ58" s="4">
        <v>45818</v>
      </c>
      <c r="DR58" s="4">
        <v>2030</v>
      </c>
      <c r="DS58" s="4">
        <v>3791</v>
      </c>
      <c r="DT58" s="4">
        <v>745</v>
      </c>
      <c r="DU58" s="4">
        <v>8780</v>
      </c>
      <c r="DV58" s="4">
        <v>4121</v>
      </c>
      <c r="DW58" s="4">
        <v>4760</v>
      </c>
      <c r="DX58" s="4">
        <v>9216</v>
      </c>
      <c r="DY58" s="4">
        <v>1569</v>
      </c>
      <c r="DZ58" s="4">
        <v>2746</v>
      </c>
      <c r="EA58" s="4">
        <v>8917</v>
      </c>
      <c r="EB58" s="4">
        <v>4769</v>
      </c>
      <c r="EC58" s="4">
        <v>875</v>
      </c>
      <c r="ED58" s="4">
        <v>1020</v>
      </c>
      <c r="EE58" s="4">
        <v>26117</v>
      </c>
      <c r="EF58" s="4">
        <v>2743</v>
      </c>
      <c r="EG58" s="4">
        <v>11221</v>
      </c>
      <c r="EH58" s="4">
        <v>18584</v>
      </c>
      <c r="EJ58" s="4">
        <f t="shared" si="0"/>
        <v>1271730</v>
      </c>
    </row>
    <row r="59" spans="1:140" x14ac:dyDescent="0.25">
      <c r="A59" s="4" t="s">
        <v>195</v>
      </c>
      <c r="B59" s="4">
        <v>3211</v>
      </c>
      <c r="C59" s="4">
        <v>5574</v>
      </c>
      <c r="D59" s="4">
        <v>132</v>
      </c>
      <c r="E59" s="4">
        <v>1812</v>
      </c>
      <c r="F59" s="4">
        <v>5</v>
      </c>
      <c r="G59" s="4">
        <v>32</v>
      </c>
      <c r="H59" s="4">
        <v>17758</v>
      </c>
      <c r="I59" s="4">
        <v>52</v>
      </c>
      <c r="J59" s="4">
        <v>1184</v>
      </c>
      <c r="K59" s="4">
        <v>27</v>
      </c>
      <c r="L59" s="4">
        <v>1615</v>
      </c>
      <c r="M59" s="4">
        <v>150</v>
      </c>
      <c r="N59" s="4">
        <v>11175</v>
      </c>
      <c r="O59" s="4">
        <v>1882</v>
      </c>
      <c r="P59" s="4">
        <v>785</v>
      </c>
      <c r="Q59" s="4">
        <v>9034</v>
      </c>
      <c r="R59" s="4">
        <v>49</v>
      </c>
      <c r="S59" s="4">
        <v>1651</v>
      </c>
      <c r="T59" s="4">
        <v>3922</v>
      </c>
      <c r="U59" s="4">
        <v>2072</v>
      </c>
      <c r="V59" s="4">
        <v>5359</v>
      </c>
      <c r="W59" s="4">
        <v>2762</v>
      </c>
      <c r="X59" s="4">
        <v>500</v>
      </c>
      <c r="Y59" s="4">
        <v>2280</v>
      </c>
      <c r="Z59" s="4">
        <v>1805</v>
      </c>
      <c r="AA59" s="4">
        <v>467</v>
      </c>
      <c r="AB59" s="4">
        <v>3744</v>
      </c>
      <c r="AC59" s="4">
        <v>530</v>
      </c>
      <c r="AD59" s="4">
        <v>379</v>
      </c>
      <c r="AE59" s="4">
        <v>1578</v>
      </c>
      <c r="AF59" s="4">
        <v>983</v>
      </c>
      <c r="AG59">
        <v>21065</v>
      </c>
      <c r="AH59" s="4">
        <v>534</v>
      </c>
      <c r="AI59" s="4">
        <v>1226</v>
      </c>
      <c r="AJ59" s="4">
        <v>340</v>
      </c>
      <c r="AK59" s="4">
        <v>1493</v>
      </c>
      <c r="AL59" s="4">
        <v>2294</v>
      </c>
      <c r="AM59" s="4">
        <v>798</v>
      </c>
      <c r="AN59" s="4">
        <v>277</v>
      </c>
      <c r="AO59" s="4">
        <v>9176</v>
      </c>
      <c r="AP59" s="4">
        <v>480</v>
      </c>
      <c r="AQ59" s="4">
        <v>97</v>
      </c>
      <c r="AR59" s="4">
        <v>1707</v>
      </c>
      <c r="AS59" s="4">
        <v>4343</v>
      </c>
      <c r="AT59" s="4">
        <v>874</v>
      </c>
      <c r="AU59" s="4">
        <v>6053</v>
      </c>
      <c r="AV59" s="4">
        <v>3027</v>
      </c>
      <c r="AW59" s="4">
        <v>3541</v>
      </c>
      <c r="AX59" s="4">
        <v>20294</v>
      </c>
      <c r="AY59" s="4">
        <v>88</v>
      </c>
      <c r="AZ59" s="4">
        <v>660</v>
      </c>
      <c r="BA59" s="4">
        <v>7608</v>
      </c>
      <c r="BB59" s="4">
        <v>204</v>
      </c>
      <c r="BC59" s="4">
        <v>597</v>
      </c>
      <c r="BD59" s="4">
        <v>5790</v>
      </c>
      <c r="BE59" s="4">
        <v>4678</v>
      </c>
      <c r="BF59" s="4">
        <v>3298</v>
      </c>
      <c r="BG59" s="4">
        <v>4229</v>
      </c>
      <c r="BH59" s="4">
        <v>2346</v>
      </c>
      <c r="BI59" s="4">
        <v>33775</v>
      </c>
      <c r="BJ59" s="4">
        <v>4812</v>
      </c>
      <c r="BK59" s="4">
        <v>7024</v>
      </c>
      <c r="BL59" s="4">
        <v>4847</v>
      </c>
      <c r="BM59" s="4">
        <v>4988</v>
      </c>
      <c r="BN59" s="4">
        <v>2146</v>
      </c>
      <c r="BO59" s="4">
        <v>1301</v>
      </c>
      <c r="BP59" s="4">
        <v>29281</v>
      </c>
      <c r="BQ59" s="4">
        <v>3979</v>
      </c>
      <c r="BR59" s="4">
        <v>84660</v>
      </c>
      <c r="BS59" s="4">
        <v>10870</v>
      </c>
      <c r="BT59" s="4">
        <v>10828</v>
      </c>
      <c r="BU59" s="4">
        <v>31703</v>
      </c>
      <c r="BV59" s="4">
        <v>3381</v>
      </c>
      <c r="BW59" s="4">
        <v>14270</v>
      </c>
      <c r="BX59" s="4">
        <v>2421</v>
      </c>
      <c r="BY59" s="4">
        <v>5302</v>
      </c>
      <c r="BZ59" s="4">
        <v>20092</v>
      </c>
      <c r="CA59" s="4">
        <v>2314</v>
      </c>
      <c r="CB59" s="4">
        <v>718</v>
      </c>
      <c r="CC59" s="4">
        <v>5799</v>
      </c>
      <c r="CD59" s="4">
        <v>3520</v>
      </c>
      <c r="CE59" s="4">
        <v>3236</v>
      </c>
      <c r="CF59" s="4">
        <v>7160</v>
      </c>
      <c r="CG59" s="4">
        <v>86675</v>
      </c>
      <c r="CH59" s="4">
        <v>13317</v>
      </c>
      <c r="CI59" s="4">
        <v>26596</v>
      </c>
      <c r="CJ59" s="4">
        <v>6616</v>
      </c>
      <c r="CK59" s="4">
        <v>15362</v>
      </c>
      <c r="CL59" s="4">
        <v>9897</v>
      </c>
      <c r="CM59" s="4">
        <v>14963</v>
      </c>
      <c r="CN59" s="4">
        <v>44059</v>
      </c>
      <c r="CO59" s="4">
        <v>6055</v>
      </c>
      <c r="CP59" s="4">
        <v>4119</v>
      </c>
      <c r="CQ59" s="4">
        <v>4399</v>
      </c>
      <c r="CR59" s="4">
        <v>5774</v>
      </c>
      <c r="CS59" s="4">
        <v>28460</v>
      </c>
      <c r="CT59" s="4">
        <v>16271</v>
      </c>
      <c r="CU59" s="4">
        <v>1582</v>
      </c>
      <c r="CV59" s="4">
        <v>222335</v>
      </c>
      <c r="CW59" s="4">
        <v>6054</v>
      </c>
      <c r="CX59" s="4">
        <v>1662</v>
      </c>
      <c r="CY59" s="4">
        <v>24018</v>
      </c>
      <c r="CZ59" s="4">
        <v>3486</v>
      </c>
      <c r="DA59" s="4">
        <v>5501</v>
      </c>
      <c r="DB59" s="4">
        <v>10728</v>
      </c>
      <c r="DC59" s="4">
        <v>3436</v>
      </c>
      <c r="DD59" s="4">
        <v>2483</v>
      </c>
      <c r="DE59" s="4">
        <v>1586</v>
      </c>
      <c r="DF59" s="4">
        <v>46055</v>
      </c>
      <c r="DG59" s="4">
        <v>12293</v>
      </c>
      <c r="DH59" s="4">
        <v>14949</v>
      </c>
      <c r="DI59" s="4">
        <v>3312</v>
      </c>
      <c r="DJ59" s="4">
        <v>24220</v>
      </c>
      <c r="DK59" s="4">
        <v>13336</v>
      </c>
      <c r="DL59" s="4">
        <v>8697</v>
      </c>
      <c r="DM59" s="4">
        <v>12352</v>
      </c>
      <c r="DN59" s="4">
        <v>14334</v>
      </c>
      <c r="DO59" s="4">
        <v>2370</v>
      </c>
      <c r="DP59" s="4">
        <v>7527</v>
      </c>
      <c r="DQ59" s="4">
        <v>50598</v>
      </c>
      <c r="DR59" s="4">
        <v>2422</v>
      </c>
      <c r="DS59" s="4">
        <v>4141</v>
      </c>
      <c r="DT59" s="4">
        <v>861</v>
      </c>
      <c r="DU59" s="4">
        <v>9792</v>
      </c>
      <c r="DV59" s="4">
        <v>4963</v>
      </c>
      <c r="DW59" s="4">
        <v>4469</v>
      </c>
      <c r="DX59" s="4">
        <v>10581</v>
      </c>
      <c r="DY59" s="4">
        <v>1698</v>
      </c>
      <c r="DZ59" s="4">
        <v>2836</v>
      </c>
      <c r="EA59" s="4">
        <v>9196</v>
      </c>
      <c r="EB59" s="4">
        <v>5023</v>
      </c>
      <c r="EC59" s="4">
        <v>707</v>
      </c>
      <c r="ED59" s="4">
        <v>1092</v>
      </c>
      <c r="EE59" s="4">
        <v>32155</v>
      </c>
      <c r="EF59" s="4">
        <v>3175</v>
      </c>
      <c r="EG59" s="4">
        <v>12588</v>
      </c>
      <c r="EH59" s="4">
        <v>20575</v>
      </c>
      <c r="EJ59" s="4">
        <f t="shared" si="0"/>
        <v>1389804</v>
      </c>
    </row>
    <row r="60" spans="1:140" x14ac:dyDescent="0.25">
      <c r="A60" s="4" t="s">
        <v>196</v>
      </c>
      <c r="B60" s="4">
        <v>3021</v>
      </c>
      <c r="C60" s="4">
        <v>4834</v>
      </c>
      <c r="D60" s="4">
        <v>154</v>
      </c>
      <c r="E60" s="4">
        <v>1770</v>
      </c>
      <c r="F60" s="4">
        <v>12</v>
      </c>
      <c r="G60" s="4">
        <v>23</v>
      </c>
      <c r="H60" s="4">
        <v>16780</v>
      </c>
      <c r="I60" s="4">
        <v>47</v>
      </c>
      <c r="J60" s="4">
        <v>932</v>
      </c>
      <c r="K60" s="4">
        <v>28</v>
      </c>
      <c r="L60" s="4">
        <v>1438</v>
      </c>
      <c r="M60" s="4">
        <v>373</v>
      </c>
      <c r="N60" s="4">
        <v>10625</v>
      </c>
      <c r="O60" s="4">
        <v>1388</v>
      </c>
      <c r="P60" s="4">
        <v>596</v>
      </c>
      <c r="Q60" s="4">
        <v>8890</v>
      </c>
      <c r="R60" s="4">
        <v>53</v>
      </c>
      <c r="S60" s="4">
        <v>1404</v>
      </c>
      <c r="T60" s="4">
        <v>4120</v>
      </c>
      <c r="U60" s="4">
        <v>2362</v>
      </c>
      <c r="V60" s="4">
        <v>5725</v>
      </c>
      <c r="W60" s="4">
        <v>3839</v>
      </c>
      <c r="X60" s="4">
        <v>612</v>
      </c>
      <c r="Y60" s="4">
        <v>976</v>
      </c>
      <c r="Z60" s="4">
        <v>2312</v>
      </c>
      <c r="AA60" s="4">
        <v>516</v>
      </c>
      <c r="AB60" s="4">
        <v>5032</v>
      </c>
      <c r="AC60" s="4">
        <v>818</v>
      </c>
      <c r="AD60" s="4">
        <v>426</v>
      </c>
      <c r="AE60" s="4">
        <v>2256</v>
      </c>
      <c r="AF60" s="4">
        <v>980</v>
      </c>
      <c r="AG60">
        <v>20564</v>
      </c>
      <c r="AH60" s="4">
        <v>345</v>
      </c>
      <c r="AI60" s="4">
        <v>1285</v>
      </c>
      <c r="AJ60" s="4">
        <v>336</v>
      </c>
      <c r="AK60" s="4">
        <v>1597</v>
      </c>
      <c r="AL60" s="4">
        <v>3042</v>
      </c>
      <c r="AM60" s="4">
        <v>692</v>
      </c>
      <c r="AN60" s="4">
        <v>259</v>
      </c>
      <c r="AO60" s="4">
        <v>8835</v>
      </c>
      <c r="AP60" s="4">
        <v>439</v>
      </c>
      <c r="AQ60" s="4">
        <v>102</v>
      </c>
      <c r="AR60" s="4">
        <v>1916</v>
      </c>
      <c r="AS60" s="4">
        <v>4300</v>
      </c>
      <c r="AT60" s="4">
        <v>834</v>
      </c>
      <c r="AU60" s="4">
        <v>7805</v>
      </c>
      <c r="AV60" s="4">
        <v>2771</v>
      </c>
      <c r="AW60" s="4">
        <v>2732</v>
      </c>
      <c r="AX60" s="4">
        <v>17882</v>
      </c>
      <c r="AY60" s="4">
        <v>106</v>
      </c>
      <c r="AZ60" s="4">
        <v>676</v>
      </c>
      <c r="BA60" s="4">
        <v>6891</v>
      </c>
      <c r="BB60" s="4">
        <v>140</v>
      </c>
      <c r="BC60" s="4">
        <v>490</v>
      </c>
      <c r="BD60" s="4">
        <v>5527</v>
      </c>
      <c r="BE60" s="4">
        <v>3722</v>
      </c>
      <c r="BF60" s="4">
        <v>7022</v>
      </c>
      <c r="BG60" s="4">
        <v>4000</v>
      </c>
      <c r="BH60" s="4">
        <v>1397</v>
      </c>
      <c r="BI60" s="4">
        <v>23212</v>
      </c>
      <c r="BJ60" s="4">
        <v>3613</v>
      </c>
      <c r="BK60" s="4">
        <v>6246</v>
      </c>
      <c r="BL60" s="4">
        <v>5014</v>
      </c>
      <c r="BM60" s="4">
        <v>5234</v>
      </c>
      <c r="BN60" s="4">
        <v>2389</v>
      </c>
      <c r="BO60" s="4">
        <v>1227</v>
      </c>
      <c r="BP60" s="4">
        <v>27609</v>
      </c>
      <c r="BQ60" s="4">
        <v>4126</v>
      </c>
      <c r="BR60" s="4">
        <v>76943</v>
      </c>
      <c r="BS60" s="4">
        <v>9261</v>
      </c>
      <c r="BT60" s="4">
        <v>9520</v>
      </c>
      <c r="BU60" s="4">
        <v>25705</v>
      </c>
      <c r="BV60" s="4">
        <v>3172</v>
      </c>
      <c r="BW60" s="4">
        <v>11817</v>
      </c>
      <c r="BX60" s="4">
        <v>2007</v>
      </c>
      <c r="BY60" s="4">
        <v>6076</v>
      </c>
      <c r="BZ60" s="4">
        <v>19390</v>
      </c>
      <c r="CA60" s="4">
        <v>2734</v>
      </c>
      <c r="CB60" s="4">
        <v>885</v>
      </c>
      <c r="CC60" s="4">
        <v>7471</v>
      </c>
      <c r="CD60" s="4">
        <v>3066</v>
      </c>
      <c r="CE60" s="4">
        <v>2810</v>
      </c>
      <c r="CF60" s="4">
        <v>6200</v>
      </c>
      <c r="CG60" s="4">
        <v>79945</v>
      </c>
      <c r="CH60" s="4">
        <v>14490</v>
      </c>
      <c r="CI60" s="4">
        <v>34183</v>
      </c>
      <c r="CJ60" s="4">
        <v>7165</v>
      </c>
      <c r="CK60" s="4">
        <v>15021</v>
      </c>
      <c r="CL60" s="4">
        <v>8765</v>
      </c>
      <c r="CM60" s="4">
        <v>16785</v>
      </c>
      <c r="CN60" s="4">
        <v>42359</v>
      </c>
      <c r="CO60" s="4">
        <v>5567</v>
      </c>
      <c r="CP60" s="4">
        <v>3107</v>
      </c>
      <c r="CQ60" s="4">
        <v>4088</v>
      </c>
      <c r="CR60" s="4">
        <v>6042</v>
      </c>
      <c r="CS60" s="4">
        <v>26804</v>
      </c>
      <c r="CT60" s="4">
        <v>17077</v>
      </c>
      <c r="CU60" s="4">
        <v>1449</v>
      </c>
      <c r="CV60" s="4">
        <v>212432</v>
      </c>
      <c r="CW60" s="4">
        <v>5075</v>
      </c>
      <c r="CX60" s="4">
        <v>1511</v>
      </c>
      <c r="CY60" s="4">
        <v>20223</v>
      </c>
      <c r="CZ60" s="4">
        <v>2939</v>
      </c>
      <c r="DA60" s="4">
        <v>5161</v>
      </c>
      <c r="DB60" s="4">
        <v>10075</v>
      </c>
      <c r="DC60" s="4">
        <v>2995</v>
      </c>
      <c r="DD60" s="4">
        <v>2441</v>
      </c>
      <c r="DE60" s="4">
        <v>1611</v>
      </c>
      <c r="DF60" s="4">
        <v>41816</v>
      </c>
      <c r="DG60" s="4">
        <v>12035</v>
      </c>
      <c r="DH60" s="4">
        <v>13362</v>
      </c>
      <c r="DI60" s="4">
        <v>3308</v>
      </c>
      <c r="DJ60" s="4">
        <v>19641</v>
      </c>
      <c r="DK60" s="4">
        <v>12353</v>
      </c>
      <c r="DL60" s="4">
        <v>7626</v>
      </c>
      <c r="DM60" s="4">
        <v>12093</v>
      </c>
      <c r="DN60" s="4">
        <v>14754</v>
      </c>
      <c r="DO60" s="4">
        <v>2030</v>
      </c>
      <c r="DP60" s="4">
        <v>6414</v>
      </c>
      <c r="DQ60" s="4">
        <v>45675</v>
      </c>
      <c r="DR60" s="4">
        <v>2536</v>
      </c>
      <c r="DS60" s="4">
        <v>3971</v>
      </c>
      <c r="DT60" s="4">
        <v>887</v>
      </c>
      <c r="DU60" s="4">
        <v>9222</v>
      </c>
      <c r="DV60" s="4">
        <v>5111</v>
      </c>
      <c r="DW60" s="4">
        <v>4459</v>
      </c>
      <c r="DX60" s="4">
        <v>10034</v>
      </c>
      <c r="DY60" s="4">
        <v>1840</v>
      </c>
      <c r="DZ60" s="4">
        <v>4734</v>
      </c>
      <c r="EA60" s="4">
        <v>8425</v>
      </c>
      <c r="EB60" s="4">
        <v>5038</v>
      </c>
      <c r="EC60" s="4">
        <v>673</v>
      </c>
      <c r="ED60" s="4">
        <v>1565</v>
      </c>
      <c r="EE60" s="4">
        <v>29480</v>
      </c>
      <c r="EF60" s="4">
        <v>3494</v>
      </c>
      <c r="EG60" s="4">
        <v>11631</v>
      </c>
      <c r="EH60" s="4">
        <v>21202</v>
      </c>
      <c r="EJ60" s="4">
        <f t="shared" si="0"/>
        <v>1316495</v>
      </c>
    </row>
    <row r="61" spans="1:140" x14ac:dyDescent="0.25">
      <c r="A61" s="4" t="s">
        <v>197</v>
      </c>
      <c r="B61" s="4">
        <v>3460</v>
      </c>
      <c r="C61" s="4">
        <v>5830</v>
      </c>
      <c r="D61" s="4">
        <v>134</v>
      </c>
      <c r="E61" s="4">
        <v>2394</v>
      </c>
      <c r="F61" s="4">
        <v>339</v>
      </c>
      <c r="G61" s="4">
        <v>8</v>
      </c>
      <c r="H61" s="4">
        <v>20232</v>
      </c>
      <c r="I61" s="4">
        <v>110</v>
      </c>
      <c r="J61" s="4">
        <v>922</v>
      </c>
      <c r="K61" s="4">
        <v>31</v>
      </c>
      <c r="L61" s="4">
        <v>1816</v>
      </c>
      <c r="M61" s="4">
        <v>193</v>
      </c>
      <c r="N61" s="4">
        <v>11981</v>
      </c>
      <c r="O61" s="4">
        <v>1496</v>
      </c>
      <c r="P61" s="4">
        <v>571</v>
      </c>
      <c r="Q61" s="4">
        <v>9791</v>
      </c>
      <c r="R61" s="4">
        <v>248</v>
      </c>
      <c r="S61" s="4">
        <v>1745</v>
      </c>
      <c r="T61" s="4">
        <v>4153</v>
      </c>
      <c r="U61" s="4">
        <v>2318</v>
      </c>
      <c r="V61" s="4">
        <v>6141</v>
      </c>
      <c r="W61" s="4">
        <v>3426</v>
      </c>
      <c r="X61" s="4">
        <v>403</v>
      </c>
      <c r="Y61" s="4">
        <v>1060</v>
      </c>
      <c r="Z61" s="4">
        <v>2627</v>
      </c>
      <c r="AA61" s="4">
        <v>502</v>
      </c>
      <c r="AB61" s="4">
        <v>5101</v>
      </c>
      <c r="AC61" s="4">
        <v>706</v>
      </c>
      <c r="AD61" s="4">
        <v>353</v>
      </c>
      <c r="AE61" s="4">
        <v>2367</v>
      </c>
      <c r="AF61" s="4">
        <v>1032</v>
      </c>
      <c r="AG61">
        <v>17940</v>
      </c>
      <c r="AH61" s="4">
        <v>487</v>
      </c>
      <c r="AI61" s="4">
        <v>2316</v>
      </c>
      <c r="AJ61" s="4">
        <v>305</v>
      </c>
      <c r="AK61" s="4">
        <v>1925</v>
      </c>
      <c r="AL61" s="4">
        <v>3752</v>
      </c>
      <c r="AM61" s="4">
        <v>856</v>
      </c>
      <c r="AN61" s="4">
        <v>372</v>
      </c>
      <c r="AO61" s="4">
        <v>8974</v>
      </c>
      <c r="AP61" s="4">
        <v>621</v>
      </c>
      <c r="AQ61" s="4">
        <v>87</v>
      </c>
      <c r="AR61" s="4">
        <v>2034</v>
      </c>
      <c r="AS61" s="4">
        <v>5227</v>
      </c>
      <c r="AT61" s="4">
        <v>751</v>
      </c>
      <c r="AU61" s="4">
        <v>4639</v>
      </c>
      <c r="AV61" s="4">
        <v>3829</v>
      </c>
      <c r="AW61" s="4">
        <v>2809</v>
      </c>
      <c r="AX61" s="4">
        <v>20059</v>
      </c>
      <c r="AY61" s="4">
        <v>100</v>
      </c>
      <c r="AZ61" s="4">
        <v>768</v>
      </c>
      <c r="BA61" s="4">
        <v>6717</v>
      </c>
      <c r="BB61" s="4">
        <v>196</v>
      </c>
      <c r="BC61" s="4">
        <v>655</v>
      </c>
      <c r="BD61" s="4">
        <v>6681</v>
      </c>
      <c r="BE61" s="4">
        <v>3697</v>
      </c>
      <c r="BF61" s="4">
        <v>3748</v>
      </c>
      <c r="BG61" s="4">
        <v>4181</v>
      </c>
      <c r="BH61" s="4">
        <v>1652</v>
      </c>
      <c r="BI61" s="4">
        <v>26780</v>
      </c>
      <c r="BJ61" s="4">
        <v>3681</v>
      </c>
      <c r="BK61" s="4">
        <v>6290</v>
      </c>
      <c r="BL61" s="4">
        <v>3969</v>
      </c>
      <c r="BM61" s="4">
        <v>6315</v>
      </c>
      <c r="BN61" s="4">
        <v>1590</v>
      </c>
      <c r="BO61" s="4">
        <v>1881</v>
      </c>
      <c r="BP61" s="4">
        <v>34381</v>
      </c>
      <c r="BQ61" s="4">
        <v>4493</v>
      </c>
      <c r="BR61" s="4">
        <v>77094</v>
      </c>
      <c r="BS61" s="4">
        <v>9922</v>
      </c>
      <c r="BT61" s="4">
        <v>13301</v>
      </c>
      <c r="BU61" s="4">
        <v>22445</v>
      </c>
      <c r="BV61" s="4">
        <v>3252</v>
      </c>
      <c r="BW61" s="4">
        <v>13979</v>
      </c>
      <c r="BX61" s="4">
        <v>2577</v>
      </c>
      <c r="BY61" s="4">
        <v>6815</v>
      </c>
      <c r="BZ61" s="4">
        <v>20846</v>
      </c>
      <c r="CA61" s="4">
        <v>3061</v>
      </c>
      <c r="CB61" s="4">
        <v>1142</v>
      </c>
      <c r="CC61" s="4">
        <v>7810</v>
      </c>
      <c r="CD61" s="4">
        <v>3263</v>
      </c>
      <c r="CE61" s="4">
        <v>4083</v>
      </c>
      <c r="CF61" s="4">
        <v>7396</v>
      </c>
      <c r="CG61" s="4">
        <v>86508</v>
      </c>
      <c r="CH61" s="4">
        <v>35567</v>
      </c>
      <c r="CI61" s="4">
        <v>64637</v>
      </c>
      <c r="CJ61" s="4">
        <v>24289</v>
      </c>
      <c r="CK61" s="4">
        <v>26782</v>
      </c>
      <c r="CL61" s="4">
        <v>18038</v>
      </c>
      <c r="CM61" s="4">
        <v>26834</v>
      </c>
      <c r="CN61" s="4">
        <v>52785</v>
      </c>
      <c r="CO61" s="4">
        <v>11662</v>
      </c>
      <c r="CP61" s="4">
        <v>3492</v>
      </c>
      <c r="CQ61" s="4">
        <v>9866</v>
      </c>
      <c r="CR61" s="4">
        <v>9476</v>
      </c>
      <c r="CS61" s="4">
        <v>32037</v>
      </c>
      <c r="CT61" s="4">
        <v>20834</v>
      </c>
      <c r="CU61" s="4">
        <v>2057</v>
      </c>
      <c r="CV61" s="4">
        <v>218577</v>
      </c>
      <c r="CW61" s="4">
        <v>11304</v>
      </c>
      <c r="CX61" s="4">
        <v>1915</v>
      </c>
      <c r="CY61" s="4">
        <v>27003</v>
      </c>
      <c r="CZ61" s="4">
        <v>3874</v>
      </c>
      <c r="DA61" s="4">
        <v>5565</v>
      </c>
      <c r="DB61" s="4">
        <v>10678</v>
      </c>
      <c r="DC61" s="4">
        <v>3288</v>
      </c>
      <c r="DD61" s="4">
        <v>2814</v>
      </c>
      <c r="DE61" s="4">
        <v>1668</v>
      </c>
      <c r="DF61" s="4">
        <v>43188</v>
      </c>
      <c r="DG61" s="4">
        <v>13433</v>
      </c>
      <c r="DH61" s="4">
        <v>13517</v>
      </c>
      <c r="DI61" s="4">
        <v>4834</v>
      </c>
      <c r="DJ61" s="4">
        <v>22586</v>
      </c>
      <c r="DK61" s="4">
        <v>13228</v>
      </c>
      <c r="DL61" s="4">
        <v>8624</v>
      </c>
      <c r="DM61" s="4">
        <v>12060</v>
      </c>
      <c r="DN61" s="4">
        <v>16046</v>
      </c>
      <c r="DO61" s="4">
        <v>2851</v>
      </c>
      <c r="DP61" s="4">
        <v>7250</v>
      </c>
      <c r="DQ61" s="4">
        <v>47959</v>
      </c>
      <c r="DR61" s="4">
        <v>3120</v>
      </c>
      <c r="DS61" s="4">
        <v>6820</v>
      </c>
      <c r="DT61" s="4">
        <v>837</v>
      </c>
      <c r="DU61" s="4">
        <v>11014</v>
      </c>
      <c r="DV61" s="4">
        <v>7107</v>
      </c>
      <c r="DW61" s="4">
        <v>7194</v>
      </c>
      <c r="DX61" s="4">
        <v>9328</v>
      </c>
      <c r="DY61" s="4">
        <v>1960</v>
      </c>
      <c r="DZ61" s="4">
        <v>4651</v>
      </c>
      <c r="EA61" s="4">
        <v>9280</v>
      </c>
      <c r="EB61" s="4">
        <v>5552</v>
      </c>
      <c r="EC61" s="4">
        <v>672</v>
      </c>
      <c r="ED61" s="4">
        <v>1861</v>
      </c>
      <c r="EE61" s="4">
        <v>31832</v>
      </c>
      <c r="EF61" s="4">
        <v>3556</v>
      </c>
      <c r="EG61" s="4">
        <v>17387</v>
      </c>
      <c r="EH61" s="4">
        <v>19714</v>
      </c>
      <c r="EJ61" s="4">
        <f t="shared" si="0"/>
        <v>1542245</v>
      </c>
    </row>
    <row r="62" spans="1:140" x14ac:dyDescent="0.25">
      <c r="A62" s="4" t="s">
        <v>198</v>
      </c>
      <c r="B62" s="4">
        <v>2902</v>
      </c>
      <c r="C62" s="4">
        <v>4611</v>
      </c>
      <c r="D62" s="4">
        <v>136</v>
      </c>
      <c r="E62" s="4">
        <v>1502</v>
      </c>
      <c r="F62" s="4">
        <v>13</v>
      </c>
      <c r="G62" s="4">
        <v>19</v>
      </c>
      <c r="H62" s="4">
        <v>16769</v>
      </c>
      <c r="I62" s="4">
        <v>72</v>
      </c>
      <c r="J62" s="4">
        <v>886</v>
      </c>
      <c r="K62" s="4">
        <v>28</v>
      </c>
      <c r="L62" s="4">
        <v>1906</v>
      </c>
      <c r="M62" s="4">
        <v>161</v>
      </c>
      <c r="N62" s="4">
        <v>11506</v>
      </c>
      <c r="O62" s="4">
        <v>1518</v>
      </c>
      <c r="P62" s="4">
        <v>679</v>
      </c>
      <c r="Q62" s="4">
        <v>7792</v>
      </c>
      <c r="R62" s="4">
        <v>184</v>
      </c>
      <c r="S62" s="4">
        <v>1801</v>
      </c>
      <c r="T62" s="4">
        <v>2741</v>
      </c>
      <c r="U62" s="4">
        <v>1918</v>
      </c>
      <c r="V62" s="4">
        <v>7359</v>
      </c>
      <c r="W62" s="4">
        <v>2986</v>
      </c>
      <c r="X62" s="4">
        <v>524</v>
      </c>
      <c r="Y62" s="4">
        <v>1517</v>
      </c>
      <c r="Z62" s="4">
        <v>1028</v>
      </c>
      <c r="AA62" s="4">
        <v>563</v>
      </c>
      <c r="AB62" s="4">
        <v>4326</v>
      </c>
      <c r="AC62" s="4">
        <v>700</v>
      </c>
      <c r="AD62" s="4">
        <v>434</v>
      </c>
      <c r="AE62" s="4">
        <v>1183</v>
      </c>
      <c r="AF62" s="4">
        <v>2048</v>
      </c>
      <c r="AG62">
        <v>23478</v>
      </c>
      <c r="AH62" s="4">
        <v>502</v>
      </c>
      <c r="AI62" s="4">
        <v>2985</v>
      </c>
      <c r="AJ62" s="4">
        <v>281</v>
      </c>
      <c r="AK62" s="4">
        <v>1831</v>
      </c>
      <c r="AL62" s="4">
        <v>3692</v>
      </c>
      <c r="AM62" s="4">
        <v>768</v>
      </c>
      <c r="AN62" s="4">
        <v>330</v>
      </c>
      <c r="AO62" s="4">
        <v>10133</v>
      </c>
      <c r="AP62" s="4">
        <v>594</v>
      </c>
      <c r="AQ62" s="4">
        <v>104</v>
      </c>
      <c r="AR62" s="4">
        <v>2293</v>
      </c>
      <c r="AS62" s="4">
        <v>4866</v>
      </c>
      <c r="AT62" s="4">
        <v>1040</v>
      </c>
      <c r="AU62" s="4">
        <v>2716</v>
      </c>
      <c r="AV62" s="4">
        <v>4932</v>
      </c>
      <c r="AW62" s="4">
        <v>6563</v>
      </c>
      <c r="AX62" s="4">
        <v>22911</v>
      </c>
      <c r="AY62" s="4">
        <v>172</v>
      </c>
      <c r="AZ62" s="4">
        <v>747</v>
      </c>
      <c r="BA62" s="4">
        <v>7560</v>
      </c>
      <c r="BB62" s="4">
        <v>190</v>
      </c>
      <c r="BC62" s="4">
        <v>605</v>
      </c>
      <c r="BD62" s="4">
        <v>5962</v>
      </c>
      <c r="BE62" s="4">
        <v>3301</v>
      </c>
      <c r="BF62" s="4">
        <v>2212</v>
      </c>
      <c r="BG62" s="4">
        <v>4413</v>
      </c>
      <c r="BH62" s="4">
        <v>1802</v>
      </c>
      <c r="BI62" s="4">
        <v>26663</v>
      </c>
      <c r="BJ62" s="4">
        <v>3844</v>
      </c>
      <c r="BK62" s="4">
        <v>6359</v>
      </c>
      <c r="BL62" s="4">
        <v>3017</v>
      </c>
      <c r="BM62" s="4">
        <v>5179</v>
      </c>
      <c r="BN62" s="4">
        <v>1408</v>
      </c>
      <c r="BO62" s="4">
        <v>1158</v>
      </c>
      <c r="BP62" s="4">
        <v>21864</v>
      </c>
      <c r="BQ62" s="4">
        <v>3015</v>
      </c>
      <c r="BR62" s="4">
        <v>68951</v>
      </c>
      <c r="BS62" s="4">
        <v>9993</v>
      </c>
      <c r="BT62" s="4">
        <v>7676</v>
      </c>
      <c r="BU62" s="4">
        <v>19725</v>
      </c>
      <c r="BV62" s="4">
        <v>3327</v>
      </c>
      <c r="BW62" s="4">
        <v>12666</v>
      </c>
      <c r="BX62" s="4">
        <v>2043</v>
      </c>
      <c r="BY62" s="4">
        <v>5668</v>
      </c>
      <c r="BZ62" s="4">
        <v>19741</v>
      </c>
      <c r="CA62" s="4">
        <v>2064</v>
      </c>
      <c r="CB62" s="4">
        <v>1100</v>
      </c>
      <c r="CC62" s="4">
        <v>5952</v>
      </c>
      <c r="CD62" s="4">
        <v>3210</v>
      </c>
      <c r="CE62" s="4">
        <v>4211</v>
      </c>
      <c r="CF62" s="4">
        <v>7736</v>
      </c>
      <c r="CG62" s="4">
        <v>94076</v>
      </c>
      <c r="CH62" s="4">
        <v>14319</v>
      </c>
      <c r="CI62" s="4">
        <v>24267</v>
      </c>
      <c r="CJ62" s="4">
        <v>7655</v>
      </c>
      <c r="CK62" s="4">
        <v>15928</v>
      </c>
      <c r="CL62" s="4">
        <v>11514</v>
      </c>
      <c r="CM62" s="4">
        <v>16352</v>
      </c>
      <c r="CN62" s="4">
        <v>44056</v>
      </c>
      <c r="CO62" s="4">
        <v>6089</v>
      </c>
      <c r="CP62" s="4">
        <v>2863</v>
      </c>
      <c r="CQ62" s="4">
        <v>4637</v>
      </c>
      <c r="CR62" s="4">
        <v>6566</v>
      </c>
      <c r="CS62" s="4">
        <v>26789</v>
      </c>
      <c r="CT62" s="4">
        <v>19342</v>
      </c>
      <c r="CU62" s="4">
        <v>1884</v>
      </c>
      <c r="CV62" s="4">
        <v>219557</v>
      </c>
      <c r="CW62" s="4">
        <v>5186</v>
      </c>
      <c r="CX62" s="4">
        <v>1837</v>
      </c>
      <c r="CY62" s="4">
        <v>21507</v>
      </c>
      <c r="CZ62" s="4">
        <v>3533</v>
      </c>
      <c r="DA62" s="4">
        <v>5618</v>
      </c>
      <c r="DB62" s="4">
        <v>9704</v>
      </c>
      <c r="DC62" s="4">
        <v>2852</v>
      </c>
      <c r="DD62" s="4">
        <v>2802</v>
      </c>
      <c r="DE62" s="4">
        <v>1939</v>
      </c>
      <c r="DF62" s="4">
        <v>39053</v>
      </c>
      <c r="DG62" s="4">
        <v>12168</v>
      </c>
      <c r="DH62" s="4">
        <v>14569</v>
      </c>
      <c r="DI62" s="4">
        <v>3383</v>
      </c>
      <c r="DJ62" s="4">
        <v>22658</v>
      </c>
      <c r="DK62" s="4">
        <v>12770</v>
      </c>
      <c r="DL62" s="4">
        <v>8519</v>
      </c>
      <c r="DM62" s="4">
        <v>11648</v>
      </c>
      <c r="DN62" s="4">
        <v>13180</v>
      </c>
      <c r="DO62" s="4">
        <v>2435</v>
      </c>
      <c r="DP62" s="4">
        <v>5908</v>
      </c>
      <c r="DQ62" s="4">
        <v>44201</v>
      </c>
      <c r="DR62" s="4">
        <v>2740</v>
      </c>
      <c r="DS62" s="4">
        <v>6497</v>
      </c>
      <c r="DT62" s="4">
        <v>769</v>
      </c>
      <c r="DU62" s="4">
        <v>9361</v>
      </c>
      <c r="DV62" s="4">
        <v>3409</v>
      </c>
      <c r="DW62" s="4">
        <v>4566</v>
      </c>
      <c r="DX62" s="4">
        <v>7233</v>
      </c>
      <c r="DY62" s="4">
        <v>1621</v>
      </c>
      <c r="DZ62" s="4">
        <v>2299</v>
      </c>
      <c r="EA62" s="4">
        <v>9382</v>
      </c>
      <c r="EB62" s="4">
        <v>3792</v>
      </c>
      <c r="EC62" s="4">
        <v>669</v>
      </c>
      <c r="ED62" s="4">
        <v>929</v>
      </c>
      <c r="EE62" s="4">
        <v>25742</v>
      </c>
      <c r="EF62" s="4">
        <v>2772</v>
      </c>
      <c r="EG62" s="4">
        <v>10184</v>
      </c>
      <c r="EH62" s="4">
        <v>21604</v>
      </c>
      <c r="EJ62" s="4">
        <f t="shared" si="0"/>
        <v>1318298</v>
      </c>
    </row>
    <row r="63" spans="1:140" x14ac:dyDescent="0.25">
      <c r="A63" s="4" t="s">
        <v>199</v>
      </c>
      <c r="B63" s="4">
        <v>3090</v>
      </c>
      <c r="C63" s="4">
        <v>4106</v>
      </c>
      <c r="D63" s="4">
        <v>114</v>
      </c>
      <c r="E63" s="4">
        <v>1461</v>
      </c>
      <c r="F63" s="4">
        <v>13</v>
      </c>
      <c r="G63" s="4">
        <v>23</v>
      </c>
      <c r="H63" s="4">
        <v>15493</v>
      </c>
      <c r="I63" s="4">
        <v>33</v>
      </c>
      <c r="J63" s="4">
        <v>956</v>
      </c>
      <c r="K63" s="4">
        <v>37</v>
      </c>
      <c r="L63" s="4">
        <v>1242</v>
      </c>
      <c r="M63" s="4">
        <v>182</v>
      </c>
      <c r="N63" s="4">
        <v>9519</v>
      </c>
      <c r="O63" s="4">
        <v>1697</v>
      </c>
      <c r="P63" s="4">
        <v>635</v>
      </c>
      <c r="Q63" s="4">
        <v>7925</v>
      </c>
      <c r="R63" s="4">
        <v>49</v>
      </c>
      <c r="S63" s="4">
        <v>1373</v>
      </c>
      <c r="T63" s="4">
        <v>2076</v>
      </c>
      <c r="U63" s="4">
        <v>1696</v>
      </c>
      <c r="V63" s="4">
        <v>6176</v>
      </c>
      <c r="W63" s="4">
        <v>2567</v>
      </c>
      <c r="X63" s="4">
        <v>449</v>
      </c>
      <c r="Y63" s="4">
        <v>784</v>
      </c>
      <c r="Z63" s="4">
        <v>931</v>
      </c>
      <c r="AA63" s="4">
        <v>584</v>
      </c>
      <c r="AB63" s="4">
        <v>4191</v>
      </c>
      <c r="AC63" s="4">
        <v>575</v>
      </c>
      <c r="AD63" s="4">
        <v>425</v>
      </c>
      <c r="AE63" s="4">
        <v>1129</v>
      </c>
      <c r="AF63" s="4">
        <v>1469</v>
      </c>
      <c r="AG63">
        <v>17642</v>
      </c>
      <c r="AH63" s="4">
        <v>343</v>
      </c>
      <c r="AI63" s="4">
        <v>2636</v>
      </c>
      <c r="AJ63" s="4">
        <v>297</v>
      </c>
      <c r="AK63" s="4">
        <v>1679</v>
      </c>
      <c r="AL63" s="4">
        <v>2993</v>
      </c>
      <c r="AM63" s="4">
        <v>725</v>
      </c>
      <c r="AN63" s="4">
        <v>245</v>
      </c>
      <c r="AO63" s="4">
        <v>11575</v>
      </c>
      <c r="AP63" s="4">
        <v>471</v>
      </c>
      <c r="AQ63" s="4">
        <v>77</v>
      </c>
      <c r="AR63" s="4">
        <v>1908</v>
      </c>
      <c r="AS63" s="4">
        <v>9954</v>
      </c>
      <c r="AT63" s="4">
        <v>889</v>
      </c>
      <c r="AU63" s="4">
        <v>2063</v>
      </c>
      <c r="AV63" s="4">
        <v>2989</v>
      </c>
      <c r="AW63" s="4">
        <v>2771</v>
      </c>
      <c r="AX63" s="4">
        <v>18373</v>
      </c>
      <c r="AY63" s="4">
        <v>106</v>
      </c>
      <c r="AZ63" s="4">
        <v>675</v>
      </c>
      <c r="BA63" s="4">
        <v>9165</v>
      </c>
      <c r="BB63" s="4">
        <v>190</v>
      </c>
      <c r="BC63" s="4">
        <v>598</v>
      </c>
      <c r="BD63" s="4">
        <v>5243</v>
      </c>
      <c r="BE63" s="4">
        <v>2920</v>
      </c>
      <c r="BF63" s="4">
        <v>1197</v>
      </c>
      <c r="BG63" s="4">
        <v>4010</v>
      </c>
      <c r="BH63" s="4">
        <v>1379</v>
      </c>
      <c r="BI63" s="4">
        <v>23700</v>
      </c>
      <c r="BJ63" s="4">
        <v>3164</v>
      </c>
      <c r="BK63" s="4">
        <v>5670</v>
      </c>
      <c r="BL63" s="4">
        <v>2879</v>
      </c>
      <c r="BM63" s="4">
        <v>5067</v>
      </c>
      <c r="BN63" s="4">
        <v>856</v>
      </c>
      <c r="BO63" s="4">
        <v>1158</v>
      </c>
      <c r="BP63" s="4">
        <v>20043</v>
      </c>
      <c r="BQ63" s="4">
        <v>2654</v>
      </c>
      <c r="BR63" s="4">
        <v>64817</v>
      </c>
      <c r="BS63" s="4">
        <v>8707</v>
      </c>
      <c r="BT63" s="4">
        <v>7527</v>
      </c>
      <c r="BU63" s="4">
        <v>16587</v>
      </c>
      <c r="BV63" s="4">
        <v>2552</v>
      </c>
      <c r="BW63" s="4">
        <v>10888</v>
      </c>
      <c r="BX63" s="4">
        <v>2170</v>
      </c>
      <c r="BY63" s="4">
        <v>4816</v>
      </c>
      <c r="BZ63" s="4">
        <v>19359</v>
      </c>
      <c r="CA63" s="4">
        <v>2126</v>
      </c>
      <c r="CB63" s="4">
        <v>805</v>
      </c>
      <c r="CC63" s="4">
        <v>5177</v>
      </c>
      <c r="CD63" s="4">
        <v>3260</v>
      </c>
      <c r="CE63" s="4">
        <v>2954</v>
      </c>
      <c r="CF63" s="4">
        <v>6204</v>
      </c>
      <c r="CG63" s="4">
        <v>79914</v>
      </c>
      <c r="CH63" s="4">
        <v>11612</v>
      </c>
      <c r="CI63" s="4">
        <v>23897</v>
      </c>
      <c r="CJ63" s="4">
        <v>5497</v>
      </c>
      <c r="CK63" s="4">
        <v>13893</v>
      </c>
      <c r="CL63" s="4">
        <v>12150</v>
      </c>
      <c r="CM63" s="4">
        <v>15297</v>
      </c>
      <c r="CN63" s="4">
        <v>38711</v>
      </c>
      <c r="CO63" s="4">
        <v>4861</v>
      </c>
      <c r="CP63" s="4">
        <v>2720</v>
      </c>
      <c r="CQ63" s="4">
        <v>3762</v>
      </c>
      <c r="CR63" s="4">
        <v>5821</v>
      </c>
      <c r="CS63" s="4">
        <v>25575</v>
      </c>
      <c r="CT63" s="4">
        <v>20251</v>
      </c>
      <c r="CU63" s="4">
        <v>1768</v>
      </c>
      <c r="CV63" s="4">
        <v>206365</v>
      </c>
      <c r="CW63" s="4">
        <v>5143</v>
      </c>
      <c r="CX63" s="4">
        <v>1527</v>
      </c>
      <c r="CY63" s="4">
        <v>19129</v>
      </c>
      <c r="CZ63" s="4">
        <v>3779</v>
      </c>
      <c r="DA63" s="4">
        <v>5467</v>
      </c>
      <c r="DB63" s="4">
        <v>10421</v>
      </c>
      <c r="DC63" s="4">
        <v>3120</v>
      </c>
      <c r="DD63" s="4">
        <v>2540</v>
      </c>
      <c r="DE63" s="4">
        <v>1896</v>
      </c>
      <c r="DF63" s="4">
        <v>39644</v>
      </c>
      <c r="DG63" s="4">
        <v>13724</v>
      </c>
      <c r="DH63" s="4">
        <v>12949</v>
      </c>
      <c r="DI63" s="4">
        <v>4338</v>
      </c>
      <c r="DJ63" s="4">
        <v>24434</v>
      </c>
      <c r="DK63" s="4">
        <v>14006</v>
      </c>
      <c r="DL63" s="4">
        <v>9014</v>
      </c>
      <c r="DM63" s="4">
        <v>12416</v>
      </c>
      <c r="DN63" s="4">
        <v>15588</v>
      </c>
      <c r="DO63" s="4">
        <v>2010</v>
      </c>
      <c r="DP63" s="4">
        <v>5775</v>
      </c>
      <c r="DQ63" s="4">
        <v>45321</v>
      </c>
      <c r="DR63" s="4">
        <v>2169</v>
      </c>
      <c r="DS63" s="4">
        <v>4256</v>
      </c>
      <c r="DT63" s="4">
        <v>664</v>
      </c>
      <c r="DU63" s="4">
        <v>8695</v>
      </c>
      <c r="DV63" s="4">
        <v>3570</v>
      </c>
      <c r="DW63" s="4">
        <v>4593</v>
      </c>
      <c r="DX63" s="4">
        <v>7547</v>
      </c>
      <c r="DY63" s="4">
        <v>1307</v>
      </c>
      <c r="DZ63" s="4">
        <v>2413</v>
      </c>
      <c r="EA63" s="4">
        <v>7902</v>
      </c>
      <c r="EB63" s="4">
        <v>3697</v>
      </c>
      <c r="EC63" s="4">
        <v>568</v>
      </c>
      <c r="ED63" s="4">
        <v>762</v>
      </c>
      <c r="EE63" s="4">
        <v>23409</v>
      </c>
      <c r="EF63" s="4">
        <v>2439</v>
      </c>
      <c r="EG63" s="4">
        <v>8739</v>
      </c>
      <c r="EH63" s="4">
        <v>20057</v>
      </c>
      <c r="EJ63" s="4">
        <f t="shared" si="0"/>
        <v>1224375</v>
      </c>
    </row>
    <row r="64" spans="1:140" x14ac:dyDescent="0.25">
      <c r="A64" s="4" t="s">
        <v>200</v>
      </c>
      <c r="B64" s="4">
        <v>3460</v>
      </c>
      <c r="C64" s="4">
        <v>4454</v>
      </c>
      <c r="D64" s="4">
        <v>150</v>
      </c>
      <c r="E64" s="4">
        <v>1768</v>
      </c>
      <c r="F64" s="4">
        <v>12</v>
      </c>
      <c r="G64" s="4">
        <v>23</v>
      </c>
      <c r="H64" s="4">
        <v>12573</v>
      </c>
      <c r="I64" s="4">
        <v>32</v>
      </c>
      <c r="J64" s="4">
        <v>1050</v>
      </c>
      <c r="K64" s="4">
        <v>35</v>
      </c>
      <c r="L64" s="4">
        <v>1465</v>
      </c>
      <c r="M64" s="4">
        <v>112</v>
      </c>
      <c r="N64" s="4">
        <v>10261</v>
      </c>
      <c r="O64" s="4">
        <v>1337</v>
      </c>
      <c r="P64" s="4">
        <v>761</v>
      </c>
      <c r="Q64" s="4">
        <v>8886</v>
      </c>
      <c r="R64" s="4">
        <v>57</v>
      </c>
      <c r="S64" s="4">
        <v>1813</v>
      </c>
      <c r="T64" s="4">
        <v>2931</v>
      </c>
      <c r="U64" s="4">
        <v>1852</v>
      </c>
      <c r="V64" s="4">
        <v>6384</v>
      </c>
      <c r="W64" s="4">
        <v>3361</v>
      </c>
      <c r="X64" s="4">
        <v>977</v>
      </c>
      <c r="Y64" s="4">
        <v>831</v>
      </c>
      <c r="Z64" s="4">
        <v>1002</v>
      </c>
      <c r="AA64" s="4">
        <v>575</v>
      </c>
      <c r="AB64" s="4">
        <v>4051</v>
      </c>
      <c r="AC64" s="4">
        <v>495</v>
      </c>
      <c r="AD64" s="4">
        <v>346</v>
      </c>
      <c r="AE64" s="4">
        <v>1428</v>
      </c>
      <c r="AF64" s="4">
        <v>1063</v>
      </c>
      <c r="AG64">
        <v>20355</v>
      </c>
      <c r="AH64" s="4">
        <v>480</v>
      </c>
      <c r="AI64" s="4">
        <v>1791</v>
      </c>
      <c r="AJ64" s="4">
        <v>293</v>
      </c>
      <c r="AK64" s="4">
        <v>1349</v>
      </c>
      <c r="AL64" s="4">
        <v>3543</v>
      </c>
      <c r="AM64" s="4">
        <v>859</v>
      </c>
      <c r="AN64" s="4">
        <v>294</v>
      </c>
      <c r="AO64" s="4">
        <v>8350</v>
      </c>
      <c r="AP64" s="4">
        <v>571</v>
      </c>
      <c r="AQ64" s="4">
        <v>131</v>
      </c>
      <c r="AR64" s="4">
        <v>2198</v>
      </c>
      <c r="AS64" s="4">
        <v>9254</v>
      </c>
      <c r="AT64" s="4">
        <v>1006</v>
      </c>
      <c r="AU64" s="4">
        <v>1866</v>
      </c>
      <c r="AV64" s="4">
        <v>3778</v>
      </c>
      <c r="AW64" s="4">
        <v>16783</v>
      </c>
      <c r="AX64" s="4">
        <v>27783</v>
      </c>
      <c r="AY64" s="4">
        <v>130</v>
      </c>
      <c r="AZ64" s="4">
        <v>613</v>
      </c>
      <c r="BA64" s="4">
        <v>20229</v>
      </c>
      <c r="BB64" s="4">
        <v>198</v>
      </c>
      <c r="BC64" s="4">
        <v>626</v>
      </c>
      <c r="BD64" s="4">
        <v>7561</v>
      </c>
      <c r="BE64" s="4">
        <v>3605</v>
      </c>
      <c r="BF64" s="4">
        <v>1400</v>
      </c>
      <c r="BG64" s="4">
        <v>4139</v>
      </c>
      <c r="BH64" s="4">
        <v>1989</v>
      </c>
      <c r="BI64" s="4">
        <v>24830</v>
      </c>
      <c r="BJ64" s="4">
        <v>3708</v>
      </c>
      <c r="BK64" s="4">
        <v>7357</v>
      </c>
      <c r="BL64" s="4">
        <v>3295</v>
      </c>
      <c r="BM64" s="4">
        <v>6148</v>
      </c>
      <c r="BN64" s="4">
        <v>1234</v>
      </c>
      <c r="BO64" s="4">
        <v>1244</v>
      </c>
      <c r="BP64" s="4">
        <v>21637</v>
      </c>
      <c r="BQ64" s="4">
        <v>2782</v>
      </c>
      <c r="BR64" s="4">
        <v>72821</v>
      </c>
      <c r="BS64" s="4">
        <v>9053</v>
      </c>
      <c r="BT64" s="4">
        <v>9187</v>
      </c>
      <c r="BU64" s="4">
        <v>16500</v>
      </c>
      <c r="BV64" s="4">
        <v>2978</v>
      </c>
      <c r="BW64" s="4">
        <v>12450</v>
      </c>
      <c r="BX64" s="4">
        <v>2239</v>
      </c>
      <c r="BY64" s="4">
        <v>5840</v>
      </c>
      <c r="BZ64" s="4">
        <v>20531</v>
      </c>
      <c r="CA64" s="4">
        <v>2130</v>
      </c>
      <c r="CB64" s="4">
        <v>1128</v>
      </c>
      <c r="CC64" s="4">
        <v>7096</v>
      </c>
      <c r="CD64" s="4">
        <v>4267</v>
      </c>
      <c r="CE64" s="4">
        <v>3958</v>
      </c>
      <c r="CF64" s="4">
        <v>7161</v>
      </c>
      <c r="CG64" s="4">
        <v>92426</v>
      </c>
      <c r="CH64" s="4">
        <v>12277</v>
      </c>
      <c r="CI64" s="4">
        <v>28974</v>
      </c>
      <c r="CJ64" s="4">
        <v>7059</v>
      </c>
      <c r="CK64" s="4">
        <v>17129</v>
      </c>
      <c r="CL64" s="4">
        <v>12282</v>
      </c>
      <c r="CM64" s="4">
        <v>15955</v>
      </c>
      <c r="CN64" s="4">
        <v>42000</v>
      </c>
      <c r="CO64" s="4">
        <v>5493</v>
      </c>
      <c r="CP64" s="4">
        <v>3277</v>
      </c>
      <c r="CQ64" s="4">
        <v>4760</v>
      </c>
      <c r="CR64" s="4">
        <v>6586</v>
      </c>
      <c r="CS64" s="4">
        <v>26517</v>
      </c>
      <c r="CT64" s="4">
        <v>17971</v>
      </c>
      <c r="CU64" s="4">
        <v>1951</v>
      </c>
      <c r="CV64" s="4">
        <v>223377</v>
      </c>
      <c r="CW64" s="4">
        <v>5604</v>
      </c>
      <c r="CX64" s="4">
        <v>1698</v>
      </c>
      <c r="CY64" s="4">
        <v>22736</v>
      </c>
      <c r="CZ64" s="4">
        <v>3300</v>
      </c>
      <c r="DA64" s="4">
        <v>6236</v>
      </c>
      <c r="DB64" s="4">
        <v>11664</v>
      </c>
      <c r="DC64" s="4">
        <v>3344</v>
      </c>
      <c r="DD64" s="4">
        <v>2831</v>
      </c>
      <c r="DE64" s="4">
        <v>1982</v>
      </c>
      <c r="DF64" s="4">
        <v>45275</v>
      </c>
      <c r="DG64" s="4">
        <v>16909</v>
      </c>
      <c r="DH64" s="4">
        <v>14149</v>
      </c>
      <c r="DI64" s="4">
        <v>6076</v>
      </c>
      <c r="DJ64" s="4">
        <v>24688</v>
      </c>
      <c r="DK64" s="4">
        <v>14943</v>
      </c>
      <c r="DL64" s="4">
        <v>9364</v>
      </c>
      <c r="DM64" s="4">
        <v>12617</v>
      </c>
      <c r="DN64" s="4">
        <v>21296</v>
      </c>
      <c r="DO64" s="4">
        <v>2601</v>
      </c>
      <c r="DP64" s="4">
        <v>6219</v>
      </c>
      <c r="DQ64" s="4">
        <v>50831</v>
      </c>
      <c r="DR64" s="4">
        <v>2884</v>
      </c>
      <c r="DS64" s="4">
        <v>4360</v>
      </c>
      <c r="DT64" s="4">
        <v>1436</v>
      </c>
      <c r="DU64" s="4">
        <v>9349</v>
      </c>
      <c r="DV64" s="4">
        <v>3896</v>
      </c>
      <c r="DW64" s="4">
        <v>5451</v>
      </c>
      <c r="DX64" s="4">
        <v>10365</v>
      </c>
      <c r="DY64" s="4">
        <v>2024</v>
      </c>
      <c r="DZ64" s="4">
        <v>2523</v>
      </c>
      <c r="EA64" s="4">
        <v>9382</v>
      </c>
      <c r="EB64" s="4">
        <v>4756</v>
      </c>
      <c r="EC64" s="4">
        <v>534</v>
      </c>
      <c r="ED64" s="4">
        <v>778</v>
      </c>
      <c r="EE64" s="4">
        <v>25568</v>
      </c>
      <c r="EF64" s="4">
        <v>2622</v>
      </c>
      <c r="EG64" s="4">
        <v>10111</v>
      </c>
      <c r="EH64" s="4">
        <v>21964</v>
      </c>
      <c r="EJ64" s="4">
        <f t="shared" si="0"/>
        <v>1384693</v>
      </c>
    </row>
    <row r="65" spans="1:140" x14ac:dyDescent="0.25">
      <c r="A65" s="4" t="s">
        <v>201</v>
      </c>
      <c r="B65" s="4">
        <v>2704</v>
      </c>
      <c r="C65" s="4">
        <v>4333</v>
      </c>
      <c r="D65" s="4">
        <v>112</v>
      </c>
      <c r="E65" s="4">
        <v>1451</v>
      </c>
      <c r="F65" s="4">
        <v>5</v>
      </c>
      <c r="G65" s="4">
        <v>24</v>
      </c>
      <c r="H65" s="4">
        <v>14066</v>
      </c>
      <c r="I65" s="4">
        <v>29</v>
      </c>
      <c r="J65" s="4">
        <v>1041</v>
      </c>
      <c r="K65" s="4">
        <v>36</v>
      </c>
      <c r="L65" s="4">
        <v>1278</v>
      </c>
      <c r="M65" s="4">
        <v>110</v>
      </c>
      <c r="N65" s="4">
        <v>10116</v>
      </c>
      <c r="O65" s="4">
        <v>1030</v>
      </c>
      <c r="P65" s="4">
        <v>552</v>
      </c>
      <c r="Q65" s="4">
        <v>7701</v>
      </c>
      <c r="R65" s="4">
        <v>32</v>
      </c>
      <c r="S65" s="4">
        <v>1484</v>
      </c>
      <c r="T65" s="4">
        <v>2441</v>
      </c>
      <c r="U65" s="4">
        <v>1802</v>
      </c>
      <c r="V65" s="4">
        <v>6010</v>
      </c>
      <c r="W65" s="4">
        <v>2555</v>
      </c>
      <c r="X65" s="4">
        <v>492</v>
      </c>
      <c r="Y65" s="4">
        <v>575</v>
      </c>
      <c r="Z65" s="4">
        <v>1342</v>
      </c>
      <c r="AA65" s="4">
        <v>450</v>
      </c>
      <c r="AB65" s="4">
        <v>4124</v>
      </c>
      <c r="AC65" s="4">
        <v>472</v>
      </c>
      <c r="AD65" s="4">
        <v>350</v>
      </c>
      <c r="AE65" s="4">
        <v>1255</v>
      </c>
      <c r="AF65" s="4">
        <v>1050</v>
      </c>
      <c r="AG65">
        <v>18474</v>
      </c>
      <c r="AH65" s="4">
        <v>394</v>
      </c>
      <c r="AI65" s="4">
        <v>1688</v>
      </c>
      <c r="AJ65" s="4">
        <v>328</v>
      </c>
      <c r="AK65" s="4">
        <v>1286</v>
      </c>
      <c r="AL65" s="4">
        <v>3442</v>
      </c>
      <c r="AM65" s="4">
        <v>791</v>
      </c>
      <c r="AN65" s="4">
        <v>320</v>
      </c>
      <c r="AO65" s="4">
        <v>8449</v>
      </c>
      <c r="AP65" s="4">
        <v>598</v>
      </c>
      <c r="AQ65" s="4">
        <v>129</v>
      </c>
      <c r="AR65" s="4">
        <v>1669</v>
      </c>
      <c r="AS65" s="4">
        <v>5126</v>
      </c>
      <c r="AT65" s="4">
        <v>818</v>
      </c>
      <c r="AU65" s="4">
        <v>1830</v>
      </c>
      <c r="AV65" s="4">
        <v>4598</v>
      </c>
      <c r="AW65" s="4">
        <v>11560</v>
      </c>
      <c r="AX65" s="4">
        <v>21435</v>
      </c>
      <c r="AY65" s="4">
        <v>99</v>
      </c>
      <c r="AZ65" s="4">
        <v>648</v>
      </c>
      <c r="BA65" s="4">
        <v>21262</v>
      </c>
      <c r="BB65" s="4">
        <v>150</v>
      </c>
      <c r="BC65" s="4">
        <v>494</v>
      </c>
      <c r="BD65" s="4">
        <v>6420</v>
      </c>
      <c r="BE65" s="4">
        <v>3097</v>
      </c>
      <c r="BF65" s="4">
        <v>1517</v>
      </c>
      <c r="BG65" s="4">
        <v>4196</v>
      </c>
      <c r="BH65" s="4">
        <v>1403</v>
      </c>
      <c r="BI65" s="4">
        <v>26269</v>
      </c>
      <c r="BJ65" s="4">
        <v>3137</v>
      </c>
      <c r="BK65" s="4">
        <v>7216</v>
      </c>
      <c r="BL65" s="4">
        <v>2879</v>
      </c>
      <c r="BM65" s="4">
        <v>5405</v>
      </c>
      <c r="BN65" s="4">
        <v>1019</v>
      </c>
      <c r="BO65" s="4">
        <v>1165</v>
      </c>
      <c r="BP65" s="4">
        <v>21665</v>
      </c>
      <c r="BQ65" s="4">
        <v>2568</v>
      </c>
      <c r="BR65" s="4">
        <v>66844</v>
      </c>
      <c r="BS65" s="4">
        <v>8340</v>
      </c>
      <c r="BT65" s="4">
        <v>8587</v>
      </c>
      <c r="BU65" s="4">
        <v>14202</v>
      </c>
      <c r="BV65" s="4">
        <v>2400</v>
      </c>
      <c r="BW65" s="4">
        <v>11355</v>
      </c>
      <c r="BX65" s="4">
        <v>2242</v>
      </c>
      <c r="BY65" s="4">
        <v>4987</v>
      </c>
      <c r="BZ65" s="4">
        <v>17613</v>
      </c>
      <c r="CA65" s="4">
        <v>1840</v>
      </c>
      <c r="CB65" s="4">
        <v>812</v>
      </c>
      <c r="CC65" s="4">
        <v>5545</v>
      </c>
      <c r="CD65" s="4">
        <v>2780</v>
      </c>
      <c r="CE65" s="4">
        <v>2941</v>
      </c>
      <c r="CF65" s="4">
        <v>6070</v>
      </c>
      <c r="CG65" s="4">
        <v>84307</v>
      </c>
      <c r="CH65" s="4">
        <v>11496</v>
      </c>
      <c r="CI65" s="4">
        <v>24571</v>
      </c>
      <c r="CJ65" s="4">
        <v>6046</v>
      </c>
      <c r="CK65" s="4">
        <v>14102</v>
      </c>
      <c r="CL65" s="4">
        <v>8378</v>
      </c>
      <c r="CM65" s="4">
        <v>13048</v>
      </c>
      <c r="CN65" s="4">
        <v>36759</v>
      </c>
      <c r="CO65" s="4">
        <v>5882</v>
      </c>
      <c r="CP65" s="4">
        <v>2742</v>
      </c>
      <c r="CQ65" s="4">
        <v>5038</v>
      </c>
      <c r="CR65" s="4">
        <v>6029</v>
      </c>
      <c r="CS65" s="4">
        <v>22880</v>
      </c>
      <c r="CT65" s="4">
        <v>15110</v>
      </c>
      <c r="CU65" s="4">
        <v>1624</v>
      </c>
      <c r="CV65" s="4">
        <v>202230</v>
      </c>
      <c r="CW65" s="4">
        <v>6108</v>
      </c>
      <c r="CX65" s="4">
        <v>1736</v>
      </c>
      <c r="CY65" s="4">
        <v>21513</v>
      </c>
      <c r="CZ65" s="4">
        <v>3426</v>
      </c>
      <c r="DA65" s="4">
        <v>5853</v>
      </c>
      <c r="DB65" s="4">
        <v>10035</v>
      </c>
      <c r="DC65" s="4">
        <v>3028</v>
      </c>
      <c r="DD65" s="4">
        <v>2443</v>
      </c>
      <c r="DE65" s="4">
        <v>1522</v>
      </c>
      <c r="DF65" s="4">
        <v>39597</v>
      </c>
      <c r="DG65" s="4">
        <v>13647</v>
      </c>
      <c r="DH65" s="4">
        <v>13189</v>
      </c>
      <c r="DI65" s="4">
        <v>4100</v>
      </c>
      <c r="DJ65" s="4">
        <v>22200</v>
      </c>
      <c r="DK65" s="4">
        <v>13143</v>
      </c>
      <c r="DL65" s="4">
        <v>7237</v>
      </c>
      <c r="DM65" s="4">
        <v>12616</v>
      </c>
      <c r="DN65" s="4">
        <v>14622</v>
      </c>
      <c r="DO65" s="4">
        <v>2487</v>
      </c>
      <c r="DP65" s="4">
        <v>6707</v>
      </c>
      <c r="DQ65" s="4">
        <v>47451</v>
      </c>
      <c r="DR65" s="4">
        <v>3086</v>
      </c>
      <c r="DS65" s="4">
        <v>4674</v>
      </c>
      <c r="DT65" s="4">
        <v>721</v>
      </c>
      <c r="DU65" s="4">
        <v>9498</v>
      </c>
      <c r="DV65" s="4">
        <v>4357</v>
      </c>
      <c r="DW65" s="4">
        <v>5504</v>
      </c>
      <c r="DX65" s="4">
        <v>10006</v>
      </c>
      <c r="DY65" s="4">
        <v>2342</v>
      </c>
      <c r="DZ65" s="4">
        <v>2313</v>
      </c>
      <c r="EA65" s="4">
        <v>6550</v>
      </c>
      <c r="EB65" s="4">
        <v>5204</v>
      </c>
      <c r="EC65" s="4">
        <v>492</v>
      </c>
      <c r="ED65" s="4">
        <v>822</v>
      </c>
      <c r="EE65" s="4">
        <v>23812</v>
      </c>
      <c r="EF65" s="4">
        <v>3107</v>
      </c>
      <c r="EG65" s="4">
        <v>11590</v>
      </c>
      <c r="EH65" s="4">
        <v>18137</v>
      </c>
      <c r="EJ65" s="4">
        <f t="shared" si="0"/>
        <v>1244241</v>
      </c>
    </row>
    <row r="66" spans="1:140" x14ac:dyDescent="0.25">
      <c r="A66" s="4" t="s">
        <v>202</v>
      </c>
      <c r="B66" s="4">
        <v>3509</v>
      </c>
      <c r="C66" s="4">
        <v>4602</v>
      </c>
      <c r="D66" s="4">
        <v>111</v>
      </c>
      <c r="E66" s="4">
        <v>1366</v>
      </c>
      <c r="F66" s="4">
        <v>7</v>
      </c>
      <c r="G66" s="4">
        <v>42</v>
      </c>
      <c r="H66" s="4">
        <v>12361</v>
      </c>
      <c r="I66" s="4">
        <v>43</v>
      </c>
      <c r="J66" s="4">
        <v>1080</v>
      </c>
      <c r="K66" s="4">
        <v>25</v>
      </c>
      <c r="L66" s="4">
        <v>1299</v>
      </c>
      <c r="M66" s="4">
        <v>115</v>
      </c>
      <c r="N66" s="4">
        <v>9927</v>
      </c>
      <c r="O66" s="4">
        <v>1081</v>
      </c>
      <c r="P66" s="4">
        <v>511</v>
      </c>
      <c r="Q66" s="4">
        <v>7020</v>
      </c>
      <c r="R66" s="4">
        <v>16</v>
      </c>
      <c r="S66" s="4">
        <v>1682</v>
      </c>
      <c r="T66" s="4">
        <v>2652</v>
      </c>
      <c r="U66" s="4">
        <v>1965</v>
      </c>
      <c r="V66" s="4">
        <v>6659</v>
      </c>
      <c r="W66" s="4">
        <v>2455</v>
      </c>
      <c r="X66" s="4">
        <v>515</v>
      </c>
      <c r="Y66" s="4">
        <v>562</v>
      </c>
      <c r="Z66" s="4">
        <v>1558</v>
      </c>
      <c r="AA66" s="4">
        <v>418</v>
      </c>
      <c r="AB66" s="4">
        <v>3359</v>
      </c>
      <c r="AC66" s="4">
        <v>736</v>
      </c>
      <c r="AD66" s="4">
        <v>396</v>
      </c>
      <c r="AE66" s="4">
        <v>1073</v>
      </c>
      <c r="AF66" s="4">
        <v>1497</v>
      </c>
      <c r="AG66">
        <v>19748</v>
      </c>
      <c r="AH66" s="4">
        <v>275</v>
      </c>
      <c r="AI66" s="4">
        <v>1391</v>
      </c>
      <c r="AJ66" s="4">
        <v>399</v>
      </c>
      <c r="AK66" s="4">
        <v>1474</v>
      </c>
      <c r="AL66" s="4">
        <v>2604</v>
      </c>
      <c r="AM66" s="4">
        <v>650</v>
      </c>
      <c r="AN66" s="4">
        <v>275</v>
      </c>
      <c r="AO66" s="4">
        <v>9599</v>
      </c>
      <c r="AP66" s="4">
        <v>611</v>
      </c>
      <c r="AQ66" s="4">
        <v>80</v>
      </c>
      <c r="AR66" s="4">
        <v>1761</v>
      </c>
      <c r="AS66" s="4">
        <v>4570</v>
      </c>
      <c r="AT66" s="4">
        <v>840</v>
      </c>
      <c r="AU66" s="4">
        <v>2241</v>
      </c>
      <c r="AV66" s="4">
        <v>3238</v>
      </c>
      <c r="AW66" s="4">
        <v>1894</v>
      </c>
      <c r="AX66" s="4">
        <v>19367</v>
      </c>
      <c r="AY66" s="4">
        <v>113</v>
      </c>
      <c r="AZ66" s="4">
        <v>531</v>
      </c>
      <c r="BA66" s="4">
        <v>6478</v>
      </c>
      <c r="BB66" s="4">
        <v>212</v>
      </c>
      <c r="BC66" s="4">
        <v>977</v>
      </c>
      <c r="BD66" s="4">
        <v>6032</v>
      </c>
      <c r="BE66" s="4">
        <v>3310</v>
      </c>
      <c r="BF66" s="4">
        <v>1445</v>
      </c>
      <c r="BG66" s="4">
        <v>3698</v>
      </c>
      <c r="BH66" s="4">
        <v>1480</v>
      </c>
      <c r="BI66" s="4">
        <v>24974</v>
      </c>
      <c r="BJ66" s="4">
        <v>3146</v>
      </c>
      <c r="BK66" s="4">
        <v>6515</v>
      </c>
      <c r="BL66" s="4">
        <v>2869</v>
      </c>
      <c r="BM66" s="4">
        <v>5132</v>
      </c>
      <c r="BN66" s="4">
        <v>832</v>
      </c>
      <c r="BO66" s="4">
        <v>985</v>
      </c>
      <c r="BP66" s="4">
        <v>22572</v>
      </c>
      <c r="BQ66" s="4">
        <v>2994</v>
      </c>
      <c r="BR66" s="4">
        <v>65843</v>
      </c>
      <c r="BS66" s="4">
        <v>8408</v>
      </c>
      <c r="BT66" s="4">
        <v>8092</v>
      </c>
      <c r="BU66" s="4">
        <v>16323</v>
      </c>
      <c r="BV66" s="4">
        <v>2631</v>
      </c>
      <c r="BW66" s="4">
        <v>10663</v>
      </c>
      <c r="BX66" s="4">
        <v>2539</v>
      </c>
      <c r="BY66" s="4">
        <v>7369</v>
      </c>
      <c r="BZ66" s="4">
        <v>18316</v>
      </c>
      <c r="CA66" s="4">
        <v>2017</v>
      </c>
      <c r="CB66" s="4">
        <v>813</v>
      </c>
      <c r="CC66" s="4">
        <v>5810</v>
      </c>
      <c r="CD66" s="4">
        <v>3828</v>
      </c>
      <c r="CE66" s="4">
        <v>2975</v>
      </c>
      <c r="CF66" s="4">
        <v>6388</v>
      </c>
      <c r="CG66" s="4">
        <v>87179</v>
      </c>
      <c r="CH66" s="4">
        <v>13784</v>
      </c>
      <c r="CI66" s="4">
        <v>22143</v>
      </c>
      <c r="CJ66" s="4">
        <v>6920</v>
      </c>
      <c r="CK66" s="4">
        <v>14241</v>
      </c>
      <c r="CL66" s="4">
        <v>8019</v>
      </c>
      <c r="CM66" s="4">
        <v>13470</v>
      </c>
      <c r="CN66" s="4">
        <v>36240</v>
      </c>
      <c r="CO66" s="4">
        <v>5302</v>
      </c>
      <c r="CP66" s="4">
        <v>2616</v>
      </c>
      <c r="CQ66" s="4">
        <v>3812</v>
      </c>
      <c r="CR66" s="4">
        <v>5895</v>
      </c>
      <c r="CS66" s="4">
        <v>23089</v>
      </c>
      <c r="CT66" s="4">
        <v>16542</v>
      </c>
      <c r="CU66" s="4">
        <v>1613</v>
      </c>
      <c r="CV66" s="4">
        <v>200998</v>
      </c>
      <c r="CW66" s="4">
        <v>5259</v>
      </c>
      <c r="CX66" s="4">
        <v>1490</v>
      </c>
      <c r="CY66" s="4">
        <v>19318</v>
      </c>
      <c r="CZ66" s="4">
        <v>2893</v>
      </c>
      <c r="DA66" s="4">
        <v>4629</v>
      </c>
      <c r="DB66" s="4">
        <v>9335</v>
      </c>
      <c r="DC66" s="4">
        <v>2521</v>
      </c>
      <c r="DD66" s="4">
        <v>2416</v>
      </c>
      <c r="DE66" s="4">
        <v>1579</v>
      </c>
      <c r="DF66" s="4">
        <v>39669</v>
      </c>
      <c r="DG66" s="4">
        <v>13031</v>
      </c>
      <c r="DH66" s="4">
        <v>13329</v>
      </c>
      <c r="DI66" s="4">
        <v>4347</v>
      </c>
      <c r="DJ66" s="4">
        <v>21757</v>
      </c>
      <c r="DK66" s="4">
        <v>12406</v>
      </c>
      <c r="DL66" s="4">
        <v>8414</v>
      </c>
      <c r="DM66" s="4">
        <v>11555</v>
      </c>
      <c r="DN66" s="4">
        <v>14404</v>
      </c>
      <c r="DO66" s="4">
        <v>2988</v>
      </c>
      <c r="DP66" s="4">
        <v>6968</v>
      </c>
      <c r="DQ66" s="4">
        <v>44265</v>
      </c>
      <c r="DR66" s="4">
        <v>3602</v>
      </c>
      <c r="DS66" s="4">
        <v>4527</v>
      </c>
      <c r="DT66" s="4">
        <v>909</v>
      </c>
      <c r="DU66" s="4">
        <v>8896</v>
      </c>
      <c r="DV66" s="4">
        <v>3502</v>
      </c>
      <c r="DW66" s="4">
        <v>4514</v>
      </c>
      <c r="DX66" s="4">
        <v>9164</v>
      </c>
      <c r="DY66" s="4">
        <v>1547</v>
      </c>
      <c r="DZ66" s="4">
        <v>2294</v>
      </c>
      <c r="EA66" s="4">
        <v>8955</v>
      </c>
      <c r="EB66" s="4">
        <v>4385</v>
      </c>
      <c r="EC66" s="4">
        <v>568</v>
      </c>
      <c r="ED66" s="4">
        <v>742</v>
      </c>
      <c r="EE66" s="4">
        <v>24765</v>
      </c>
      <c r="EF66" s="4">
        <v>3076</v>
      </c>
      <c r="EG66" s="4">
        <v>12570</v>
      </c>
      <c r="EH66" s="4">
        <v>22597</v>
      </c>
      <c r="EJ66" s="4">
        <f t="shared" si="0"/>
        <v>1217018</v>
      </c>
    </row>
    <row r="67" spans="1:140" x14ac:dyDescent="0.25">
      <c r="A67" s="4" t="s">
        <v>203</v>
      </c>
      <c r="B67" s="4">
        <v>3845</v>
      </c>
      <c r="C67" s="4">
        <v>4428</v>
      </c>
      <c r="D67" s="4">
        <v>141</v>
      </c>
      <c r="E67" s="4">
        <v>1698</v>
      </c>
      <c r="F67" s="4">
        <v>8</v>
      </c>
      <c r="G67" s="4">
        <v>23</v>
      </c>
      <c r="H67" s="4">
        <v>12188</v>
      </c>
      <c r="I67" s="4">
        <v>90</v>
      </c>
      <c r="J67" s="4">
        <v>1004</v>
      </c>
      <c r="K67" s="4">
        <v>42</v>
      </c>
      <c r="L67" s="4">
        <v>1124</v>
      </c>
      <c r="M67" s="4">
        <v>126</v>
      </c>
      <c r="N67" s="4">
        <v>10217</v>
      </c>
      <c r="O67" s="4">
        <v>1244</v>
      </c>
      <c r="P67" s="4">
        <v>618</v>
      </c>
      <c r="Q67" s="4">
        <v>6940</v>
      </c>
      <c r="R67" s="4">
        <v>12</v>
      </c>
      <c r="S67" s="4">
        <v>1804</v>
      </c>
      <c r="T67" s="4">
        <v>3035</v>
      </c>
      <c r="U67" s="4">
        <v>2056</v>
      </c>
      <c r="V67" s="4">
        <v>7624</v>
      </c>
      <c r="W67" s="4">
        <v>2457</v>
      </c>
      <c r="X67" s="4">
        <v>470</v>
      </c>
      <c r="Y67" s="4">
        <v>549</v>
      </c>
      <c r="Z67" s="4">
        <v>1533</v>
      </c>
      <c r="AA67" s="4">
        <v>388</v>
      </c>
      <c r="AB67" s="4">
        <v>3880</v>
      </c>
      <c r="AC67" s="4">
        <v>594</v>
      </c>
      <c r="AD67" s="4">
        <v>338</v>
      </c>
      <c r="AE67" s="4">
        <v>1530</v>
      </c>
      <c r="AF67" s="4">
        <v>923</v>
      </c>
      <c r="AG67">
        <v>20910</v>
      </c>
      <c r="AH67" s="4">
        <v>614</v>
      </c>
      <c r="AI67" s="4">
        <v>857</v>
      </c>
      <c r="AJ67" s="4">
        <v>260</v>
      </c>
      <c r="AK67" s="4">
        <v>1511</v>
      </c>
      <c r="AL67" s="4">
        <v>2253</v>
      </c>
      <c r="AM67" s="4">
        <v>643</v>
      </c>
      <c r="AN67" s="4">
        <v>240</v>
      </c>
      <c r="AO67" s="4">
        <v>7773</v>
      </c>
      <c r="AP67" s="4">
        <v>449</v>
      </c>
      <c r="AQ67" s="4">
        <v>110</v>
      </c>
      <c r="AR67" s="4">
        <v>2122</v>
      </c>
      <c r="AS67" s="4">
        <v>4471</v>
      </c>
      <c r="AT67" s="4">
        <v>943</v>
      </c>
      <c r="AU67" s="4">
        <v>2046</v>
      </c>
      <c r="AV67" s="4">
        <v>3298</v>
      </c>
      <c r="AW67" s="4">
        <v>1836</v>
      </c>
      <c r="AX67" s="4">
        <v>18967</v>
      </c>
      <c r="AY67" s="4">
        <v>94</v>
      </c>
      <c r="AZ67" s="4">
        <v>850</v>
      </c>
      <c r="BA67" s="4">
        <v>5715</v>
      </c>
      <c r="BB67" s="4">
        <v>158</v>
      </c>
      <c r="BC67" s="4">
        <v>544</v>
      </c>
      <c r="BD67" s="4">
        <v>5728</v>
      </c>
      <c r="BE67" s="4">
        <v>3994</v>
      </c>
      <c r="BF67" s="4">
        <v>1260</v>
      </c>
      <c r="BG67" s="4">
        <v>3650</v>
      </c>
      <c r="BH67" s="4">
        <v>1305</v>
      </c>
      <c r="BI67" s="4">
        <v>25227</v>
      </c>
      <c r="BJ67" s="4">
        <v>3221</v>
      </c>
      <c r="BK67" s="4">
        <v>7892</v>
      </c>
      <c r="BL67" s="4">
        <v>2669</v>
      </c>
      <c r="BM67" s="4">
        <v>4925</v>
      </c>
      <c r="BN67" s="4">
        <v>950</v>
      </c>
      <c r="BO67" s="4">
        <v>1065</v>
      </c>
      <c r="BP67" s="4">
        <v>20331</v>
      </c>
      <c r="BQ67" s="4">
        <v>2399</v>
      </c>
      <c r="BR67" s="4">
        <v>67989</v>
      </c>
      <c r="BS67" s="4">
        <v>8986</v>
      </c>
      <c r="BT67" s="4">
        <v>9031</v>
      </c>
      <c r="BU67" s="4">
        <v>18461</v>
      </c>
      <c r="BV67" s="4">
        <v>2498</v>
      </c>
      <c r="BW67" s="4">
        <v>12040</v>
      </c>
      <c r="BX67" s="4">
        <v>4487</v>
      </c>
      <c r="BY67" s="4">
        <v>11897</v>
      </c>
      <c r="BZ67" s="4">
        <v>18790</v>
      </c>
      <c r="CA67" s="4">
        <v>2045</v>
      </c>
      <c r="CB67" s="4">
        <v>1096</v>
      </c>
      <c r="CC67" s="4">
        <v>5866</v>
      </c>
      <c r="CD67" s="4">
        <v>4783</v>
      </c>
      <c r="CE67" s="4">
        <v>3040</v>
      </c>
      <c r="CF67" s="4">
        <v>7298</v>
      </c>
      <c r="CG67" s="4">
        <v>85072</v>
      </c>
      <c r="CH67" s="4">
        <v>12518</v>
      </c>
      <c r="CI67" s="4">
        <v>21795</v>
      </c>
      <c r="CJ67" s="4">
        <v>7172</v>
      </c>
      <c r="CK67" s="4">
        <v>14118</v>
      </c>
      <c r="CL67" s="4">
        <v>8158</v>
      </c>
      <c r="CM67" s="4">
        <v>13303</v>
      </c>
      <c r="CN67" s="4">
        <v>38129</v>
      </c>
      <c r="CO67" s="4">
        <v>5536</v>
      </c>
      <c r="CP67" s="4">
        <v>2856</v>
      </c>
      <c r="CQ67" s="4">
        <v>4224</v>
      </c>
      <c r="CR67" s="4">
        <v>6024</v>
      </c>
      <c r="CS67" s="4">
        <v>24305</v>
      </c>
      <c r="CT67" s="4">
        <v>16110</v>
      </c>
      <c r="CU67" s="4">
        <v>1578</v>
      </c>
      <c r="CV67" s="4">
        <v>208984</v>
      </c>
      <c r="CW67" s="4">
        <v>5319</v>
      </c>
      <c r="CX67" s="4">
        <v>1885</v>
      </c>
      <c r="CY67" s="4">
        <v>19055</v>
      </c>
      <c r="CZ67" s="4">
        <v>2746</v>
      </c>
      <c r="DA67" s="4">
        <v>5331</v>
      </c>
      <c r="DB67" s="4">
        <v>9722</v>
      </c>
      <c r="DC67" s="4">
        <v>2859</v>
      </c>
      <c r="DD67" s="4">
        <v>2648</v>
      </c>
      <c r="DE67" s="4">
        <v>1659</v>
      </c>
      <c r="DF67" s="4">
        <v>41447</v>
      </c>
      <c r="DG67" s="4">
        <v>11615</v>
      </c>
      <c r="DH67" s="4">
        <v>13121</v>
      </c>
      <c r="DI67" s="4">
        <v>3655</v>
      </c>
      <c r="DJ67" s="4">
        <v>21166</v>
      </c>
      <c r="DK67" s="4">
        <v>12130</v>
      </c>
      <c r="DL67" s="4">
        <v>7578</v>
      </c>
      <c r="DM67" s="4">
        <v>9981</v>
      </c>
      <c r="DN67" s="4">
        <v>13792</v>
      </c>
      <c r="DO67" s="4">
        <v>2359</v>
      </c>
      <c r="DP67" s="4">
        <v>7206</v>
      </c>
      <c r="DQ67" s="4">
        <v>43877</v>
      </c>
      <c r="DR67" s="4">
        <v>3159</v>
      </c>
      <c r="DS67" s="4">
        <v>4107</v>
      </c>
      <c r="DT67" s="4">
        <v>592</v>
      </c>
      <c r="DU67" s="4">
        <v>8021</v>
      </c>
      <c r="DV67" s="4">
        <v>3802</v>
      </c>
      <c r="DW67" s="4">
        <v>4361</v>
      </c>
      <c r="DX67" s="4">
        <v>7918</v>
      </c>
      <c r="DY67" s="4">
        <v>1361</v>
      </c>
      <c r="DZ67" s="4">
        <v>2659</v>
      </c>
      <c r="EA67" s="4">
        <v>8581</v>
      </c>
      <c r="EB67" s="4">
        <v>3973</v>
      </c>
      <c r="EC67" s="4">
        <v>511</v>
      </c>
      <c r="ED67" s="4">
        <v>878</v>
      </c>
      <c r="EE67" s="4">
        <v>25256</v>
      </c>
      <c r="EF67" s="4">
        <v>3288</v>
      </c>
      <c r="EG67" s="4">
        <v>10744</v>
      </c>
      <c r="EH67" s="4">
        <v>28093</v>
      </c>
      <c r="EJ67" s="4">
        <f t="shared" ref="EJ67:EJ130" si="1">SUM(B67:EH67)</f>
        <v>1236853</v>
      </c>
    </row>
    <row r="68" spans="1:140" x14ac:dyDescent="0.25">
      <c r="A68" s="4" t="s">
        <v>204</v>
      </c>
      <c r="B68" s="4">
        <v>3938</v>
      </c>
      <c r="C68" s="4">
        <v>5170</v>
      </c>
      <c r="D68" s="4">
        <v>113</v>
      </c>
      <c r="E68" s="4">
        <v>1838</v>
      </c>
      <c r="F68" s="4">
        <v>9</v>
      </c>
      <c r="G68" s="4">
        <v>41</v>
      </c>
      <c r="H68" s="4">
        <v>12757</v>
      </c>
      <c r="I68" s="4">
        <v>58</v>
      </c>
      <c r="J68" s="4">
        <v>1209</v>
      </c>
      <c r="K68" s="4">
        <v>21</v>
      </c>
      <c r="L68" s="4">
        <v>1204</v>
      </c>
      <c r="M68" s="4">
        <v>133</v>
      </c>
      <c r="N68" s="4">
        <v>9387</v>
      </c>
      <c r="O68" s="4">
        <v>1218</v>
      </c>
      <c r="P68" s="4">
        <v>668</v>
      </c>
      <c r="Q68" s="4">
        <v>6831</v>
      </c>
      <c r="R68" s="4">
        <v>13</v>
      </c>
      <c r="S68" s="4">
        <v>1699</v>
      </c>
      <c r="T68" s="4">
        <v>2732</v>
      </c>
      <c r="U68" s="4">
        <v>1941</v>
      </c>
      <c r="V68" s="4">
        <v>7134</v>
      </c>
      <c r="W68" s="4">
        <v>2500</v>
      </c>
      <c r="X68" s="4">
        <v>500</v>
      </c>
      <c r="Y68" s="4">
        <v>605</v>
      </c>
      <c r="Z68" s="4">
        <v>1090</v>
      </c>
      <c r="AA68" s="4">
        <v>447</v>
      </c>
      <c r="AB68" s="4">
        <v>4255</v>
      </c>
      <c r="AC68" s="4">
        <v>499</v>
      </c>
      <c r="AD68" s="4">
        <v>416</v>
      </c>
      <c r="AE68" s="4">
        <v>1420</v>
      </c>
      <c r="AF68" s="4">
        <v>883</v>
      </c>
      <c r="AG68">
        <v>21906</v>
      </c>
      <c r="AH68" s="4">
        <v>683</v>
      </c>
      <c r="AI68" s="4">
        <v>781</v>
      </c>
      <c r="AJ68" s="4">
        <v>316</v>
      </c>
      <c r="AK68" s="4">
        <v>1712</v>
      </c>
      <c r="AL68" s="4">
        <v>2439</v>
      </c>
      <c r="AM68" s="4">
        <v>657</v>
      </c>
      <c r="AN68" s="4">
        <v>329</v>
      </c>
      <c r="AO68" s="4">
        <v>8037</v>
      </c>
      <c r="AP68" s="4">
        <v>593</v>
      </c>
      <c r="AQ68" s="4">
        <v>120</v>
      </c>
      <c r="AR68" s="4">
        <v>1906</v>
      </c>
      <c r="AS68" s="4">
        <v>4975</v>
      </c>
      <c r="AT68" s="4">
        <v>1045</v>
      </c>
      <c r="AU68" s="4">
        <v>2245</v>
      </c>
      <c r="AV68" s="4">
        <v>3545</v>
      </c>
      <c r="AW68" s="4">
        <v>1871</v>
      </c>
      <c r="AX68" s="4">
        <v>21329</v>
      </c>
      <c r="AY68" s="4">
        <v>112</v>
      </c>
      <c r="AZ68" s="4">
        <v>713</v>
      </c>
      <c r="BA68" s="4">
        <v>5259</v>
      </c>
      <c r="BB68" s="4">
        <v>113</v>
      </c>
      <c r="BC68" s="4">
        <v>560</v>
      </c>
      <c r="BD68" s="4">
        <v>5704</v>
      </c>
      <c r="BE68" s="4">
        <v>4228</v>
      </c>
      <c r="BF68" s="4">
        <v>1428</v>
      </c>
      <c r="BG68" s="4">
        <v>4265</v>
      </c>
      <c r="BH68" s="4">
        <v>1273</v>
      </c>
      <c r="BI68" s="4">
        <v>24834</v>
      </c>
      <c r="BJ68" s="4">
        <v>3850</v>
      </c>
      <c r="BK68" s="4">
        <v>8054</v>
      </c>
      <c r="BL68" s="4">
        <v>3730</v>
      </c>
      <c r="BM68" s="4">
        <v>5553</v>
      </c>
      <c r="BN68" s="4">
        <v>1639</v>
      </c>
      <c r="BO68" s="4">
        <v>1295</v>
      </c>
      <c r="BP68" s="4">
        <v>26372</v>
      </c>
      <c r="BQ68" s="4">
        <v>2455</v>
      </c>
      <c r="BR68" s="4">
        <v>73709</v>
      </c>
      <c r="BS68" s="4">
        <v>10096</v>
      </c>
      <c r="BT68" s="4">
        <v>9887</v>
      </c>
      <c r="BU68" s="4">
        <v>24553</v>
      </c>
      <c r="BV68" s="4">
        <v>2916</v>
      </c>
      <c r="BW68" s="4">
        <v>14010</v>
      </c>
      <c r="BX68" s="4">
        <v>2710</v>
      </c>
      <c r="BY68" s="4">
        <v>7123</v>
      </c>
      <c r="BZ68" s="4">
        <v>19900</v>
      </c>
      <c r="CA68" s="4">
        <v>2212</v>
      </c>
      <c r="CB68" s="4">
        <v>873</v>
      </c>
      <c r="CC68" s="4">
        <v>6679</v>
      </c>
      <c r="CD68" s="4">
        <v>3785</v>
      </c>
      <c r="CE68" s="4">
        <v>3346</v>
      </c>
      <c r="CF68" s="4">
        <v>7018</v>
      </c>
      <c r="CG68" s="4">
        <v>85842</v>
      </c>
      <c r="CH68" s="4">
        <v>11937</v>
      </c>
      <c r="CI68" s="4">
        <v>25246</v>
      </c>
      <c r="CJ68" s="4">
        <v>7217</v>
      </c>
      <c r="CK68" s="4">
        <v>13501</v>
      </c>
      <c r="CL68" s="4">
        <v>8618</v>
      </c>
      <c r="CM68" s="4">
        <v>12630</v>
      </c>
      <c r="CN68" s="4">
        <v>37977</v>
      </c>
      <c r="CO68" s="4">
        <v>6186</v>
      </c>
      <c r="CP68" s="4">
        <v>2833</v>
      </c>
      <c r="CQ68" s="4">
        <v>3973</v>
      </c>
      <c r="CR68" s="4">
        <v>5326</v>
      </c>
      <c r="CS68" s="4">
        <v>23835</v>
      </c>
      <c r="CT68" s="4">
        <v>15474</v>
      </c>
      <c r="CU68" s="4">
        <v>1557</v>
      </c>
      <c r="CV68" s="4">
        <v>202444</v>
      </c>
      <c r="CW68" s="4">
        <v>5023</v>
      </c>
      <c r="CX68" s="4">
        <v>1614</v>
      </c>
      <c r="CY68" s="4">
        <v>20415</v>
      </c>
      <c r="CZ68" s="4">
        <v>2809</v>
      </c>
      <c r="DA68" s="4">
        <v>5225</v>
      </c>
      <c r="DB68" s="4">
        <v>9841</v>
      </c>
      <c r="DC68" s="4">
        <v>2893</v>
      </c>
      <c r="DD68" s="4">
        <v>2626</v>
      </c>
      <c r="DE68" s="4">
        <v>1682</v>
      </c>
      <c r="DF68" s="4">
        <v>41069</v>
      </c>
      <c r="DG68" s="4">
        <v>11028</v>
      </c>
      <c r="DH68" s="4">
        <v>13133</v>
      </c>
      <c r="DI68" s="4">
        <v>2860</v>
      </c>
      <c r="DJ68" s="4">
        <v>21358</v>
      </c>
      <c r="DK68" s="4">
        <v>13767</v>
      </c>
      <c r="DL68" s="4">
        <v>8105</v>
      </c>
      <c r="DM68" s="4">
        <v>10323</v>
      </c>
      <c r="DN68" s="4">
        <v>13447</v>
      </c>
      <c r="DO68" s="4">
        <v>2316</v>
      </c>
      <c r="DP68" s="4">
        <v>9336</v>
      </c>
      <c r="DQ68" s="4">
        <v>43566</v>
      </c>
      <c r="DR68" s="4">
        <v>2381</v>
      </c>
      <c r="DS68" s="4">
        <v>3983</v>
      </c>
      <c r="DT68" s="4">
        <v>611</v>
      </c>
      <c r="DU68" s="4">
        <v>9185</v>
      </c>
      <c r="DV68" s="4">
        <v>3677</v>
      </c>
      <c r="DW68" s="4">
        <v>4495</v>
      </c>
      <c r="DX68" s="4">
        <v>8633</v>
      </c>
      <c r="DY68" s="4">
        <v>1636</v>
      </c>
      <c r="DZ68" s="4">
        <v>2590</v>
      </c>
      <c r="EA68" s="4">
        <v>9180</v>
      </c>
      <c r="EB68" s="4">
        <v>4721</v>
      </c>
      <c r="EC68" s="4">
        <v>576</v>
      </c>
      <c r="ED68" s="4">
        <v>902</v>
      </c>
      <c r="EE68" s="4">
        <v>26872</v>
      </c>
      <c r="EF68" s="4">
        <v>2704</v>
      </c>
      <c r="EG68" s="4">
        <v>10404</v>
      </c>
      <c r="EH68" s="4">
        <v>24725</v>
      </c>
      <c r="EJ68" s="4">
        <f t="shared" si="1"/>
        <v>1259779</v>
      </c>
    </row>
    <row r="69" spans="1:140" x14ac:dyDescent="0.25">
      <c r="A69" s="4" t="s">
        <v>205</v>
      </c>
      <c r="B69" s="4">
        <v>3797</v>
      </c>
      <c r="C69" s="4">
        <v>4622</v>
      </c>
      <c r="D69" s="4">
        <v>106</v>
      </c>
      <c r="E69" s="4">
        <v>1551</v>
      </c>
      <c r="F69" s="4">
        <v>3</v>
      </c>
      <c r="G69" s="4">
        <v>13</v>
      </c>
      <c r="H69" s="4">
        <v>11849</v>
      </c>
      <c r="I69" s="4">
        <v>51</v>
      </c>
      <c r="J69" s="4">
        <v>998</v>
      </c>
      <c r="K69" s="4">
        <v>52</v>
      </c>
      <c r="L69" s="4">
        <v>1168</v>
      </c>
      <c r="M69" s="4">
        <v>127</v>
      </c>
      <c r="N69" s="4">
        <v>9532</v>
      </c>
      <c r="O69" s="4">
        <v>1075</v>
      </c>
      <c r="P69" s="4">
        <v>482</v>
      </c>
      <c r="Q69" s="4">
        <v>6708</v>
      </c>
      <c r="R69" s="4">
        <v>30</v>
      </c>
      <c r="S69" s="4">
        <v>1594</v>
      </c>
      <c r="T69" s="4">
        <v>2642</v>
      </c>
      <c r="U69" s="4">
        <v>2072</v>
      </c>
      <c r="V69" s="4">
        <v>7092</v>
      </c>
      <c r="W69" s="4">
        <v>2490</v>
      </c>
      <c r="X69" s="4">
        <v>437</v>
      </c>
      <c r="Y69" s="4">
        <v>709</v>
      </c>
      <c r="Z69" s="4">
        <v>1673</v>
      </c>
      <c r="AA69" s="4">
        <v>440</v>
      </c>
      <c r="AB69" s="4">
        <v>4005</v>
      </c>
      <c r="AC69" s="4">
        <v>732</v>
      </c>
      <c r="AD69" s="4">
        <v>374</v>
      </c>
      <c r="AE69" s="4">
        <v>1109</v>
      </c>
      <c r="AF69" s="4">
        <v>961</v>
      </c>
      <c r="AG69">
        <v>20272</v>
      </c>
      <c r="AH69" s="4">
        <v>392</v>
      </c>
      <c r="AI69" s="4">
        <v>1007</v>
      </c>
      <c r="AJ69" s="4">
        <v>261</v>
      </c>
      <c r="AK69" s="4">
        <v>1475</v>
      </c>
      <c r="AL69" s="4">
        <v>2113</v>
      </c>
      <c r="AM69" s="4">
        <v>685</v>
      </c>
      <c r="AN69" s="4">
        <v>289</v>
      </c>
      <c r="AO69" s="4">
        <v>8089</v>
      </c>
      <c r="AP69" s="4">
        <v>502</v>
      </c>
      <c r="AQ69" s="4">
        <v>112</v>
      </c>
      <c r="AR69" s="4">
        <v>2229</v>
      </c>
      <c r="AS69" s="4">
        <v>4619</v>
      </c>
      <c r="AT69" s="4">
        <v>961</v>
      </c>
      <c r="AU69" s="4">
        <v>3279</v>
      </c>
      <c r="AV69" s="4">
        <v>3089</v>
      </c>
      <c r="AW69" s="4">
        <v>2686</v>
      </c>
      <c r="AX69" s="4">
        <v>19174</v>
      </c>
      <c r="AY69" s="4">
        <v>101</v>
      </c>
      <c r="AZ69" s="4">
        <v>748</v>
      </c>
      <c r="BA69" s="4">
        <v>5583</v>
      </c>
      <c r="BB69" s="4">
        <v>121</v>
      </c>
      <c r="BC69" s="4">
        <v>539</v>
      </c>
      <c r="BD69" s="4">
        <v>5342</v>
      </c>
      <c r="BE69" s="4">
        <v>4230</v>
      </c>
      <c r="BF69" s="4">
        <v>1972</v>
      </c>
      <c r="BG69" s="4">
        <v>3702</v>
      </c>
      <c r="BH69" s="4">
        <v>1284</v>
      </c>
      <c r="BI69" s="4">
        <v>25238</v>
      </c>
      <c r="BJ69" s="4">
        <v>4407</v>
      </c>
      <c r="BK69" s="4">
        <v>6981</v>
      </c>
      <c r="BL69" s="4">
        <v>3556</v>
      </c>
      <c r="BM69" s="4">
        <v>5539</v>
      </c>
      <c r="BN69" s="4">
        <v>1452</v>
      </c>
      <c r="BO69" s="4">
        <v>1280</v>
      </c>
      <c r="BP69" s="4">
        <v>27327</v>
      </c>
      <c r="BQ69" s="4">
        <v>2468</v>
      </c>
      <c r="BR69" s="4">
        <v>67060</v>
      </c>
      <c r="BS69" s="4">
        <v>9074</v>
      </c>
      <c r="BT69" s="4">
        <v>10521</v>
      </c>
      <c r="BU69" s="4">
        <v>27574</v>
      </c>
      <c r="BV69" s="4">
        <v>2716</v>
      </c>
      <c r="BW69" s="4">
        <v>12350</v>
      </c>
      <c r="BX69" s="4">
        <v>2140</v>
      </c>
      <c r="BY69" s="4">
        <v>5098</v>
      </c>
      <c r="BZ69" s="4">
        <v>17956</v>
      </c>
      <c r="CA69" s="4">
        <v>2172</v>
      </c>
      <c r="CB69" s="4">
        <v>927</v>
      </c>
      <c r="CC69" s="4">
        <v>5982</v>
      </c>
      <c r="CD69" s="4">
        <v>3132</v>
      </c>
      <c r="CE69" s="4">
        <v>2975</v>
      </c>
      <c r="CF69" s="4">
        <v>6884</v>
      </c>
      <c r="CG69" s="4">
        <v>81337</v>
      </c>
      <c r="CH69" s="4">
        <v>10816</v>
      </c>
      <c r="CI69" s="4">
        <v>25220</v>
      </c>
      <c r="CJ69" s="4">
        <v>5912</v>
      </c>
      <c r="CK69" s="4">
        <v>13552</v>
      </c>
      <c r="CL69" s="4">
        <v>8623</v>
      </c>
      <c r="CM69" s="4">
        <v>12500</v>
      </c>
      <c r="CN69" s="4">
        <v>38805</v>
      </c>
      <c r="CO69" s="4">
        <v>4690</v>
      </c>
      <c r="CP69" s="4">
        <v>3271</v>
      </c>
      <c r="CQ69" s="4">
        <v>3689</v>
      </c>
      <c r="CR69" s="4">
        <v>5473</v>
      </c>
      <c r="CS69" s="4">
        <v>22605</v>
      </c>
      <c r="CT69" s="4">
        <v>15110</v>
      </c>
      <c r="CU69" s="4">
        <v>1355</v>
      </c>
      <c r="CV69" s="4">
        <v>200332</v>
      </c>
      <c r="CW69" s="4">
        <v>4690</v>
      </c>
      <c r="CX69" s="4">
        <v>1536</v>
      </c>
      <c r="CY69" s="4">
        <v>19213</v>
      </c>
      <c r="CZ69" s="4">
        <v>3169</v>
      </c>
      <c r="DA69" s="4">
        <v>4992</v>
      </c>
      <c r="DB69" s="4">
        <v>9109</v>
      </c>
      <c r="DC69" s="4">
        <v>2778</v>
      </c>
      <c r="DD69" s="4">
        <v>2231</v>
      </c>
      <c r="DE69" s="4">
        <v>1612</v>
      </c>
      <c r="DF69" s="4">
        <v>38894</v>
      </c>
      <c r="DG69" s="4">
        <v>10698</v>
      </c>
      <c r="DH69" s="4">
        <v>12655</v>
      </c>
      <c r="DI69" s="4">
        <v>2603</v>
      </c>
      <c r="DJ69" s="4">
        <v>20821</v>
      </c>
      <c r="DK69" s="4">
        <v>11436</v>
      </c>
      <c r="DL69" s="4">
        <v>7731</v>
      </c>
      <c r="DM69" s="4">
        <v>9532</v>
      </c>
      <c r="DN69" s="4">
        <v>12238</v>
      </c>
      <c r="DO69" s="4">
        <v>2297</v>
      </c>
      <c r="DP69" s="4">
        <v>10972</v>
      </c>
      <c r="DQ69" s="4">
        <v>42262</v>
      </c>
      <c r="DR69" s="4">
        <v>2260</v>
      </c>
      <c r="DS69" s="4">
        <v>3434</v>
      </c>
      <c r="DT69" s="4">
        <v>642</v>
      </c>
      <c r="DU69" s="4">
        <v>8210</v>
      </c>
      <c r="DV69" s="4">
        <v>3451</v>
      </c>
      <c r="DW69" s="4">
        <v>4783</v>
      </c>
      <c r="DX69" s="4">
        <v>8872</v>
      </c>
      <c r="DY69" s="4">
        <v>1389</v>
      </c>
      <c r="DZ69" s="4">
        <v>2038</v>
      </c>
      <c r="EA69" s="4">
        <v>9025</v>
      </c>
      <c r="EB69" s="4">
        <v>4697</v>
      </c>
      <c r="EC69" s="4">
        <v>605</v>
      </c>
      <c r="ED69" s="4">
        <v>836</v>
      </c>
      <c r="EE69" s="4">
        <v>25137</v>
      </c>
      <c r="EF69" s="4">
        <v>3050</v>
      </c>
      <c r="EG69" s="4">
        <v>11181</v>
      </c>
      <c r="EH69" s="4">
        <v>22801</v>
      </c>
      <c r="EJ69" s="4">
        <f t="shared" si="1"/>
        <v>1215329</v>
      </c>
    </row>
    <row r="70" spans="1:140" x14ac:dyDescent="0.25">
      <c r="A70" s="4" t="s">
        <v>206</v>
      </c>
      <c r="B70" s="4">
        <v>3701</v>
      </c>
      <c r="C70" s="4">
        <v>4750</v>
      </c>
      <c r="D70" s="4">
        <v>234</v>
      </c>
      <c r="E70" s="4">
        <v>1778</v>
      </c>
      <c r="F70" s="4">
        <v>8</v>
      </c>
      <c r="G70" s="4">
        <v>27</v>
      </c>
      <c r="H70" s="4">
        <v>13075</v>
      </c>
      <c r="I70" s="4">
        <v>64</v>
      </c>
      <c r="J70" s="4">
        <v>815</v>
      </c>
      <c r="K70" s="4">
        <v>16</v>
      </c>
      <c r="L70" s="4">
        <v>1399</v>
      </c>
      <c r="M70" s="4">
        <v>83</v>
      </c>
      <c r="N70" s="4">
        <v>10336</v>
      </c>
      <c r="O70" s="4">
        <v>1271</v>
      </c>
      <c r="P70" s="4">
        <v>562</v>
      </c>
      <c r="Q70" s="4">
        <v>6782</v>
      </c>
      <c r="R70" s="4">
        <v>53</v>
      </c>
      <c r="S70" s="4">
        <v>1503</v>
      </c>
      <c r="T70" s="4">
        <v>2651</v>
      </c>
      <c r="U70" s="4">
        <v>1949</v>
      </c>
      <c r="V70" s="4">
        <v>5940</v>
      </c>
      <c r="W70" s="4">
        <v>2179</v>
      </c>
      <c r="X70" s="4">
        <v>459</v>
      </c>
      <c r="Y70" s="4">
        <v>665</v>
      </c>
      <c r="Z70" s="4">
        <v>1704</v>
      </c>
      <c r="AA70" s="4">
        <v>435</v>
      </c>
      <c r="AB70" s="4">
        <v>3991</v>
      </c>
      <c r="AC70" s="4">
        <v>615</v>
      </c>
      <c r="AD70" s="4">
        <v>260</v>
      </c>
      <c r="AE70" s="4">
        <v>1145</v>
      </c>
      <c r="AF70" s="4">
        <v>978</v>
      </c>
      <c r="AG70">
        <v>19993</v>
      </c>
      <c r="AH70" s="4">
        <v>437</v>
      </c>
      <c r="AI70" s="4">
        <v>1024</v>
      </c>
      <c r="AJ70" s="4">
        <v>235</v>
      </c>
      <c r="AK70" s="4">
        <v>1461</v>
      </c>
      <c r="AL70" s="4">
        <v>2230</v>
      </c>
      <c r="AM70" s="4">
        <v>608</v>
      </c>
      <c r="AN70" s="4">
        <v>245</v>
      </c>
      <c r="AO70" s="4">
        <v>7450</v>
      </c>
      <c r="AP70" s="4">
        <v>482</v>
      </c>
      <c r="AQ70" s="4">
        <v>88</v>
      </c>
      <c r="AR70" s="4">
        <v>1569</v>
      </c>
      <c r="AS70" s="4">
        <v>4499</v>
      </c>
      <c r="AT70" s="4">
        <v>887</v>
      </c>
      <c r="AU70" s="4">
        <v>3590</v>
      </c>
      <c r="AV70" s="4">
        <v>3161</v>
      </c>
      <c r="AW70" s="4">
        <v>1921</v>
      </c>
      <c r="AX70" s="4">
        <v>20917</v>
      </c>
      <c r="AY70" s="4">
        <v>62</v>
      </c>
      <c r="AZ70" s="4">
        <v>1135</v>
      </c>
      <c r="BA70" s="4">
        <v>4761</v>
      </c>
      <c r="BB70" s="4">
        <v>116</v>
      </c>
      <c r="BC70" s="4">
        <v>614</v>
      </c>
      <c r="BD70" s="4">
        <v>5355</v>
      </c>
      <c r="BE70" s="4">
        <v>5085</v>
      </c>
      <c r="BF70" s="4">
        <v>2179</v>
      </c>
      <c r="BG70" s="4">
        <v>3523</v>
      </c>
      <c r="BH70" s="4">
        <v>1506</v>
      </c>
      <c r="BI70" s="4">
        <v>26568</v>
      </c>
      <c r="BJ70" s="4">
        <v>3611</v>
      </c>
      <c r="BK70" s="4">
        <v>5256</v>
      </c>
      <c r="BL70" s="4">
        <v>4034</v>
      </c>
      <c r="BM70" s="4">
        <v>4548</v>
      </c>
      <c r="BN70" s="4">
        <v>1756</v>
      </c>
      <c r="BO70" s="4">
        <v>1238</v>
      </c>
      <c r="BP70" s="4">
        <v>28601</v>
      </c>
      <c r="BQ70" s="4">
        <v>2516</v>
      </c>
      <c r="BR70" s="4">
        <v>69772</v>
      </c>
      <c r="BS70" s="4">
        <v>7598</v>
      </c>
      <c r="BT70" s="4">
        <v>9741</v>
      </c>
      <c r="BU70" s="4">
        <v>28654</v>
      </c>
      <c r="BV70" s="4">
        <v>3642</v>
      </c>
      <c r="BW70" s="4">
        <v>11297</v>
      </c>
      <c r="BX70" s="4">
        <v>2307</v>
      </c>
      <c r="BY70" s="4">
        <v>4658</v>
      </c>
      <c r="BZ70" s="4">
        <v>17420</v>
      </c>
      <c r="CA70" s="4">
        <v>1917</v>
      </c>
      <c r="CB70" s="4">
        <v>956</v>
      </c>
      <c r="CC70" s="4">
        <v>6185</v>
      </c>
      <c r="CD70" s="4">
        <v>3042</v>
      </c>
      <c r="CE70" s="4">
        <v>3249</v>
      </c>
      <c r="CF70" s="4">
        <v>6545</v>
      </c>
      <c r="CG70" s="4">
        <v>82019</v>
      </c>
      <c r="CH70" s="4">
        <v>11473</v>
      </c>
      <c r="CI70" s="4">
        <v>24244</v>
      </c>
      <c r="CJ70" s="4">
        <v>6011</v>
      </c>
      <c r="CK70" s="4">
        <v>14225</v>
      </c>
      <c r="CL70" s="4">
        <v>9930</v>
      </c>
      <c r="CM70" s="4">
        <v>13074</v>
      </c>
      <c r="CN70" s="4">
        <v>40646</v>
      </c>
      <c r="CO70" s="4">
        <v>5252</v>
      </c>
      <c r="CP70" s="4">
        <v>3733</v>
      </c>
      <c r="CQ70" s="4">
        <v>3888</v>
      </c>
      <c r="CR70" s="4">
        <v>4714</v>
      </c>
      <c r="CS70" s="4">
        <v>24344</v>
      </c>
      <c r="CT70" s="4">
        <v>16106</v>
      </c>
      <c r="CU70" s="4">
        <v>1433</v>
      </c>
      <c r="CV70" s="4">
        <v>207164</v>
      </c>
      <c r="CW70" s="4">
        <v>4926</v>
      </c>
      <c r="CX70" s="4">
        <v>1560</v>
      </c>
      <c r="CY70" s="4">
        <v>20665</v>
      </c>
      <c r="CZ70" s="4">
        <v>3106</v>
      </c>
      <c r="DA70" s="4">
        <v>4292</v>
      </c>
      <c r="DB70" s="4">
        <v>9460</v>
      </c>
      <c r="DC70" s="4">
        <v>2814</v>
      </c>
      <c r="DD70" s="4">
        <v>2266</v>
      </c>
      <c r="DE70" s="4">
        <v>1590</v>
      </c>
      <c r="DF70" s="4">
        <v>41632</v>
      </c>
      <c r="DG70" s="4">
        <v>10745</v>
      </c>
      <c r="DH70" s="4">
        <v>12592</v>
      </c>
      <c r="DI70" s="4">
        <v>2724</v>
      </c>
      <c r="DJ70" s="4">
        <v>20290</v>
      </c>
      <c r="DK70" s="4">
        <v>13217</v>
      </c>
      <c r="DL70" s="4">
        <v>7954</v>
      </c>
      <c r="DM70" s="4">
        <v>10247</v>
      </c>
      <c r="DN70" s="4">
        <v>12786</v>
      </c>
      <c r="DO70" s="4">
        <v>2199</v>
      </c>
      <c r="DP70" s="4">
        <v>7514</v>
      </c>
      <c r="DQ70" s="4">
        <v>43045</v>
      </c>
      <c r="DR70" s="4">
        <v>2072</v>
      </c>
      <c r="DS70" s="4">
        <v>3689</v>
      </c>
      <c r="DT70" s="4">
        <v>614</v>
      </c>
      <c r="DU70" s="4">
        <v>8350</v>
      </c>
      <c r="DV70" s="4">
        <v>3374</v>
      </c>
      <c r="DW70" s="4">
        <v>4241</v>
      </c>
      <c r="DX70" s="4">
        <v>9663</v>
      </c>
      <c r="DY70" s="4">
        <v>1366</v>
      </c>
      <c r="DZ70" s="4">
        <v>2121</v>
      </c>
      <c r="EA70" s="4">
        <v>9249</v>
      </c>
      <c r="EB70" s="4">
        <v>4526</v>
      </c>
      <c r="EC70" s="4">
        <v>612</v>
      </c>
      <c r="ED70" s="4">
        <v>995</v>
      </c>
      <c r="EE70" s="4">
        <v>25655</v>
      </c>
      <c r="EF70" s="4">
        <v>3369</v>
      </c>
      <c r="EG70" s="4">
        <v>10814</v>
      </c>
      <c r="EH70" s="4">
        <v>24701</v>
      </c>
      <c r="EJ70" s="4">
        <f t="shared" si="1"/>
        <v>1238963</v>
      </c>
    </row>
    <row r="71" spans="1:140" x14ac:dyDescent="0.25">
      <c r="A71" s="4" t="s">
        <v>207</v>
      </c>
      <c r="B71" s="4">
        <v>4431</v>
      </c>
      <c r="C71" s="4">
        <v>4485</v>
      </c>
      <c r="D71" s="4">
        <v>187</v>
      </c>
      <c r="E71" s="4">
        <v>1585</v>
      </c>
      <c r="F71" s="4">
        <v>8</v>
      </c>
      <c r="G71" s="4">
        <v>13</v>
      </c>
      <c r="H71" s="4">
        <v>13212</v>
      </c>
      <c r="I71" s="4">
        <v>38</v>
      </c>
      <c r="J71" s="4">
        <v>1004</v>
      </c>
      <c r="K71" s="4">
        <v>31</v>
      </c>
      <c r="L71" s="4">
        <v>1229</v>
      </c>
      <c r="M71" s="4">
        <v>100</v>
      </c>
      <c r="N71" s="4">
        <v>9477</v>
      </c>
      <c r="O71" s="4">
        <v>1187</v>
      </c>
      <c r="P71" s="4">
        <v>563</v>
      </c>
      <c r="Q71" s="4">
        <v>6267</v>
      </c>
      <c r="R71" s="4">
        <v>67</v>
      </c>
      <c r="S71" s="4">
        <v>1836</v>
      </c>
      <c r="T71" s="4">
        <v>2070</v>
      </c>
      <c r="U71" s="4">
        <v>1850</v>
      </c>
      <c r="V71" s="4">
        <v>5402</v>
      </c>
      <c r="W71" s="4">
        <v>1648</v>
      </c>
      <c r="X71" s="4">
        <v>683</v>
      </c>
      <c r="Y71" s="4">
        <v>750</v>
      </c>
      <c r="Z71" s="4">
        <v>2955</v>
      </c>
      <c r="AA71" s="4">
        <v>442</v>
      </c>
      <c r="AB71" s="4">
        <v>3361</v>
      </c>
      <c r="AC71" s="4">
        <v>374</v>
      </c>
      <c r="AD71" s="4">
        <v>348</v>
      </c>
      <c r="AE71" s="4">
        <v>1293</v>
      </c>
      <c r="AF71" s="4">
        <v>988</v>
      </c>
      <c r="AG71">
        <v>20080</v>
      </c>
      <c r="AH71" s="4">
        <v>368</v>
      </c>
      <c r="AI71" s="4">
        <v>1069</v>
      </c>
      <c r="AJ71" s="4">
        <v>267</v>
      </c>
      <c r="AK71" s="4">
        <v>1529</v>
      </c>
      <c r="AL71" s="4">
        <v>2258</v>
      </c>
      <c r="AM71" s="4">
        <v>548</v>
      </c>
      <c r="AN71" s="4">
        <v>256</v>
      </c>
      <c r="AO71" s="4">
        <v>7781</v>
      </c>
      <c r="AP71" s="4">
        <v>471</v>
      </c>
      <c r="AQ71" s="4">
        <v>95</v>
      </c>
      <c r="AR71" s="4">
        <v>1372</v>
      </c>
      <c r="AS71" s="4">
        <v>3843</v>
      </c>
      <c r="AT71" s="4">
        <v>951</v>
      </c>
      <c r="AU71" s="4">
        <v>5963</v>
      </c>
      <c r="AV71" s="4">
        <v>3228</v>
      </c>
      <c r="AW71" s="4">
        <v>2072</v>
      </c>
      <c r="AX71" s="4">
        <v>18826</v>
      </c>
      <c r="AY71" s="4">
        <v>112</v>
      </c>
      <c r="AZ71" s="4">
        <v>619</v>
      </c>
      <c r="BA71" s="4">
        <v>5288</v>
      </c>
      <c r="BB71" s="4">
        <v>130</v>
      </c>
      <c r="BC71" s="4">
        <v>527</v>
      </c>
      <c r="BD71" s="4">
        <v>5604</v>
      </c>
      <c r="BE71" s="4">
        <v>4168</v>
      </c>
      <c r="BF71" s="4">
        <v>4111</v>
      </c>
      <c r="BG71" s="4">
        <v>3747</v>
      </c>
      <c r="BH71" s="4">
        <v>1397</v>
      </c>
      <c r="BI71" s="4">
        <v>27396</v>
      </c>
      <c r="BJ71" s="4">
        <v>3465</v>
      </c>
      <c r="BK71" s="4">
        <v>5374</v>
      </c>
      <c r="BL71" s="4">
        <v>4533</v>
      </c>
      <c r="BM71" s="4">
        <v>4253</v>
      </c>
      <c r="BN71" s="4">
        <v>1593</v>
      </c>
      <c r="BO71" s="4">
        <v>1203</v>
      </c>
      <c r="BP71" s="4">
        <v>24230</v>
      </c>
      <c r="BQ71" s="4">
        <v>2852</v>
      </c>
      <c r="BR71" s="4">
        <v>65019</v>
      </c>
      <c r="BS71" s="4">
        <v>7867</v>
      </c>
      <c r="BT71" s="4">
        <v>8416</v>
      </c>
      <c r="BU71" s="4">
        <v>21874</v>
      </c>
      <c r="BV71" s="4">
        <v>2978</v>
      </c>
      <c r="BW71" s="4">
        <v>11440</v>
      </c>
      <c r="BX71" s="4">
        <v>1761</v>
      </c>
      <c r="BY71" s="4">
        <v>4982</v>
      </c>
      <c r="BZ71" s="4">
        <v>16586</v>
      </c>
      <c r="CA71" s="4">
        <v>2107</v>
      </c>
      <c r="CB71" s="4">
        <v>900</v>
      </c>
      <c r="CC71" s="4">
        <v>5736</v>
      </c>
      <c r="CD71" s="4">
        <v>3117</v>
      </c>
      <c r="CE71" s="4">
        <v>3210</v>
      </c>
      <c r="CF71" s="4">
        <v>6248</v>
      </c>
      <c r="CG71" s="4">
        <v>80317</v>
      </c>
      <c r="CH71" s="4">
        <v>11322</v>
      </c>
      <c r="CI71" s="4">
        <v>21121</v>
      </c>
      <c r="CJ71" s="4">
        <v>6019</v>
      </c>
      <c r="CK71" s="4">
        <v>13563</v>
      </c>
      <c r="CL71" s="4">
        <v>9425</v>
      </c>
      <c r="CM71" s="4">
        <v>12386</v>
      </c>
      <c r="CN71" s="4">
        <v>39458</v>
      </c>
      <c r="CO71" s="4">
        <v>4814</v>
      </c>
      <c r="CP71" s="4">
        <v>3406</v>
      </c>
      <c r="CQ71" s="4">
        <v>3963</v>
      </c>
      <c r="CR71" s="4">
        <v>4648</v>
      </c>
      <c r="CS71" s="4">
        <v>23593</v>
      </c>
      <c r="CT71" s="4">
        <v>15785</v>
      </c>
      <c r="CU71" s="4">
        <v>1376</v>
      </c>
      <c r="CV71" s="4">
        <v>203449</v>
      </c>
      <c r="CW71" s="4">
        <v>4840</v>
      </c>
      <c r="CX71" s="4">
        <v>1414</v>
      </c>
      <c r="CY71" s="4">
        <v>20616</v>
      </c>
      <c r="CZ71" s="4">
        <v>2866</v>
      </c>
      <c r="DA71" s="4">
        <v>4617</v>
      </c>
      <c r="DB71" s="4">
        <v>9195</v>
      </c>
      <c r="DC71" s="4">
        <v>3009</v>
      </c>
      <c r="DD71" s="4">
        <v>2209</v>
      </c>
      <c r="DE71" s="4">
        <v>1419</v>
      </c>
      <c r="DF71" s="4">
        <v>40182</v>
      </c>
      <c r="DG71" s="4">
        <v>10960</v>
      </c>
      <c r="DH71" s="4">
        <v>12733</v>
      </c>
      <c r="DI71" s="4">
        <v>2590</v>
      </c>
      <c r="DJ71" s="4">
        <v>21158</v>
      </c>
      <c r="DK71" s="4">
        <v>13214</v>
      </c>
      <c r="DL71" s="4">
        <v>7396</v>
      </c>
      <c r="DM71" s="4">
        <v>9855</v>
      </c>
      <c r="DN71" s="4">
        <v>12785</v>
      </c>
      <c r="DO71" s="4">
        <v>2441</v>
      </c>
      <c r="DP71" s="4">
        <v>7551</v>
      </c>
      <c r="DQ71" s="4">
        <v>42206</v>
      </c>
      <c r="DR71" s="4">
        <v>2606</v>
      </c>
      <c r="DS71" s="4">
        <v>3880</v>
      </c>
      <c r="DT71" s="4">
        <v>778</v>
      </c>
      <c r="DU71" s="4">
        <v>8464</v>
      </c>
      <c r="DV71" s="4">
        <v>3539</v>
      </c>
      <c r="DW71" s="4">
        <v>4200</v>
      </c>
      <c r="DX71" s="4">
        <v>9279</v>
      </c>
      <c r="DY71" s="4">
        <v>1327</v>
      </c>
      <c r="DZ71" s="4">
        <v>2414</v>
      </c>
      <c r="EA71" s="4">
        <v>8793</v>
      </c>
      <c r="EB71" s="4">
        <v>5194</v>
      </c>
      <c r="EC71" s="4">
        <v>624</v>
      </c>
      <c r="ED71" s="4">
        <v>1537</v>
      </c>
      <c r="EE71" s="4">
        <v>25597</v>
      </c>
      <c r="EF71" s="4">
        <v>3975</v>
      </c>
      <c r="EG71" s="4">
        <v>11282</v>
      </c>
      <c r="EH71" s="4">
        <v>19865</v>
      </c>
      <c r="EJ71" s="4">
        <f t="shared" si="1"/>
        <v>1202959</v>
      </c>
    </row>
    <row r="72" spans="1:140" x14ac:dyDescent="0.25">
      <c r="A72" s="4" t="s">
        <v>208</v>
      </c>
      <c r="B72" s="4">
        <v>4022</v>
      </c>
      <c r="C72" s="4">
        <v>4884</v>
      </c>
      <c r="D72" s="4">
        <v>194</v>
      </c>
      <c r="E72" s="4">
        <v>1835</v>
      </c>
      <c r="F72" s="4">
        <v>11</v>
      </c>
      <c r="G72" s="4">
        <v>26</v>
      </c>
      <c r="H72" s="4">
        <v>12306</v>
      </c>
      <c r="I72" s="4">
        <v>68</v>
      </c>
      <c r="J72" s="4">
        <v>856</v>
      </c>
      <c r="K72" s="4">
        <v>30</v>
      </c>
      <c r="L72" s="4">
        <v>1020</v>
      </c>
      <c r="M72" s="4">
        <v>102</v>
      </c>
      <c r="N72" s="4">
        <v>10051</v>
      </c>
      <c r="O72" s="4">
        <v>1134</v>
      </c>
      <c r="P72" s="4">
        <v>559</v>
      </c>
      <c r="Q72" s="4">
        <v>6197</v>
      </c>
      <c r="R72" s="4">
        <v>130</v>
      </c>
      <c r="S72" s="4">
        <v>1351</v>
      </c>
      <c r="T72" s="4">
        <v>2557</v>
      </c>
      <c r="U72" s="4">
        <v>1909</v>
      </c>
      <c r="V72" s="4">
        <v>5222</v>
      </c>
      <c r="W72" s="4">
        <v>1848</v>
      </c>
      <c r="X72" s="4">
        <v>348</v>
      </c>
      <c r="Y72" s="4">
        <v>713</v>
      </c>
      <c r="Z72" s="4">
        <v>1995</v>
      </c>
      <c r="AA72" s="4">
        <v>564</v>
      </c>
      <c r="AB72" s="4">
        <v>4189</v>
      </c>
      <c r="AC72" s="4">
        <v>443</v>
      </c>
      <c r="AD72" s="4">
        <v>256</v>
      </c>
      <c r="AE72" s="4">
        <v>1308</v>
      </c>
      <c r="AF72" s="4">
        <v>765</v>
      </c>
      <c r="AG72">
        <v>18260</v>
      </c>
      <c r="AH72" s="4">
        <v>314</v>
      </c>
      <c r="AI72" s="4">
        <v>1737</v>
      </c>
      <c r="AJ72" s="4">
        <v>243</v>
      </c>
      <c r="AK72" s="4">
        <v>1433</v>
      </c>
      <c r="AL72" s="4">
        <v>2218</v>
      </c>
      <c r="AM72" s="4">
        <v>554</v>
      </c>
      <c r="AN72" s="4">
        <v>223</v>
      </c>
      <c r="AO72" s="4">
        <v>6861</v>
      </c>
      <c r="AP72" s="4">
        <v>439</v>
      </c>
      <c r="AQ72" s="4">
        <v>85</v>
      </c>
      <c r="AR72" s="4">
        <v>1492</v>
      </c>
      <c r="AS72" s="4">
        <v>4253</v>
      </c>
      <c r="AT72" s="4">
        <v>754</v>
      </c>
      <c r="AU72" s="4">
        <v>6432</v>
      </c>
      <c r="AV72" s="4">
        <v>3006</v>
      </c>
      <c r="AW72" s="4">
        <v>1954</v>
      </c>
      <c r="AX72" s="4">
        <v>17567</v>
      </c>
      <c r="AY72" s="4">
        <v>83</v>
      </c>
      <c r="AZ72" s="4">
        <v>475</v>
      </c>
      <c r="BA72" s="4">
        <v>5978</v>
      </c>
      <c r="BB72" s="4">
        <v>87</v>
      </c>
      <c r="BC72" s="4">
        <v>432</v>
      </c>
      <c r="BD72" s="4">
        <v>4853</v>
      </c>
      <c r="BE72" s="4">
        <v>3187</v>
      </c>
      <c r="BF72" s="4">
        <v>5823</v>
      </c>
      <c r="BG72" s="4">
        <v>3679</v>
      </c>
      <c r="BH72" s="4">
        <v>1810</v>
      </c>
      <c r="BI72" s="4">
        <v>21684</v>
      </c>
      <c r="BJ72" s="4">
        <v>3024</v>
      </c>
      <c r="BK72" s="4">
        <v>5207</v>
      </c>
      <c r="BL72" s="4">
        <v>2925</v>
      </c>
      <c r="BM72" s="4">
        <v>4335</v>
      </c>
      <c r="BN72" s="4">
        <v>931</v>
      </c>
      <c r="BO72" s="4">
        <v>1007</v>
      </c>
      <c r="BP72" s="4">
        <v>20827</v>
      </c>
      <c r="BQ72" s="4">
        <v>2691</v>
      </c>
      <c r="BR72" s="4">
        <v>63686</v>
      </c>
      <c r="BS72" s="4">
        <v>7367</v>
      </c>
      <c r="BT72" s="4">
        <v>7324</v>
      </c>
      <c r="BU72" s="4">
        <v>16975</v>
      </c>
      <c r="BV72" s="4">
        <v>2282</v>
      </c>
      <c r="BW72" s="4">
        <v>10555</v>
      </c>
      <c r="BX72" s="4">
        <v>1703</v>
      </c>
      <c r="BY72" s="4">
        <v>4950</v>
      </c>
      <c r="BZ72" s="4">
        <v>17105</v>
      </c>
      <c r="CA72" s="4">
        <v>2027</v>
      </c>
      <c r="CB72" s="4">
        <v>783</v>
      </c>
      <c r="CC72" s="4">
        <v>6718</v>
      </c>
      <c r="CD72" s="4">
        <v>2800</v>
      </c>
      <c r="CE72" s="4">
        <v>3390</v>
      </c>
      <c r="CF72" s="4">
        <v>6277</v>
      </c>
      <c r="CG72" s="4">
        <v>75320</v>
      </c>
      <c r="CH72" s="4">
        <v>11270</v>
      </c>
      <c r="CI72" s="4">
        <v>22504</v>
      </c>
      <c r="CJ72" s="4">
        <v>5974</v>
      </c>
      <c r="CK72" s="4">
        <v>13238</v>
      </c>
      <c r="CL72" s="4">
        <v>8432</v>
      </c>
      <c r="CM72" s="4">
        <v>14013</v>
      </c>
      <c r="CN72" s="4">
        <v>37963</v>
      </c>
      <c r="CO72" s="4">
        <v>4843</v>
      </c>
      <c r="CP72" s="4">
        <v>2625</v>
      </c>
      <c r="CQ72" s="4">
        <v>4069</v>
      </c>
      <c r="CR72" s="4">
        <v>5428</v>
      </c>
      <c r="CS72" s="4">
        <v>23067</v>
      </c>
      <c r="CT72" s="4">
        <v>16271</v>
      </c>
      <c r="CU72" s="4">
        <v>1559</v>
      </c>
      <c r="CV72" s="4">
        <v>193939</v>
      </c>
      <c r="CW72" s="4">
        <v>4599</v>
      </c>
      <c r="CX72" s="4">
        <v>1438</v>
      </c>
      <c r="CY72" s="4">
        <v>19112</v>
      </c>
      <c r="CZ72" s="4">
        <v>2544</v>
      </c>
      <c r="DA72" s="4">
        <v>4566</v>
      </c>
      <c r="DB72" s="4">
        <v>9480</v>
      </c>
      <c r="DC72" s="4">
        <v>2817</v>
      </c>
      <c r="DD72" s="4">
        <v>2276</v>
      </c>
      <c r="DE72" s="4">
        <v>1479</v>
      </c>
      <c r="DF72" s="4">
        <v>39236</v>
      </c>
      <c r="DG72" s="4">
        <v>11125</v>
      </c>
      <c r="DH72" s="4">
        <v>12832</v>
      </c>
      <c r="DI72" s="4">
        <v>3442</v>
      </c>
      <c r="DJ72" s="4">
        <v>20221</v>
      </c>
      <c r="DK72" s="4">
        <v>13076</v>
      </c>
      <c r="DL72" s="4">
        <v>7571</v>
      </c>
      <c r="DM72" s="4">
        <v>10853</v>
      </c>
      <c r="DN72" s="4">
        <v>13388</v>
      </c>
      <c r="DO72" s="4">
        <v>2203</v>
      </c>
      <c r="DP72" s="4">
        <v>5907</v>
      </c>
      <c r="DQ72" s="4">
        <v>43392</v>
      </c>
      <c r="DR72" s="4">
        <v>2393</v>
      </c>
      <c r="DS72" s="4">
        <v>3734</v>
      </c>
      <c r="DT72" s="4">
        <v>710</v>
      </c>
      <c r="DU72" s="4">
        <v>8332</v>
      </c>
      <c r="DV72" s="4">
        <v>3121</v>
      </c>
      <c r="DW72" s="4">
        <v>4289</v>
      </c>
      <c r="DX72" s="4">
        <v>10853</v>
      </c>
      <c r="DY72" s="4">
        <v>1235</v>
      </c>
      <c r="DZ72" s="4">
        <v>2844</v>
      </c>
      <c r="EA72" s="4">
        <v>7839</v>
      </c>
      <c r="EB72" s="4">
        <v>4422</v>
      </c>
      <c r="EC72" s="4">
        <v>605</v>
      </c>
      <c r="ED72" s="4">
        <v>1056</v>
      </c>
      <c r="EE72" s="4">
        <v>29765</v>
      </c>
      <c r="EF72" s="4">
        <v>3306</v>
      </c>
      <c r="EG72" s="4">
        <v>10824</v>
      </c>
      <c r="EH72" s="4">
        <v>21250</v>
      </c>
      <c r="EJ72" s="4">
        <f t="shared" si="1"/>
        <v>1166348</v>
      </c>
    </row>
    <row r="73" spans="1:140" x14ac:dyDescent="0.25">
      <c r="A73" s="4" t="s">
        <v>209</v>
      </c>
      <c r="B73" s="4">
        <v>4767</v>
      </c>
      <c r="C73" s="4">
        <v>6423</v>
      </c>
      <c r="D73" s="4">
        <v>275</v>
      </c>
      <c r="E73" s="4">
        <v>2115</v>
      </c>
      <c r="F73" s="4">
        <v>3</v>
      </c>
      <c r="G73" s="4">
        <v>32</v>
      </c>
      <c r="H73" s="4">
        <v>17371</v>
      </c>
      <c r="I73" s="4">
        <v>84</v>
      </c>
      <c r="J73" s="4">
        <v>1114</v>
      </c>
      <c r="K73" s="4">
        <v>37</v>
      </c>
      <c r="L73" s="4">
        <v>1349</v>
      </c>
      <c r="M73" s="4">
        <v>85</v>
      </c>
      <c r="N73" s="4">
        <v>12307</v>
      </c>
      <c r="O73" s="4">
        <v>1185</v>
      </c>
      <c r="P73" s="4">
        <v>641</v>
      </c>
      <c r="Q73" s="4">
        <v>6578</v>
      </c>
      <c r="R73" s="4">
        <v>129</v>
      </c>
      <c r="S73" s="4">
        <v>1526</v>
      </c>
      <c r="T73" s="4">
        <v>2854</v>
      </c>
      <c r="U73" s="4">
        <v>2354</v>
      </c>
      <c r="V73" s="4">
        <v>5941</v>
      </c>
      <c r="W73" s="4">
        <v>2061</v>
      </c>
      <c r="X73" s="4">
        <v>344</v>
      </c>
      <c r="Y73" s="4">
        <v>2134</v>
      </c>
      <c r="Z73" s="4">
        <v>2976</v>
      </c>
      <c r="AA73" s="4">
        <v>473</v>
      </c>
      <c r="AB73" s="4">
        <v>6206</v>
      </c>
      <c r="AC73" s="4">
        <v>517</v>
      </c>
      <c r="AD73" s="4">
        <v>351</v>
      </c>
      <c r="AE73" s="4">
        <v>1530</v>
      </c>
      <c r="AF73" s="4">
        <v>916</v>
      </c>
      <c r="AG73">
        <v>18466</v>
      </c>
      <c r="AH73" s="4">
        <v>729</v>
      </c>
      <c r="AI73" s="4">
        <v>2004</v>
      </c>
      <c r="AJ73" s="4">
        <v>263</v>
      </c>
      <c r="AK73" s="4">
        <v>1556</v>
      </c>
      <c r="AL73" s="4">
        <v>3289</v>
      </c>
      <c r="AM73" s="4">
        <v>726</v>
      </c>
      <c r="AN73" s="4">
        <v>221</v>
      </c>
      <c r="AO73" s="4">
        <v>8178</v>
      </c>
      <c r="AP73" s="4">
        <v>604</v>
      </c>
      <c r="AQ73" s="4">
        <v>271</v>
      </c>
      <c r="AR73" s="4">
        <v>1844</v>
      </c>
      <c r="AS73" s="4">
        <v>5268</v>
      </c>
      <c r="AT73" s="4">
        <v>1064</v>
      </c>
      <c r="AU73" s="4">
        <v>4103</v>
      </c>
      <c r="AV73" s="4">
        <v>3356</v>
      </c>
      <c r="AW73" s="4">
        <v>2299</v>
      </c>
      <c r="AX73" s="4">
        <v>20438</v>
      </c>
      <c r="AY73" s="4">
        <v>103</v>
      </c>
      <c r="AZ73" s="4">
        <v>605</v>
      </c>
      <c r="BA73" s="4">
        <v>6325</v>
      </c>
      <c r="BB73" s="4">
        <v>122</v>
      </c>
      <c r="BC73" s="4">
        <v>504</v>
      </c>
      <c r="BD73" s="4">
        <v>6066</v>
      </c>
      <c r="BE73" s="4">
        <v>4339</v>
      </c>
      <c r="BF73" s="4">
        <v>3034</v>
      </c>
      <c r="BG73" s="4">
        <v>4107</v>
      </c>
      <c r="BH73" s="4">
        <v>1426</v>
      </c>
      <c r="BI73" s="4">
        <v>27599</v>
      </c>
      <c r="BJ73" s="4">
        <v>3545</v>
      </c>
      <c r="BK73" s="4">
        <v>6167</v>
      </c>
      <c r="BL73" s="4">
        <v>3458</v>
      </c>
      <c r="BM73" s="4">
        <v>5151</v>
      </c>
      <c r="BN73" s="4">
        <v>1268</v>
      </c>
      <c r="BO73" s="4">
        <v>1666</v>
      </c>
      <c r="BP73" s="4">
        <v>32146</v>
      </c>
      <c r="BQ73" s="4">
        <v>4203</v>
      </c>
      <c r="BR73" s="4">
        <v>70257</v>
      </c>
      <c r="BS73" s="4">
        <v>9655</v>
      </c>
      <c r="BT73" s="4">
        <v>12060</v>
      </c>
      <c r="BU73" s="4">
        <v>20360</v>
      </c>
      <c r="BV73" s="4">
        <v>2853</v>
      </c>
      <c r="BW73" s="4">
        <v>12663</v>
      </c>
      <c r="BX73" s="4">
        <v>2744</v>
      </c>
      <c r="BY73" s="4">
        <v>5876</v>
      </c>
      <c r="BZ73" s="4">
        <v>20851</v>
      </c>
      <c r="CA73" s="4">
        <v>2399</v>
      </c>
      <c r="CB73" s="4">
        <v>927</v>
      </c>
      <c r="CC73" s="4">
        <v>7950</v>
      </c>
      <c r="CD73" s="4">
        <v>3503</v>
      </c>
      <c r="CE73" s="4">
        <v>3988</v>
      </c>
      <c r="CF73" s="4">
        <v>7081</v>
      </c>
      <c r="CG73" s="4">
        <v>88453</v>
      </c>
      <c r="CH73" s="4">
        <v>33539</v>
      </c>
      <c r="CI73" s="4">
        <v>68486</v>
      </c>
      <c r="CJ73" s="4">
        <v>20574</v>
      </c>
      <c r="CK73" s="4">
        <v>24920</v>
      </c>
      <c r="CL73" s="4">
        <v>13397</v>
      </c>
      <c r="CM73" s="4">
        <v>25000</v>
      </c>
      <c r="CN73" s="4">
        <v>49334</v>
      </c>
      <c r="CO73" s="4">
        <v>7763</v>
      </c>
      <c r="CP73" s="4">
        <v>3052</v>
      </c>
      <c r="CQ73" s="4">
        <v>9040</v>
      </c>
      <c r="CR73" s="4">
        <v>8126</v>
      </c>
      <c r="CS73" s="4">
        <v>27848</v>
      </c>
      <c r="CT73" s="4">
        <v>18581</v>
      </c>
      <c r="CU73" s="4">
        <v>1707</v>
      </c>
      <c r="CV73" s="4">
        <v>210767</v>
      </c>
      <c r="CW73" s="4">
        <v>10141</v>
      </c>
      <c r="CX73" s="4">
        <v>1655</v>
      </c>
      <c r="CY73" s="4">
        <v>25527</v>
      </c>
      <c r="CZ73" s="4">
        <v>4218</v>
      </c>
      <c r="DA73" s="4">
        <v>5331</v>
      </c>
      <c r="DB73" s="4">
        <v>9965</v>
      </c>
      <c r="DC73" s="4">
        <v>3210</v>
      </c>
      <c r="DD73" s="4">
        <v>2289</v>
      </c>
      <c r="DE73" s="4">
        <v>1532</v>
      </c>
      <c r="DF73" s="4">
        <v>42638</v>
      </c>
      <c r="DG73" s="4">
        <v>14806</v>
      </c>
      <c r="DH73" s="4">
        <v>14345</v>
      </c>
      <c r="DI73" s="4">
        <v>5433</v>
      </c>
      <c r="DJ73" s="4">
        <v>25262</v>
      </c>
      <c r="DK73" s="4">
        <v>13899</v>
      </c>
      <c r="DL73" s="4">
        <v>8876</v>
      </c>
      <c r="DM73" s="4">
        <v>12605</v>
      </c>
      <c r="DN73" s="4">
        <v>16927</v>
      </c>
      <c r="DO73" s="4">
        <v>2744</v>
      </c>
      <c r="DP73" s="4">
        <v>6839</v>
      </c>
      <c r="DQ73" s="4">
        <v>47552</v>
      </c>
      <c r="DR73" s="4">
        <v>3113</v>
      </c>
      <c r="DS73" s="4">
        <v>5742</v>
      </c>
      <c r="DT73" s="4">
        <v>700</v>
      </c>
      <c r="DU73" s="4">
        <v>9652</v>
      </c>
      <c r="DV73" s="4">
        <v>4500</v>
      </c>
      <c r="DW73" s="4">
        <v>6132</v>
      </c>
      <c r="DX73" s="4">
        <v>9746</v>
      </c>
      <c r="DY73" s="4">
        <v>1598</v>
      </c>
      <c r="DZ73" s="4">
        <v>4786</v>
      </c>
      <c r="EA73" s="4">
        <v>8892</v>
      </c>
      <c r="EB73" s="4">
        <v>6325</v>
      </c>
      <c r="EC73" s="4">
        <v>585</v>
      </c>
      <c r="ED73" s="4">
        <v>1138</v>
      </c>
      <c r="EE73" s="4">
        <v>33939</v>
      </c>
      <c r="EF73" s="4">
        <v>4246</v>
      </c>
      <c r="EG73" s="4">
        <v>19133</v>
      </c>
      <c r="EH73" s="4">
        <v>22707</v>
      </c>
      <c r="EJ73" s="4">
        <f t="shared" si="1"/>
        <v>1483673</v>
      </c>
    </row>
    <row r="74" spans="1:140" x14ac:dyDescent="0.25">
      <c r="A74" s="4" t="s">
        <v>210</v>
      </c>
      <c r="B74" s="4">
        <v>4155</v>
      </c>
      <c r="C74" s="4">
        <v>3938</v>
      </c>
      <c r="D74" s="4">
        <v>225</v>
      </c>
      <c r="E74" s="4">
        <v>1543</v>
      </c>
      <c r="F74" s="4">
        <v>2</v>
      </c>
      <c r="G74" s="4">
        <v>17</v>
      </c>
      <c r="H74" s="4">
        <v>12339</v>
      </c>
      <c r="I74" s="4">
        <v>52</v>
      </c>
      <c r="J74" s="4">
        <v>979</v>
      </c>
      <c r="K74" s="4">
        <v>27</v>
      </c>
      <c r="L74" s="4">
        <v>971</v>
      </c>
      <c r="M74" s="4">
        <v>121</v>
      </c>
      <c r="N74" s="4">
        <v>9639</v>
      </c>
      <c r="O74" s="4">
        <v>1430</v>
      </c>
      <c r="P74" s="4">
        <v>542</v>
      </c>
      <c r="Q74" s="4">
        <v>6477</v>
      </c>
      <c r="R74" s="4">
        <v>42</v>
      </c>
      <c r="S74" s="4">
        <v>1507</v>
      </c>
      <c r="T74" s="4">
        <v>2491</v>
      </c>
      <c r="U74" s="4">
        <v>1608</v>
      </c>
      <c r="V74" s="4">
        <v>5807</v>
      </c>
      <c r="W74" s="4">
        <v>2066</v>
      </c>
      <c r="X74" s="4">
        <v>400</v>
      </c>
      <c r="Y74" s="4">
        <v>1114</v>
      </c>
      <c r="Z74" s="4">
        <v>1086</v>
      </c>
      <c r="AA74" s="4">
        <v>739</v>
      </c>
      <c r="AB74" s="4">
        <v>4065</v>
      </c>
      <c r="AC74" s="4">
        <v>581</v>
      </c>
      <c r="AD74" s="4">
        <v>417</v>
      </c>
      <c r="AE74" s="4">
        <v>976</v>
      </c>
      <c r="AF74" s="4">
        <v>2197</v>
      </c>
      <c r="AG74">
        <v>24614</v>
      </c>
      <c r="AH74" s="4">
        <v>483</v>
      </c>
      <c r="AI74" s="4">
        <v>2767</v>
      </c>
      <c r="AJ74" s="4">
        <v>295</v>
      </c>
      <c r="AK74" s="4">
        <v>1761</v>
      </c>
      <c r="AL74" s="4">
        <v>3144</v>
      </c>
      <c r="AM74" s="4">
        <v>689</v>
      </c>
      <c r="AN74" s="4">
        <v>228</v>
      </c>
      <c r="AO74" s="4">
        <v>8443</v>
      </c>
      <c r="AP74" s="4">
        <v>517</v>
      </c>
      <c r="AQ74" s="4">
        <v>107</v>
      </c>
      <c r="AR74" s="4">
        <v>1747</v>
      </c>
      <c r="AS74" s="4">
        <v>6096</v>
      </c>
      <c r="AT74" s="4">
        <v>1117</v>
      </c>
      <c r="AU74" s="4">
        <v>2125</v>
      </c>
      <c r="AV74" s="4">
        <v>3483</v>
      </c>
      <c r="AW74" s="4">
        <v>2652</v>
      </c>
      <c r="AX74" s="4">
        <v>21946</v>
      </c>
      <c r="AY74" s="4">
        <v>119</v>
      </c>
      <c r="AZ74" s="4">
        <v>641</v>
      </c>
      <c r="BA74" s="4">
        <v>6371</v>
      </c>
      <c r="BB74" s="4">
        <v>140</v>
      </c>
      <c r="BC74" s="4">
        <v>649</v>
      </c>
      <c r="BD74" s="4">
        <v>5351</v>
      </c>
      <c r="BE74" s="4">
        <v>2582</v>
      </c>
      <c r="BF74" s="4">
        <v>1560</v>
      </c>
      <c r="BG74" s="4">
        <v>4131</v>
      </c>
      <c r="BH74" s="4">
        <v>1660</v>
      </c>
      <c r="BI74" s="4">
        <v>25489</v>
      </c>
      <c r="BJ74" s="4">
        <v>3076</v>
      </c>
      <c r="BK74" s="4">
        <v>5818</v>
      </c>
      <c r="BL74" s="4">
        <v>2179</v>
      </c>
      <c r="BM74" s="4">
        <v>3981</v>
      </c>
      <c r="BN74" s="4">
        <v>886</v>
      </c>
      <c r="BO74" s="4">
        <v>1346</v>
      </c>
      <c r="BP74" s="4">
        <v>19654</v>
      </c>
      <c r="BQ74" s="4">
        <v>2511</v>
      </c>
      <c r="BR74" s="4">
        <v>62247</v>
      </c>
      <c r="BS74" s="4">
        <v>8031</v>
      </c>
      <c r="BT74" s="4">
        <v>7069</v>
      </c>
      <c r="BU74" s="4">
        <v>16616</v>
      </c>
      <c r="BV74" s="4">
        <v>2670</v>
      </c>
      <c r="BW74" s="4">
        <v>11337</v>
      </c>
      <c r="BX74" s="4">
        <v>1791</v>
      </c>
      <c r="BY74" s="4">
        <v>5244</v>
      </c>
      <c r="BZ74" s="4">
        <v>18740</v>
      </c>
      <c r="CA74" s="4">
        <v>1723</v>
      </c>
      <c r="CB74" s="4">
        <v>1054</v>
      </c>
      <c r="CC74" s="4">
        <v>6606</v>
      </c>
      <c r="CD74" s="4">
        <v>3232</v>
      </c>
      <c r="CE74" s="4">
        <v>3389</v>
      </c>
      <c r="CF74" s="4">
        <v>7289</v>
      </c>
      <c r="CG74" s="4">
        <v>90033</v>
      </c>
      <c r="CH74" s="4">
        <v>14120</v>
      </c>
      <c r="CI74" s="4">
        <v>24920</v>
      </c>
      <c r="CJ74" s="4">
        <v>5706</v>
      </c>
      <c r="CK74" s="4">
        <v>14651</v>
      </c>
      <c r="CL74" s="4">
        <v>12882</v>
      </c>
      <c r="CM74" s="4">
        <v>15005</v>
      </c>
      <c r="CN74" s="4">
        <v>39837</v>
      </c>
      <c r="CO74" s="4">
        <v>6772</v>
      </c>
      <c r="CP74" s="4">
        <v>2876</v>
      </c>
      <c r="CQ74" s="4">
        <v>3789</v>
      </c>
      <c r="CR74" s="4">
        <v>6378</v>
      </c>
      <c r="CS74" s="4">
        <v>24492</v>
      </c>
      <c r="CT74" s="4">
        <v>17735</v>
      </c>
      <c r="CU74" s="4">
        <v>1761</v>
      </c>
      <c r="CV74" s="4">
        <v>203480</v>
      </c>
      <c r="CW74" s="4">
        <v>7724</v>
      </c>
      <c r="CX74" s="4">
        <v>1330</v>
      </c>
      <c r="CY74" s="4">
        <v>18820</v>
      </c>
      <c r="CZ74" s="4">
        <v>3541</v>
      </c>
      <c r="DA74" s="4">
        <v>4811</v>
      </c>
      <c r="DB74" s="4">
        <v>9547</v>
      </c>
      <c r="DC74" s="4">
        <v>3157</v>
      </c>
      <c r="DD74" s="4">
        <v>2432</v>
      </c>
      <c r="DE74" s="4">
        <v>1685</v>
      </c>
      <c r="DF74" s="4">
        <v>39830</v>
      </c>
      <c r="DG74" s="4">
        <v>11615</v>
      </c>
      <c r="DH74" s="4">
        <v>14521</v>
      </c>
      <c r="DI74" s="4">
        <v>3124</v>
      </c>
      <c r="DJ74" s="4">
        <v>22084</v>
      </c>
      <c r="DK74" s="4">
        <v>13358</v>
      </c>
      <c r="DL74" s="4">
        <v>8233</v>
      </c>
      <c r="DM74" s="4">
        <v>12565</v>
      </c>
      <c r="DN74" s="4">
        <v>13493</v>
      </c>
      <c r="DO74" s="4">
        <v>2568</v>
      </c>
      <c r="DP74" s="4">
        <v>6241</v>
      </c>
      <c r="DQ74" s="4">
        <v>44069</v>
      </c>
      <c r="DR74" s="4">
        <v>2700</v>
      </c>
      <c r="DS74" s="4">
        <v>6449</v>
      </c>
      <c r="DT74" s="4">
        <v>610</v>
      </c>
      <c r="DU74" s="4">
        <v>7528</v>
      </c>
      <c r="DV74" s="4">
        <v>3690</v>
      </c>
      <c r="DW74" s="4">
        <v>4754</v>
      </c>
      <c r="DX74" s="4">
        <v>7540</v>
      </c>
      <c r="DY74" s="4">
        <v>1185</v>
      </c>
      <c r="DZ74" s="4">
        <v>1950</v>
      </c>
      <c r="EA74" s="4">
        <v>7827</v>
      </c>
      <c r="EB74" s="4">
        <v>3532</v>
      </c>
      <c r="EC74" s="4">
        <v>608</v>
      </c>
      <c r="ED74" s="4">
        <v>855</v>
      </c>
      <c r="EE74" s="4">
        <v>23704</v>
      </c>
      <c r="EF74" s="4">
        <v>2520</v>
      </c>
      <c r="EG74" s="4">
        <v>9242</v>
      </c>
      <c r="EH74" s="4">
        <v>20215</v>
      </c>
      <c r="EJ74" s="4">
        <f t="shared" si="1"/>
        <v>1229043</v>
      </c>
    </row>
    <row r="75" spans="1:140" x14ac:dyDescent="0.25">
      <c r="A75" s="4" t="s">
        <v>211</v>
      </c>
      <c r="B75" s="4">
        <v>4832</v>
      </c>
      <c r="C75" s="4">
        <v>4513</v>
      </c>
      <c r="D75" s="4">
        <v>172</v>
      </c>
      <c r="E75" s="4">
        <v>1714</v>
      </c>
      <c r="F75" s="4">
        <v>17</v>
      </c>
      <c r="G75" s="4">
        <v>21</v>
      </c>
      <c r="H75" s="4">
        <v>12180</v>
      </c>
      <c r="I75" s="4">
        <v>52</v>
      </c>
      <c r="J75" s="4">
        <v>966</v>
      </c>
      <c r="K75" s="4">
        <v>45</v>
      </c>
      <c r="L75" s="4">
        <v>1060</v>
      </c>
      <c r="M75" s="4">
        <v>103</v>
      </c>
      <c r="N75" s="4">
        <v>9547</v>
      </c>
      <c r="O75" s="4">
        <v>1191</v>
      </c>
      <c r="P75" s="4">
        <v>496</v>
      </c>
      <c r="Q75" s="4">
        <v>5844</v>
      </c>
      <c r="R75" s="4">
        <v>35</v>
      </c>
      <c r="S75" s="4">
        <v>1215</v>
      </c>
      <c r="T75" s="4">
        <v>2510</v>
      </c>
      <c r="U75" s="4">
        <v>2028</v>
      </c>
      <c r="V75" s="4">
        <v>5140</v>
      </c>
      <c r="W75" s="4">
        <v>2378</v>
      </c>
      <c r="X75" s="4">
        <v>449</v>
      </c>
      <c r="Y75" s="4">
        <v>677</v>
      </c>
      <c r="Z75" s="4">
        <v>1124</v>
      </c>
      <c r="AA75" s="4">
        <v>722</v>
      </c>
      <c r="AB75" s="4">
        <v>4400</v>
      </c>
      <c r="AC75" s="4">
        <v>535</v>
      </c>
      <c r="AD75" s="4">
        <v>656</v>
      </c>
      <c r="AE75" s="4">
        <v>1727</v>
      </c>
      <c r="AF75" s="4">
        <v>1189</v>
      </c>
      <c r="AG75">
        <v>21846</v>
      </c>
      <c r="AH75" s="4">
        <v>551</v>
      </c>
      <c r="AI75" s="4">
        <v>1841</v>
      </c>
      <c r="AJ75" s="4">
        <v>375</v>
      </c>
      <c r="AK75" s="4">
        <v>1745</v>
      </c>
      <c r="AL75" s="4">
        <v>3161</v>
      </c>
      <c r="AM75" s="4">
        <v>710</v>
      </c>
      <c r="AN75" s="4">
        <v>362</v>
      </c>
      <c r="AO75" s="4">
        <v>8751</v>
      </c>
      <c r="AP75" s="4">
        <v>567</v>
      </c>
      <c r="AQ75" s="4">
        <v>108</v>
      </c>
      <c r="AR75" s="4">
        <v>1852</v>
      </c>
      <c r="AS75" s="4">
        <v>7573</v>
      </c>
      <c r="AT75" s="4">
        <v>1087</v>
      </c>
      <c r="AU75" s="4">
        <v>2433</v>
      </c>
      <c r="AV75" s="4">
        <v>3111</v>
      </c>
      <c r="AW75" s="4">
        <v>9222</v>
      </c>
      <c r="AX75" s="4">
        <v>19187</v>
      </c>
      <c r="AY75" s="4">
        <v>124</v>
      </c>
      <c r="AZ75" s="4">
        <v>675</v>
      </c>
      <c r="BA75" s="4">
        <v>16293</v>
      </c>
      <c r="BB75" s="4">
        <v>164</v>
      </c>
      <c r="BC75" s="4">
        <v>652</v>
      </c>
      <c r="BD75" s="4">
        <v>5699</v>
      </c>
      <c r="BE75" s="4">
        <v>2863</v>
      </c>
      <c r="BF75" s="4">
        <v>1774</v>
      </c>
      <c r="BG75" s="4">
        <v>4245</v>
      </c>
      <c r="BH75" s="4">
        <v>1255</v>
      </c>
      <c r="BI75" s="4">
        <v>26284</v>
      </c>
      <c r="BJ75" s="4">
        <v>3409</v>
      </c>
      <c r="BK75" s="4">
        <v>6490</v>
      </c>
      <c r="BL75" s="4">
        <v>2844</v>
      </c>
      <c r="BM75" s="4">
        <v>4837</v>
      </c>
      <c r="BN75" s="4">
        <v>865</v>
      </c>
      <c r="BO75" s="4">
        <v>1346</v>
      </c>
      <c r="BP75" s="4">
        <v>20851</v>
      </c>
      <c r="BQ75" s="4">
        <v>2424</v>
      </c>
      <c r="BR75" s="4">
        <v>65697</v>
      </c>
      <c r="BS75" s="4">
        <v>8091</v>
      </c>
      <c r="BT75" s="4">
        <v>7579</v>
      </c>
      <c r="BU75" s="4">
        <v>16287</v>
      </c>
      <c r="BV75" s="4">
        <v>2848</v>
      </c>
      <c r="BW75" s="4">
        <v>11377</v>
      </c>
      <c r="BX75" s="4">
        <v>2161</v>
      </c>
      <c r="BY75" s="4">
        <v>5131</v>
      </c>
      <c r="BZ75" s="4">
        <v>19975</v>
      </c>
      <c r="CA75" s="4">
        <v>2013</v>
      </c>
      <c r="CB75" s="4">
        <v>931</v>
      </c>
      <c r="CC75" s="4">
        <v>6249</v>
      </c>
      <c r="CD75" s="4">
        <v>3462</v>
      </c>
      <c r="CE75" s="4">
        <v>3429</v>
      </c>
      <c r="CF75" s="4">
        <v>7509</v>
      </c>
      <c r="CG75" s="4">
        <v>90016</v>
      </c>
      <c r="CH75" s="4">
        <v>12616</v>
      </c>
      <c r="CI75" s="4">
        <v>27473</v>
      </c>
      <c r="CJ75" s="4">
        <v>5914</v>
      </c>
      <c r="CK75" s="4">
        <v>15187</v>
      </c>
      <c r="CL75" s="4">
        <v>12599</v>
      </c>
      <c r="CM75" s="4">
        <v>14376</v>
      </c>
      <c r="CN75" s="4">
        <v>41193</v>
      </c>
      <c r="CO75" s="4">
        <v>5482</v>
      </c>
      <c r="CP75" s="4">
        <v>2868</v>
      </c>
      <c r="CQ75" s="4">
        <v>4572</v>
      </c>
      <c r="CR75" s="4">
        <v>6477</v>
      </c>
      <c r="CS75" s="4">
        <v>26363</v>
      </c>
      <c r="CT75" s="4">
        <v>17410</v>
      </c>
      <c r="CU75" s="4">
        <v>1989</v>
      </c>
      <c r="CV75" s="4">
        <v>225355</v>
      </c>
      <c r="CW75" s="4">
        <v>5444</v>
      </c>
      <c r="CX75" s="4">
        <v>2162</v>
      </c>
      <c r="CY75" s="4">
        <v>22087</v>
      </c>
      <c r="CZ75" s="4">
        <v>2900</v>
      </c>
      <c r="DA75" s="4">
        <v>5194</v>
      </c>
      <c r="DB75" s="4">
        <v>10786</v>
      </c>
      <c r="DC75" s="4">
        <v>3702</v>
      </c>
      <c r="DD75" s="4">
        <v>2636</v>
      </c>
      <c r="DE75" s="4">
        <v>1798</v>
      </c>
      <c r="DF75" s="4">
        <v>44237</v>
      </c>
      <c r="DG75" s="4">
        <v>14388</v>
      </c>
      <c r="DH75" s="4">
        <v>15950</v>
      </c>
      <c r="DI75" s="4">
        <v>4583</v>
      </c>
      <c r="DJ75" s="4">
        <v>26607</v>
      </c>
      <c r="DK75" s="4">
        <v>15454</v>
      </c>
      <c r="DL75" s="4">
        <v>9927</v>
      </c>
      <c r="DM75" s="4">
        <v>12098</v>
      </c>
      <c r="DN75" s="4">
        <v>18200</v>
      </c>
      <c r="DO75" s="4">
        <v>2546</v>
      </c>
      <c r="DP75" s="4">
        <v>6509</v>
      </c>
      <c r="DQ75" s="4">
        <v>50993</v>
      </c>
      <c r="DR75" s="4">
        <v>2597</v>
      </c>
      <c r="DS75" s="4">
        <v>4267</v>
      </c>
      <c r="DT75" s="4">
        <v>661</v>
      </c>
      <c r="DU75" s="4">
        <v>8579</v>
      </c>
      <c r="DV75" s="4">
        <v>3472</v>
      </c>
      <c r="DW75" s="4">
        <v>5141</v>
      </c>
      <c r="DX75" s="4">
        <v>8386</v>
      </c>
      <c r="DY75" s="4">
        <v>1292</v>
      </c>
      <c r="DZ75" s="4">
        <v>2062</v>
      </c>
      <c r="EA75" s="4">
        <v>8707</v>
      </c>
      <c r="EB75" s="4">
        <v>3848</v>
      </c>
      <c r="EC75" s="4">
        <v>568</v>
      </c>
      <c r="ED75" s="4">
        <v>887</v>
      </c>
      <c r="EE75" s="4">
        <v>26823</v>
      </c>
      <c r="EF75" s="4">
        <v>2657</v>
      </c>
      <c r="EG75" s="4">
        <v>9522</v>
      </c>
      <c r="EH75" s="4">
        <v>21483</v>
      </c>
      <c r="EJ75" s="4">
        <f t="shared" si="1"/>
        <v>1316896</v>
      </c>
    </row>
    <row r="76" spans="1:140" x14ac:dyDescent="0.25">
      <c r="A76" s="4" t="s">
        <v>212</v>
      </c>
      <c r="B76" s="4">
        <v>5023</v>
      </c>
      <c r="C76" s="4">
        <v>5658</v>
      </c>
      <c r="D76" s="4">
        <v>167</v>
      </c>
      <c r="E76" s="4">
        <v>2028</v>
      </c>
      <c r="F76" s="4">
        <v>4</v>
      </c>
      <c r="G76" s="4">
        <v>21</v>
      </c>
      <c r="H76" s="4">
        <v>14783</v>
      </c>
      <c r="I76" s="4">
        <v>61</v>
      </c>
      <c r="J76" s="4">
        <v>1352</v>
      </c>
      <c r="K76" s="4">
        <v>52</v>
      </c>
      <c r="L76" s="4">
        <v>1229</v>
      </c>
      <c r="M76" s="4">
        <v>89</v>
      </c>
      <c r="N76" s="4">
        <v>11283</v>
      </c>
      <c r="O76" s="4">
        <v>1580</v>
      </c>
      <c r="P76" s="4">
        <v>664</v>
      </c>
      <c r="Q76" s="4">
        <v>6987</v>
      </c>
      <c r="R76" s="4">
        <v>38</v>
      </c>
      <c r="S76" s="4">
        <v>1738</v>
      </c>
      <c r="T76" s="4">
        <v>2652</v>
      </c>
      <c r="U76" s="4">
        <v>2334</v>
      </c>
      <c r="V76" s="4">
        <v>6778</v>
      </c>
      <c r="W76" s="4">
        <v>2198</v>
      </c>
      <c r="X76" s="4">
        <v>451</v>
      </c>
      <c r="Y76" s="4">
        <v>923</v>
      </c>
      <c r="Z76" s="4">
        <v>1590</v>
      </c>
      <c r="AA76" s="4">
        <v>631</v>
      </c>
      <c r="AB76" s="4">
        <v>5532</v>
      </c>
      <c r="AC76" s="4">
        <v>495</v>
      </c>
      <c r="AD76" s="4">
        <v>472</v>
      </c>
      <c r="AE76" s="4">
        <v>1524</v>
      </c>
      <c r="AF76" s="4">
        <v>1217</v>
      </c>
      <c r="AG76">
        <v>24086</v>
      </c>
      <c r="AH76" s="4">
        <v>473</v>
      </c>
      <c r="AI76" s="4">
        <v>2415</v>
      </c>
      <c r="AJ76" s="4">
        <v>427</v>
      </c>
      <c r="AK76" s="4">
        <v>1640</v>
      </c>
      <c r="AL76" s="4">
        <v>3123</v>
      </c>
      <c r="AM76" s="4">
        <v>939</v>
      </c>
      <c r="AN76" s="4">
        <v>267</v>
      </c>
      <c r="AO76" s="4">
        <v>10127</v>
      </c>
      <c r="AP76" s="4">
        <v>790</v>
      </c>
      <c r="AQ76" s="4">
        <v>110</v>
      </c>
      <c r="AR76" s="4">
        <v>2668</v>
      </c>
      <c r="AS76" s="4">
        <v>10603</v>
      </c>
      <c r="AT76" s="4">
        <v>1364</v>
      </c>
      <c r="AU76" s="4">
        <v>3355</v>
      </c>
      <c r="AV76" s="4">
        <v>4126</v>
      </c>
      <c r="AW76" s="4">
        <v>14083</v>
      </c>
      <c r="AX76" s="4">
        <v>29609</v>
      </c>
      <c r="AY76" s="4">
        <v>242</v>
      </c>
      <c r="AZ76" s="4">
        <v>754</v>
      </c>
      <c r="BA76" s="4">
        <v>24448</v>
      </c>
      <c r="BB76" s="4">
        <v>167</v>
      </c>
      <c r="BC76" s="4">
        <v>1815</v>
      </c>
      <c r="BD76" s="4">
        <v>8505</v>
      </c>
      <c r="BE76" s="4">
        <v>3764</v>
      </c>
      <c r="BF76" s="4">
        <v>1772</v>
      </c>
      <c r="BG76" s="4">
        <v>5135</v>
      </c>
      <c r="BH76" s="4">
        <v>2009</v>
      </c>
      <c r="BI76" s="4">
        <v>29950</v>
      </c>
      <c r="BJ76" s="4">
        <v>4219</v>
      </c>
      <c r="BK76" s="4">
        <v>7403</v>
      </c>
      <c r="BL76" s="4">
        <v>2891</v>
      </c>
      <c r="BM76" s="4">
        <v>5838</v>
      </c>
      <c r="BN76" s="4">
        <v>1158</v>
      </c>
      <c r="BO76" s="4">
        <v>1734</v>
      </c>
      <c r="BP76" s="4">
        <v>25375</v>
      </c>
      <c r="BQ76" s="4">
        <v>3042</v>
      </c>
      <c r="BR76" s="4">
        <v>80888</v>
      </c>
      <c r="BS76" s="4">
        <v>10946</v>
      </c>
      <c r="BT76" s="4">
        <v>10156</v>
      </c>
      <c r="BU76" s="4">
        <v>18582</v>
      </c>
      <c r="BV76" s="4">
        <v>3542</v>
      </c>
      <c r="BW76" s="4">
        <v>14528</v>
      </c>
      <c r="BX76" s="4">
        <v>2485</v>
      </c>
      <c r="BY76" s="4">
        <v>5900</v>
      </c>
      <c r="BZ76" s="4">
        <v>22510</v>
      </c>
      <c r="CA76" s="4">
        <v>2479</v>
      </c>
      <c r="CB76" s="4">
        <v>1159</v>
      </c>
      <c r="CC76" s="4">
        <v>7194</v>
      </c>
      <c r="CD76" s="4">
        <v>3952</v>
      </c>
      <c r="CE76" s="4">
        <v>3864</v>
      </c>
      <c r="CF76" s="4">
        <v>8053</v>
      </c>
      <c r="CG76" s="4">
        <v>99742</v>
      </c>
      <c r="CH76" s="4">
        <v>14396</v>
      </c>
      <c r="CI76" s="4">
        <v>27042</v>
      </c>
      <c r="CJ76" s="4">
        <v>7207</v>
      </c>
      <c r="CK76" s="4">
        <v>17440</v>
      </c>
      <c r="CL76" s="4">
        <v>13407</v>
      </c>
      <c r="CM76" s="4">
        <v>16583</v>
      </c>
      <c r="CN76" s="4">
        <v>46625</v>
      </c>
      <c r="CO76" s="4">
        <v>6383</v>
      </c>
      <c r="CP76" s="4">
        <v>3385</v>
      </c>
      <c r="CQ76" s="4">
        <v>5602</v>
      </c>
      <c r="CR76" s="4">
        <v>7749</v>
      </c>
      <c r="CS76" s="4">
        <v>30448</v>
      </c>
      <c r="CT76" s="4">
        <v>19206</v>
      </c>
      <c r="CU76" s="4">
        <v>2040</v>
      </c>
      <c r="CV76" s="4">
        <v>257751</v>
      </c>
      <c r="CW76" s="4">
        <v>6211</v>
      </c>
      <c r="CX76" s="4">
        <v>2170</v>
      </c>
      <c r="CY76" s="4">
        <v>25843</v>
      </c>
      <c r="CZ76" s="4">
        <v>3404</v>
      </c>
      <c r="DA76" s="4">
        <v>5596</v>
      </c>
      <c r="DB76" s="4">
        <v>12442</v>
      </c>
      <c r="DC76" s="4">
        <v>4120</v>
      </c>
      <c r="DD76" s="4">
        <v>2934</v>
      </c>
      <c r="DE76" s="4">
        <v>2060</v>
      </c>
      <c r="DF76" s="4">
        <v>52226</v>
      </c>
      <c r="DG76" s="4">
        <v>18035</v>
      </c>
      <c r="DH76" s="4">
        <v>17240</v>
      </c>
      <c r="DI76" s="4">
        <v>5956</v>
      </c>
      <c r="DJ76" s="4">
        <v>27973</v>
      </c>
      <c r="DK76" s="4">
        <v>21164</v>
      </c>
      <c r="DL76" s="4">
        <v>11095</v>
      </c>
      <c r="DM76" s="4">
        <v>14308</v>
      </c>
      <c r="DN76" s="4">
        <v>24624</v>
      </c>
      <c r="DO76" s="4">
        <v>2934</v>
      </c>
      <c r="DP76" s="4">
        <v>7619</v>
      </c>
      <c r="DQ76" s="4">
        <v>60232</v>
      </c>
      <c r="DR76" s="4">
        <v>3434</v>
      </c>
      <c r="DS76" s="4">
        <v>5064</v>
      </c>
      <c r="DT76" s="4">
        <v>737</v>
      </c>
      <c r="DU76" s="4">
        <v>9837</v>
      </c>
      <c r="DV76" s="4">
        <v>4509</v>
      </c>
      <c r="DW76" s="4">
        <v>5558</v>
      </c>
      <c r="DX76" s="4">
        <v>12580</v>
      </c>
      <c r="DY76" s="4">
        <v>1580</v>
      </c>
      <c r="DZ76" s="4">
        <v>2742</v>
      </c>
      <c r="EA76" s="4">
        <v>9591</v>
      </c>
      <c r="EB76" s="4">
        <v>5278</v>
      </c>
      <c r="EC76" s="4">
        <v>588</v>
      </c>
      <c r="ED76" s="4">
        <v>1038</v>
      </c>
      <c r="EE76" s="4">
        <v>29586</v>
      </c>
      <c r="EF76" s="4">
        <v>2901</v>
      </c>
      <c r="EG76" s="4">
        <v>12218</v>
      </c>
      <c r="EH76" s="4">
        <v>26979</v>
      </c>
      <c r="EJ76" s="4">
        <f t="shared" si="1"/>
        <v>1553630</v>
      </c>
    </row>
    <row r="77" spans="1:140" x14ac:dyDescent="0.25">
      <c r="A77" s="4" t="s">
        <v>213</v>
      </c>
      <c r="B77" s="4">
        <v>5230</v>
      </c>
      <c r="C77" s="4">
        <v>4708</v>
      </c>
      <c r="D77" s="4">
        <v>111</v>
      </c>
      <c r="E77" s="4">
        <v>1717</v>
      </c>
      <c r="F77" s="4">
        <v>3</v>
      </c>
      <c r="G77" s="4">
        <v>18</v>
      </c>
      <c r="H77" s="4">
        <v>14348</v>
      </c>
      <c r="I77" s="4">
        <v>66</v>
      </c>
      <c r="J77" s="4">
        <v>1231</v>
      </c>
      <c r="K77" s="4">
        <v>36</v>
      </c>
      <c r="L77" s="4">
        <v>1023</v>
      </c>
      <c r="M77" s="4">
        <v>137</v>
      </c>
      <c r="N77" s="4">
        <v>9980</v>
      </c>
      <c r="O77" s="4">
        <v>1184</v>
      </c>
      <c r="P77" s="4">
        <v>549</v>
      </c>
      <c r="Q77" s="4">
        <v>6623</v>
      </c>
      <c r="R77" s="4">
        <v>56</v>
      </c>
      <c r="S77" s="4">
        <v>1380</v>
      </c>
      <c r="T77" s="4">
        <v>2422</v>
      </c>
      <c r="U77" s="4">
        <v>1988</v>
      </c>
      <c r="V77" s="4">
        <v>5816</v>
      </c>
      <c r="W77" s="4">
        <v>2265</v>
      </c>
      <c r="X77" s="4">
        <v>652</v>
      </c>
      <c r="Y77" s="4">
        <v>745</v>
      </c>
      <c r="Z77" s="4">
        <v>1463</v>
      </c>
      <c r="AA77" s="4">
        <v>565</v>
      </c>
      <c r="AB77" s="4">
        <v>4565</v>
      </c>
      <c r="AC77" s="4">
        <v>759</v>
      </c>
      <c r="AD77" s="4">
        <v>402</v>
      </c>
      <c r="AE77" s="4">
        <v>1418</v>
      </c>
      <c r="AF77" s="4">
        <v>1141</v>
      </c>
      <c r="AG77">
        <v>22809</v>
      </c>
      <c r="AH77" s="4">
        <v>414</v>
      </c>
      <c r="AI77" s="4">
        <v>1243</v>
      </c>
      <c r="AJ77" s="4">
        <v>365</v>
      </c>
      <c r="AK77" s="4">
        <v>1906</v>
      </c>
      <c r="AL77" s="4">
        <v>2797</v>
      </c>
      <c r="AM77" s="4">
        <v>926</v>
      </c>
      <c r="AN77" s="4">
        <v>416</v>
      </c>
      <c r="AO77" s="4">
        <v>9103</v>
      </c>
      <c r="AP77" s="4">
        <v>640</v>
      </c>
      <c r="AQ77" s="4">
        <v>122</v>
      </c>
      <c r="AR77" s="4">
        <v>2110</v>
      </c>
      <c r="AS77" s="4">
        <v>7733</v>
      </c>
      <c r="AT77" s="4">
        <v>1154</v>
      </c>
      <c r="AU77" s="4">
        <v>2577</v>
      </c>
      <c r="AV77" s="4">
        <v>3567</v>
      </c>
      <c r="AW77" s="4">
        <v>8178</v>
      </c>
      <c r="AX77" s="4">
        <v>23804</v>
      </c>
      <c r="AY77" s="4">
        <v>202</v>
      </c>
      <c r="AZ77" s="4">
        <v>675</v>
      </c>
      <c r="BA77" s="4">
        <v>13333</v>
      </c>
      <c r="BB77" s="4">
        <v>217</v>
      </c>
      <c r="BC77" s="4">
        <v>409</v>
      </c>
      <c r="BD77" s="4">
        <v>5751</v>
      </c>
      <c r="BE77" s="4">
        <v>3333</v>
      </c>
      <c r="BF77" s="4">
        <v>1581</v>
      </c>
      <c r="BG77" s="4">
        <v>4592</v>
      </c>
      <c r="BH77" s="4">
        <v>1677</v>
      </c>
      <c r="BI77" s="4">
        <v>30662</v>
      </c>
      <c r="BJ77" s="4">
        <v>3588</v>
      </c>
      <c r="BK77" s="4">
        <v>6319</v>
      </c>
      <c r="BL77" s="4">
        <v>2666</v>
      </c>
      <c r="BM77" s="4">
        <v>4924</v>
      </c>
      <c r="BN77" s="4">
        <v>1226</v>
      </c>
      <c r="BO77" s="4">
        <v>1393</v>
      </c>
      <c r="BP77" s="4">
        <v>23874</v>
      </c>
      <c r="BQ77" s="4">
        <v>2698</v>
      </c>
      <c r="BR77" s="4">
        <v>72344</v>
      </c>
      <c r="BS77" s="4">
        <v>10316</v>
      </c>
      <c r="BT77" s="4">
        <v>9282</v>
      </c>
      <c r="BU77" s="4">
        <v>16899</v>
      </c>
      <c r="BV77" s="4">
        <v>2862</v>
      </c>
      <c r="BW77" s="4">
        <v>12723</v>
      </c>
      <c r="BX77" s="4">
        <v>2290</v>
      </c>
      <c r="BY77" s="4">
        <v>6550</v>
      </c>
      <c r="BZ77" s="4">
        <v>20236</v>
      </c>
      <c r="CA77" s="4">
        <v>1865</v>
      </c>
      <c r="CB77" s="4">
        <v>851</v>
      </c>
      <c r="CC77" s="4">
        <v>5939</v>
      </c>
      <c r="CD77" s="4">
        <v>3107</v>
      </c>
      <c r="CE77" s="4">
        <v>2989</v>
      </c>
      <c r="CF77" s="4">
        <v>6993</v>
      </c>
      <c r="CG77" s="4">
        <v>87724</v>
      </c>
      <c r="CH77" s="4">
        <v>13219</v>
      </c>
      <c r="CI77" s="4">
        <v>25530</v>
      </c>
      <c r="CJ77" s="4">
        <v>6291</v>
      </c>
      <c r="CK77" s="4">
        <v>14926</v>
      </c>
      <c r="CL77" s="4">
        <v>9187</v>
      </c>
      <c r="CM77" s="4">
        <v>14499</v>
      </c>
      <c r="CN77" s="4">
        <v>43235</v>
      </c>
      <c r="CO77" s="4">
        <v>5273</v>
      </c>
      <c r="CP77" s="4">
        <v>2969</v>
      </c>
      <c r="CQ77" s="4">
        <v>4160</v>
      </c>
      <c r="CR77" s="4">
        <v>6224</v>
      </c>
      <c r="CS77" s="4">
        <v>27717</v>
      </c>
      <c r="CT77" s="4">
        <v>17542</v>
      </c>
      <c r="CU77" s="4">
        <v>1757</v>
      </c>
      <c r="CV77" s="4">
        <v>231743</v>
      </c>
      <c r="CW77" s="4">
        <v>5448</v>
      </c>
      <c r="CX77" s="4">
        <v>1802</v>
      </c>
      <c r="CY77" s="4">
        <v>23350</v>
      </c>
      <c r="CZ77" s="4">
        <v>2626</v>
      </c>
      <c r="DA77" s="4">
        <v>4872</v>
      </c>
      <c r="DB77" s="4">
        <v>10372</v>
      </c>
      <c r="DC77" s="4">
        <v>3706</v>
      </c>
      <c r="DD77" s="4">
        <v>2452</v>
      </c>
      <c r="DE77" s="4">
        <v>1653</v>
      </c>
      <c r="DF77" s="4">
        <v>45878</v>
      </c>
      <c r="DG77" s="4">
        <v>13853</v>
      </c>
      <c r="DH77" s="4">
        <v>16083</v>
      </c>
      <c r="DI77" s="4">
        <v>4136</v>
      </c>
      <c r="DJ77" s="4">
        <v>24023</v>
      </c>
      <c r="DK77" s="4">
        <v>15057</v>
      </c>
      <c r="DL77" s="4">
        <v>8915</v>
      </c>
      <c r="DM77" s="4">
        <v>13070</v>
      </c>
      <c r="DN77" s="4">
        <v>16545</v>
      </c>
      <c r="DO77" s="4">
        <v>2521</v>
      </c>
      <c r="DP77" s="4">
        <v>6814</v>
      </c>
      <c r="DQ77" s="4">
        <v>51909</v>
      </c>
      <c r="DR77" s="4">
        <v>3366</v>
      </c>
      <c r="DS77" s="4">
        <v>4964</v>
      </c>
      <c r="DT77" s="4">
        <v>746</v>
      </c>
      <c r="DU77" s="4">
        <v>8644</v>
      </c>
      <c r="DV77" s="4">
        <v>4541</v>
      </c>
      <c r="DW77" s="4">
        <v>4982</v>
      </c>
      <c r="DX77" s="4">
        <v>11346</v>
      </c>
      <c r="DY77" s="4">
        <v>1897</v>
      </c>
      <c r="DZ77" s="4">
        <v>2682</v>
      </c>
      <c r="EA77" s="4">
        <v>7434</v>
      </c>
      <c r="EB77" s="4">
        <v>4976</v>
      </c>
      <c r="EC77" s="4">
        <v>538</v>
      </c>
      <c r="ED77" s="4">
        <v>1045</v>
      </c>
      <c r="EE77" s="4">
        <v>28080</v>
      </c>
      <c r="EF77" s="4">
        <v>3179</v>
      </c>
      <c r="EG77" s="4">
        <v>10829</v>
      </c>
      <c r="EH77" s="4">
        <v>21846</v>
      </c>
      <c r="EJ77" s="4">
        <f t="shared" si="1"/>
        <v>1355007</v>
      </c>
    </row>
    <row r="78" spans="1:140" x14ac:dyDescent="0.25">
      <c r="A78" s="4" t="s">
        <v>214</v>
      </c>
      <c r="B78" s="4">
        <v>5794</v>
      </c>
      <c r="C78" s="4">
        <v>5808</v>
      </c>
      <c r="D78" s="4">
        <v>161</v>
      </c>
      <c r="E78" s="4">
        <v>1804</v>
      </c>
      <c r="F78" s="4">
        <v>4</v>
      </c>
      <c r="G78" s="4">
        <v>19</v>
      </c>
      <c r="H78" s="4">
        <v>14915</v>
      </c>
      <c r="I78" s="4">
        <v>65</v>
      </c>
      <c r="J78" s="4">
        <v>1420</v>
      </c>
      <c r="K78" s="4">
        <v>73</v>
      </c>
      <c r="L78" s="4">
        <v>1045</v>
      </c>
      <c r="M78" s="4">
        <v>77</v>
      </c>
      <c r="N78" s="4">
        <v>10254</v>
      </c>
      <c r="O78" s="4">
        <v>1337</v>
      </c>
      <c r="P78" s="4">
        <v>545</v>
      </c>
      <c r="Q78" s="4">
        <v>6828</v>
      </c>
      <c r="R78" s="4">
        <v>39</v>
      </c>
      <c r="S78" s="4">
        <v>1962</v>
      </c>
      <c r="T78" s="4">
        <v>2660</v>
      </c>
      <c r="U78" s="4">
        <v>2295</v>
      </c>
      <c r="V78" s="4">
        <v>6357</v>
      </c>
      <c r="W78" s="4">
        <v>2164</v>
      </c>
      <c r="X78" s="4">
        <v>542</v>
      </c>
      <c r="Y78" s="4">
        <v>859</v>
      </c>
      <c r="Z78" s="4">
        <v>2434</v>
      </c>
      <c r="AA78" s="4">
        <v>679</v>
      </c>
      <c r="AB78" s="4">
        <v>4460</v>
      </c>
      <c r="AC78" s="4">
        <v>878</v>
      </c>
      <c r="AD78" s="4">
        <v>439</v>
      </c>
      <c r="AE78" s="4">
        <v>1987</v>
      </c>
      <c r="AF78" s="4">
        <v>1191</v>
      </c>
      <c r="AG78">
        <v>23924</v>
      </c>
      <c r="AH78" s="4">
        <v>442</v>
      </c>
      <c r="AI78" s="4">
        <v>1318</v>
      </c>
      <c r="AJ78" s="4">
        <v>383</v>
      </c>
      <c r="AK78" s="4">
        <v>2049</v>
      </c>
      <c r="AL78" s="4">
        <v>2529</v>
      </c>
      <c r="AM78" s="4">
        <v>858</v>
      </c>
      <c r="AN78" s="4">
        <v>227</v>
      </c>
      <c r="AO78" s="4">
        <v>8451</v>
      </c>
      <c r="AP78" s="4">
        <v>659</v>
      </c>
      <c r="AQ78" s="4">
        <v>95</v>
      </c>
      <c r="AR78" s="4">
        <v>1933</v>
      </c>
      <c r="AS78" s="4">
        <v>4933</v>
      </c>
      <c r="AT78" s="4">
        <v>1453</v>
      </c>
      <c r="AU78" s="4">
        <v>3268</v>
      </c>
      <c r="AV78" s="4">
        <v>3360</v>
      </c>
      <c r="AW78" s="4">
        <v>5630</v>
      </c>
      <c r="AX78" s="4">
        <v>22040</v>
      </c>
      <c r="AY78" s="4">
        <v>133</v>
      </c>
      <c r="AZ78" s="4">
        <v>815</v>
      </c>
      <c r="BA78" s="4">
        <v>6465</v>
      </c>
      <c r="BB78" s="4">
        <v>205</v>
      </c>
      <c r="BC78" s="4">
        <v>673</v>
      </c>
      <c r="BD78" s="4">
        <v>6445</v>
      </c>
      <c r="BE78" s="4">
        <v>4145</v>
      </c>
      <c r="BF78" s="4">
        <v>1914</v>
      </c>
      <c r="BG78" s="4">
        <v>4936</v>
      </c>
      <c r="BH78" s="4">
        <v>1953</v>
      </c>
      <c r="BI78" s="4">
        <v>29504</v>
      </c>
      <c r="BJ78" s="4">
        <v>3883</v>
      </c>
      <c r="BK78" s="4">
        <v>6245</v>
      </c>
      <c r="BL78" s="4">
        <v>2837</v>
      </c>
      <c r="BM78" s="4">
        <v>4916</v>
      </c>
      <c r="BN78" s="4">
        <v>1037</v>
      </c>
      <c r="BO78" s="4">
        <v>1070</v>
      </c>
      <c r="BP78" s="4">
        <v>26251</v>
      </c>
      <c r="BQ78" s="4">
        <v>2829</v>
      </c>
      <c r="BR78" s="4">
        <v>74622</v>
      </c>
      <c r="BS78" s="4">
        <v>9342</v>
      </c>
      <c r="BT78" s="4">
        <v>8853</v>
      </c>
      <c r="BU78" s="4">
        <v>18214</v>
      </c>
      <c r="BV78" s="4">
        <v>2709</v>
      </c>
      <c r="BW78" s="4">
        <v>12456</v>
      </c>
      <c r="BX78" s="4">
        <v>3036</v>
      </c>
      <c r="BY78" s="4">
        <v>10265</v>
      </c>
      <c r="BZ78" s="4">
        <v>20998</v>
      </c>
      <c r="CA78" s="4">
        <v>2095</v>
      </c>
      <c r="CB78" s="4">
        <v>1065</v>
      </c>
      <c r="CC78" s="4">
        <v>5969</v>
      </c>
      <c r="CD78" s="4">
        <v>3659</v>
      </c>
      <c r="CE78" s="4">
        <v>3305</v>
      </c>
      <c r="CF78" s="4">
        <v>6912</v>
      </c>
      <c r="CG78" s="4">
        <v>92859</v>
      </c>
      <c r="CH78" s="4">
        <v>15196</v>
      </c>
      <c r="CI78" s="4">
        <v>25166</v>
      </c>
      <c r="CJ78" s="4">
        <v>7491</v>
      </c>
      <c r="CK78" s="4">
        <v>14881</v>
      </c>
      <c r="CL78" s="4">
        <v>9579</v>
      </c>
      <c r="CM78" s="4">
        <v>15443</v>
      </c>
      <c r="CN78" s="4">
        <v>43796</v>
      </c>
      <c r="CO78" s="4">
        <v>5728</v>
      </c>
      <c r="CP78" s="4">
        <v>2962</v>
      </c>
      <c r="CQ78" s="4">
        <v>4154</v>
      </c>
      <c r="CR78" s="4">
        <v>6657</v>
      </c>
      <c r="CS78" s="4">
        <v>27881</v>
      </c>
      <c r="CT78" s="4">
        <v>18640</v>
      </c>
      <c r="CU78" s="4">
        <v>1739</v>
      </c>
      <c r="CV78" s="4">
        <v>242928</v>
      </c>
      <c r="CW78" s="4">
        <v>5299</v>
      </c>
      <c r="CX78" s="4">
        <v>1717</v>
      </c>
      <c r="CY78" s="4">
        <v>21655</v>
      </c>
      <c r="CZ78" s="4">
        <v>2675</v>
      </c>
      <c r="DA78" s="4">
        <v>5363</v>
      </c>
      <c r="DB78" s="4">
        <v>9866</v>
      </c>
      <c r="DC78" s="4">
        <v>3243</v>
      </c>
      <c r="DD78" s="4">
        <v>2423</v>
      </c>
      <c r="DE78" s="4">
        <v>1874</v>
      </c>
      <c r="DF78" s="4">
        <v>46829</v>
      </c>
      <c r="DG78" s="4">
        <v>13470</v>
      </c>
      <c r="DH78" s="4">
        <v>17287</v>
      </c>
      <c r="DI78" s="4">
        <v>4532</v>
      </c>
      <c r="DJ78" s="4">
        <v>25145</v>
      </c>
      <c r="DK78" s="4">
        <v>14015</v>
      </c>
      <c r="DL78" s="4">
        <v>9256</v>
      </c>
      <c r="DM78" s="4">
        <v>13123</v>
      </c>
      <c r="DN78" s="4">
        <v>17550</v>
      </c>
      <c r="DO78" s="4">
        <v>2902</v>
      </c>
      <c r="DP78" s="4">
        <v>7559</v>
      </c>
      <c r="DQ78" s="4">
        <v>52995</v>
      </c>
      <c r="DR78" s="4">
        <v>4005</v>
      </c>
      <c r="DS78" s="4">
        <v>4867</v>
      </c>
      <c r="DT78" s="4">
        <v>709</v>
      </c>
      <c r="DU78" s="4">
        <v>8412</v>
      </c>
      <c r="DV78" s="4">
        <v>4549</v>
      </c>
      <c r="DW78" s="4">
        <v>5491</v>
      </c>
      <c r="DX78" s="4">
        <v>10754</v>
      </c>
      <c r="DY78" s="4">
        <v>1441</v>
      </c>
      <c r="DZ78" s="4">
        <v>2527</v>
      </c>
      <c r="EA78" s="4">
        <v>9514</v>
      </c>
      <c r="EB78" s="4">
        <v>5043</v>
      </c>
      <c r="EC78" s="4">
        <v>534</v>
      </c>
      <c r="ED78" s="4">
        <v>995</v>
      </c>
      <c r="EE78" s="4">
        <v>29957</v>
      </c>
      <c r="EF78" s="4">
        <v>3665</v>
      </c>
      <c r="EG78" s="4">
        <v>11303</v>
      </c>
      <c r="EH78" s="4">
        <v>25244</v>
      </c>
      <c r="EJ78" s="4">
        <f t="shared" si="1"/>
        <v>1395291</v>
      </c>
    </row>
    <row r="79" spans="1:140" x14ac:dyDescent="0.25">
      <c r="A79" s="4" t="s">
        <v>215</v>
      </c>
      <c r="B79" s="4">
        <v>5882</v>
      </c>
      <c r="C79" s="4">
        <v>5241</v>
      </c>
      <c r="D79" s="4">
        <v>319</v>
      </c>
      <c r="E79" s="4">
        <v>1916</v>
      </c>
      <c r="F79" s="4">
        <v>5</v>
      </c>
      <c r="G79" s="4">
        <v>19</v>
      </c>
      <c r="H79" s="4">
        <v>14545</v>
      </c>
      <c r="I79" s="4">
        <v>54</v>
      </c>
      <c r="J79" s="4">
        <v>1168</v>
      </c>
      <c r="K79" s="4">
        <v>36</v>
      </c>
      <c r="L79" s="4">
        <v>1177</v>
      </c>
      <c r="M79" s="4">
        <v>60</v>
      </c>
      <c r="N79" s="4">
        <v>11620</v>
      </c>
      <c r="O79" s="4">
        <v>1467</v>
      </c>
      <c r="P79" s="4">
        <v>640</v>
      </c>
      <c r="Q79" s="4">
        <v>7932</v>
      </c>
      <c r="R79" s="4">
        <v>44</v>
      </c>
      <c r="S79" s="4">
        <v>1851</v>
      </c>
      <c r="T79" s="4">
        <v>3146</v>
      </c>
      <c r="U79" s="4">
        <v>2288</v>
      </c>
      <c r="V79" s="4">
        <v>6404</v>
      </c>
      <c r="W79" s="4">
        <v>2518</v>
      </c>
      <c r="X79" s="4">
        <v>594</v>
      </c>
      <c r="Y79" s="4">
        <v>777</v>
      </c>
      <c r="Z79" s="4">
        <v>1953</v>
      </c>
      <c r="AA79" s="4">
        <v>551</v>
      </c>
      <c r="AB79" s="4">
        <v>5091</v>
      </c>
      <c r="AC79" s="4">
        <v>757</v>
      </c>
      <c r="AD79" s="4">
        <v>464</v>
      </c>
      <c r="AE79" s="4">
        <v>1642</v>
      </c>
      <c r="AF79" s="4">
        <v>1129</v>
      </c>
      <c r="AG79">
        <v>25234</v>
      </c>
      <c r="AH79" s="4">
        <v>442</v>
      </c>
      <c r="AI79" s="4">
        <v>1157</v>
      </c>
      <c r="AJ79" s="4">
        <v>293</v>
      </c>
      <c r="AK79" s="4">
        <v>1715</v>
      </c>
      <c r="AL79" s="4">
        <v>2871</v>
      </c>
      <c r="AM79" s="4">
        <v>970</v>
      </c>
      <c r="AN79" s="4">
        <v>291</v>
      </c>
      <c r="AO79" s="4">
        <v>8747</v>
      </c>
      <c r="AP79" s="4">
        <v>538</v>
      </c>
      <c r="AQ79" s="4">
        <v>125</v>
      </c>
      <c r="AR79" s="4">
        <v>2171</v>
      </c>
      <c r="AS79" s="4">
        <v>4745</v>
      </c>
      <c r="AT79" s="4">
        <v>1555</v>
      </c>
      <c r="AU79" s="4">
        <v>2262</v>
      </c>
      <c r="AV79" s="4">
        <v>3754</v>
      </c>
      <c r="AW79" s="4">
        <v>1876</v>
      </c>
      <c r="AX79" s="4">
        <v>23963</v>
      </c>
      <c r="AY79" s="4">
        <v>96</v>
      </c>
      <c r="AZ79" s="4">
        <v>838</v>
      </c>
      <c r="BA79" s="4">
        <v>6016</v>
      </c>
      <c r="BB79" s="4">
        <v>184</v>
      </c>
      <c r="BC79" s="4">
        <v>661</v>
      </c>
      <c r="BD79" s="4">
        <v>6487</v>
      </c>
      <c r="BE79" s="4">
        <v>3905</v>
      </c>
      <c r="BF79" s="4">
        <v>2024</v>
      </c>
      <c r="BG79" s="4">
        <v>4696</v>
      </c>
      <c r="BH79" s="4">
        <v>1900</v>
      </c>
      <c r="BI79" s="4">
        <v>31421</v>
      </c>
      <c r="BJ79" s="4">
        <v>3940</v>
      </c>
      <c r="BK79" s="4">
        <v>9037</v>
      </c>
      <c r="BL79" s="4">
        <v>3477</v>
      </c>
      <c r="BM79" s="4">
        <v>5468</v>
      </c>
      <c r="BN79" s="4">
        <v>1124</v>
      </c>
      <c r="BO79" s="4">
        <v>1287</v>
      </c>
      <c r="BP79" s="4">
        <v>24781</v>
      </c>
      <c r="BQ79" s="4">
        <v>2784</v>
      </c>
      <c r="BR79" s="4">
        <v>75330</v>
      </c>
      <c r="BS79" s="4">
        <v>9928</v>
      </c>
      <c r="BT79" s="4">
        <v>10243</v>
      </c>
      <c r="BU79" s="4">
        <v>20351</v>
      </c>
      <c r="BV79" s="4">
        <v>2954</v>
      </c>
      <c r="BW79" s="4">
        <v>14149</v>
      </c>
      <c r="BX79" s="4">
        <v>4076</v>
      </c>
      <c r="BY79" s="4">
        <v>11399</v>
      </c>
      <c r="BZ79" s="4">
        <v>21518</v>
      </c>
      <c r="CA79" s="4">
        <v>2009</v>
      </c>
      <c r="CB79" s="4">
        <v>1041</v>
      </c>
      <c r="CC79" s="4">
        <v>6175</v>
      </c>
      <c r="CD79" s="4">
        <v>3450</v>
      </c>
      <c r="CE79" s="4">
        <v>3122</v>
      </c>
      <c r="CF79" s="4">
        <v>7544</v>
      </c>
      <c r="CG79" s="4">
        <v>92383</v>
      </c>
      <c r="CH79" s="4">
        <v>14510</v>
      </c>
      <c r="CI79" s="4">
        <v>25406</v>
      </c>
      <c r="CJ79" s="4">
        <v>7177</v>
      </c>
      <c r="CK79" s="4">
        <v>15059</v>
      </c>
      <c r="CL79" s="4">
        <v>9668</v>
      </c>
      <c r="CM79" s="4">
        <v>15642</v>
      </c>
      <c r="CN79" s="4">
        <v>45340</v>
      </c>
      <c r="CO79" s="4">
        <v>5833</v>
      </c>
      <c r="CP79" s="4">
        <v>3188</v>
      </c>
      <c r="CQ79" s="4">
        <v>4193</v>
      </c>
      <c r="CR79" s="4">
        <v>6240</v>
      </c>
      <c r="CS79" s="4">
        <v>29115</v>
      </c>
      <c r="CT79" s="4">
        <v>19210</v>
      </c>
      <c r="CU79" s="4">
        <v>1726</v>
      </c>
      <c r="CV79" s="4">
        <v>243120</v>
      </c>
      <c r="CW79" s="4">
        <v>6048</v>
      </c>
      <c r="CX79" s="4">
        <v>1898</v>
      </c>
      <c r="CY79" s="4">
        <v>22436</v>
      </c>
      <c r="CZ79" s="4">
        <v>3020</v>
      </c>
      <c r="DA79" s="4">
        <v>6105</v>
      </c>
      <c r="DB79" s="4">
        <v>11139</v>
      </c>
      <c r="DC79" s="4">
        <v>3779</v>
      </c>
      <c r="DD79" s="4">
        <v>2658</v>
      </c>
      <c r="DE79" s="4">
        <v>1941</v>
      </c>
      <c r="DF79" s="4">
        <v>47715</v>
      </c>
      <c r="DG79" s="4">
        <v>12865</v>
      </c>
      <c r="DH79" s="4">
        <v>15633</v>
      </c>
      <c r="DI79" s="4">
        <v>3667</v>
      </c>
      <c r="DJ79" s="4">
        <v>24174</v>
      </c>
      <c r="DK79" s="4">
        <v>14492</v>
      </c>
      <c r="DL79" s="4">
        <v>8959</v>
      </c>
      <c r="DM79" s="4">
        <v>12457</v>
      </c>
      <c r="DN79" s="4">
        <v>16883</v>
      </c>
      <c r="DO79" s="4">
        <v>2921</v>
      </c>
      <c r="DP79" s="4">
        <v>8881</v>
      </c>
      <c r="DQ79" s="4">
        <v>53949</v>
      </c>
      <c r="DR79" s="4">
        <v>3237</v>
      </c>
      <c r="DS79" s="4">
        <v>4669</v>
      </c>
      <c r="DT79" s="4">
        <v>662</v>
      </c>
      <c r="DU79" s="4">
        <v>9206</v>
      </c>
      <c r="DV79" s="4">
        <v>4093</v>
      </c>
      <c r="DW79" s="4">
        <v>4490</v>
      </c>
      <c r="DX79" s="4">
        <v>8960</v>
      </c>
      <c r="DY79" s="4">
        <v>1494</v>
      </c>
      <c r="DZ79" s="4">
        <v>2160</v>
      </c>
      <c r="EA79" s="4">
        <v>9257</v>
      </c>
      <c r="EB79" s="4">
        <v>4611</v>
      </c>
      <c r="EC79" s="4">
        <v>743</v>
      </c>
      <c r="ED79" s="4">
        <v>1119</v>
      </c>
      <c r="EE79" s="4">
        <v>29029</v>
      </c>
      <c r="EF79" s="4">
        <v>3987</v>
      </c>
      <c r="EG79" s="4">
        <v>10935</v>
      </c>
      <c r="EH79" s="4">
        <v>24631</v>
      </c>
      <c r="EJ79" s="4">
        <f t="shared" si="1"/>
        <v>1410127</v>
      </c>
    </row>
    <row r="80" spans="1:140" x14ac:dyDescent="0.25">
      <c r="A80" s="4" t="s">
        <v>216</v>
      </c>
      <c r="B80" s="4">
        <v>6796</v>
      </c>
      <c r="C80" s="4">
        <v>5804</v>
      </c>
      <c r="D80" s="4">
        <v>210</v>
      </c>
      <c r="E80" s="4">
        <v>2135</v>
      </c>
      <c r="F80" s="4">
        <v>12</v>
      </c>
      <c r="G80" s="4">
        <v>28</v>
      </c>
      <c r="H80" s="4">
        <v>14872</v>
      </c>
      <c r="I80" s="4">
        <v>59</v>
      </c>
      <c r="J80" s="4">
        <v>1368</v>
      </c>
      <c r="K80" s="4">
        <v>128</v>
      </c>
      <c r="L80" s="4">
        <v>1180</v>
      </c>
      <c r="M80" s="4">
        <v>133</v>
      </c>
      <c r="N80" s="4">
        <v>9962</v>
      </c>
      <c r="O80" s="4">
        <v>1445</v>
      </c>
      <c r="P80" s="4">
        <v>597</v>
      </c>
      <c r="Q80" s="4">
        <v>7323</v>
      </c>
      <c r="R80" s="4">
        <v>79</v>
      </c>
      <c r="S80" s="4">
        <v>1908</v>
      </c>
      <c r="T80" s="4">
        <v>2878</v>
      </c>
      <c r="U80" s="4">
        <v>2588</v>
      </c>
      <c r="V80" s="4">
        <v>6677</v>
      </c>
      <c r="W80" s="4">
        <v>2750</v>
      </c>
      <c r="X80" s="4">
        <v>561</v>
      </c>
      <c r="Y80" s="4">
        <v>878</v>
      </c>
      <c r="Z80" s="4">
        <v>1477</v>
      </c>
      <c r="AA80" s="4">
        <v>722</v>
      </c>
      <c r="AB80" s="4">
        <v>5151</v>
      </c>
      <c r="AC80" s="4">
        <v>930</v>
      </c>
      <c r="AD80" s="4">
        <v>489</v>
      </c>
      <c r="AE80" s="4">
        <v>1423</v>
      </c>
      <c r="AF80" s="4">
        <v>1217</v>
      </c>
      <c r="AG80">
        <v>24856</v>
      </c>
      <c r="AH80" s="4">
        <v>463</v>
      </c>
      <c r="AI80" s="4">
        <v>1017</v>
      </c>
      <c r="AJ80" s="4">
        <v>383</v>
      </c>
      <c r="AK80" s="4">
        <v>2120</v>
      </c>
      <c r="AL80" s="4">
        <v>2490</v>
      </c>
      <c r="AM80" s="4">
        <v>925</v>
      </c>
      <c r="AN80" s="4">
        <v>537</v>
      </c>
      <c r="AO80" s="4">
        <v>9132</v>
      </c>
      <c r="AP80" s="4">
        <v>775</v>
      </c>
      <c r="AQ80" s="4">
        <v>150</v>
      </c>
      <c r="AR80" s="4">
        <v>2225</v>
      </c>
      <c r="AS80" s="4">
        <v>5804</v>
      </c>
      <c r="AT80" s="4">
        <v>1791</v>
      </c>
      <c r="AU80" s="4">
        <v>3044</v>
      </c>
      <c r="AV80" s="4">
        <v>3872</v>
      </c>
      <c r="AW80" s="4">
        <v>1633</v>
      </c>
      <c r="AX80" s="4">
        <v>23396</v>
      </c>
      <c r="AY80" s="4">
        <v>122</v>
      </c>
      <c r="AZ80" s="4">
        <v>903</v>
      </c>
      <c r="BA80" s="4">
        <v>6250</v>
      </c>
      <c r="BB80" s="4">
        <v>161</v>
      </c>
      <c r="BC80" s="4">
        <v>712</v>
      </c>
      <c r="BD80" s="4">
        <v>6555</v>
      </c>
      <c r="BE80" s="4">
        <v>3651</v>
      </c>
      <c r="BF80" s="4">
        <v>2082</v>
      </c>
      <c r="BG80" s="4">
        <v>5233</v>
      </c>
      <c r="BH80" s="4">
        <v>2142</v>
      </c>
      <c r="BI80" s="4">
        <v>30584</v>
      </c>
      <c r="BJ80" s="4">
        <v>5138</v>
      </c>
      <c r="BK80" s="4">
        <v>8096</v>
      </c>
      <c r="BL80" s="4">
        <v>3380</v>
      </c>
      <c r="BM80" s="4">
        <v>6343</v>
      </c>
      <c r="BN80" s="4">
        <v>1712</v>
      </c>
      <c r="BO80" s="4">
        <v>1365</v>
      </c>
      <c r="BP80" s="4">
        <v>27954</v>
      </c>
      <c r="BQ80" s="4">
        <v>2940</v>
      </c>
      <c r="BR80" s="4">
        <v>80938</v>
      </c>
      <c r="BS80" s="4">
        <v>10526</v>
      </c>
      <c r="BT80" s="4">
        <v>11447</v>
      </c>
      <c r="BU80" s="4">
        <v>23896</v>
      </c>
      <c r="BV80" s="4">
        <v>3348</v>
      </c>
      <c r="BW80" s="4">
        <v>14409</v>
      </c>
      <c r="BX80" s="4">
        <v>2379</v>
      </c>
      <c r="BY80" s="4">
        <v>7853</v>
      </c>
      <c r="BZ80" s="4">
        <v>21113</v>
      </c>
      <c r="CA80" s="4">
        <v>2453</v>
      </c>
      <c r="CB80" s="4">
        <v>1043</v>
      </c>
      <c r="CC80" s="4">
        <v>6015</v>
      </c>
      <c r="CD80" s="4">
        <v>3498</v>
      </c>
      <c r="CE80" s="4">
        <v>3339</v>
      </c>
      <c r="CF80" s="4">
        <v>8699</v>
      </c>
      <c r="CG80" s="4">
        <v>97378</v>
      </c>
      <c r="CH80" s="4">
        <v>13768</v>
      </c>
      <c r="CI80" s="4">
        <v>26526</v>
      </c>
      <c r="CJ80" s="4">
        <v>6586</v>
      </c>
      <c r="CK80" s="4">
        <v>15766</v>
      </c>
      <c r="CL80" s="4">
        <v>10127</v>
      </c>
      <c r="CM80" s="4">
        <v>16250</v>
      </c>
      <c r="CN80" s="4">
        <v>44785</v>
      </c>
      <c r="CO80" s="4">
        <v>5955</v>
      </c>
      <c r="CP80" s="4">
        <v>3280</v>
      </c>
      <c r="CQ80" s="4">
        <v>4224</v>
      </c>
      <c r="CR80" s="4">
        <v>6156</v>
      </c>
      <c r="CS80" s="4">
        <v>27527</v>
      </c>
      <c r="CT80" s="4">
        <v>18285</v>
      </c>
      <c r="CU80" s="4">
        <v>1710</v>
      </c>
      <c r="CV80" s="4">
        <v>236748</v>
      </c>
      <c r="CW80" s="4">
        <v>5934</v>
      </c>
      <c r="CX80" s="4">
        <v>1856</v>
      </c>
      <c r="CY80" s="4">
        <v>23250</v>
      </c>
      <c r="CZ80" s="4">
        <v>3145</v>
      </c>
      <c r="DA80" s="4">
        <v>5604</v>
      </c>
      <c r="DB80" s="4">
        <v>11645</v>
      </c>
      <c r="DC80" s="4">
        <v>3854</v>
      </c>
      <c r="DD80" s="4">
        <v>2786</v>
      </c>
      <c r="DE80" s="4">
        <v>2126</v>
      </c>
      <c r="DF80" s="4">
        <v>49034</v>
      </c>
      <c r="DG80" s="4">
        <v>12548</v>
      </c>
      <c r="DH80" s="4">
        <v>16651</v>
      </c>
      <c r="DI80" s="4">
        <v>3505</v>
      </c>
      <c r="DJ80" s="4">
        <v>24834</v>
      </c>
      <c r="DK80" s="4">
        <v>15094</v>
      </c>
      <c r="DL80" s="4">
        <v>9868</v>
      </c>
      <c r="DM80" s="4">
        <v>12136</v>
      </c>
      <c r="DN80" s="4">
        <v>16686</v>
      </c>
      <c r="DO80" s="4">
        <v>2662</v>
      </c>
      <c r="DP80" s="4">
        <v>10438</v>
      </c>
      <c r="DQ80" s="4">
        <v>52207</v>
      </c>
      <c r="DR80" s="4">
        <v>2790</v>
      </c>
      <c r="DS80" s="4">
        <v>4351</v>
      </c>
      <c r="DT80" s="4">
        <v>823</v>
      </c>
      <c r="DU80" s="4">
        <v>9154</v>
      </c>
      <c r="DV80" s="4">
        <v>4664</v>
      </c>
      <c r="DW80" s="4">
        <v>4939</v>
      </c>
      <c r="DX80" s="4">
        <v>9640</v>
      </c>
      <c r="DY80" s="4">
        <v>1374</v>
      </c>
      <c r="DZ80" s="4">
        <v>2357</v>
      </c>
      <c r="EA80" s="4">
        <v>10032</v>
      </c>
      <c r="EB80" s="4">
        <v>4416</v>
      </c>
      <c r="EC80" s="4">
        <v>646</v>
      </c>
      <c r="ED80" s="4">
        <v>1166</v>
      </c>
      <c r="EE80" s="4">
        <v>31424</v>
      </c>
      <c r="EF80" s="4">
        <v>3356</v>
      </c>
      <c r="EG80" s="4">
        <v>11563</v>
      </c>
      <c r="EH80" s="4">
        <v>26222</v>
      </c>
      <c r="EJ80" s="4">
        <f t="shared" si="1"/>
        <v>1432523</v>
      </c>
    </row>
    <row r="81" spans="1:140" x14ac:dyDescent="0.25">
      <c r="A81" s="4" t="s">
        <v>217</v>
      </c>
      <c r="B81" s="4">
        <v>6562</v>
      </c>
      <c r="C81" s="4">
        <v>5962</v>
      </c>
      <c r="D81" s="4">
        <v>194</v>
      </c>
      <c r="E81" s="4">
        <v>1838</v>
      </c>
      <c r="F81" s="4">
        <v>2</v>
      </c>
      <c r="G81" s="4">
        <v>46</v>
      </c>
      <c r="H81" s="4">
        <v>15740</v>
      </c>
      <c r="I81" s="4">
        <v>48</v>
      </c>
      <c r="J81" s="4">
        <v>1107</v>
      </c>
      <c r="K81" s="4">
        <v>53</v>
      </c>
      <c r="L81" s="4">
        <v>1142</v>
      </c>
      <c r="M81" s="4">
        <v>98</v>
      </c>
      <c r="N81" s="4">
        <v>12848</v>
      </c>
      <c r="O81" s="4">
        <v>1375</v>
      </c>
      <c r="P81" s="4">
        <v>696</v>
      </c>
      <c r="Q81" s="4">
        <v>7456</v>
      </c>
      <c r="R81" s="4">
        <v>69</v>
      </c>
      <c r="S81" s="4">
        <v>1687</v>
      </c>
      <c r="T81" s="4">
        <v>3024</v>
      </c>
      <c r="U81" s="4">
        <v>2267</v>
      </c>
      <c r="V81" s="4">
        <v>6948</v>
      </c>
      <c r="W81" s="4">
        <v>3049</v>
      </c>
      <c r="X81" s="4">
        <v>656</v>
      </c>
      <c r="Y81" s="4">
        <v>877</v>
      </c>
      <c r="Z81" s="4">
        <v>2854</v>
      </c>
      <c r="AA81" s="4">
        <v>561</v>
      </c>
      <c r="AB81" s="4">
        <v>5252</v>
      </c>
      <c r="AC81" s="4">
        <v>796</v>
      </c>
      <c r="AD81" s="4">
        <v>447</v>
      </c>
      <c r="AE81" s="4">
        <v>1290</v>
      </c>
      <c r="AF81" s="4">
        <v>1340</v>
      </c>
      <c r="AG81">
        <v>24547</v>
      </c>
      <c r="AH81" s="4">
        <v>398</v>
      </c>
      <c r="AI81" s="4">
        <v>1138</v>
      </c>
      <c r="AJ81" s="4">
        <v>491</v>
      </c>
      <c r="AK81" s="4">
        <v>1711</v>
      </c>
      <c r="AL81" s="4">
        <v>2596</v>
      </c>
      <c r="AM81" s="4">
        <v>998</v>
      </c>
      <c r="AN81" s="4">
        <v>576</v>
      </c>
      <c r="AO81" s="4">
        <v>8873</v>
      </c>
      <c r="AP81" s="4">
        <v>612</v>
      </c>
      <c r="AQ81" s="4">
        <v>106</v>
      </c>
      <c r="AR81" s="4">
        <v>2197</v>
      </c>
      <c r="AS81" s="4">
        <v>5288</v>
      </c>
      <c r="AT81" s="4">
        <v>1685</v>
      </c>
      <c r="AU81" s="4">
        <v>2910</v>
      </c>
      <c r="AV81" s="4">
        <v>3784</v>
      </c>
      <c r="AW81" s="4">
        <v>2880</v>
      </c>
      <c r="AX81" s="4">
        <v>23841</v>
      </c>
      <c r="AY81" s="4">
        <v>132</v>
      </c>
      <c r="AZ81" s="4">
        <v>594</v>
      </c>
      <c r="BA81" s="4">
        <v>6929</v>
      </c>
      <c r="BB81" s="4">
        <v>214</v>
      </c>
      <c r="BC81" s="4">
        <v>651</v>
      </c>
      <c r="BD81" s="4">
        <v>6084</v>
      </c>
      <c r="BE81" s="4">
        <v>4007</v>
      </c>
      <c r="BF81" s="4">
        <v>2140</v>
      </c>
      <c r="BG81" s="4">
        <v>4877</v>
      </c>
      <c r="BH81" s="4">
        <v>1664</v>
      </c>
      <c r="BI81" s="4">
        <v>32467</v>
      </c>
      <c r="BJ81" s="4">
        <v>4911</v>
      </c>
      <c r="BK81" s="4">
        <v>7682</v>
      </c>
      <c r="BL81" s="4">
        <v>3954</v>
      </c>
      <c r="BM81" s="4">
        <v>6074</v>
      </c>
      <c r="BN81" s="4">
        <v>1744</v>
      </c>
      <c r="BO81" s="4">
        <v>1377</v>
      </c>
      <c r="BP81" s="4">
        <v>29126</v>
      </c>
      <c r="BQ81" s="4">
        <v>2757</v>
      </c>
      <c r="BR81" s="4">
        <v>78037</v>
      </c>
      <c r="BS81" s="4">
        <v>10026</v>
      </c>
      <c r="BT81" s="4">
        <v>11402</v>
      </c>
      <c r="BU81" s="4">
        <v>27171</v>
      </c>
      <c r="BV81" s="4">
        <v>3781</v>
      </c>
      <c r="BW81" s="4">
        <v>14626</v>
      </c>
      <c r="BX81" s="4">
        <v>2367</v>
      </c>
      <c r="BY81" s="4">
        <v>5941</v>
      </c>
      <c r="BZ81" s="4">
        <v>21403</v>
      </c>
      <c r="CA81" s="4">
        <v>2237</v>
      </c>
      <c r="CB81" s="4">
        <v>999</v>
      </c>
      <c r="CC81" s="4">
        <v>6686</v>
      </c>
      <c r="CD81" s="4">
        <v>3590</v>
      </c>
      <c r="CE81" s="4">
        <v>3493</v>
      </c>
      <c r="CF81" s="4">
        <v>8036</v>
      </c>
      <c r="CG81" s="4">
        <v>97080</v>
      </c>
      <c r="CH81" s="4">
        <v>13738</v>
      </c>
      <c r="CI81" s="4">
        <v>26387</v>
      </c>
      <c r="CJ81" s="4">
        <v>6966</v>
      </c>
      <c r="CK81" s="4">
        <v>15976</v>
      </c>
      <c r="CL81" s="4">
        <v>9772</v>
      </c>
      <c r="CM81" s="4">
        <v>18892</v>
      </c>
      <c r="CN81" s="4">
        <v>45404</v>
      </c>
      <c r="CO81" s="4">
        <v>5413</v>
      </c>
      <c r="CP81" s="4">
        <v>3610</v>
      </c>
      <c r="CQ81" s="4">
        <v>4277</v>
      </c>
      <c r="CR81" s="4">
        <v>6312</v>
      </c>
      <c r="CS81" s="4">
        <v>28691</v>
      </c>
      <c r="CT81" s="4">
        <v>19271</v>
      </c>
      <c r="CU81" s="4">
        <v>1801</v>
      </c>
      <c r="CV81" s="4">
        <v>239552</v>
      </c>
      <c r="CW81" s="4">
        <v>5034</v>
      </c>
      <c r="CX81" s="4">
        <v>1743</v>
      </c>
      <c r="CY81" s="4">
        <v>22070</v>
      </c>
      <c r="CZ81" s="4">
        <v>3403</v>
      </c>
      <c r="DA81" s="4">
        <v>5354</v>
      </c>
      <c r="DB81" s="4">
        <v>10227</v>
      </c>
      <c r="DC81" s="4">
        <v>3663</v>
      </c>
      <c r="DD81" s="4">
        <v>2379</v>
      </c>
      <c r="DE81" s="4">
        <v>2043</v>
      </c>
      <c r="DF81" s="4">
        <v>47553</v>
      </c>
      <c r="DG81" s="4">
        <v>12060</v>
      </c>
      <c r="DH81" s="4">
        <v>16378</v>
      </c>
      <c r="DI81" s="4">
        <v>3009</v>
      </c>
      <c r="DJ81" s="4">
        <v>24138</v>
      </c>
      <c r="DK81" s="4">
        <v>14200</v>
      </c>
      <c r="DL81" s="4">
        <v>9908</v>
      </c>
      <c r="DM81" s="4">
        <v>12149</v>
      </c>
      <c r="DN81" s="4">
        <v>15572</v>
      </c>
      <c r="DO81" s="4">
        <v>2589</v>
      </c>
      <c r="DP81" s="4">
        <v>11540</v>
      </c>
      <c r="DQ81" s="4">
        <v>54955</v>
      </c>
      <c r="DR81" s="4">
        <v>2672</v>
      </c>
      <c r="DS81" s="4">
        <v>4025</v>
      </c>
      <c r="DT81" s="4">
        <v>897</v>
      </c>
      <c r="DU81" s="4">
        <v>9096</v>
      </c>
      <c r="DV81" s="4">
        <v>4804</v>
      </c>
      <c r="DW81" s="4">
        <v>4849</v>
      </c>
      <c r="DX81" s="4">
        <v>9775</v>
      </c>
      <c r="DY81" s="4">
        <v>1563</v>
      </c>
      <c r="DZ81" s="4">
        <v>1991</v>
      </c>
      <c r="EA81" s="4">
        <v>9965</v>
      </c>
      <c r="EB81" s="4">
        <v>5006</v>
      </c>
      <c r="EC81" s="4">
        <v>626</v>
      </c>
      <c r="ED81" s="4">
        <v>1195</v>
      </c>
      <c r="EE81" s="4">
        <v>31436</v>
      </c>
      <c r="EF81" s="4">
        <v>3516</v>
      </c>
      <c r="EG81" s="4">
        <v>11619</v>
      </c>
      <c r="EH81" s="4">
        <v>27006</v>
      </c>
      <c r="EJ81" s="4">
        <f t="shared" si="1"/>
        <v>1441244</v>
      </c>
    </row>
    <row r="82" spans="1:140" x14ac:dyDescent="0.25">
      <c r="A82" s="4" t="s">
        <v>218</v>
      </c>
      <c r="B82" s="4">
        <v>6218</v>
      </c>
      <c r="C82" s="4">
        <v>5339</v>
      </c>
      <c r="D82" s="4">
        <v>255</v>
      </c>
      <c r="E82" s="4">
        <v>2071</v>
      </c>
      <c r="F82" s="4">
        <v>26</v>
      </c>
      <c r="G82" s="4">
        <v>25</v>
      </c>
      <c r="H82" s="4">
        <v>15066</v>
      </c>
      <c r="I82" s="4">
        <v>71</v>
      </c>
      <c r="J82" s="4">
        <v>996</v>
      </c>
      <c r="K82" s="4">
        <v>18</v>
      </c>
      <c r="L82" s="4">
        <v>1143</v>
      </c>
      <c r="M82" s="4">
        <v>122</v>
      </c>
      <c r="N82" s="4">
        <v>11840</v>
      </c>
      <c r="O82" s="4">
        <v>1687</v>
      </c>
      <c r="P82" s="4">
        <v>669</v>
      </c>
      <c r="Q82" s="4">
        <v>7319</v>
      </c>
      <c r="R82" s="4">
        <v>73</v>
      </c>
      <c r="S82" s="4">
        <v>1750</v>
      </c>
      <c r="T82" s="4">
        <v>3272</v>
      </c>
      <c r="U82" s="4">
        <v>2506</v>
      </c>
      <c r="V82" s="4">
        <v>6750</v>
      </c>
      <c r="W82" s="4">
        <v>2337</v>
      </c>
      <c r="X82" s="4">
        <v>650</v>
      </c>
      <c r="Y82" s="4">
        <v>1039</v>
      </c>
      <c r="Z82" s="4">
        <v>2066</v>
      </c>
      <c r="AA82" s="4">
        <v>769</v>
      </c>
      <c r="AB82" s="4">
        <v>6841</v>
      </c>
      <c r="AC82" s="4">
        <v>886</v>
      </c>
      <c r="AD82" s="4">
        <v>447</v>
      </c>
      <c r="AE82" s="4">
        <v>1398</v>
      </c>
      <c r="AF82" s="4">
        <v>1143</v>
      </c>
      <c r="AG82">
        <v>25300</v>
      </c>
      <c r="AH82" s="4">
        <v>397</v>
      </c>
      <c r="AI82" s="4">
        <v>1334</v>
      </c>
      <c r="AJ82" s="4">
        <v>395</v>
      </c>
      <c r="AK82" s="4">
        <v>1933</v>
      </c>
      <c r="AL82" s="4">
        <v>2528</v>
      </c>
      <c r="AM82" s="4">
        <v>961</v>
      </c>
      <c r="AN82" s="4">
        <v>256</v>
      </c>
      <c r="AO82" s="4">
        <v>8121</v>
      </c>
      <c r="AP82" s="4">
        <v>631</v>
      </c>
      <c r="AQ82" s="4">
        <v>133</v>
      </c>
      <c r="AR82" s="4">
        <v>2051</v>
      </c>
      <c r="AS82" s="4">
        <v>5467</v>
      </c>
      <c r="AT82" s="4">
        <v>1832</v>
      </c>
      <c r="AU82" s="4">
        <v>3527</v>
      </c>
      <c r="AV82" s="4">
        <v>3643</v>
      </c>
      <c r="AW82" s="4">
        <v>2153</v>
      </c>
      <c r="AX82" s="4">
        <v>23347</v>
      </c>
      <c r="AY82" s="4">
        <v>129</v>
      </c>
      <c r="AZ82" s="4">
        <v>774</v>
      </c>
      <c r="BA82" s="4">
        <v>6293</v>
      </c>
      <c r="BB82" s="4">
        <v>222</v>
      </c>
      <c r="BC82" s="4">
        <v>708</v>
      </c>
      <c r="BD82" s="4">
        <v>6477</v>
      </c>
      <c r="BE82" s="4">
        <v>4774</v>
      </c>
      <c r="BF82" s="4">
        <v>2550</v>
      </c>
      <c r="BG82" s="4">
        <v>4881</v>
      </c>
      <c r="BH82" s="4">
        <v>1881</v>
      </c>
      <c r="BI82" s="4">
        <v>33965</v>
      </c>
      <c r="BJ82" s="4">
        <v>4549</v>
      </c>
      <c r="BK82" s="4">
        <v>5760</v>
      </c>
      <c r="BL82" s="4">
        <v>3723</v>
      </c>
      <c r="BM82" s="4">
        <v>5339</v>
      </c>
      <c r="BN82" s="4">
        <v>2045</v>
      </c>
      <c r="BO82" s="4">
        <v>1264</v>
      </c>
      <c r="BP82" s="4">
        <v>31308</v>
      </c>
      <c r="BQ82" s="4">
        <v>2779</v>
      </c>
      <c r="BR82" s="4">
        <v>77661</v>
      </c>
      <c r="BS82" s="4">
        <v>10172</v>
      </c>
      <c r="BT82" s="4">
        <v>11337</v>
      </c>
      <c r="BU82" s="4">
        <v>30255</v>
      </c>
      <c r="BV82" s="4">
        <v>3744</v>
      </c>
      <c r="BW82" s="4">
        <v>13644</v>
      </c>
      <c r="BX82" s="4">
        <v>2521</v>
      </c>
      <c r="BY82" s="4">
        <v>5232</v>
      </c>
      <c r="BZ82" s="4">
        <v>19845</v>
      </c>
      <c r="CA82" s="4">
        <v>2185</v>
      </c>
      <c r="CB82" s="4">
        <v>953</v>
      </c>
      <c r="CC82" s="4">
        <v>6760</v>
      </c>
      <c r="CD82" s="4">
        <v>3857</v>
      </c>
      <c r="CE82" s="4">
        <v>3336</v>
      </c>
      <c r="CF82" s="4">
        <v>7593</v>
      </c>
      <c r="CG82" s="4">
        <v>94378</v>
      </c>
      <c r="CH82" s="4">
        <v>14069</v>
      </c>
      <c r="CI82" s="4">
        <v>26360</v>
      </c>
      <c r="CJ82" s="4">
        <v>6968</v>
      </c>
      <c r="CK82" s="4">
        <v>16658</v>
      </c>
      <c r="CL82" s="4">
        <v>10888</v>
      </c>
      <c r="CM82" s="4">
        <v>16429</v>
      </c>
      <c r="CN82" s="4">
        <v>46481</v>
      </c>
      <c r="CO82" s="4">
        <v>6183</v>
      </c>
      <c r="CP82" s="4">
        <v>3967</v>
      </c>
      <c r="CQ82" s="4">
        <v>4646</v>
      </c>
      <c r="CR82" s="4">
        <v>6138</v>
      </c>
      <c r="CS82" s="4">
        <v>28568</v>
      </c>
      <c r="CT82" s="4">
        <v>19525</v>
      </c>
      <c r="CU82" s="4">
        <v>1594</v>
      </c>
      <c r="CV82" s="4">
        <v>241308</v>
      </c>
      <c r="CW82" s="4">
        <v>5701</v>
      </c>
      <c r="CX82" s="4">
        <v>1903</v>
      </c>
      <c r="CY82" s="4">
        <v>23963</v>
      </c>
      <c r="CZ82" s="4">
        <v>2992</v>
      </c>
      <c r="DA82" s="4">
        <v>5122</v>
      </c>
      <c r="DB82" s="4">
        <v>10690</v>
      </c>
      <c r="DC82" s="4">
        <v>3652</v>
      </c>
      <c r="DD82" s="4">
        <v>2399</v>
      </c>
      <c r="DE82" s="4">
        <v>2157</v>
      </c>
      <c r="DF82" s="4">
        <v>46099</v>
      </c>
      <c r="DG82" s="4">
        <v>12354</v>
      </c>
      <c r="DH82" s="4">
        <v>15428</v>
      </c>
      <c r="DI82" s="4">
        <v>3597</v>
      </c>
      <c r="DJ82" s="4">
        <v>24435</v>
      </c>
      <c r="DK82" s="4">
        <v>15137</v>
      </c>
      <c r="DL82" s="4">
        <v>9253</v>
      </c>
      <c r="DM82" s="4">
        <v>11392</v>
      </c>
      <c r="DN82" s="4">
        <v>15071</v>
      </c>
      <c r="DO82" s="4">
        <v>2763</v>
      </c>
      <c r="DP82" s="4">
        <v>8835</v>
      </c>
      <c r="DQ82" s="4">
        <v>53001</v>
      </c>
      <c r="DR82" s="4">
        <v>2437</v>
      </c>
      <c r="DS82" s="4">
        <v>4372</v>
      </c>
      <c r="DT82" s="4">
        <v>773</v>
      </c>
      <c r="DU82" s="4">
        <v>9382</v>
      </c>
      <c r="DV82" s="4">
        <v>4842</v>
      </c>
      <c r="DW82" s="4">
        <v>4671</v>
      </c>
      <c r="DX82" s="4">
        <v>10450</v>
      </c>
      <c r="DY82" s="4">
        <v>1490</v>
      </c>
      <c r="DZ82" s="4">
        <v>2309</v>
      </c>
      <c r="EA82" s="4">
        <v>9982</v>
      </c>
      <c r="EB82" s="4">
        <v>5237</v>
      </c>
      <c r="EC82" s="4">
        <v>639</v>
      </c>
      <c r="ED82" s="4">
        <v>1447</v>
      </c>
      <c r="EE82" s="4">
        <v>34541</v>
      </c>
      <c r="EF82" s="4">
        <v>4525</v>
      </c>
      <c r="EG82" s="4">
        <v>12386</v>
      </c>
      <c r="EH82" s="4">
        <v>24806</v>
      </c>
      <c r="EJ82" s="4">
        <f t="shared" si="1"/>
        <v>1441710</v>
      </c>
    </row>
    <row r="83" spans="1:140" x14ac:dyDescent="0.25">
      <c r="A83" s="4" t="s">
        <v>219</v>
      </c>
      <c r="B83" s="4">
        <v>7815</v>
      </c>
      <c r="C83" s="4">
        <v>5937</v>
      </c>
      <c r="D83" s="4">
        <v>201</v>
      </c>
      <c r="E83" s="4">
        <v>2517</v>
      </c>
      <c r="F83" s="4">
        <v>9</v>
      </c>
      <c r="G83" s="4">
        <v>20</v>
      </c>
      <c r="H83" s="4">
        <v>15113</v>
      </c>
      <c r="I83" s="4">
        <v>43</v>
      </c>
      <c r="J83" s="4">
        <v>1399</v>
      </c>
      <c r="K83" s="4">
        <v>37</v>
      </c>
      <c r="L83" s="4">
        <v>1147</v>
      </c>
      <c r="M83" s="4">
        <v>126</v>
      </c>
      <c r="N83" s="4">
        <v>11178</v>
      </c>
      <c r="O83" s="4">
        <v>1637</v>
      </c>
      <c r="P83" s="4">
        <v>677</v>
      </c>
      <c r="Q83" s="4">
        <v>7404</v>
      </c>
      <c r="R83" s="4">
        <v>73</v>
      </c>
      <c r="S83" s="4">
        <v>1468</v>
      </c>
      <c r="T83" s="4">
        <v>2926</v>
      </c>
      <c r="U83" s="4">
        <v>2854</v>
      </c>
      <c r="V83" s="4">
        <v>6098</v>
      </c>
      <c r="W83" s="4">
        <v>2515</v>
      </c>
      <c r="X83" s="4">
        <v>472</v>
      </c>
      <c r="Y83" s="4">
        <v>644</v>
      </c>
      <c r="Z83" s="4">
        <v>2201</v>
      </c>
      <c r="AA83" s="4">
        <v>574</v>
      </c>
      <c r="AB83" s="4">
        <v>4200</v>
      </c>
      <c r="AC83" s="4">
        <v>660</v>
      </c>
      <c r="AD83" s="4">
        <v>455</v>
      </c>
      <c r="AE83" s="4">
        <v>1667</v>
      </c>
      <c r="AF83" s="4">
        <v>1278</v>
      </c>
      <c r="AG83">
        <v>25784</v>
      </c>
      <c r="AH83" s="4">
        <v>527</v>
      </c>
      <c r="AI83" s="4">
        <v>1029</v>
      </c>
      <c r="AJ83" s="4">
        <v>377</v>
      </c>
      <c r="AK83" s="4">
        <v>1942</v>
      </c>
      <c r="AL83" s="4">
        <v>2641</v>
      </c>
      <c r="AM83" s="4">
        <v>899</v>
      </c>
      <c r="AN83" s="4">
        <v>206</v>
      </c>
      <c r="AO83" s="4">
        <v>9218</v>
      </c>
      <c r="AP83" s="4">
        <v>635</v>
      </c>
      <c r="AQ83" s="4">
        <v>121</v>
      </c>
      <c r="AR83" s="4">
        <v>1792</v>
      </c>
      <c r="AS83" s="4">
        <v>5053</v>
      </c>
      <c r="AT83" s="4">
        <v>1618</v>
      </c>
      <c r="AU83" s="4">
        <v>6079</v>
      </c>
      <c r="AV83" s="4">
        <v>3764</v>
      </c>
      <c r="AW83" s="4">
        <v>3129</v>
      </c>
      <c r="AX83" s="4">
        <v>24350</v>
      </c>
      <c r="AY83" s="4">
        <v>102</v>
      </c>
      <c r="AZ83" s="4">
        <v>710</v>
      </c>
      <c r="BA83" s="4">
        <v>6915</v>
      </c>
      <c r="BB83" s="4">
        <v>217</v>
      </c>
      <c r="BC83" s="4">
        <v>681</v>
      </c>
      <c r="BD83" s="4">
        <v>6712</v>
      </c>
      <c r="BE83" s="4">
        <v>3631</v>
      </c>
      <c r="BF83" s="4">
        <v>4481</v>
      </c>
      <c r="BG83" s="4">
        <v>5139</v>
      </c>
      <c r="BH83" s="4">
        <v>2058</v>
      </c>
      <c r="BI83" s="4">
        <v>33681</v>
      </c>
      <c r="BJ83" s="4">
        <v>4893</v>
      </c>
      <c r="BK83" s="4">
        <v>6299</v>
      </c>
      <c r="BL83" s="4">
        <v>3060</v>
      </c>
      <c r="BM83" s="4">
        <v>4720</v>
      </c>
      <c r="BN83" s="4">
        <v>1519</v>
      </c>
      <c r="BO83" s="4">
        <v>1441</v>
      </c>
      <c r="BP83" s="4">
        <v>27341</v>
      </c>
      <c r="BQ83" s="4">
        <v>2649</v>
      </c>
      <c r="BR83" s="4">
        <v>74224</v>
      </c>
      <c r="BS83" s="4">
        <v>9424</v>
      </c>
      <c r="BT83" s="4">
        <v>7997</v>
      </c>
      <c r="BU83" s="4">
        <v>24603</v>
      </c>
      <c r="BV83" s="4">
        <v>3018</v>
      </c>
      <c r="BW83" s="4">
        <v>13737</v>
      </c>
      <c r="BX83" s="4">
        <v>2362</v>
      </c>
      <c r="BY83" s="4">
        <v>5716</v>
      </c>
      <c r="BZ83" s="4">
        <v>19040</v>
      </c>
      <c r="CA83" s="4">
        <v>2138</v>
      </c>
      <c r="CB83" s="4">
        <v>1141</v>
      </c>
      <c r="CC83" s="4">
        <v>6548</v>
      </c>
      <c r="CD83" s="4">
        <v>3743</v>
      </c>
      <c r="CE83" s="4">
        <v>3340</v>
      </c>
      <c r="CF83" s="4">
        <v>7729</v>
      </c>
      <c r="CG83" s="4">
        <v>93176</v>
      </c>
      <c r="CH83" s="4">
        <v>17325</v>
      </c>
      <c r="CI83" s="4">
        <v>28046</v>
      </c>
      <c r="CJ83" s="4">
        <v>7884</v>
      </c>
      <c r="CK83" s="4">
        <v>15468</v>
      </c>
      <c r="CL83" s="4">
        <v>9571</v>
      </c>
      <c r="CM83" s="4">
        <v>16436</v>
      </c>
      <c r="CN83" s="4">
        <v>47935</v>
      </c>
      <c r="CO83" s="4">
        <v>5299</v>
      </c>
      <c r="CP83" s="4">
        <v>3637</v>
      </c>
      <c r="CQ83" s="4">
        <v>3947</v>
      </c>
      <c r="CR83" s="4">
        <v>6695</v>
      </c>
      <c r="CS83" s="4">
        <v>28048</v>
      </c>
      <c r="CT83" s="4">
        <v>19057</v>
      </c>
      <c r="CU83" s="4">
        <v>1645</v>
      </c>
      <c r="CV83" s="4">
        <v>229562</v>
      </c>
      <c r="CW83" s="4">
        <v>5043</v>
      </c>
      <c r="CX83" s="4">
        <v>1691</v>
      </c>
      <c r="CY83" s="4">
        <v>22755</v>
      </c>
      <c r="CZ83" s="4">
        <v>2959</v>
      </c>
      <c r="DA83" s="4">
        <v>5148</v>
      </c>
      <c r="DB83" s="4">
        <v>10514</v>
      </c>
      <c r="DC83" s="4">
        <v>3690</v>
      </c>
      <c r="DD83" s="4">
        <v>2411</v>
      </c>
      <c r="DE83" s="4">
        <v>1876</v>
      </c>
      <c r="DF83" s="4">
        <v>46626</v>
      </c>
      <c r="DG83" s="4">
        <v>12258</v>
      </c>
      <c r="DH83" s="4">
        <v>15768</v>
      </c>
      <c r="DI83" s="4">
        <v>3237</v>
      </c>
      <c r="DJ83" s="4">
        <v>24403</v>
      </c>
      <c r="DK83" s="4">
        <v>14810</v>
      </c>
      <c r="DL83" s="4">
        <v>9164</v>
      </c>
      <c r="DM83" s="4">
        <v>11777</v>
      </c>
      <c r="DN83" s="4">
        <v>15540</v>
      </c>
      <c r="DO83" s="4">
        <v>2839</v>
      </c>
      <c r="DP83" s="4">
        <v>7559</v>
      </c>
      <c r="DQ83" s="4">
        <v>53627</v>
      </c>
      <c r="DR83" s="4">
        <v>2356</v>
      </c>
      <c r="DS83" s="4">
        <v>4474</v>
      </c>
      <c r="DT83" s="4">
        <v>814</v>
      </c>
      <c r="DU83" s="4">
        <v>8096</v>
      </c>
      <c r="DV83" s="4">
        <v>5290</v>
      </c>
      <c r="DW83" s="4">
        <v>4279</v>
      </c>
      <c r="DX83" s="4">
        <v>10476</v>
      </c>
      <c r="DY83" s="4">
        <v>1508</v>
      </c>
      <c r="DZ83" s="4">
        <v>2472</v>
      </c>
      <c r="EA83" s="4">
        <v>9670</v>
      </c>
      <c r="EB83" s="4">
        <v>6264</v>
      </c>
      <c r="EC83" s="4">
        <v>572</v>
      </c>
      <c r="ED83" s="4">
        <v>1412</v>
      </c>
      <c r="EE83" s="4">
        <v>37411</v>
      </c>
      <c r="EF83" s="4">
        <v>4209</v>
      </c>
      <c r="EG83" s="4">
        <v>11624</v>
      </c>
      <c r="EH83" s="4">
        <v>23860</v>
      </c>
      <c r="EJ83" s="4">
        <f t="shared" si="1"/>
        <v>1415731</v>
      </c>
    </row>
    <row r="84" spans="1:140" x14ac:dyDescent="0.25">
      <c r="A84" s="4" t="s">
        <v>220</v>
      </c>
      <c r="B84" s="4">
        <v>7253</v>
      </c>
      <c r="C84" s="4">
        <v>5731</v>
      </c>
      <c r="D84" s="4">
        <v>397</v>
      </c>
      <c r="E84" s="4">
        <v>2206</v>
      </c>
      <c r="F84" s="4">
        <v>3</v>
      </c>
      <c r="G84" s="4">
        <v>20</v>
      </c>
      <c r="H84" s="4">
        <v>15061</v>
      </c>
      <c r="I84" s="4">
        <v>42</v>
      </c>
      <c r="J84" s="4">
        <v>1186</v>
      </c>
      <c r="K84" s="4">
        <v>28</v>
      </c>
      <c r="L84" s="4">
        <v>1048</v>
      </c>
      <c r="M84" s="4">
        <v>131</v>
      </c>
      <c r="N84" s="4">
        <v>11464</v>
      </c>
      <c r="O84" s="4">
        <v>1482</v>
      </c>
      <c r="P84" s="4">
        <v>628</v>
      </c>
      <c r="Q84" s="4">
        <v>7951</v>
      </c>
      <c r="R84" s="4">
        <v>83</v>
      </c>
      <c r="S84" s="4">
        <v>1876</v>
      </c>
      <c r="T84" s="4">
        <v>3303</v>
      </c>
      <c r="U84" s="4">
        <v>2874</v>
      </c>
      <c r="V84" s="4">
        <v>8043</v>
      </c>
      <c r="W84" s="4">
        <v>2533</v>
      </c>
      <c r="X84" s="4">
        <v>588</v>
      </c>
      <c r="Y84" s="4">
        <v>1282</v>
      </c>
      <c r="Z84" s="4">
        <v>2109</v>
      </c>
      <c r="AA84" s="4">
        <v>734</v>
      </c>
      <c r="AB84" s="4">
        <v>6158</v>
      </c>
      <c r="AC84" s="4">
        <v>1048</v>
      </c>
      <c r="AD84" s="4">
        <v>513</v>
      </c>
      <c r="AE84" s="4">
        <v>1679</v>
      </c>
      <c r="AF84" s="4">
        <v>1601</v>
      </c>
      <c r="AG84">
        <v>24873</v>
      </c>
      <c r="AH84" s="4">
        <v>401</v>
      </c>
      <c r="AI84" s="4">
        <v>1020</v>
      </c>
      <c r="AJ84" s="4">
        <v>311</v>
      </c>
      <c r="AK84" s="4">
        <v>1937</v>
      </c>
      <c r="AL84" s="4">
        <v>2892</v>
      </c>
      <c r="AM84" s="4">
        <v>890</v>
      </c>
      <c r="AN84" s="4">
        <v>291</v>
      </c>
      <c r="AO84" s="4">
        <v>8714</v>
      </c>
      <c r="AP84" s="4">
        <v>562</v>
      </c>
      <c r="AQ84" s="4">
        <v>135</v>
      </c>
      <c r="AR84" s="4">
        <v>2292</v>
      </c>
      <c r="AS84" s="4">
        <v>5388</v>
      </c>
      <c r="AT84" s="4">
        <v>1575</v>
      </c>
      <c r="AU84" s="4">
        <v>8261</v>
      </c>
      <c r="AV84" s="4">
        <v>3551</v>
      </c>
      <c r="AW84" s="4">
        <v>3309</v>
      </c>
      <c r="AX84" s="4">
        <v>25601</v>
      </c>
      <c r="AY84" s="4">
        <v>136</v>
      </c>
      <c r="AZ84" s="4">
        <v>883</v>
      </c>
      <c r="BA84" s="4">
        <v>7288</v>
      </c>
      <c r="BB84" s="4">
        <v>180</v>
      </c>
      <c r="BC84" s="4">
        <v>713</v>
      </c>
      <c r="BD84" s="4">
        <v>6419</v>
      </c>
      <c r="BE84" s="4">
        <v>3587</v>
      </c>
      <c r="BF84" s="4">
        <v>5538</v>
      </c>
      <c r="BG84" s="4">
        <v>4393</v>
      </c>
      <c r="BH84" s="4">
        <v>2039</v>
      </c>
      <c r="BI84" s="4">
        <v>29590</v>
      </c>
      <c r="BJ84" s="4">
        <v>4203</v>
      </c>
      <c r="BK84" s="4">
        <v>5645</v>
      </c>
      <c r="BL84" s="4">
        <v>3360</v>
      </c>
      <c r="BM84" s="4">
        <v>4991</v>
      </c>
      <c r="BN84" s="4">
        <v>1433</v>
      </c>
      <c r="BO84" s="4">
        <v>1508</v>
      </c>
      <c r="BP84" s="4">
        <v>26987</v>
      </c>
      <c r="BQ84" s="4">
        <v>2533</v>
      </c>
      <c r="BR84" s="4">
        <v>73988</v>
      </c>
      <c r="BS84" s="4">
        <v>9304</v>
      </c>
      <c r="BT84" s="4">
        <v>8646</v>
      </c>
      <c r="BU84" s="4">
        <v>21795</v>
      </c>
      <c r="BV84" s="4">
        <v>3024</v>
      </c>
      <c r="BW84" s="4">
        <v>13070</v>
      </c>
      <c r="BX84" s="4">
        <v>2145</v>
      </c>
      <c r="BY84" s="4">
        <v>5001</v>
      </c>
      <c r="BZ84" s="4">
        <v>19518</v>
      </c>
      <c r="CA84" s="4">
        <v>2542</v>
      </c>
      <c r="CB84" s="4">
        <v>1035</v>
      </c>
      <c r="CC84" s="4">
        <v>6058</v>
      </c>
      <c r="CD84" s="4">
        <v>3416</v>
      </c>
      <c r="CE84" s="4">
        <v>3413</v>
      </c>
      <c r="CF84" s="4">
        <v>7029</v>
      </c>
      <c r="CG84" s="4">
        <v>88423</v>
      </c>
      <c r="CH84" s="4">
        <v>22832</v>
      </c>
      <c r="CI84" s="4">
        <v>36982</v>
      </c>
      <c r="CJ84" s="4">
        <v>9980</v>
      </c>
      <c r="CK84" s="4">
        <v>18784</v>
      </c>
      <c r="CL84" s="4">
        <v>13939</v>
      </c>
      <c r="CM84" s="4">
        <v>21654</v>
      </c>
      <c r="CN84" s="4">
        <v>50243</v>
      </c>
      <c r="CO84" s="4">
        <v>6210</v>
      </c>
      <c r="CP84" s="4">
        <v>2933</v>
      </c>
      <c r="CQ84" s="4">
        <v>5819</v>
      </c>
      <c r="CR84" s="4">
        <v>8519</v>
      </c>
      <c r="CS84" s="4">
        <v>28335</v>
      </c>
      <c r="CT84" s="4">
        <v>17220</v>
      </c>
      <c r="CU84" s="4">
        <v>1664</v>
      </c>
      <c r="CV84" s="4">
        <v>226598</v>
      </c>
      <c r="CW84" s="4">
        <v>7032</v>
      </c>
      <c r="CX84" s="4">
        <v>1674</v>
      </c>
      <c r="CY84" s="4">
        <v>22784</v>
      </c>
      <c r="CZ84" s="4">
        <v>3649</v>
      </c>
      <c r="DA84" s="4">
        <v>4980</v>
      </c>
      <c r="DB84" s="4">
        <v>10383</v>
      </c>
      <c r="DC84" s="4">
        <v>3102</v>
      </c>
      <c r="DD84" s="4">
        <v>2527</v>
      </c>
      <c r="DE84" s="4">
        <v>1708</v>
      </c>
      <c r="DF84" s="4">
        <v>47020</v>
      </c>
      <c r="DG84" s="4">
        <v>11937</v>
      </c>
      <c r="DH84" s="4">
        <v>15444</v>
      </c>
      <c r="DI84" s="4">
        <v>3567</v>
      </c>
      <c r="DJ84" s="4">
        <v>23316</v>
      </c>
      <c r="DK84" s="4">
        <v>15018</v>
      </c>
      <c r="DL84" s="4">
        <v>8809</v>
      </c>
      <c r="DM84" s="4">
        <v>12399</v>
      </c>
      <c r="DN84" s="4">
        <v>15692</v>
      </c>
      <c r="DO84" s="4">
        <v>2553</v>
      </c>
      <c r="DP84" s="4">
        <v>7206</v>
      </c>
      <c r="DQ84" s="4">
        <v>52736</v>
      </c>
      <c r="DR84" s="4">
        <v>2463</v>
      </c>
      <c r="DS84" s="4">
        <v>4817</v>
      </c>
      <c r="DT84" s="4">
        <v>859</v>
      </c>
      <c r="DU84" s="4">
        <v>9555</v>
      </c>
      <c r="DV84" s="4">
        <v>4313</v>
      </c>
      <c r="DW84" s="4">
        <v>4854</v>
      </c>
      <c r="DX84" s="4">
        <v>10120</v>
      </c>
      <c r="DY84" s="4">
        <v>1420</v>
      </c>
      <c r="DZ84" s="4">
        <v>4635</v>
      </c>
      <c r="EA84" s="4">
        <v>9621</v>
      </c>
      <c r="EB84" s="4">
        <v>5066</v>
      </c>
      <c r="EC84" s="4">
        <v>635</v>
      </c>
      <c r="ED84" s="4">
        <v>1662</v>
      </c>
      <c r="EE84" s="4">
        <v>32113</v>
      </c>
      <c r="EF84" s="4">
        <v>4545</v>
      </c>
      <c r="EG84" s="4">
        <v>13448</v>
      </c>
      <c r="EH84" s="4">
        <v>22360</v>
      </c>
      <c r="EJ84" s="4">
        <f t="shared" si="1"/>
        <v>1438625</v>
      </c>
    </row>
    <row r="85" spans="1:140" x14ac:dyDescent="0.25">
      <c r="A85" s="4" t="s">
        <v>221</v>
      </c>
      <c r="B85" s="4">
        <v>6398</v>
      </c>
      <c r="C85" s="4">
        <v>6072</v>
      </c>
      <c r="D85" s="4">
        <v>479</v>
      </c>
      <c r="E85" s="4">
        <v>2353</v>
      </c>
      <c r="F85" s="4">
        <v>7</v>
      </c>
      <c r="G85" s="4">
        <v>41</v>
      </c>
      <c r="H85" s="4">
        <v>18972</v>
      </c>
      <c r="I85" s="4">
        <v>88</v>
      </c>
      <c r="J85" s="4">
        <v>1268</v>
      </c>
      <c r="K85" s="4">
        <v>50</v>
      </c>
      <c r="L85" s="4">
        <v>1300</v>
      </c>
      <c r="M85" s="4">
        <v>237</v>
      </c>
      <c r="N85" s="4">
        <v>12988</v>
      </c>
      <c r="O85" s="4">
        <v>1553</v>
      </c>
      <c r="P85" s="4">
        <v>1126</v>
      </c>
      <c r="Q85" s="4">
        <v>8703</v>
      </c>
      <c r="R85" s="4">
        <v>88</v>
      </c>
      <c r="S85" s="4">
        <v>1770</v>
      </c>
      <c r="T85" s="4">
        <v>3932</v>
      </c>
      <c r="U85" s="4">
        <v>2733</v>
      </c>
      <c r="V85" s="4">
        <v>8208</v>
      </c>
      <c r="W85" s="4">
        <v>2445</v>
      </c>
      <c r="X85" s="4">
        <v>562</v>
      </c>
      <c r="Y85" s="4">
        <v>1361</v>
      </c>
      <c r="Z85" s="4">
        <v>5793</v>
      </c>
      <c r="AA85" s="4">
        <v>739</v>
      </c>
      <c r="AB85" s="4">
        <v>5770</v>
      </c>
      <c r="AC85" s="4">
        <v>1047</v>
      </c>
      <c r="AD85" s="4">
        <v>688</v>
      </c>
      <c r="AE85" s="4">
        <v>1723</v>
      </c>
      <c r="AF85" s="4">
        <v>1343</v>
      </c>
      <c r="AG85">
        <v>22621</v>
      </c>
      <c r="AH85" s="4">
        <v>511</v>
      </c>
      <c r="AI85" s="4">
        <v>1753</v>
      </c>
      <c r="AJ85" s="4">
        <v>404</v>
      </c>
      <c r="AK85" s="4">
        <v>1988</v>
      </c>
      <c r="AL85" s="4">
        <v>2964</v>
      </c>
      <c r="AM85" s="4">
        <v>989</v>
      </c>
      <c r="AN85" s="4">
        <v>365</v>
      </c>
      <c r="AO85" s="4">
        <v>11324</v>
      </c>
      <c r="AP85" s="4">
        <v>668</v>
      </c>
      <c r="AQ85" s="4">
        <v>167</v>
      </c>
      <c r="AR85" s="4">
        <v>2880</v>
      </c>
      <c r="AS85" s="4">
        <v>5977</v>
      </c>
      <c r="AT85" s="4">
        <v>1537</v>
      </c>
      <c r="AU85" s="4">
        <v>5918</v>
      </c>
      <c r="AV85" s="4">
        <v>4249</v>
      </c>
      <c r="AW85" s="4">
        <v>3035</v>
      </c>
      <c r="AX85" s="4">
        <v>29583</v>
      </c>
      <c r="AY85" s="4">
        <v>119</v>
      </c>
      <c r="AZ85" s="4">
        <v>754</v>
      </c>
      <c r="BA85" s="4">
        <v>7867</v>
      </c>
      <c r="BB85" s="4">
        <v>153</v>
      </c>
      <c r="BC85" s="4">
        <v>881</v>
      </c>
      <c r="BD85" s="4">
        <v>7710</v>
      </c>
      <c r="BE85" s="4">
        <v>3919</v>
      </c>
      <c r="BF85" s="4">
        <v>4460</v>
      </c>
      <c r="BG85" s="4">
        <v>5728</v>
      </c>
      <c r="BH85" s="4">
        <v>1719</v>
      </c>
      <c r="BI85" s="4">
        <v>38012</v>
      </c>
      <c r="BJ85" s="4">
        <v>4527</v>
      </c>
      <c r="BK85" s="4">
        <v>7819</v>
      </c>
      <c r="BL85" s="4">
        <v>3564</v>
      </c>
      <c r="BM85" s="4">
        <v>5593</v>
      </c>
      <c r="BN85" s="4">
        <v>1387</v>
      </c>
      <c r="BO85" s="4">
        <v>2540</v>
      </c>
      <c r="BP85" s="4">
        <v>31746</v>
      </c>
      <c r="BQ85" s="4">
        <v>3907</v>
      </c>
      <c r="BR85" s="4">
        <v>80462</v>
      </c>
      <c r="BS85" s="4">
        <v>10884</v>
      </c>
      <c r="BT85" s="4">
        <v>13654</v>
      </c>
      <c r="BU85" s="4">
        <v>21988</v>
      </c>
      <c r="BV85" s="4">
        <v>3186</v>
      </c>
      <c r="BW85" s="4">
        <v>15235</v>
      </c>
      <c r="BX85" s="4">
        <v>2906</v>
      </c>
      <c r="BY85" s="4">
        <v>7220</v>
      </c>
      <c r="BZ85" s="4">
        <v>22296</v>
      </c>
      <c r="CA85" s="4">
        <v>2728</v>
      </c>
      <c r="CB85" s="4">
        <v>1127</v>
      </c>
      <c r="CC85" s="4">
        <v>11115</v>
      </c>
      <c r="CD85" s="4">
        <v>4040</v>
      </c>
      <c r="CE85" s="4">
        <v>4297</v>
      </c>
      <c r="CF85" s="4">
        <v>8282</v>
      </c>
      <c r="CG85" s="4">
        <v>101169</v>
      </c>
      <c r="CH85" s="4">
        <v>23624</v>
      </c>
      <c r="CI85" s="4">
        <v>61625</v>
      </c>
      <c r="CJ85" s="4">
        <v>15311</v>
      </c>
      <c r="CK85" s="4">
        <v>23565</v>
      </c>
      <c r="CL85" s="4">
        <v>16803</v>
      </c>
      <c r="CM85" s="4">
        <v>20646</v>
      </c>
      <c r="CN85" s="4">
        <v>49766</v>
      </c>
      <c r="CO85" s="4">
        <v>8561</v>
      </c>
      <c r="CP85" s="4">
        <v>3473</v>
      </c>
      <c r="CQ85" s="4">
        <v>6516</v>
      </c>
      <c r="CR85" s="4">
        <v>8438</v>
      </c>
      <c r="CS85" s="4">
        <v>31408</v>
      </c>
      <c r="CT85" s="4">
        <v>20395</v>
      </c>
      <c r="CU85" s="4">
        <v>2033</v>
      </c>
      <c r="CV85" s="4">
        <v>246001</v>
      </c>
      <c r="CW85" s="4">
        <v>9687</v>
      </c>
      <c r="CX85" s="4">
        <v>2452</v>
      </c>
      <c r="CY85" s="4">
        <v>25401</v>
      </c>
      <c r="CZ85" s="4">
        <v>4285</v>
      </c>
      <c r="DA85" s="4">
        <v>5402</v>
      </c>
      <c r="DB85" s="4">
        <v>12060</v>
      </c>
      <c r="DC85" s="4">
        <v>3703</v>
      </c>
      <c r="DD85" s="4">
        <v>2667</v>
      </c>
      <c r="DE85" s="4">
        <v>1684</v>
      </c>
      <c r="DF85" s="4">
        <v>48099</v>
      </c>
      <c r="DG85" s="4">
        <v>15241</v>
      </c>
      <c r="DH85" s="4">
        <v>15912</v>
      </c>
      <c r="DI85" s="4">
        <v>4523</v>
      </c>
      <c r="DJ85" s="4">
        <v>27907</v>
      </c>
      <c r="DK85" s="4">
        <v>16401</v>
      </c>
      <c r="DL85" s="4">
        <v>10314</v>
      </c>
      <c r="DM85" s="4">
        <v>14466</v>
      </c>
      <c r="DN85" s="4">
        <v>17696</v>
      </c>
      <c r="DO85" s="4">
        <v>3245</v>
      </c>
      <c r="DP85" s="4">
        <v>8617</v>
      </c>
      <c r="DQ85" s="4">
        <v>57481</v>
      </c>
      <c r="DR85" s="4">
        <v>3169</v>
      </c>
      <c r="DS85" s="4">
        <v>7154</v>
      </c>
      <c r="DT85" s="4">
        <v>823</v>
      </c>
      <c r="DU85" s="4">
        <v>9492</v>
      </c>
      <c r="DV85" s="4">
        <v>6053</v>
      </c>
      <c r="DW85" s="4">
        <v>6375</v>
      </c>
      <c r="DX85" s="4">
        <v>10812</v>
      </c>
      <c r="DY85" s="4">
        <v>2175</v>
      </c>
      <c r="DZ85" s="4">
        <v>2763</v>
      </c>
      <c r="EA85" s="4">
        <v>9411</v>
      </c>
      <c r="EB85" s="4">
        <v>5444</v>
      </c>
      <c r="EC85" s="4">
        <v>653</v>
      </c>
      <c r="ED85" s="4">
        <v>1756</v>
      </c>
      <c r="EE85" s="4">
        <v>34754</v>
      </c>
      <c r="EF85" s="4">
        <v>5618</v>
      </c>
      <c r="EG85" s="4">
        <v>17017</v>
      </c>
      <c r="EH85" s="4">
        <v>29431</v>
      </c>
      <c r="EJ85" s="4">
        <f t="shared" si="1"/>
        <v>1638072</v>
      </c>
    </row>
    <row r="86" spans="1:140" x14ac:dyDescent="0.25">
      <c r="A86" s="4" t="s">
        <v>222</v>
      </c>
      <c r="B86" s="4">
        <v>5940</v>
      </c>
      <c r="C86" s="4">
        <v>4999</v>
      </c>
      <c r="D86" s="4">
        <v>188</v>
      </c>
      <c r="E86" s="4">
        <v>2275</v>
      </c>
      <c r="F86" s="4">
        <v>4</v>
      </c>
      <c r="G86" s="4">
        <v>24</v>
      </c>
      <c r="H86" s="4">
        <v>15817</v>
      </c>
      <c r="I86" s="4">
        <v>53</v>
      </c>
      <c r="J86" s="4">
        <v>1364</v>
      </c>
      <c r="K86" s="4">
        <v>44</v>
      </c>
      <c r="L86" s="4">
        <v>1070</v>
      </c>
      <c r="M86" s="4">
        <v>144</v>
      </c>
      <c r="N86" s="4">
        <v>12105</v>
      </c>
      <c r="O86" s="4">
        <v>1586</v>
      </c>
      <c r="P86" s="4">
        <v>718</v>
      </c>
      <c r="Q86" s="4">
        <v>8305</v>
      </c>
      <c r="R86" s="4">
        <v>120</v>
      </c>
      <c r="S86" s="4">
        <v>2027</v>
      </c>
      <c r="T86" s="4">
        <v>3060</v>
      </c>
      <c r="U86" s="4">
        <v>2509</v>
      </c>
      <c r="V86" s="4">
        <v>8950</v>
      </c>
      <c r="W86" s="4">
        <v>2509</v>
      </c>
      <c r="X86" s="4">
        <v>614</v>
      </c>
      <c r="Y86" s="4">
        <v>1464</v>
      </c>
      <c r="Z86" s="4">
        <v>2277</v>
      </c>
      <c r="AA86" s="4">
        <v>1040</v>
      </c>
      <c r="AB86" s="4">
        <v>5617</v>
      </c>
      <c r="AC86" s="4">
        <v>862</v>
      </c>
      <c r="AD86" s="4">
        <v>626</v>
      </c>
      <c r="AE86" s="4">
        <v>1381</v>
      </c>
      <c r="AF86" s="4">
        <v>2694</v>
      </c>
      <c r="AG86">
        <v>28295</v>
      </c>
      <c r="AH86" s="4">
        <v>556</v>
      </c>
      <c r="AI86" s="4">
        <v>1488</v>
      </c>
      <c r="AJ86" s="4">
        <v>720</v>
      </c>
      <c r="AK86" s="4">
        <v>2706</v>
      </c>
      <c r="AL86" s="4">
        <v>3834</v>
      </c>
      <c r="AM86" s="4">
        <v>865</v>
      </c>
      <c r="AN86" s="4">
        <v>221</v>
      </c>
      <c r="AO86" s="4">
        <v>11265</v>
      </c>
      <c r="AP86" s="4">
        <v>812</v>
      </c>
      <c r="AQ86" s="4">
        <v>175</v>
      </c>
      <c r="AR86" s="4">
        <v>2271</v>
      </c>
      <c r="AS86" s="4">
        <v>8112</v>
      </c>
      <c r="AT86" s="4">
        <v>2021</v>
      </c>
      <c r="AU86" s="4">
        <v>2736</v>
      </c>
      <c r="AV86" s="4">
        <v>4292</v>
      </c>
      <c r="AW86" s="4">
        <v>8882</v>
      </c>
      <c r="AX86" s="4">
        <v>31744</v>
      </c>
      <c r="AY86" s="4">
        <v>241</v>
      </c>
      <c r="AZ86" s="4">
        <v>823</v>
      </c>
      <c r="BA86" s="4">
        <v>7857</v>
      </c>
      <c r="BB86" s="4">
        <v>222</v>
      </c>
      <c r="BC86" s="4">
        <v>745</v>
      </c>
      <c r="BD86" s="4">
        <v>6592</v>
      </c>
      <c r="BE86" s="4">
        <v>2968</v>
      </c>
      <c r="BF86" s="4">
        <v>2247</v>
      </c>
      <c r="BG86" s="4">
        <v>5355</v>
      </c>
      <c r="BH86" s="4">
        <v>2035</v>
      </c>
      <c r="BI86" s="4">
        <v>33508</v>
      </c>
      <c r="BJ86" s="4">
        <v>5018</v>
      </c>
      <c r="BK86" s="4">
        <v>7095</v>
      </c>
      <c r="BL86" s="4">
        <v>2841</v>
      </c>
      <c r="BM86" s="4">
        <v>5022</v>
      </c>
      <c r="BN86" s="4">
        <v>1252</v>
      </c>
      <c r="BO86" s="4">
        <v>1671</v>
      </c>
      <c r="BP86" s="4">
        <v>24404</v>
      </c>
      <c r="BQ86" s="4">
        <v>2488</v>
      </c>
      <c r="BR86" s="4">
        <v>76769</v>
      </c>
      <c r="BS86" s="4">
        <v>9501</v>
      </c>
      <c r="BT86" s="4">
        <v>8319</v>
      </c>
      <c r="BU86" s="4">
        <v>18815</v>
      </c>
      <c r="BV86" s="4">
        <v>2827</v>
      </c>
      <c r="BW86" s="4">
        <v>14404</v>
      </c>
      <c r="BX86" s="4">
        <v>2032</v>
      </c>
      <c r="BY86" s="4">
        <v>6256</v>
      </c>
      <c r="BZ86" s="4">
        <v>22964</v>
      </c>
      <c r="CA86" s="4">
        <v>2194</v>
      </c>
      <c r="CB86" s="4">
        <v>1040</v>
      </c>
      <c r="CC86" s="4">
        <v>6198</v>
      </c>
      <c r="CD86" s="4">
        <v>3572</v>
      </c>
      <c r="CE86" s="4">
        <v>3895</v>
      </c>
      <c r="CF86" s="4">
        <v>7768</v>
      </c>
      <c r="CG86" s="4">
        <v>111121</v>
      </c>
      <c r="CH86" s="4">
        <v>14205</v>
      </c>
      <c r="CI86" s="4">
        <v>25377</v>
      </c>
      <c r="CJ86" s="4">
        <v>5703</v>
      </c>
      <c r="CK86" s="4">
        <v>16554</v>
      </c>
      <c r="CL86" s="4">
        <v>12893</v>
      </c>
      <c r="CM86" s="4">
        <v>16083</v>
      </c>
      <c r="CN86" s="4">
        <v>47385</v>
      </c>
      <c r="CO86" s="4">
        <v>6169</v>
      </c>
      <c r="CP86" s="4">
        <v>3497</v>
      </c>
      <c r="CQ86" s="4">
        <v>4505</v>
      </c>
      <c r="CR86" s="4">
        <v>7118</v>
      </c>
      <c r="CS86" s="4">
        <v>30483</v>
      </c>
      <c r="CT86" s="4">
        <v>21883</v>
      </c>
      <c r="CU86" s="4">
        <v>2205</v>
      </c>
      <c r="CV86" s="4">
        <v>246179</v>
      </c>
      <c r="CW86" s="4">
        <v>5349</v>
      </c>
      <c r="CX86" s="4">
        <v>1799</v>
      </c>
      <c r="CY86" s="4">
        <v>24077</v>
      </c>
      <c r="CZ86" s="4">
        <v>3087</v>
      </c>
      <c r="DA86" s="4">
        <v>6095</v>
      </c>
      <c r="DB86" s="4">
        <v>11410</v>
      </c>
      <c r="DC86" s="4">
        <v>3628</v>
      </c>
      <c r="DD86" s="4">
        <v>2888</v>
      </c>
      <c r="DE86" s="4">
        <v>2258</v>
      </c>
      <c r="DF86" s="4">
        <v>49512</v>
      </c>
      <c r="DG86" s="4">
        <v>13861</v>
      </c>
      <c r="DH86" s="4">
        <v>17025</v>
      </c>
      <c r="DI86" s="4">
        <v>3792</v>
      </c>
      <c r="DJ86" s="4">
        <v>27150</v>
      </c>
      <c r="DK86" s="4">
        <v>17252</v>
      </c>
      <c r="DL86" s="4">
        <v>10234</v>
      </c>
      <c r="DM86" s="4">
        <v>14137</v>
      </c>
      <c r="DN86" s="4">
        <v>16344</v>
      </c>
      <c r="DO86" s="4">
        <v>3100</v>
      </c>
      <c r="DP86" s="4">
        <v>7853</v>
      </c>
      <c r="DQ86" s="4">
        <v>56944</v>
      </c>
      <c r="DR86" s="4">
        <v>3202</v>
      </c>
      <c r="DS86" s="4">
        <v>6883</v>
      </c>
      <c r="DT86" s="4">
        <v>766</v>
      </c>
      <c r="DU86" s="4">
        <v>8956</v>
      </c>
      <c r="DV86" s="4">
        <v>4765</v>
      </c>
      <c r="DW86" s="4">
        <v>5290</v>
      </c>
      <c r="DX86" s="4">
        <v>8250</v>
      </c>
      <c r="DY86" s="4">
        <v>1323</v>
      </c>
      <c r="DZ86" s="4">
        <v>2249</v>
      </c>
      <c r="EA86" s="4">
        <v>9896</v>
      </c>
      <c r="EB86" s="4">
        <v>4130</v>
      </c>
      <c r="EC86" s="4">
        <v>712</v>
      </c>
      <c r="ED86" s="4">
        <v>1388</v>
      </c>
      <c r="EE86" s="4">
        <v>30612</v>
      </c>
      <c r="EF86" s="4">
        <v>3667</v>
      </c>
      <c r="EG86" s="4">
        <v>10681</v>
      </c>
      <c r="EH86" s="4">
        <v>26037</v>
      </c>
      <c r="EJ86" s="4">
        <f t="shared" si="1"/>
        <v>1498281</v>
      </c>
    </row>
    <row r="87" spans="1:140" x14ac:dyDescent="0.25">
      <c r="A87" s="4" t="s">
        <v>223</v>
      </c>
      <c r="B87" s="4">
        <v>6198</v>
      </c>
      <c r="C87" s="4">
        <v>5244</v>
      </c>
      <c r="D87" s="4">
        <v>149</v>
      </c>
      <c r="E87" s="4">
        <v>2046</v>
      </c>
      <c r="F87" s="4">
        <v>6</v>
      </c>
      <c r="G87" s="4">
        <v>28</v>
      </c>
      <c r="H87" s="4">
        <v>13920</v>
      </c>
      <c r="I87" s="4">
        <v>62</v>
      </c>
      <c r="J87" s="4">
        <v>1319</v>
      </c>
      <c r="K87" s="4">
        <v>68</v>
      </c>
      <c r="L87" s="4">
        <v>1226</v>
      </c>
      <c r="M87" s="4">
        <v>169</v>
      </c>
      <c r="N87" s="4">
        <v>10692</v>
      </c>
      <c r="O87" s="4">
        <v>1553</v>
      </c>
      <c r="P87" s="4">
        <v>702</v>
      </c>
      <c r="Q87" s="4">
        <v>7394</v>
      </c>
      <c r="R87" s="4">
        <v>65</v>
      </c>
      <c r="S87" s="4">
        <v>1678</v>
      </c>
      <c r="T87" s="4">
        <v>2536</v>
      </c>
      <c r="U87" s="4">
        <v>2510</v>
      </c>
      <c r="V87" s="4">
        <v>8061</v>
      </c>
      <c r="W87" s="4">
        <v>2653</v>
      </c>
      <c r="X87" s="4">
        <v>476</v>
      </c>
      <c r="Y87" s="4">
        <v>791</v>
      </c>
      <c r="Z87" s="4">
        <v>1128</v>
      </c>
      <c r="AA87" s="4">
        <v>911</v>
      </c>
      <c r="AB87" s="4">
        <v>5660</v>
      </c>
      <c r="AC87" s="4">
        <v>648</v>
      </c>
      <c r="AD87" s="4">
        <v>926</v>
      </c>
      <c r="AE87" s="4">
        <v>2439</v>
      </c>
      <c r="AF87" s="4">
        <v>1466</v>
      </c>
      <c r="AG87">
        <v>25418</v>
      </c>
      <c r="AH87" s="4">
        <v>521</v>
      </c>
      <c r="AI87" s="4">
        <v>1967</v>
      </c>
      <c r="AJ87" s="4">
        <v>426</v>
      </c>
      <c r="AK87" s="4">
        <v>2003</v>
      </c>
      <c r="AL87" s="4">
        <v>3946</v>
      </c>
      <c r="AM87" s="4">
        <v>758</v>
      </c>
      <c r="AN87" s="4">
        <v>315</v>
      </c>
      <c r="AO87" s="4">
        <v>9620</v>
      </c>
      <c r="AP87" s="4">
        <v>749</v>
      </c>
      <c r="AQ87" s="4">
        <v>146</v>
      </c>
      <c r="AR87" s="4">
        <v>2892</v>
      </c>
      <c r="AS87" s="4">
        <v>10534</v>
      </c>
      <c r="AT87" s="4">
        <v>2197</v>
      </c>
      <c r="AU87" s="4">
        <v>2582</v>
      </c>
      <c r="AV87" s="4">
        <v>3829</v>
      </c>
      <c r="AW87" s="4">
        <v>6451</v>
      </c>
      <c r="AX87" s="4">
        <v>27452</v>
      </c>
      <c r="AY87" s="4">
        <v>172</v>
      </c>
      <c r="AZ87" s="4">
        <v>832</v>
      </c>
      <c r="BA87" s="4">
        <v>8288</v>
      </c>
      <c r="BB87" s="4">
        <v>438</v>
      </c>
      <c r="BC87" s="4">
        <v>749</v>
      </c>
      <c r="BD87" s="4">
        <v>6707</v>
      </c>
      <c r="BE87" s="4">
        <v>3032</v>
      </c>
      <c r="BF87" s="4">
        <v>2210</v>
      </c>
      <c r="BG87" s="4">
        <v>4994</v>
      </c>
      <c r="BH87" s="4">
        <v>1701</v>
      </c>
      <c r="BI87" s="4">
        <v>32670</v>
      </c>
      <c r="BJ87" s="4">
        <v>5124</v>
      </c>
      <c r="BK87" s="4">
        <v>7095</v>
      </c>
      <c r="BL87" s="4">
        <v>3088</v>
      </c>
      <c r="BM87" s="4">
        <v>5678</v>
      </c>
      <c r="BN87" s="4">
        <v>1271</v>
      </c>
      <c r="BO87" s="4">
        <v>1607</v>
      </c>
      <c r="BP87" s="4">
        <v>25852</v>
      </c>
      <c r="BQ87" s="4">
        <v>2943</v>
      </c>
      <c r="BR87" s="4">
        <v>78129</v>
      </c>
      <c r="BS87" s="4">
        <v>9209</v>
      </c>
      <c r="BT87" s="4">
        <v>9416</v>
      </c>
      <c r="BU87" s="4">
        <v>19189</v>
      </c>
      <c r="BV87" s="4">
        <v>3416</v>
      </c>
      <c r="BW87" s="4">
        <v>15539</v>
      </c>
      <c r="BX87" s="4">
        <v>2446</v>
      </c>
      <c r="BY87" s="4">
        <v>5153</v>
      </c>
      <c r="BZ87" s="4">
        <v>23948</v>
      </c>
      <c r="CA87" s="4">
        <v>2285</v>
      </c>
      <c r="CB87" s="4">
        <v>1142</v>
      </c>
      <c r="CC87" s="4">
        <v>6688</v>
      </c>
      <c r="CD87" s="4">
        <v>4572</v>
      </c>
      <c r="CE87" s="4">
        <v>3736</v>
      </c>
      <c r="CF87" s="4">
        <v>7557</v>
      </c>
      <c r="CG87" s="4">
        <v>103185</v>
      </c>
      <c r="CH87" s="4">
        <v>14165</v>
      </c>
      <c r="CI87" s="4">
        <v>24734</v>
      </c>
      <c r="CJ87" s="4">
        <v>6152</v>
      </c>
      <c r="CK87" s="4">
        <v>16001</v>
      </c>
      <c r="CL87" s="4">
        <v>9225</v>
      </c>
      <c r="CM87" s="4">
        <v>16949</v>
      </c>
      <c r="CN87" s="4">
        <v>49188</v>
      </c>
      <c r="CO87" s="4">
        <v>5753</v>
      </c>
      <c r="CP87" s="4">
        <v>3691</v>
      </c>
      <c r="CQ87" s="4">
        <v>4575</v>
      </c>
      <c r="CR87" s="4">
        <v>7285</v>
      </c>
      <c r="CS87" s="4">
        <v>32032</v>
      </c>
      <c r="CT87" s="4">
        <v>21056</v>
      </c>
      <c r="CU87" s="4">
        <v>2113</v>
      </c>
      <c r="CV87" s="4">
        <v>260951</v>
      </c>
      <c r="CW87" s="4">
        <v>5989</v>
      </c>
      <c r="CX87" s="4">
        <v>1947</v>
      </c>
      <c r="CY87" s="4">
        <v>25394</v>
      </c>
      <c r="CZ87" s="4">
        <v>3388</v>
      </c>
      <c r="DA87" s="4">
        <v>6225</v>
      </c>
      <c r="DB87" s="4">
        <v>12773</v>
      </c>
      <c r="DC87" s="4">
        <v>3762</v>
      </c>
      <c r="DD87" s="4">
        <v>2972</v>
      </c>
      <c r="DE87" s="4">
        <v>2276</v>
      </c>
      <c r="DF87" s="4">
        <v>53450</v>
      </c>
      <c r="DG87" s="4">
        <v>16009</v>
      </c>
      <c r="DH87" s="4">
        <v>17497</v>
      </c>
      <c r="DI87" s="4">
        <v>4531</v>
      </c>
      <c r="DJ87" s="4">
        <v>28988</v>
      </c>
      <c r="DK87" s="4">
        <v>18177</v>
      </c>
      <c r="DL87" s="4">
        <v>11052</v>
      </c>
      <c r="DM87" s="4">
        <v>14589</v>
      </c>
      <c r="DN87" s="4">
        <v>20979</v>
      </c>
      <c r="DO87" s="4">
        <v>3083</v>
      </c>
      <c r="DP87" s="4">
        <v>8048</v>
      </c>
      <c r="DQ87" s="4">
        <v>59012</v>
      </c>
      <c r="DR87" s="4">
        <v>2844</v>
      </c>
      <c r="DS87" s="4">
        <v>5081</v>
      </c>
      <c r="DT87" s="4">
        <v>720</v>
      </c>
      <c r="DU87" s="4">
        <v>9435</v>
      </c>
      <c r="DV87" s="4">
        <v>4515</v>
      </c>
      <c r="DW87" s="4">
        <v>4861</v>
      </c>
      <c r="DX87" s="4">
        <v>9206</v>
      </c>
      <c r="DY87" s="4">
        <v>1493</v>
      </c>
      <c r="DZ87" s="4">
        <v>2242</v>
      </c>
      <c r="EA87" s="4">
        <v>9940</v>
      </c>
      <c r="EB87" s="4">
        <v>4426</v>
      </c>
      <c r="EC87" s="4">
        <v>646</v>
      </c>
      <c r="ED87" s="4">
        <v>1186</v>
      </c>
      <c r="EE87" s="4">
        <v>31677</v>
      </c>
      <c r="EF87" s="4">
        <v>3039</v>
      </c>
      <c r="EG87" s="4">
        <v>10738</v>
      </c>
      <c r="EH87" s="4">
        <v>25767</v>
      </c>
      <c r="EJ87" s="4">
        <f t="shared" si="1"/>
        <v>1516418</v>
      </c>
    </row>
    <row r="88" spans="1:140" x14ac:dyDescent="0.25">
      <c r="A88" s="4" t="s">
        <v>224</v>
      </c>
      <c r="B88" s="4">
        <v>6467</v>
      </c>
      <c r="C88" s="4">
        <v>6115</v>
      </c>
      <c r="D88" s="4">
        <v>260</v>
      </c>
      <c r="E88" s="4">
        <v>2853</v>
      </c>
      <c r="F88" s="4">
        <v>5</v>
      </c>
      <c r="G88" s="4">
        <v>47</v>
      </c>
      <c r="H88" s="4">
        <v>15262</v>
      </c>
      <c r="I88" s="4">
        <v>93</v>
      </c>
      <c r="J88" s="4">
        <v>1772</v>
      </c>
      <c r="K88" s="4">
        <v>83</v>
      </c>
      <c r="L88" s="4">
        <v>1360</v>
      </c>
      <c r="M88" s="4">
        <v>138</v>
      </c>
      <c r="N88" s="4">
        <v>13388</v>
      </c>
      <c r="O88" s="4">
        <v>2063</v>
      </c>
      <c r="P88" s="4">
        <v>894</v>
      </c>
      <c r="Q88" s="4">
        <v>9036</v>
      </c>
      <c r="R88" s="4">
        <v>109</v>
      </c>
      <c r="S88" s="4">
        <v>2569</v>
      </c>
      <c r="T88" s="4">
        <v>3097</v>
      </c>
      <c r="U88" s="4">
        <v>2850</v>
      </c>
      <c r="V88" s="4">
        <v>11358</v>
      </c>
      <c r="W88" s="4">
        <v>2867</v>
      </c>
      <c r="X88" s="4">
        <v>612</v>
      </c>
      <c r="Y88" s="4">
        <v>1208</v>
      </c>
      <c r="Z88" s="4">
        <v>1366</v>
      </c>
      <c r="AA88" s="4">
        <v>661</v>
      </c>
      <c r="AB88" s="4">
        <v>7400</v>
      </c>
      <c r="AC88" s="4">
        <v>903</v>
      </c>
      <c r="AD88" s="4">
        <v>716</v>
      </c>
      <c r="AE88" s="4">
        <v>1779</v>
      </c>
      <c r="AF88" s="4">
        <v>1913</v>
      </c>
      <c r="AG88">
        <v>29384</v>
      </c>
      <c r="AH88" s="4">
        <v>490</v>
      </c>
      <c r="AI88" s="4">
        <v>1812</v>
      </c>
      <c r="AJ88" s="4">
        <v>531</v>
      </c>
      <c r="AK88" s="4">
        <v>2238</v>
      </c>
      <c r="AL88" s="4">
        <v>3236</v>
      </c>
      <c r="AM88" s="4">
        <v>852</v>
      </c>
      <c r="AN88" s="4">
        <v>369</v>
      </c>
      <c r="AO88" s="4">
        <v>10439</v>
      </c>
      <c r="AP88" s="4">
        <v>893</v>
      </c>
      <c r="AQ88" s="4">
        <v>208</v>
      </c>
      <c r="AR88" s="4">
        <v>3039</v>
      </c>
      <c r="AS88" s="4">
        <v>9588</v>
      </c>
      <c r="AT88" s="4">
        <v>1905</v>
      </c>
      <c r="AU88" s="4">
        <v>2519</v>
      </c>
      <c r="AV88" s="4">
        <v>4657</v>
      </c>
      <c r="AW88" s="4">
        <v>11433</v>
      </c>
      <c r="AX88" s="4">
        <v>29702</v>
      </c>
      <c r="AY88" s="4">
        <v>172</v>
      </c>
      <c r="AZ88" s="4">
        <v>847</v>
      </c>
      <c r="BA88" s="4">
        <v>23627</v>
      </c>
      <c r="BB88" s="4">
        <v>237</v>
      </c>
      <c r="BC88" s="4">
        <v>1913</v>
      </c>
      <c r="BD88" s="4">
        <v>7476</v>
      </c>
      <c r="BE88" s="4">
        <v>3791</v>
      </c>
      <c r="BF88" s="4">
        <v>2200</v>
      </c>
      <c r="BG88" s="4">
        <v>5490</v>
      </c>
      <c r="BH88" s="4">
        <v>2451</v>
      </c>
      <c r="BI88" s="4">
        <v>32853</v>
      </c>
      <c r="BJ88" s="4">
        <v>5082</v>
      </c>
      <c r="BK88" s="4">
        <v>8203</v>
      </c>
      <c r="BL88" s="4">
        <v>3092</v>
      </c>
      <c r="BM88" s="4">
        <v>5846</v>
      </c>
      <c r="BN88" s="4">
        <v>1240</v>
      </c>
      <c r="BO88" s="4">
        <v>1771</v>
      </c>
      <c r="BP88" s="4">
        <v>26465</v>
      </c>
      <c r="BQ88" s="4">
        <v>3140</v>
      </c>
      <c r="BR88" s="4">
        <v>89004</v>
      </c>
      <c r="BS88" s="4">
        <v>10270</v>
      </c>
      <c r="BT88" s="4">
        <v>11599</v>
      </c>
      <c r="BU88" s="4">
        <v>20238</v>
      </c>
      <c r="BV88" s="4">
        <v>3626</v>
      </c>
      <c r="BW88" s="4">
        <v>14374</v>
      </c>
      <c r="BX88" s="4">
        <v>2389</v>
      </c>
      <c r="BY88" s="4">
        <v>6106</v>
      </c>
      <c r="BZ88" s="4">
        <v>23354</v>
      </c>
      <c r="CA88" s="4">
        <v>2572</v>
      </c>
      <c r="CB88" s="4">
        <v>1268</v>
      </c>
      <c r="CC88" s="4">
        <v>6910</v>
      </c>
      <c r="CD88" s="4">
        <v>4185</v>
      </c>
      <c r="CE88" s="4">
        <v>4470</v>
      </c>
      <c r="CF88" s="4">
        <v>8532</v>
      </c>
      <c r="CG88" s="4">
        <v>109024</v>
      </c>
      <c r="CH88" s="4">
        <v>15347</v>
      </c>
      <c r="CI88" s="4">
        <v>27385</v>
      </c>
      <c r="CJ88" s="4">
        <v>6930</v>
      </c>
      <c r="CK88" s="4">
        <v>16506</v>
      </c>
      <c r="CL88" s="4">
        <v>10303</v>
      </c>
      <c r="CM88" s="4">
        <v>17996</v>
      </c>
      <c r="CN88" s="4">
        <v>51486</v>
      </c>
      <c r="CO88" s="4">
        <v>6594</v>
      </c>
      <c r="CP88" s="4">
        <v>3640</v>
      </c>
      <c r="CQ88" s="4">
        <v>4935</v>
      </c>
      <c r="CR88" s="4">
        <v>7610</v>
      </c>
      <c r="CS88" s="4">
        <v>35330</v>
      </c>
      <c r="CT88" s="4">
        <v>21666</v>
      </c>
      <c r="CU88" s="4">
        <v>2503</v>
      </c>
      <c r="CV88" s="4">
        <v>279859</v>
      </c>
      <c r="CW88" s="4">
        <v>6435</v>
      </c>
      <c r="CX88" s="4">
        <v>2107</v>
      </c>
      <c r="CY88" s="4">
        <v>28801</v>
      </c>
      <c r="CZ88" s="4">
        <v>3347</v>
      </c>
      <c r="DA88" s="4">
        <v>6302</v>
      </c>
      <c r="DB88" s="4">
        <v>13952</v>
      </c>
      <c r="DC88" s="4">
        <v>4320</v>
      </c>
      <c r="DD88" s="4">
        <v>3316</v>
      </c>
      <c r="DE88" s="4">
        <v>2376</v>
      </c>
      <c r="DF88" s="4">
        <v>57690</v>
      </c>
      <c r="DG88" s="4">
        <v>18246</v>
      </c>
      <c r="DH88" s="4">
        <v>19085</v>
      </c>
      <c r="DI88" s="4">
        <v>6027</v>
      </c>
      <c r="DJ88" s="4">
        <v>30790</v>
      </c>
      <c r="DK88" s="4">
        <v>19376</v>
      </c>
      <c r="DL88" s="4">
        <v>12577</v>
      </c>
      <c r="DM88" s="4">
        <v>15593</v>
      </c>
      <c r="DN88" s="4">
        <v>25502</v>
      </c>
      <c r="DO88" s="4">
        <v>3488</v>
      </c>
      <c r="DP88" s="4">
        <v>8803</v>
      </c>
      <c r="DQ88" s="4">
        <v>66389</v>
      </c>
      <c r="DR88" s="4">
        <v>3728</v>
      </c>
      <c r="DS88" s="4">
        <v>5499</v>
      </c>
      <c r="DT88" s="4">
        <v>835</v>
      </c>
      <c r="DU88" s="4">
        <v>10519</v>
      </c>
      <c r="DV88" s="4">
        <v>5685</v>
      </c>
      <c r="DW88" s="4">
        <v>5575</v>
      </c>
      <c r="DX88" s="4">
        <v>12118</v>
      </c>
      <c r="DY88" s="4">
        <v>1705</v>
      </c>
      <c r="DZ88" s="4">
        <v>2458</v>
      </c>
      <c r="EA88" s="4">
        <v>11642</v>
      </c>
      <c r="EB88" s="4">
        <v>5897</v>
      </c>
      <c r="EC88" s="4">
        <v>675</v>
      </c>
      <c r="ED88" s="4">
        <v>1210</v>
      </c>
      <c r="EE88" s="4">
        <v>33314</v>
      </c>
      <c r="EF88" s="4">
        <v>3756</v>
      </c>
      <c r="EG88" s="4">
        <v>12031</v>
      </c>
      <c r="EH88" s="4">
        <v>27632</v>
      </c>
      <c r="EJ88" s="4">
        <f t="shared" si="1"/>
        <v>1673247</v>
      </c>
    </row>
    <row r="89" spans="1:140" x14ac:dyDescent="0.25">
      <c r="A89" s="4" t="s">
        <v>225</v>
      </c>
      <c r="B89" s="4">
        <v>6262</v>
      </c>
      <c r="C89" s="4">
        <v>5266</v>
      </c>
      <c r="D89" s="4">
        <v>157</v>
      </c>
      <c r="E89" s="4">
        <v>1837</v>
      </c>
      <c r="F89" s="4">
        <v>20</v>
      </c>
      <c r="G89" s="4">
        <v>33</v>
      </c>
      <c r="H89" s="4">
        <v>15453</v>
      </c>
      <c r="I89" s="4">
        <v>69</v>
      </c>
      <c r="J89" s="4">
        <v>1698</v>
      </c>
      <c r="K89" s="4">
        <v>52</v>
      </c>
      <c r="L89" s="4">
        <v>994</v>
      </c>
      <c r="M89" s="4">
        <v>113</v>
      </c>
      <c r="N89" s="4">
        <v>10261</v>
      </c>
      <c r="O89" s="4">
        <v>1796</v>
      </c>
      <c r="P89" s="4">
        <v>596</v>
      </c>
      <c r="Q89" s="4">
        <v>7958</v>
      </c>
      <c r="R89" s="4">
        <v>123</v>
      </c>
      <c r="S89" s="4">
        <v>1589</v>
      </c>
      <c r="T89" s="4">
        <v>3020</v>
      </c>
      <c r="U89" s="4">
        <v>2199</v>
      </c>
      <c r="V89" s="4">
        <v>7721</v>
      </c>
      <c r="W89" s="4">
        <v>2741</v>
      </c>
      <c r="X89" s="4">
        <v>559</v>
      </c>
      <c r="Y89" s="4">
        <v>779</v>
      </c>
      <c r="Z89" s="4">
        <v>1239</v>
      </c>
      <c r="AA89" s="4">
        <v>596</v>
      </c>
      <c r="AB89" s="4">
        <v>5061</v>
      </c>
      <c r="AC89" s="4">
        <v>727</v>
      </c>
      <c r="AD89" s="4">
        <v>500</v>
      </c>
      <c r="AE89" s="4">
        <v>1618</v>
      </c>
      <c r="AF89" s="4">
        <v>1467</v>
      </c>
      <c r="AG89">
        <v>26233</v>
      </c>
      <c r="AH89" s="4">
        <v>476</v>
      </c>
      <c r="AI89" s="4">
        <v>1335</v>
      </c>
      <c r="AJ89" s="4">
        <v>444</v>
      </c>
      <c r="AK89" s="4">
        <v>2447</v>
      </c>
      <c r="AL89" s="4">
        <v>2905</v>
      </c>
      <c r="AM89" s="4">
        <v>867</v>
      </c>
      <c r="AN89" s="4">
        <v>322</v>
      </c>
      <c r="AO89" s="4">
        <v>10142</v>
      </c>
      <c r="AP89" s="4">
        <v>759</v>
      </c>
      <c r="AQ89" s="4">
        <v>120</v>
      </c>
      <c r="AR89" s="4">
        <v>2177</v>
      </c>
      <c r="AS89" s="4">
        <v>6005</v>
      </c>
      <c r="AT89" s="4">
        <v>1816</v>
      </c>
      <c r="AU89" s="4">
        <v>2448</v>
      </c>
      <c r="AV89" s="4">
        <v>5248</v>
      </c>
      <c r="AW89" s="4">
        <v>9154</v>
      </c>
      <c r="AX89" s="4">
        <v>30782</v>
      </c>
      <c r="AY89" s="4">
        <v>143</v>
      </c>
      <c r="AZ89" s="4">
        <v>805</v>
      </c>
      <c r="BA89" s="4">
        <v>23395</v>
      </c>
      <c r="BB89" s="4">
        <v>313</v>
      </c>
      <c r="BC89" s="4">
        <v>696</v>
      </c>
      <c r="BD89" s="4">
        <v>9029</v>
      </c>
      <c r="BE89" s="4">
        <v>4449</v>
      </c>
      <c r="BF89" s="4">
        <v>1652</v>
      </c>
      <c r="BG89" s="4">
        <v>5173</v>
      </c>
      <c r="BH89" s="4">
        <v>2206</v>
      </c>
      <c r="BI89" s="4">
        <v>32151</v>
      </c>
      <c r="BJ89" s="4">
        <v>4426</v>
      </c>
      <c r="BK89" s="4">
        <v>6891</v>
      </c>
      <c r="BL89" s="4">
        <v>3026</v>
      </c>
      <c r="BM89" s="4">
        <v>5311</v>
      </c>
      <c r="BN89" s="4">
        <v>1096</v>
      </c>
      <c r="BO89" s="4">
        <v>1396</v>
      </c>
      <c r="BP89" s="4">
        <v>25422</v>
      </c>
      <c r="BQ89" s="4">
        <v>2484</v>
      </c>
      <c r="BR89" s="4">
        <v>80306</v>
      </c>
      <c r="BS89" s="4">
        <v>8780</v>
      </c>
      <c r="BT89" s="4">
        <v>10084</v>
      </c>
      <c r="BU89" s="4">
        <v>17107</v>
      </c>
      <c r="BV89" s="4">
        <v>2817</v>
      </c>
      <c r="BW89" s="4">
        <v>13425</v>
      </c>
      <c r="BX89" s="4">
        <v>2287</v>
      </c>
      <c r="BY89" s="4">
        <v>5364</v>
      </c>
      <c r="BZ89" s="4">
        <v>19303</v>
      </c>
      <c r="CA89" s="4">
        <v>2051</v>
      </c>
      <c r="CB89" s="4">
        <v>1038</v>
      </c>
      <c r="CC89" s="4">
        <v>6347</v>
      </c>
      <c r="CD89" s="4">
        <v>3427</v>
      </c>
      <c r="CE89" s="4">
        <v>3314</v>
      </c>
      <c r="CF89" s="4">
        <v>8138</v>
      </c>
      <c r="CG89" s="4">
        <v>98964</v>
      </c>
      <c r="CH89" s="4">
        <v>14728</v>
      </c>
      <c r="CI89" s="4">
        <v>27543</v>
      </c>
      <c r="CJ89" s="4">
        <v>6757</v>
      </c>
      <c r="CK89" s="4">
        <v>15607</v>
      </c>
      <c r="CL89" s="4">
        <v>10404</v>
      </c>
      <c r="CM89" s="4">
        <v>16264</v>
      </c>
      <c r="CN89" s="4">
        <v>46946</v>
      </c>
      <c r="CO89" s="4">
        <v>5534</v>
      </c>
      <c r="CP89" s="4">
        <v>3723</v>
      </c>
      <c r="CQ89" s="4">
        <v>4463</v>
      </c>
      <c r="CR89" s="4">
        <v>6652</v>
      </c>
      <c r="CS89" s="4">
        <v>32493</v>
      </c>
      <c r="CT89" s="4">
        <v>19247</v>
      </c>
      <c r="CU89" s="4">
        <v>1923</v>
      </c>
      <c r="CV89" s="4">
        <v>258991</v>
      </c>
      <c r="CW89" s="4">
        <v>5483</v>
      </c>
      <c r="CX89" s="4">
        <v>1915</v>
      </c>
      <c r="CY89" s="4">
        <v>24788</v>
      </c>
      <c r="CZ89" s="4">
        <v>2712</v>
      </c>
      <c r="DA89" s="4">
        <v>5520</v>
      </c>
      <c r="DB89" s="4">
        <v>11630</v>
      </c>
      <c r="DC89" s="4">
        <v>3822</v>
      </c>
      <c r="DD89" s="4">
        <v>2691</v>
      </c>
      <c r="DE89" s="4">
        <v>1703</v>
      </c>
      <c r="DF89" s="4">
        <v>48886</v>
      </c>
      <c r="DG89" s="4">
        <v>13943</v>
      </c>
      <c r="DH89" s="4">
        <v>17141</v>
      </c>
      <c r="DI89" s="4">
        <v>4420</v>
      </c>
      <c r="DJ89" s="4">
        <v>25543</v>
      </c>
      <c r="DK89" s="4">
        <v>15704</v>
      </c>
      <c r="DL89" s="4">
        <v>9503</v>
      </c>
      <c r="DM89" s="4">
        <v>13985</v>
      </c>
      <c r="DN89" s="4">
        <v>18095</v>
      </c>
      <c r="DO89" s="4">
        <v>2899</v>
      </c>
      <c r="DP89" s="4">
        <v>7486</v>
      </c>
      <c r="DQ89" s="4">
        <v>58318</v>
      </c>
      <c r="DR89" s="4">
        <v>3532</v>
      </c>
      <c r="DS89" s="4">
        <v>5295</v>
      </c>
      <c r="DT89" s="4">
        <v>753</v>
      </c>
      <c r="DU89" s="4">
        <v>9503</v>
      </c>
      <c r="DV89" s="4">
        <v>5491</v>
      </c>
      <c r="DW89" s="4">
        <v>6847</v>
      </c>
      <c r="DX89" s="4">
        <v>12613</v>
      </c>
      <c r="DY89" s="4">
        <v>1620</v>
      </c>
      <c r="DZ89" s="4">
        <v>2237</v>
      </c>
      <c r="EA89" s="4">
        <v>8166</v>
      </c>
      <c r="EB89" s="4">
        <v>5488</v>
      </c>
      <c r="EC89" s="4">
        <v>659</v>
      </c>
      <c r="ED89" s="4">
        <v>1258</v>
      </c>
      <c r="EE89" s="4">
        <v>32746</v>
      </c>
      <c r="EF89" s="4">
        <v>3881</v>
      </c>
      <c r="EG89" s="4">
        <v>12127</v>
      </c>
      <c r="EH89" s="4">
        <v>23475</v>
      </c>
      <c r="EJ89" s="4">
        <f t="shared" si="1"/>
        <v>1502153</v>
      </c>
    </row>
    <row r="90" spans="1:140" x14ac:dyDescent="0.25">
      <c r="A90" s="4" t="s">
        <v>226</v>
      </c>
      <c r="B90" s="4">
        <v>8796</v>
      </c>
      <c r="C90" s="4">
        <v>5711</v>
      </c>
      <c r="D90" s="4">
        <v>184</v>
      </c>
      <c r="E90" s="4">
        <v>2489</v>
      </c>
      <c r="F90" s="4">
        <v>5</v>
      </c>
      <c r="G90" s="4">
        <v>25</v>
      </c>
      <c r="H90" s="4">
        <v>18273</v>
      </c>
      <c r="I90" s="4">
        <v>76</v>
      </c>
      <c r="J90" s="4">
        <v>2160</v>
      </c>
      <c r="K90" s="4">
        <v>157</v>
      </c>
      <c r="L90" s="4">
        <v>1215</v>
      </c>
      <c r="M90" s="4">
        <v>117</v>
      </c>
      <c r="N90" s="4">
        <v>13455</v>
      </c>
      <c r="O90" s="4">
        <v>1946</v>
      </c>
      <c r="P90" s="4">
        <v>739</v>
      </c>
      <c r="Q90" s="4">
        <v>9116</v>
      </c>
      <c r="R90" s="4">
        <v>80</v>
      </c>
      <c r="S90" s="4">
        <v>2277</v>
      </c>
      <c r="T90" s="4">
        <v>3208</v>
      </c>
      <c r="U90" s="4">
        <v>3146</v>
      </c>
      <c r="V90" s="4">
        <v>9634</v>
      </c>
      <c r="W90" s="4">
        <v>2893</v>
      </c>
      <c r="X90" s="4">
        <v>703</v>
      </c>
      <c r="Y90" s="4">
        <v>1059</v>
      </c>
      <c r="Z90" s="4">
        <v>1912</v>
      </c>
      <c r="AA90" s="4">
        <v>687</v>
      </c>
      <c r="AB90" s="4">
        <v>5564</v>
      </c>
      <c r="AC90" s="4">
        <v>940</v>
      </c>
      <c r="AD90" s="4">
        <v>542</v>
      </c>
      <c r="AE90" s="4">
        <v>1744</v>
      </c>
      <c r="AF90" s="4">
        <v>1442</v>
      </c>
      <c r="AG90">
        <v>31017</v>
      </c>
      <c r="AH90" s="4">
        <v>535</v>
      </c>
      <c r="AI90" s="4">
        <v>1225</v>
      </c>
      <c r="AJ90" s="4">
        <v>512</v>
      </c>
      <c r="AK90" s="4">
        <v>2456</v>
      </c>
      <c r="AL90" s="4">
        <v>3001</v>
      </c>
      <c r="AM90" s="4">
        <v>984</v>
      </c>
      <c r="AN90" s="4">
        <v>348</v>
      </c>
      <c r="AO90" s="4">
        <v>10889</v>
      </c>
      <c r="AP90" s="4">
        <v>910</v>
      </c>
      <c r="AQ90" s="4">
        <v>144</v>
      </c>
      <c r="AR90" s="4">
        <v>2517</v>
      </c>
      <c r="AS90" s="4">
        <v>6754</v>
      </c>
      <c r="AT90" s="4">
        <v>1675</v>
      </c>
      <c r="AU90" s="4">
        <v>2516</v>
      </c>
      <c r="AV90" s="4">
        <v>5211</v>
      </c>
      <c r="AW90" s="4">
        <v>4065</v>
      </c>
      <c r="AX90" s="4">
        <v>28268</v>
      </c>
      <c r="AY90" s="4">
        <v>188</v>
      </c>
      <c r="AZ90" s="4">
        <v>1003</v>
      </c>
      <c r="BA90" s="4">
        <v>11459</v>
      </c>
      <c r="BB90" s="4">
        <v>265</v>
      </c>
      <c r="BC90" s="4">
        <v>793</v>
      </c>
      <c r="BD90" s="4">
        <v>7481</v>
      </c>
      <c r="BE90" s="4">
        <v>4688</v>
      </c>
      <c r="BF90" s="4">
        <v>1881</v>
      </c>
      <c r="BG90" s="4">
        <v>5479</v>
      </c>
      <c r="BH90" s="4">
        <v>2403</v>
      </c>
      <c r="BI90" s="4">
        <v>36548</v>
      </c>
      <c r="BJ90" s="4">
        <v>4856</v>
      </c>
      <c r="BK90" s="4">
        <v>7622</v>
      </c>
      <c r="BL90" s="4">
        <v>3349</v>
      </c>
      <c r="BM90" s="4">
        <v>5896</v>
      </c>
      <c r="BN90" s="4">
        <v>1225</v>
      </c>
      <c r="BO90" s="4">
        <v>1556</v>
      </c>
      <c r="BP90" s="4">
        <v>31034</v>
      </c>
      <c r="BQ90" s="4">
        <v>2862</v>
      </c>
      <c r="BR90" s="4">
        <v>87724</v>
      </c>
      <c r="BS90" s="4">
        <v>9405</v>
      </c>
      <c r="BT90" s="4">
        <v>11251</v>
      </c>
      <c r="BU90" s="4">
        <v>21311</v>
      </c>
      <c r="BV90" s="4">
        <v>3297</v>
      </c>
      <c r="BW90" s="4">
        <v>15129</v>
      </c>
      <c r="BX90" s="4">
        <v>3245</v>
      </c>
      <c r="BY90" s="4">
        <v>7961</v>
      </c>
      <c r="BZ90" s="4">
        <v>22969</v>
      </c>
      <c r="CA90" s="4">
        <v>2678</v>
      </c>
      <c r="CB90" s="4">
        <v>1283</v>
      </c>
      <c r="CC90" s="4">
        <v>7382</v>
      </c>
      <c r="CD90" s="4">
        <v>4060</v>
      </c>
      <c r="CE90" s="4">
        <v>3993</v>
      </c>
      <c r="CF90" s="4">
        <v>8342</v>
      </c>
      <c r="CG90" s="4">
        <v>113410</v>
      </c>
      <c r="CH90" s="4">
        <v>16589</v>
      </c>
      <c r="CI90" s="4">
        <v>30088</v>
      </c>
      <c r="CJ90" s="4">
        <v>8078</v>
      </c>
      <c r="CK90" s="4">
        <v>17825</v>
      </c>
      <c r="CL90" s="4">
        <v>11393</v>
      </c>
      <c r="CM90" s="4">
        <v>17784</v>
      </c>
      <c r="CN90" s="4">
        <v>52595</v>
      </c>
      <c r="CO90" s="4">
        <v>6678</v>
      </c>
      <c r="CP90" s="4">
        <v>3741</v>
      </c>
      <c r="CQ90" s="4">
        <v>4651</v>
      </c>
      <c r="CR90" s="4">
        <v>7720</v>
      </c>
      <c r="CS90" s="4">
        <v>35024</v>
      </c>
      <c r="CT90" s="4">
        <v>23022</v>
      </c>
      <c r="CU90" s="4">
        <v>2320</v>
      </c>
      <c r="CV90" s="4">
        <v>287989</v>
      </c>
      <c r="CW90" s="4">
        <v>6021</v>
      </c>
      <c r="CX90" s="4">
        <v>1729</v>
      </c>
      <c r="CY90" s="4">
        <v>25465</v>
      </c>
      <c r="CZ90" s="4">
        <v>3279</v>
      </c>
      <c r="DA90" s="4">
        <v>6429</v>
      </c>
      <c r="DB90" s="4">
        <v>11421</v>
      </c>
      <c r="DC90" s="4">
        <v>3985</v>
      </c>
      <c r="DD90" s="4">
        <v>3341</v>
      </c>
      <c r="DE90" s="4">
        <v>2236</v>
      </c>
      <c r="DF90" s="4">
        <v>56040</v>
      </c>
      <c r="DG90" s="4">
        <v>15276</v>
      </c>
      <c r="DH90" s="4">
        <v>19417</v>
      </c>
      <c r="DI90" s="4">
        <v>5096</v>
      </c>
      <c r="DJ90" s="4">
        <v>28529</v>
      </c>
      <c r="DK90" s="4">
        <v>17622</v>
      </c>
      <c r="DL90" s="4">
        <v>11106</v>
      </c>
      <c r="DM90" s="4">
        <v>14632</v>
      </c>
      <c r="DN90" s="4">
        <v>20910</v>
      </c>
      <c r="DO90" s="4">
        <v>3554</v>
      </c>
      <c r="DP90" s="4">
        <v>9495</v>
      </c>
      <c r="DQ90" s="4">
        <v>63059</v>
      </c>
      <c r="DR90" s="4">
        <v>4594</v>
      </c>
      <c r="DS90" s="4">
        <v>5903</v>
      </c>
      <c r="DT90" s="4">
        <v>979</v>
      </c>
      <c r="DU90" s="4">
        <v>9846</v>
      </c>
      <c r="DV90" s="4">
        <v>5397</v>
      </c>
      <c r="DW90" s="4">
        <v>4874</v>
      </c>
      <c r="DX90" s="4">
        <v>10837</v>
      </c>
      <c r="DY90" s="4">
        <v>1677</v>
      </c>
      <c r="DZ90" s="4">
        <v>2939</v>
      </c>
      <c r="EA90" s="4">
        <v>11222</v>
      </c>
      <c r="EB90" s="4">
        <v>5799</v>
      </c>
      <c r="EC90" s="4">
        <v>687</v>
      </c>
      <c r="ED90" s="4">
        <v>1528</v>
      </c>
      <c r="EE90" s="4">
        <v>35859</v>
      </c>
      <c r="EF90" s="4">
        <v>4108</v>
      </c>
      <c r="EG90" s="4">
        <v>13035</v>
      </c>
      <c r="EH90" s="4">
        <v>29825</v>
      </c>
      <c r="EJ90" s="4">
        <f t="shared" si="1"/>
        <v>1660598</v>
      </c>
    </row>
    <row r="91" spans="1:140" x14ac:dyDescent="0.25">
      <c r="A91" s="4" t="s">
        <v>227</v>
      </c>
      <c r="B91" s="4">
        <v>7875</v>
      </c>
      <c r="C91" s="4">
        <v>5871</v>
      </c>
      <c r="D91" s="4">
        <v>215</v>
      </c>
      <c r="E91" s="4">
        <v>2166</v>
      </c>
      <c r="F91" s="4">
        <v>9</v>
      </c>
      <c r="G91" s="4">
        <v>29</v>
      </c>
      <c r="H91" s="4">
        <v>15482</v>
      </c>
      <c r="I91" s="4">
        <v>82</v>
      </c>
      <c r="J91" s="4">
        <v>1305</v>
      </c>
      <c r="K91" s="4">
        <v>86</v>
      </c>
      <c r="L91" s="4">
        <v>1291</v>
      </c>
      <c r="M91" s="4">
        <v>116</v>
      </c>
      <c r="N91" s="4">
        <v>13024</v>
      </c>
      <c r="O91" s="4">
        <v>1879</v>
      </c>
      <c r="P91" s="4">
        <v>781</v>
      </c>
      <c r="Q91" s="4">
        <v>8712</v>
      </c>
      <c r="R91" s="4">
        <v>69</v>
      </c>
      <c r="S91" s="4">
        <v>1990</v>
      </c>
      <c r="T91" s="4">
        <v>3210</v>
      </c>
      <c r="U91" s="4">
        <v>2534</v>
      </c>
      <c r="V91" s="4">
        <v>8612</v>
      </c>
      <c r="W91" s="4">
        <v>2867</v>
      </c>
      <c r="X91" s="4">
        <v>766</v>
      </c>
      <c r="Y91" s="4">
        <v>962</v>
      </c>
      <c r="Z91" s="4">
        <v>1275</v>
      </c>
      <c r="AA91" s="4">
        <v>728</v>
      </c>
      <c r="AB91" s="4">
        <v>5977</v>
      </c>
      <c r="AC91" s="4">
        <v>967</v>
      </c>
      <c r="AD91" s="4">
        <v>557</v>
      </c>
      <c r="AE91" s="4">
        <v>1547</v>
      </c>
      <c r="AF91" s="4">
        <v>1476</v>
      </c>
      <c r="AG91">
        <v>32079</v>
      </c>
      <c r="AH91" s="4">
        <v>539</v>
      </c>
      <c r="AI91" s="4">
        <v>1078</v>
      </c>
      <c r="AJ91" s="4">
        <v>381</v>
      </c>
      <c r="AK91" s="4">
        <v>2507</v>
      </c>
      <c r="AL91" s="4">
        <v>2743</v>
      </c>
      <c r="AM91" s="4">
        <v>828</v>
      </c>
      <c r="AN91" s="4">
        <v>330</v>
      </c>
      <c r="AO91" s="4">
        <v>10174</v>
      </c>
      <c r="AP91" s="4">
        <v>616</v>
      </c>
      <c r="AQ91" s="4">
        <v>116</v>
      </c>
      <c r="AR91" s="4">
        <v>2476</v>
      </c>
      <c r="AS91" s="4">
        <v>5728</v>
      </c>
      <c r="AT91" s="4">
        <v>1659</v>
      </c>
      <c r="AU91" s="4">
        <v>2533</v>
      </c>
      <c r="AV91" s="4">
        <v>4491</v>
      </c>
      <c r="AW91" s="4">
        <v>2294</v>
      </c>
      <c r="AX91" s="4">
        <v>28667</v>
      </c>
      <c r="AY91" s="4">
        <v>130</v>
      </c>
      <c r="AZ91" s="4">
        <v>733</v>
      </c>
      <c r="BA91" s="4">
        <v>7689</v>
      </c>
      <c r="BB91" s="4">
        <v>230</v>
      </c>
      <c r="BC91" s="4">
        <v>699</v>
      </c>
      <c r="BD91" s="4">
        <v>7223</v>
      </c>
      <c r="BE91" s="4">
        <v>4203</v>
      </c>
      <c r="BF91" s="4">
        <v>1761</v>
      </c>
      <c r="BG91" s="4">
        <v>5275</v>
      </c>
      <c r="BH91" s="4">
        <v>2041</v>
      </c>
      <c r="BI91" s="4">
        <v>33122</v>
      </c>
      <c r="BJ91" s="4">
        <v>4653</v>
      </c>
      <c r="BK91" s="4">
        <v>8350</v>
      </c>
      <c r="BL91" s="4">
        <v>3233</v>
      </c>
      <c r="BM91" s="4">
        <v>6014</v>
      </c>
      <c r="BN91" s="4">
        <v>1142</v>
      </c>
      <c r="BO91" s="4">
        <v>1844</v>
      </c>
      <c r="BP91" s="4">
        <v>26735</v>
      </c>
      <c r="BQ91" s="4">
        <v>2665</v>
      </c>
      <c r="BR91" s="4">
        <v>85769</v>
      </c>
      <c r="BS91" s="4">
        <v>9430</v>
      </c>
      <c r="BT91" s="4">
        <v>11120</v>
      </c>
      <c r="BU91" s="4">
        <v>21540</v>
      </c>
      <c r="BV91" s="4">
        <v>3017</v>
      </c>
      <c r="BW91" s="4">
        <v>14040</v>
      </c>
      <c r="BX91" s="4">
        <v>4058</v>
      </c>
      <c r="BY91" s="4">
        <v>11808</v>
      </c>
      <c r="BZ91" s="4">
        <v>23021</v>
      </c>
      <c r="CA91" s="4">
        <v>2590</v>
      </c>
      <c r="CB91" s="4">
        <v>1142</v>
      </c>
      <c r="CC91" s="4">
        <v>6750</v>
      </c>
      <c r="CD91" s="4">
        <v>4296</v>
      </c>
      <c r="CE91" s="4">
        <v>3610</v>
      </c>
      <c r="CF91" s="4">
        <v>8681</v>
      </c>
      <c r="CG91" s="4">
        <v>107195</v>
      </c>
      <c r="CH91" s="4">
        <v>15501</v>
      </c>
      <c r="CI91" s="4">
        <v>27916</v>
      </c>
      <c r="CJ91" s="4">
        <v>7250</v>
      </c>
      <c r="CK91" s="4">
        <v>16519</v>
      </c>
      <c r="CL91" s="4">
        <v>10153</v>
      </c>
      <c r="CM91" s="4">
        <v>16706</v>
      </c>
      <c r="CN91" s="4">
        <v>50987</v>
      </c>
      <c r="CO91" s="4">
        <v>5807</v>
      </c>
      <c r="CP91" s="4">
        <v>3732</v>
      </c>
      <c r="CQ91" s="4">
        <v>4481</v>
      </c>
      <c r="CR91" s="4">
        <v>7005</v>
      </c>
      <c r="CS91" s="4">
        <v>32808</v>
      </c>
      <c r="CT91" s="4">
        <v>20156</v>
      </c>
      <c r="CU91" s="4">
        <v>1898</v>
      </c>
      <c r="CV91" s="4">
        <v>274741</v>
      </c>
      <c r="CW91" s="4">
        <v>6130</v>
      </c>
      <c r="CX91" s="4">
        <v>1895</v>
      </c>
      <c r="CY91" s="4">
        <v>25632</v>
      </c>
      <c r="CZ91" s="4">
        <v>3561</v>
      </c>
      <c r="DA91" s="4">
        <v>6907</v>
      </c>
      <c r="DB91" s="4">
        <v>12735</v>
      </c>
      <c r="DC91" s="4">
        <v>3889</v>
      </c>
      <c r="DD91" s="4">
        <v>3215</v>
      </c>
      <c r="DE91" s="4">
        <v>2147</v>
      </c>
      <c r="DF91" s="4">
        <v>52896</v>
      </c>
      <c r="DG91" s="4">
        <v>13898</v>
      </c>
      <c r="DH91" s="4">
        <v>16454</v>
      </c>
      <c r="DI91" s="4">
        <v>3842</v>
      </c>
      <c r="DJ91" s="4">
        <v>25525</v>
      </c>
      <c r="DK91" s="4">
        <v>16407</v>
      </c>
      <c r="DL91" s="4">
        <v>10641</v>
      </c>
      <c r="DM91" s="4">
        <v>12930</v>
      </c>
      <c r="DN91" s="4">
        <v>17507</v>
      </c>
      <c r="DO91" s="4">
        <v>3016</v>
      </c>
      <c r="DP91" s="4">
        <v>8648</v>
      </c>
      <c r="DQ91" s="4">
        <v>59101</v>
      </c>
      <c r="DR91" s="4">
        <v>3213</v>
      </c>
      <c r="DS91" s="4">
        <v>5026</v>
      </c>
      <c r="DT91" s="4">
        <v>681</v>
      </c>
      <c r="DU91" s="4">
        <v>9171</v>
      </c>
      <c r="DV91" s="4">
        <v>5153</v>
      </c>
      <c r="DW91" s="4">
        <v>4618</v>
      </c>
      <c r="DX91" s="4">
        <v>9501</v>
      </c>
      <c r="DY91" s="4">
        <v>1553</v>
      </c>
      <c r="DZ91" s="4">
        <v>2531</v>
      </c>
      <c r="EA91" s="4">
        <v>10549</v>
      </c>
      <c r="EB91" s="4">
        <v>4906</v>
      </c>
      <c r="EC91" s="4">
        <v>650</v>
      </c>
      <c r="ED91" s="4">
        <v>1264</v>
      </c>
      <c r="EE91" s="4">
        <v>35622</v>
      </c>
      <c r="EF91" s="4">
        <v>3796</v>
      </c>
      <c r="EG91" s="4">
        <v>11434</v>
      </c>
      <c r="EH91" s="4">
        <v>26612</v>
      </c>
      <c r="EJ91" s="4">
        <f t="shared" si="1"/>
        <v>1566424</v>
      </c>
    </row>
    <row r="92" spans="1:140" x14ac:dyDescent="0.25">
      <c r="A92" s="4" t="s">
        <v>228</v>
      </c>
      <c r="B92" s="4">
        <v>7779</v>
      </c>
      <c r="C92" s="4">
        <v>6272</v>
      </c>
      <c r="D92" s="4">
        <v>263</v>
      </c>
      <c r="E92" s="4">
        <v>2479</v>
      </c>
      <c r="F92" s="4">
        <v>7</v>
      </c>
      <c r="G92" s="4">
        <v>21</v>
      </c>
      <c r="H92" s="4">
        <v>16476</v>
      </c>
      <c r="I92" s="4">
        <v>71</v>
      </c>
      <c r="J92" s="4">
        <v>1455</v>
      </c>
      <c r="K92" s="4">
        <v>69</v>
      </c>
      <c r="L92" s="4">
        <v>1307</v>
      </c>
      <c r="M92" s="4">
        <v>130</v>
      </c>
      <c r="N92" s="4">
        <v>10391</v>
      </c>
      <c r="O92" s="4">
        <v>1688</v>
      </c>
      <c r="P92" s="4">
        <v>842</v>
      </c>
      <c r="Q92" s="4">
        <v>8226</v>
      </c>
      <c r="R92" s="4">
        <v>98</v>
      </c>
      <c r="S92" s="4">
        <v>1925</v>
      </c>
      <c r="T92" s="4">
        <v>2874</v>
      </c>
      <c r="U92" s="4">
        <v>2587</v>
      </c>
      <c r="V92" s="4">
        <v>8001</v>
      </c>
      <c r="W92" s="4">
        <v>3082</v>
      </c>
      <c r="X92" s="4">
        <v>797</v>
      </c>
      <c r="Y92" s="4">
        <v>966</v>
      </c>
      <c r="Z92" s="4">
        <v>1258</v>
      </c>
      <c r="AA92" s="4">
        <v>610</v>
      </c>
      <c r="AB92" s="4">
        <v>5847</v>
      </c>
      <c r="AC92" s="4">
        <v>838</v>
      </c>
      <c r="AD92" s="4">
        <v>434</v>
      </c>
      <c r="AE92" s="4">
        <v>1433</v>
      </c>
      <c r="AF92" s="4">
        <v>1416</v>
      </c>
      <c r="AG92">
        <v>28362</v>
      </c>
      <c r="AH92" s="4">
        <v>656</v>
      </c>
      <c r="AI92" s="4">
        <v>1083</v>
      </c>
      <c r="AJ92" s="4">
        <v>423</v>
      </c>
      <c r="AK92" s="4">
        <v>2371</v>
      </c>
      <c r="AL92" s="4">
        <v>3253</v>
      </c>
      <c r="AM92" s="4">
        <v>764</v>
      </c>
      <c r="AN92" s="4">
        <v>231</v>
      </c>
      <c r="AO92" s="4">
        <v>9816</v>
      </c>
      <c r="AP92" s="4">
        <v>847</v>
      </c>
      <c r="AQ92" s="4">
        <v>113</v>
      </c>
      <c r="AR92" s="4">
        <v>2517</v>
      </c>
      <c r="AS92" s="4">
        <v>6655</v>
      </c>
      <c r="AT92" s="4">
        <v>1779</v>
      </c>
      <c r="AU92" s="4">
        <v>2938</v>
      </c>
      <c r="AV92" s="4">
        <v>5079</v>
      </c>
      <c r="AW92" s="4">
        <v>2557</v>
      </c>
      <c r="AX92" s="4">
        <v>29358</v>
      </c>
      <c r="AY92" s="4">
        <v>163</v>
      </c>
      <c r="AZ92" s="4">
        <v>805</v>
      </c>
      <c r="BA92" s="4">
        <v>7066</v>
      </c>
      <c r="BB92" s="4">
        <v>267</v>
      </c>
      <c r="BC92" s="4">
        <v>734</v>
      </c>
      <c r="BD92" s="4">
        <v>6778</v>
      </c>
      <c r="BE92" s="4">
        <v>4160</v>
      </c>
      <c r="BF92" s="4">
        <v>2065</v>
      </c>
      <c r="BG92" s="4">
        <v>9850</v>
      </c>
      <c r="BH92" s="4">
        <v>1984</v>
      </c>
      <c r="BI92" s="4">
        <v>38012</v>
      </c>
      <c r="BJ92" s="4">
        <v>5354</v>
      </c>
      <c r="BK92" s="4">
        <v>9571</v>
      </c>
      <c r="BL92" s="4">
        <v>3495</v>
      </c>
      <c r="BM92" s="4">
        <v>6166</v>
      </c>
      <c r="BN92" s="4">
        <v>1735</v>
      </c>
      <c r="BO92" s="4">
        <v>1671</v>
      </c>
      <c r="BP92" s="4">
        <v>28879</v>
      </c>
      <c r="BQ92" s="4">
        <v>2861</v>
      </c>
      <c r="BR92" s="4">
        <v>89856</v>
      </c>
      <c r="BS92" s="4">
        <v>10705</v>
      </c>
      <c r="BT92" s="4">
        <v>11166</v>
      </c>
      <c r="BU92" s="4">
        <v>24827</v>
      </c>
      <c r="BV92" s="4">
        <v>3220</v>
      </c>
      <c r="BW92" s="4">
        <v>15682</v>
      </c>
      <c r="BX92" s="4">
        <v>3471</v>
      </c>
      <c r="BY92" s="4">
        <v>8287</v>
      </c>
      <c r="BZ92" s="4">
        <v>22833</v>
      </c>
      <c r="CA92" s="4">
        <v>2455</v>
      </c>
      <c r="CB92" s="4">
        <v>1052</v>
      </c>
      <c r="CC92" s="4">
        <v>7025</v>
      </c>
      <c r="CD92" s="4">
        <v>3974</v>
      </c>
      <c r="CE92" s="4">
        <v>3827</v>
      </c>
      <c r="CF92" s="4">
        <v>8577</v>
      </c>
      <c r="CG92" s="4">
        <v>105550</v>
      </c>
      <c r="CH92" s="4">
        <v>14683</v>
      </c>
      <c r="CI92" s="4">
        <v>28568</v>
      </c>
      <c r="CJ92" s="4">
        <v>8426</v>
      </c>
      <c r="CK92" s="4">
        <v>16642</v>
      </c>
      <c r="CL92" s="4">
        <v>10854</v>
      </c>
      <c r="CM92" s="4">
        <v>16373</v>
      </c>
      <c r="CN92" s="4">
        <v>48645</v>
      </c>
      <c r="CO92" s="4">
        <v>5755</v>
      </c>
      <c r="CP92" s="4">
        <v>3597</v>
      </c>
      <c r="CQ92" s="4">
        <v>4648</v>
      </c>
      <c r="CR92" s="4">
        <v>7146</v>
      </c>
      <c r="CS92" s="4">
        <v>30887</v>
      </c>
      <c r="CT92" s="4">
        <v>19453</v>
      </c>
      <c r="CU92" s="4">
        <v>1686</v>
      </c>
      <c r="CV92" s="4">
        <v>260093</v>
      </c>
      <c r="CW92" s="4">
        <v>6061</v>
      </c>
      <c r="CX92" s="4">
        <v>1705</v>
      </c>
      <c r="CY92" s="4">
        <v>24460</v>
      </c>
      <c r="CZ92" s="4">
        <v>3139</v>
      </c>
      <c r="DA92" s="4">
        <v>5999</v>
      </c>
      <c r="DB92" s="4">
        <v>12078</v>
      </c>
      <c r="DC92" s="4">
        <v>3877</v>
      </c>
      <c r="DD92" s="4">
        <v>2706</v>
      </c>
      <c r="DE92" s="4">
        <v>2103</v>
      </c>
      <c r="DF92" s="4">
        <v>52046</v>
      </c>
      <c r="DG92" s="4">
        <v>13594</v>
      </c>
      <c r="DH92" s="4">
        <v>16767</v>
      </c>
      <c r="DI92" s="4">
        <v>3583</v>
      </c>
      <c r="DJ92" s="4">
        <v>24895</v>
      </c>
      <c r="DK92" s="4">
        <v>16408</v>
      </c>
      <c r="DL92" s="4">
        <v>10338</v>
      </c>
      <c r="DM92" s="4">
        <v>12747</v>
      </c>
      <c r="DN92" s="4">
        <v>17297</v>
      </c>
      <c r="DO92" s="4">
        <v>2797</v>
      </c>
      <c r="DP92" s="4">
        <v>9836</v>
      </c>
      <c r="DQ92" s="4">
        <v>56785</v>
      </c>
      <c r="DR92" s="4">
        <v>3414</v>
      </c>
      <c r="DS92" s="4">
        <v>4770</v>
      </c>
      <c r="DT92" s="4">
        <v>768</v>
      </c>
      <c r="DU92" s="4">
        <v>10188</v>
      </c>
      <c r="DV92" s="4">
        <v>5102</v>
      </c>
      <c r="DW92" s="4">
        <v>5091</v>
      </c>
      <c r="DX92" s="4">
        <v>9943</v>
      </c>
      <c r="DY92" s="4">
        <v>1590</v>
      </c>
      <c r="DZ92" s="4">
        <v>2644</v>
      </c>
      <c r="EA92" s="4">
        <v>9826</v>
      </c>
      <c r="EB92" s="4">
        <v>4606</v>
      </c>
      <c r="EC92" s="4">
        <v>685</v>
      </c>
      <c r="ED92" s="4">
        <v>1219</v>
      </c>
      <c r="EE92" s="4">
        <v>34499</v>
      </c>
      <c r="EF92" s="4">
        <v>3724</v>
      </c>
      <c r="EG92" s="4">
        <v>12139</v>
      </c>
      <c r="EH92" s="4">
        <v>26848</v>
      </c>
      <c r="EJ92" s="4">
        <f t="shared" si="1"/>
        <v>1556300</v>
      </c>
    </row>
    <row r="93" spans="1:140" x14ac:dyDescent="0.25">
      <c r="A93" s="4" t="s">
        <v>229</v>
      </c>
      <c r="B93" s="4">
        <v>7438</v>
      </c>
      <c r="C93" s="4">
        <v>6070</v>
      </c>
      <c r="D93" s="4">
        <v>218</v>
      </c>
      <c r="E93" s="4">
        <v>2420</v>
      </c>
      <c r="F93" s="4">
        <v>12</v>
      </c>
      <c r="G93" s="4">
        <v>24</v>
      </c>
      <c r="H93" s="4">
        <v>16441</v>
      </c>
      <c r="I93" s="4">
        <v>58</v>
      </c>
      <c r="J93" s="4">
        <v>1284</v>
      </c>
      <c r="K93" s="4">
        <v>72</v>
      </c>
      <c r="L93" s="4">
        <v>1393</v>
      </c>
      <c r="M93" s="4">
        <v>157</v>
      </c>
      <c r="N93" s="4">
        <v>12505</v>
      </c>
      <c r="O93" s="4">
        <v>1746</v>
      </c>
      <c r="P93" s="4">
        <v>1080</v>
      </c>
      <c r="Q93" s="4">
        <v>8837</v>
      </c>
      <c r="R93" s="4">
        <v>116</v>
      </c>
      <c r="S93" s="4">
        <v>2125</v>
      </c>
      <c r="T93" s="4">
        <v>3185</v>
      </c>
      <c r="U93" s="4">
        <v>2659</v>
      </c>
      <c r="V93" s="4">
        <v>8653</v>
      </c>
      <c r="W93" s="4">
        <v>3222</v>
      </c>
      <c r="X93" s="4">
        <v>553</v>
      </c>
      <c r="Y93" s="4">
        <v>1092</v>
      </c>
      <c r="Z93" s="4">
        <v>1574</v>
      </c>
      <c r="AA93" s="4">
        <v>770</v>
      </c>
      <c r="AB93" s="4">
        <v>5726</v>
      </c>
      <c r="AC93" s="4">
        <v>929</v>
      </c>
      <c r="AD93" s="4">
        <v>447</v>
      </c>
      <c r="AE93" s="4">
        <v>1512</v>
      </c>
      <c r="AF93" s="4">
        <v>1665</v>
      </c>
      <c r="AG93">
        <v>30830</v>
      </c>
      <c r="AH93" s="4">
        <v>576</v>
      </c>
      <c r="AI93" s="4">
        <v>1313</v>
      </c>
      <c r="AJ93" s="4">
        <v>447</v>
      </c>
      <c r="AK93" s="4">
        <v>2282</v>
      </c>
      <c r="AL93" s="4">
        <v>3253</v>
      </c>
      <c r="AM93" s="4">
        <v>823</v>
      </c>
      <c r="AN93" s="4">
        <v>280</v>
      </c>
      <c r="AO93" s="4">
        <v>10415</v>
      </c>
      <c r="AP93" s="4">
        <v>797</v>
      </c>
      <c r="AQ93" s="4">
        <v>107</v>
      </c>
      <c r="AR93" s="4">
        <v>2597</v>
      </c>
      <c r="AS93" s="4">
        <v>6948</v>
      </c>
      <c r="AT93" s="4">
        <v>2020</v>
      </c>
      <c r="AU93" s="4">
        <v>3296</v>
      </c>
      <c r="AV93" s="4">
        <v>4627</v>
      </c>
      <c r="AW93" s="4">
        <v>4709</v>
      </c>
      <c r="AX93" s="4">
        <v>27805</v>
      </c>
      <c r="AY93" s="4">
        <v>134</v>
      </c>
      <c r="AZ93" s="4">
        <v>812</v>
      </c>
      <c r="BA93" s="4">
        <v>7935</v>
      </c>
      <c r="BB93" s="4">
        <v>280</v>
      </c>
      <c r="BC93" s="4">
        <v>836</v>
      </c>
      <c r="BD93" s="4">
        <v>7367</v>
      </c>
      <c r="BE93" s="4">
        <v>4229</v>
      </c>
      <c r="BF93" s="4">
        <v>2248</v>
      </c>
      <c r="BG93" s="4">
        <v>5900</v>
      </c>
      <c r="BH93" s="4">
        <v>2085</v>
      </c>
      <c r="BI93" s="4">
        <v>36964</v>
      </c>
      <c r="BJ93" s="4">
        <v>6252</v>
      </c>
      <c r="BK93" s="4">
        <v>8224</v>
      </c>
      <c r="BL93" s="4">
        <v>4093</v>
      </c>
      <c r="BM93" s="4">
        <v>7494</v>
      </c>
      <c r="BN93" s="4">
        <v>1890</v>
      </c>
      <c r="BO93" s="4">
        <v>1817</v>
      </c>
      <c r="BP93" s="4">
        <v>33102</v>
      </c>
      <c r="BQ93" s="4">
        <v>2923</v>
      </c>
      <c r="BR93" s="4">
        <v>90436</v>
      </c>
      <c r="BS93" s="4">
        <v>11277</v>
      </c>
      <c r="BT93" s="4">
        <v>12663</v>
      </c>
      <c r="BU93" s="4">
        <v>30685</v>
      </c>
      <c r="BV93" s="4">
        <v>3921</v>
      </c>
      <c r="BW93" s="4">
        <v>16540</v>
      </c>
      <c r="BX93" s="4">
        <v>2836</v>
      </c>
      <c r="BY93" s="4">
        <v>7854</v>
      </c>
      <c r="BZ93" s="4">
        <v>23785</v>
      </c>
      <c r="CA93" s="4">
        <v>2676</v>
      </c>
      <c r="CB93" s="4">
        <v>1114</v>
      </c>
      <c r="CC93" s="4">
        <v>6891</v>
      </c>
      <c r="CD93" s="4">
        <v>3927</v>
      </c>
      <c r="CE93" s="4">
        <v>3641</v>
      </c>
      <c r="CF93" s="4">
        <v>8655</v>
      </c>
      <c r="CG93" s="4">
        <v>108750</v>
      </c>
      <c r="CH93" s="4">
        <v>15714</v>
      </c>
      <c r="CI93" s="4">
        <v>29938</v>
      </c>
      <c r="CJ93" s="4">
        <v>7478</v>
      </c>
      <c r="CK93" s="4">
        <v>19027</v>
      </c>
      <c r="CL93" s="4">
        <v>11556</v>
      </c>
      <c r="CM93" s="4">
        <v>18837</v>
      </c>
      <c r="CN93" s="4">
        <v>53656</v>
      </c>
      <c r="CO93" s="4">
        <v>5922</v>
      </c>
      <c r="CP93" s="4">
        <v>4222</v>
      </c>
      <c r="CQ93" s="4">
        <v>4624</v>
      </c>
      <c r="CR93" s="4">
        <v>6580</v>
      </c>
      <c r="CS93" s="4">
        <v>33832</v>
      </c>
      <c r="CT93" s="4">
        <v>20171</v>
      </c>
      <c r="CU93" s="4">
        <v>1834</v>
      </c>
      <c r="CV93" s="4">
        <v>279865</v>
      </c>
      <c r="CW93" s="4">
        <v>5829</v>
      </c>
      <c r="CX93" s="4">
        <v>1823</v>
      </c>
      <c r="CY93" s="4">
        <v>25838</v>
      </c>
      <c r="CZ93" s="4">
        <v>3469</v>
      </c>
      <c r="DA93" s="4">
        <v>5962</v>
      </c>
      <c r="DB93" s="4">
        <v>12369</v>
      </c>
      <c r="DC93" s="4">
        <v>3996</v>
      </c>
      <c r="DD93" s="4">
        <v>2755</v>
      </c>
      <c r="DE93" s="4">
        <v>2283</v>
      </c>
      <c r="DF93" s="4">
        <v>53194</v>
      </c>
      <c r="DG93" s="4">
        <v>13879</v>
      </c>
      <c r="DH93" s="4">
        <v>17833</v>
      </c>
      <c r="DI93" s="4">
        <v>3150</v>
      </c>
      <c r="DJ93" s="4">
        <v>25612</v>
      </c>
      <c r="DK93" s="4">
        <v>17091</v>
      </c>
      <c r="DL93" s="4">
        <v>11147</v>
      </c>
      <c r="DM93" s="4">
        <v>13273</v>
      </c>
      <c r="DN93" s="4">
        <v>17779</v>
      </c>
      <c r="DO93" s="4">
        <v>3038</v>
      </c>
      <c r="DP93" s="4">
        <v>13299</v>
      </c>
      <c r="DQ93" s="4">
        <v>61827</v>
      </c>
      <c r="DR93" s="4">
        <v>2915</v>
      </c>
      <c r="DS93" s="4">
        <v>4577</v>
      </c>
      <c r="DT93" s="4">
        <v>781</v>
      </c>
      <c r="DU93" s="4">
        <v>10984</v>
      </c>
      <c r="DV93" s="4">
        <v>5312</v>
      </c>
      <c r="DW93" s="4">
        <v>5044</v>
      </c>
      <c r="DX93" s="4">
        <v>11219</v>
      </c>
      <c r="DY93" s="4">
        <v>1621</v>
      </c>
      <c r="DZ93" s="4">
        <v>2519</v>
      </c>
      <c r="EA93" s="4">
        <v>11133</v>
      </c>
      <c r="EB93" s="4">
        <v>5580</v>
      </c>
      <c r="EC93" s="4">
        <v>741</v>
      </c>
      <c r="ED93" s="4">
        <v>1498</v>
      </c>
      <c r="EE93" s="4">
        <v>36296</v>
      </c>
      <c r="EF93" s="4">
        <v>4396</v>
      </c>
      <c r="EG93" s="4">
        <v>12440</v>
      </c>
      <c r="EH93" s="4">
        <v>26773</v>
      </c>
      <c r="EJ93" s="4">
        <f t="shared" si="1"/>
        <v>1639875</v>
      </c>
    </row>
    <row r="94" spans="1:140" x14ac:dyDescent="0.25">
      <c r="A94" s="4" t="s">
        <v>230</v>
      </c>
      <c r="B94" s="4">
        <v>6931</v>
      </c>
      <c r="C94" s="4">
        <v>6061</v>
      </c>
      <c r="D94" s="4">
        <v>224</v>
      </c>
      <c r="E94" s="4">
        <v>2133</v>
      </c>
      <c r="F94" s="4">
        <v>3</v>
      </c>
      <c r="G94" s="4">
        <v>14</v>
      </c>
      <c r="H94" s="4">
        <v>15833</v>
      </c>
      <c r="I94" s="4">
        <v>81</v>
      </c>
      <c r="J94" s="4">
        <v>1185</v>
      </c>
      <c r="K94" s="4">
        <v>60</v>
      </c>
      <c r="L94" s="4">
        <v>1294</v>
      </c>
      <c r="M94" s="4">
        <v>131</v>
      </c>
      <c r="N94" s="4">
        <v>12208</v>
      </c>
      <c r="O94" s="4">
        <v>1839</v>
      </c>
      <c r="P94" s="4">
        <v>1059</v>
      </c>
      <c r="Q94" s="4">
        <v>9639</v>
      </c>
      <c r="R94" s="4">
        <v>63</v>
      </c>
      <c r="S94" s="4">
        <v>2125</v>
      </c>
      <c r="T94" s="4">
        <v>2937</v>
      </c>
      <c r="U94" s="4">
        <v>2585</v>
      </c>
      <c r="V94" s="4">
        <v>8107</v>
      </c>
      <c r="W94" s="4">
        <v>2862</v>
      </c>
      <c r="X94" s="4">
        <v>665</v>
      </c>
      <c r="Y94" s="4">
        <v>930</v>
      </c>
      <c r="Z94" s="4">
        <v>1454</v>
      </c>
      <c r="AA94" s="4">
        <v>638</v>
      </c>
      <c r="AB94" s="4">
        <v>5682</v>
      </c>
      <c r="AC94" s="4">
        <v>847</v>
      </c>
      <c r="AD94" s="4">
        <v>342</v>
      </c>
      <c r="AE94" s="4">
        <v>1630</v>
      </c>
      <c r="AF94" s="4">
        <v>1321</v>
      </c>
      <c r="AG94">
        <v>28886</v>
      </c>
      <c r="AH94" s="4">
        <v>452</v>
      </c>
      <c r="AI94" s="4">
        <v>1258</v>
      </c>
      <c r="AJ94" s="4">
        <v>454</v>
      </c>
      <c r="AK94" s="4">
        <v>2132</v>
      </c>
      <c r="AL94" s="4">
        <v>2775</v>
      </c>
      <c r="AM94" s="4">
        <v>782</v>
      </c>
      <c r="AN94" s="4">
        <v>266</v>
      </c>
      <c r="AO94" s="4">
        <v>9617</v>
      </c>
      <c r="AP94" s="4">
        <v>655</v>
      </c>
      <c r="AQ94" s="4">
        <v>124</v>
      </c>
      <c r="AR94" s="4">
        <v>2630</v>
      </c>
      <c r="AS94" s="4">
        <v>5989</v>
      </c>
      <c r="AT94" s="4">
        <v>1720</v>
      </c>
      <c r="AU94" s="4">
        <v>3153</v>
      </c>
      <c r="AV94" s="4">
        <v>4285</v>
      </c>
      <c r="AW94" s="4">
        <v>2998</v>
      </c>
      <c r="AX94" s="4">
        <v>28034</v>
      </c>
      <c r="AY94" s="4">
        <v>174</v>
      </c>
      <c r="AZ94" s="4">
        <v>1130</v>
      </c>
      <c r="BA94" s="4">
        <v>7078</v>
      </c>
      <c r="BB94" s="4">
        <v>233</v>
      </c>
      <c r="BC94" s="4">
        <v>773</v>
      </c>
      <c r="BD94" s="4">
        <v>6993</v>
      </c>
      <c r="BE94" s="4">
        <v>4682</v>
      </c>
      <c r="BF94" s="4">
        <v>2320</v>
      </c>
      <c r="BG94" s="4">
        <v>5487</v>
      </c>
      <c r="BH94" s="4">
        <v>2070</v>
      </c>
      <c r="BI94" s="4">
        <v>36324</v>
      </c>
      <c r="BJ94" s="4">
        <v>5427</v>
      </c>
      <c r="BK94" s="4">
        <v>7117</v>
      </c>
      <c r="BL94" s="4">
        <v>3856</v>
      </c>
      <c r="BM94" s="4">
        <v>5756</v>
      </c>
      <c r="BN94" s="4">
        <v>2130</v>
      </c>
      <c r="BO94" s="4">
        <v>2121</v>
      </c>
      <c r="BP94" s="4">
        <v>31628</v>
      </c>
      <c r="BQ94" s="4">
        <v>3012</v>
      </c>
      <c r="BR94" s="4">
        <v>83780</v>
      </c>
      <c r="BS94" s="4">
        <v>8995</v>
      </c>
      <c r="BT94" s="4">
        <v>12077</v>
      </c>
      <c r="BU94" s="4">
        <v>30108</v>
      </c>
      <c r="BV94" s="4">
        <v>4145</v>
      </c>
      <c r="BW94" s="4">
        <v>15985</v>
      </c>
      <c r="BX94" s="4">
        <v>2630</v>
      </c>
      <c r="BY94" s="4">
        <v>6062</v>
      </c>
      <c r="BZ94" s="4">
        <v>20431</v>
      </c>
      <c r="CA94" s="4">
        <v>2607</v>
      </c>
      <c r="CB94" s="4">
        <v>1134</v>
      </c>
      <c r="CC94" s="4">
        <v>6835</v>
      </c>
      <c r="CD94" s="4">
        <v>4463</v>
      </c>
      <c r="CE94" s="4">
        <v>3683</v>
      </c>
      <c r="CF94" s="4">
        <v>8118</v>
      </c>
      <c r="CG94" s="4">
        <v>101812</v>
      </c>
      <c r="CH94" s="4">
        <v>14792</v>
      </c>
      <c r="CI94" s="4">
        <v>29583</v>
      </c>
      <c r="CJ94" s="4">
        <v>7781</v>
      </c>
      <c r="CK94" s="4">
        <v>17158</v>
      </c>
      <c r="CL94" s="4">
        <v>11300</v>
      </c>
      <c r="CM94" s="4">
        <v>16842</v>
      </c>
      <c r="CN94" s="4">
        <v>49786</v>
      </c>
      <c r="CO94" s="4">
        <v>6944</v>
      </c>
      <c r="CP94" s="4">
        <v>3849</v>
      </c>
      <c r="CQ94" s="4">
        <v>4766</v>
      </c>
      <c r="CR94" s="4">
        <v>7086</v>
      </c>
      <c r="CS94" s="4">
        <v>32824</v>
      </c>
      <c r="CT94" s="4">
        <v>20608</v>
      </c>
      <c r="CU94" s="4">
        <v>1743</v>
      </c>
      <c r="CV94" s="4">
        <v>267137</v>
      </c>
      <c r="CW94" s="4">
        <v>5932</v>
      </c>
      <c r="CX94" s="4">
        <v>1619</v>
      </c>
      <c r="CY94" s="4">
        <v>25863</v>
      </c>
      <c r="CZ94" s="4">
        <v>3270</v>
      </c>
      <c r="DA94" s="4">
        <v>5895</v>
      </c>
      <c r="DB94" s="4">
        <v>12333</v>
      </c>
      <c r="DC94" s="4">
        <v>3760</v>
      </c>
      <c r="DD94" s="4">
        <v>2632</v>
      </c>
      <c r="DE94" s="4">
        <v>1840</v>
      </c>
      <c r="DF94" s="4">
        <v>49221</v>
      </c>
      <c r="DG94" s="4">
        <v>13178</v>
      </c>
      <c r="DH94" s="4">
        <v>16001</v>
      </c>
      <c r="DI94" s="4">
        <v>3456</v>
      </c>
      <c r="DJ94" s="4">
        <v>22877</v>
      </c>
      <c r="DK94" s="4">
        <v>16929</v>
      </c>
      <c r="DL94" s="4">
        <v>9638</v>
      </c>
      <c r="DM94" s="4">
        <v>12789</v>
      </c>
      <c r="DN94" s="4">
        <v>16348</v>
      </c>
      <c r="DO94" s="4">
        <v>2897</v>
      </c>
      <c r="DP94" s="4">
        <v>9799</v>
      </c>
      <c r="DQ94" s="4">
        <v>55073</v>
      </c>
      <c r="DR94" s="4">
        <v>2672</v>
      </c>
      <c r="DS94" s="4">
        <v>4860</v>
      </c>
      <c r="DT94" s="4">
        <v>771</v>
      </c>
      <c r="DU94" s="4">
        <v>9527</v>
      </c>
      <c r="DV94" s="4">
        <v>5115</v>
      </c>
      <c r="DW94" s="4">
        <v>5008</v>
      </c>
      <c r="DX94" s="4">
        <v>12865</v>
      </c>
      <c r="DY94" s="4">
        <v>1798</v>
      </c>
      <c r="DZ94" s="4">
        <v>2360</v>
      </c>
      <c r="EA94" s="4">
        <v>10830</v>
      </c>
      <c r="EB94" s="4">
        <v>5541</v>
      </c>
      <c r="EC94" s="4">
        <v>780</v>
      </c>
      <c r="ED94" s="4">
        <v>1479</v>
      </c>
      <c r="EE94" s="4">
        <v>35896</v>
      </c>
      <c r="EF94" s="4">
        <v>4242</v>
      </c>
      <c r="EG94" s="4">
        <v>12056</v>
      </c>
      <c r="EH94" s="4">
        <v>26330</v>
      </c>
      <c r="EJ94" s="4">
        <f t="shared" si="1"/>
        <v>1553948</v>
      </c>
    </row>
    <row r="95" spans="1:140" x14ac:dyDescent="0.25">
      <c r="A95" s="4" t="s">
        <v>231</v>
      </c>
      <c r="B95" s="4">
        <v>6924</v>
      </c>
      <c r="C95" s="4">
        <v>5869</v>
      </c>
      <c r="D95" s="4">
        <v>220</v>
      </c>
      <c r="E95" s="4">
        <v>2459</v>
      </c>
      <c r="F95" s="4">
        <v>9</v>
      </c>
      <c r="G95" s="4">
        <v>25</v>
      </c>
      <c r="H95" s="4">
        <v>15607</v>
      </c>
      <c r="I95" s="4">
        <v>76</v>
      </c>
      <c r="J95" s="4">
        <v>1382</v>
      </c>
      <c r="K95" s="4">
        <v>69</v>
      </c>
      <c r="L95" s="4">
        <v>1302</v>
      </c>
      <c r="M95" s="4">
        <v>141</v>
      </c>
      <c r="N95" s="4">
        <v>11550</v>
      </c>
      <c r="O95" s="4">
        <v>1904</v>
      </c>
      <c r="P95" s="4">
        <v>1041</v>
      </c>
      <c r="Q95" s="4">
        <v>7210</v>
      </c>
      <c r="R95" s="4">
        <v>84</v>
      </c>
      <c r="S95" s="4">
        <v>1986</v>
      </c>
      <c r="T95" s="4">
        <v>2398</v>
      </c>
      <c r="U95" s="4">
        <v>2423</v>
      </c>
      <c r="V95" s="4">
        <v>6780</v>
      </c>
      <c r="W95" s="4">
        <v>2887</v>
      </c>
      <c r="X95" s="4">
        <v>574</v>
      </c>
      <c r="Y95" s="4">
        <v>2255</v>
      </c>
      <c r="Z95" s="4">
        <v>1849</v>
      </c>
      <c r="AA95" s="4">
        <v>606</v>
      </c>
      <c r="AB95" s="4">
        <v>4358</v>
      </c>
      <c r="AC95" s="4">
        <v>747</v>
      </c>
      <c r="AD95" s="4">
        <v>346</v>
      </c>
      <c r="AE95" s="4">
        <v>1455</v>
      </c>
      <c r="AF95" s="4">
        <v>1332</v>
      </c>
      <c r="AG95">
        <v>29223</v>
      </c>
      <c r="AH95" s="4">
        <v>466</v>
      </c>
      <c r="AI95" s="4">
        <v>1265</v>
      </c>
      <c r="AJ95" s="4">
        <v>495</v>
      </c>
      <c r="AK95" s="4">
        <v>2375</v>
      </c>
      <c r="AL95" s="4">
        <v>2636</v>
      </c>
      <c r="AM95" s="4">
        <v>748</v>
      </c>
      <c r="AN95" s="4">
        <v>324</v>
      </c>
      <c r="AO95" s="4">
        <v>10043</v>
      </c>
      <c r="AP95" s="4">
        <v>791</v>
      </c>
      <c r="AQ95" s="4">
        <v>102</v>
      </c>
      <c r="AR95" s="4">
        <v>2127</v>
      </c>
      <c r="AS95" s="4">
        <v>6137</v>
      </c>
      <c r="AT95" s="4">
        <v>1564</v>
      </c>
      <c r="AU95" s="4">
        <v>8868</v>
      </c>
      <c r="AV95" s="4">
        <v>4278</v>
      </c>
      <c r="AW95" s="4">
        <v>3376</v>
      </c>
      <c r="AX95" s="4">
        <v>27730</v>
      </c>
      <c r="AY95" s="4">
        <v>210</v>
      </c>
      <c r="AZ95" s="4">
        <v>657</v>
      </c>
      <c r="BA95" s="4">
        <v>7628</v>
      </c>
      <c r="BB95" s="4">
        <v>294</v>
      </c>
      <c r="BC95" s="4">
        <v>710</v>
      </c>
      <c r="BD95" s="4">
        <v>7391</v>
      </c>
      <c r="BE95" s="4">
        <v>4030</v>
      </c>
      <c r="BF95" s="4">
        <v>4433</v>
      </c>
      <c r="BG95" s="4">
        <v>5784</v>
      </c>
      <c r="BH95" s="4">
        <v>1946</v>
      </c>
      <c r="BI95" s="4">
        <v>36851</v>
      </c>
      <c r="BJ95" s="4">
        <v>5128</v>
      </c>
      <c r="BK95" s="4">
        <v>6619</v>
      </c>
      <c r="BL95" s="4">
        <v>3867</v>
      </c>
      <c r="BM95" s="4">
        <v>6163</v>
      </c>
      <c r="BN95" s="4">
        <v>1495</v>
      </c>
      <c r="BO95" s="4">
        <v>1403</v>
      </c>
      <c r="BP95" s="4">
        <v>27584</v>
      </c>
      <c r="BQ95" s="4">
        <v>2731</v>
      </c>
      <c r="BR95" s="4">
        <v>79400</v>
      </c>
      <c r="BS95" s="4">
        <v>9188</v>
      </c>
      <c r="BT95" s="4">
        <v>8717</v>
      </c>
      <c r="BU95" s="4">
        <v>25134</v>
      </c>
      <c r="BV95" s="4">
        <v>3479</v>
      </c>
      <c r="BW95" s="4">
        <v>13430</v>
      </c>
      <c r="BX95" s="4">
        <v>2217</v>
      </c>
      <c r="BY95" s="4">
        <v>5281</v>
      </c>
      <c r="BZ95" s="4">
        <v>20541</v>
      </c>
      <c r="CA95" s="4">
        <v>2209</v>
      </c>
      <c r="CB95" s="4">
        <v>989</v>
      </c>
      <c r="CC95" s="4">
        <v>6225</v>
      </c>
      <c r="CD95" s="4">
        <v>3526</v>
      </c>
      <c r="CE95" s="4">
        <v>3628</v>
      </c>
      <c r="CF95" s="4">
        <v>8306</v>
      </c>
      <c r="CG95" s="4">
        <v>103433</v>
      </c>
      <c r="CH95" s="4">
        <v>17501</v>
      </c>
      <c r="CI95" s="4">
        <v>39125</v>
      </c>
      <c r="CJ95" s="4">
        <v>14540</v>
      </c>
      <c r="CK95" s="4">
        <v>17377</v>
      </c>
      <c r="CL95" s="4">
        <v>9956</v>
      </c>
      <c r="CM95" s="4">
        <v>17254</v>
      </c>
      <c r="CN95" s="4">
        <v>48800</v>
      </c>
      <c r="CO95" s="4">
        <v>6218</v>
      </c>
      <c r="CP95" s="4">
        <v>3776</v>
      </c>
      <c r="CQ95" s="4">
        <v>4653</v>
      </c>
      <c r="CR95" s="4">
        <v>5890</v>
      </c>
      <c r="CS95" s="4">
        <v>31638</v>
      </c>
      <c r="CT95" s="4">
        <v>19368</v>
      </c>
      <c r="CU95" s="4">
        <v>1876</v>
      </c>
      <c r="CV95" s="4">
        <v>254372</v>
      </c>
      <c r="CW95" s="4">
        <v>5521</v>
      </c>
      <c r="CX95" s="4">
        <v>1465</v>
      </c>
      <c r="CY95" s="4">
        <v>24172</v>
      </c>
      <c r="CZ95" s="4">
        <v>3093</v>
      </c>
      <c r="DA95" s="4">
        <v>5618</v>
      </c>
      <c r="DB95" s="4">
        <v>11565</v>
      </c>
      <c r="DC95" s="4">
        <v>3762</v>
      </c>
      <c r="DD95" s="4">
        <v>2506</v>
      </c>
      <c r="DE95" s="4">
        <v>1786</v>
      </c>
      <c r="DF95" s="4">
        <v>49803</v>
      </c>
      <c r="DG95" s="4">
        <v>12963</v>
      </c>
      <c r="DH95" s="4">
        <v>15755</v>
      </c>
      <c r="DI95" s="4">
        <v>3223</v>
      </c>
      <c r="DJ95" s="4">
        <v>25606</v>
      </c>
      <c r="DK95" s="4">
        <v>16921</v>
      </c>
      <c r="DL95" s="4">
        <v>9506</v>
      </c>
      <c r="DM95" s="4">
        <v>13139</v>
      </c>
      <c r="DN95" s="4">
        <v>16241</v>
      </c>
      <c r="DO95" s="4">
        <v>2781</v>
      </c>
      <c r="DP95" s="4">
        <v>7824</v>
      </c>
      <c r="DQ95" s="4">
        <v>56852</v>
      </c>
      <c r="DR95" s="4">
        <v>2573</v>
      </c>
      <c r="DS95" s="4">
        <v>4733</v>
      </c>
      <c r="DT95" s="4">
        <v>835</v>
      </c>
      <c r="DU95" s="4">
        <v>10072</v>
      </c>
      <c r="DV95" s="4">
        <v>5363</v>
      </c>
      <c r="DW95" s="4">
        <v>6863</v>
      </c>
      <c r="DX95" s="4">
        <v>10998</v>
      </c>
      <c r="DY95" s="4">
        <v>1877</v>
      </c>
      <c r="DZ95" s="4">
        <v>3684</v>
      </c>
      <c r="EA95" s="4">
        <v>10696</v>
      </c>
      <c r="EB95" s="4">
        <v>5411</v>
      </c>
      <c r="EC95" s="4">
        <v>714</v>
      </c>
      <c r="ED95" s="4">
        <v>1137</v>
      </c>
      <c r="EE95" s="4">
        <v>38407</v>
      </c>
      <c r="EF95" s="4">
        <v>4633</v>
      </c>
      <c r="EG95" s="4">
        <v>14422</v>
      </c>
      <c r="EH95" s="4">
        <v>24516</v>
      </c>
      <c r="EJ95" s="4">
        <f t="shared" si="1"/>
        <v>1538423</v>
      </c>
    </row>
    <row r="96" spans="1:140" x14ac:dyDescent="0.25">
      <c r="A96" s="4" t="s">
        <v>232</v>
      </c>
      <c r="B96" s="4">
        <v>8321</v>
      </c>
      <c r="C96" s="4">
        <v>5963</v>
      </c>
      <c r="D96" s="4">
        <v>341</v>
      </c>
      <c r="E96" s="4">
        <v>2342</v>
      </c>
      <c r="F96" s="4">
        <v>4</v>
      </c>
      <c r="G96" s="4">
        <v>27</v>
      </c>
      <c r="H96" s="4">
        <v>15439</v>
      </c>
      <c r="I96" s="4">
        <v>76</v>
      </c>
      <c r="J96" s="4">
        <v>1056</v>
      </c>
      <c r="K96" s="4">
        <v>65</v>
      </c>
      <c r="L96" s="4">
        <v>1187</v>
      </c>
      <c r="M96" s="4">
        <v>120</v>
      </c>
      <c r="N96" s="4">
        <v>11446</v>
      </c>
      <c r="O96" s="4">
        <v>1580</v>
      </c>
      <c r="P96" s="4">
        <v>1457</v>
      </c>
      <c r="Q96" s="4">
        <v>8526</v>
      </c>
      <c r="R96" s="4">
        <v>53</v>
      </c>
      <c r="S96" s="4">
        <v>2130</v>
      </c>
      <c r="T96" s="4">
        <v>2651</v>
      </c>
      <c r="U96" s="4">
        <v>3267</v>
      </c>
      <c r="V96" s="4">
        <v>9017</v>
      </c>
      <c r="W96" s="4">
        <v>3011</v>
      </c>
      <c r="X96" s="4">
        <v>697</v>
      </c>
      <c r="Y96" s="4">
        <v>1097</v>
      </c>
      <c r="Z96" s="4">
        <v>2201</v>
      </c>
      <c r="AA96" s="4">
        <v>580</v>
      </c>
      <c r="AB96" s="4">
        <v>5477</v>
      </c>
      <c r="AC96" s="4">
        <v>928</v>
      </c>
      <c r="AD96" s="4">
        <v>429</v>
      </c>
      <c r="AE96" s="4">
        <v>1522</v>
      </c>
      <c r="AF96" s="4">
        <v>1235</v>
      </c>
      <c r="AG96">
        <v>29980</v>
      </c>
      <c r="AH96" s="4">
        <v>491</v>
      </c>
      <c r="AI96" s="4">
        <v>1447</v>
      </c>
      <c r="AJ96" s="4">
        <v>423</v>
      </c>
      <c r="AK96" s="4">
        <v>2399</v>
      </c>
      <c r="AL96" s="4">
        <v>3018</v>
      </c>
      <c r="AM96" s="4">
        <v>875</v>
      </c>
      <c r="AN96" s="4">
        <v>490</v>
      </c>
      <c r="AO96" s="4">
        <v>9651</v>
      </c>
      <c r="AP96" s="4">
        <v>706</v>
      </c>
      <c r="AQ96" s="4">
        <v>148</v>
      </c>
      <c r="AR96" s="4">
        <v>2548</v>
      </c>
      <c r="AS96" s="4">
        <v>6163</v>
      </c>
      <c r="AT96" s="4">
        <v>1721</v>
      </c>
      <c r="AU96" s="4">
        <v>6464</v>
      </c>
      <c r="AV96" s="4">
        <v>4247</v>
      </c>
      <c r="AW96" s="4">
        <v>3197</v>
      </c>
      <c r="AX96" s="4">
        <v>27624</v>
      </c>
      <c r="AY96" s="4">
        <v>151</v>
      </c>
      <c r="AZ96" s="4">
        <v>724</v>
      </c>
      <c r="BA96" s="4">
        <v>8076</v>
      </c>
      <c r="BB96" s="4">
        <v>353</v>
      </c>
      <c r="BC96" s="4">
        <v>761</v>
      </c>
      <c r="BD96" s="4">
        <v>7123</v>
      </c>
      <c r="BE96" s="4">
        <v>4377</v>
      </c>
      <c r="BF96" s="4">
        <v>5846</v>
      </c>
      <c r="BG96" s="4">
        <v>5155</v>
      </c>
      <c r="BH96" s="4">
        <v>2023</v>
      </c>
      <c r="BI96" s="4">
        <v>29062</v>
      </c>
      <c r="BJ96" s="4">
        <v>4945</v>
      </c>
      <c r="BK96" s="4">
        <v>6375</v>
      </c>
      <c r="BL96" s="4">
        <v>3710</v>
      </c>
      <c r="BM96" s="4">
        <v>5693</v>
      </c>
      <c r="BN96" s="4">
        <v>1329</v>
      </c>
      <c r="BO96" s="4">
        <v>1598</v>
      </c>
      <c r="BP96" s="4">
        <v>29608</v>
      </c>
      <c r="BQ96" s="4">
        <v>3067</v>
      </c>
      <c r="BR96" s="4">
        <v>77256</v>
      </c>
      <c r="BS96" s="4">
        <v>9083</v>
      </c>
      <c r="BT96" s="4">
        <v>9885</v>
      </c>
      <c r="BU96" s="4">
        <v>21627</v>
      </c>
      <c r="BV96" s="4">
        <v>3146</v>
      </c>
      <c r="BW96" s="4">
        <v>13635</v>
      </c>
      <c r="BX96" s="4">
        <v>2560</v>
      </c>
      <c r="BY96" s="4">
        <v>5221</v>
      </c>
      <c r="BZ96" s="4">
        <v>22607</v>
      </c>
      <c r="CA96" s="4">
        <v>2716</v>
      </c>
      <c r="CB96" s="4">
        <v>1086</v>
      </c>
      <c r="CC96" s="4">
        <v>7674</v>
      </c>
      <c r="CD96" s="4">
        <v>3561</v>
      </c>
      <c r="CE96" s="4">
        <v>4044</v>
      </c>
      <c r="CF96" s="4">
        <v>7762</v>
      </c>
      <c r="CG96" s="4">
        <v>100340</v>
      </c>
      <c r="CH96" s="4">
        <v>25948</v>
      </c>
      <c r="CI96" s="4">
        <v>37155</v>
      </c>
      <c r="CJ96" s="4">
        <v>9528</v>
      </c>
      <c r="CK96" s="4">
        <v>21796</v>
      </c>
      <c r="CL96" s="4">
        <v>13899</v>
      </c>
      <c r="CM96" s="4">
        <v>24513</v>
      </c>
      <c r="CN96" s="4">
        <v>50429</v>
      </c>
      <c r="CO96" s="4">
        <v>7548</v>
      </c>
      <c r="CP96" s="4">
        <v>3232</v>
      </c>
      <c r="CQ96" s="4">
        <v>6257</v>
      </c>
      <c r="CR96" s="4">
        <v>8019</v>
      </c>
      <c r="CS96" s="4">
        <v>32784</v>
      </c>
      <c r="CT96" s="4">
        <v>19069</v>
      </c>
      <c r="CU96" s="4">
        <v>1791</v>
      </c>
      <c r="CV96" s="4">
        <v>261534</v>
      </c>
      <c r="CW96" s="4">
        <v>7633</v>
      </c>
      <c r="CX96" s="4">
        <v>1665</v>
      </c>
      <c r="CY96" s="4">
        <v>24287</v>
      </c>
      <c r="CZ96" s="4">
        <v>4829</v>
      </c>
      <c r="DA96" s="4">
        <v>5485</v>
      </c>
      <c r="DB96" s="4">
        <v>11332</v>
      </c>
      <c r="DC96" s="4">
        <v>3678</v>
      </c>
      <c r="DD96" s="4">
        <v>2435</v>
      </c>
      <c r="DE96" s="4">
        <v>1766</v>
      </c>
      <c r="DF96" s="4">
        <v>50308</v>
      </c>
      <c r="DG96" s="4">
        <v>12826</v>
      </c>
      <c r="DH96" s="4">
        <v>15831</v>
      </c>
      <c r="DI96" s="4">
        <v>3908</v>
      </c>
      <c r="DJ96" s="4">
        <v>24291</v>
      </c>
      <c r="DK96" s="4">
        <v>16308</v>
      </c>
      <c r="DL96" s="4">
        <v>9469</v>
      </c>
      <c r="DM96" s="4">
        <v>13858</v>
      </c>
      <c r="DN96" s="4">
        <v>16381</v>
      </c>
      <c r="DO96" s="4">
        <v>3003</v>
      </c>
      <c r="DP96" s="4">
        <v>7927</v>
      </c>
      <c r="DQ96" s="4">
        <v>58860</v>
      </c>
      <c r="DR96" s="4">
        <v>2758</v>
      </c>
      <c r="DS96" s="4">
        <v>4739</v>
      </c>
      <c r="DT96" s="4">
        <v>830</v>
      </c>
      <c r="DU96" s="4">
        <v>9784</v>
      </c>
      <c r="DV96" s="4">
        <v>5589</v>
      </c>
      <c r="DW96" s="4">
        <v>5627</v>
      </c>
      <c r="DX96" s="4">
        <v>11520</v>
      </c>
      <c r="DY96" s="4">
        <v>1810</v>
      </c>
      <c r="DZ96" s="4">
        <v>3955</v>
      </c>
      <c r="EA96" s="4">
        <v>11153</v>
      </c>
      <c r="EB96" s="4">
        <v>6881</v>
      </c>
      <c r="EC96" s="4">
        <v>727</v>
      </c>
      <c r="ED96" s="4">
        <v>1230</v>
      </c>
      <c r="EE96" s="4">
        <v>37437</v>
      </c>
      <c r="EF96" s="4">
        <v>4962</v>
      </c>
      <c r="EG96" s="4">
        <v>17937</v>
      </c>
      <c r="EH96" s="4">
        <v>25150</v>
      </c>
      <c r="EJ96" s="4">
        <f t="shared" si="1"/>
        <v>1577687</v>
      </c>
    </row>
    <row r="97" spans="1:140" x14ac:dyDescent="0.25">
      <c r="A97" s="4" t="s">
        <v>233</v>
      </c>
      <c r="B97" s="4">
        <v>7110</v>
      </c>
      <c r="C97" s="4">
        <v>6635</v>
      </c>
      <c r="D97" s="4">
        <v>252</v>
      </c>
      <c r="E97" s="4">
        <v>2401</v>
      </c>
      <c r="F97" s="4">
        <v>10</v>
      </c>
      <c r="G97" s="4">
        <v>20</v>
      </c>
      <c r="H97" s="4">
        <v>17630</v>
      </c>
      <c r="I97" s="4">
        <v>78</v>
      </c>
      <c r="J97" s="4">
        <v>1377</v>
      </c>
      <c r="K97" s="4">
        <v>71</v>
      </c>
      <c r="L97" s="4">
        <v>1297</v>
      </c>
      <c r="M97" s="4">
        <v>240</v>
      </c>
      <c r="N97" s="4">
        <v>14334</v>
      </c>
      <c r="O97" s="4">
        <v>2101</v>
      </c>
      <c r="P97" s="4">
        <v>2142</v>
      </c>
      <c r="Q97" s="4">
        <v>9513</v>
      </c>
      <c r="R97" s="4">
        <v>63</v>
      </c>
      <c r="S97" s="4">
        <v>2277</v>
      </c>
      <c r="T97" s="4">
        <v>3825</v>
      </c>
      <c r="U97" s="4">
        <v>2797</v>
      </c>
      <c r="V97" s="4">
        <v>9341</v>
      </c>
      <c r="W97" s="4">
        <v>3443</v>
      </c>
      <c r="X97" s="4">
        <v>778</v>
      </c>
      <c r="Y97" s="4">
        <v>1441</v>
      </c>
      <c r="Z97" s="4">
        <v>2082</v>
      </c>
      <c r="AA97" s="4">
        <v>799</v>
      </c>
      <c r="AB97" s="4">
        <v>7409</v>
      </c>
      <c r="AC97" s="4">
        <v>1376</v>
      </c>
      <c r="AD97" s="4">
        <v>428</v>
      </c>
      <c r="AE97" s="4">
        <v>1653</v>
      </c>
      <c r="AF97" s="4">
        <v>2658</v>
      </c>
      <c r="AG97">
        <v>27390</v>
      </c>
      <c r="AH97" s="4">
        <v>460</v>
      </c>
      <c r="AI97" s="4">
        <v>1579</v>
      </c>
      <c r="AJ97" s="4">
        <v>396</v>
      </c>
      <c r="AK97" s="4">
        <v>2361</v>
      </c>
      <c r="AL97" s="4">
        <v>3459</v>
      </c>
      <c r="AM97" s="4">
        <v>844</v>
      </c>
      <c r="AN97" s="4">
        <v>364</v>
      </c>
      <c r="AO97" s="4">
        <v>11115</v>
      </c>
      <c r="AP97" s="4">
        <v>757</v>
      </c>
      <c r="AQ97" s="4">
        <v>99</v>
      </c>
      <c r="AR97" s="4">
        <v>3005</v>
      </c>
      <c r="AS97" s="4">
        <v>6202</v>
      </c>
      <c r="AT97" s="4">
        <v>1667</v>
      </c>
      <c r="AU97" s="4">
        <v>6541</v>
      </c>
      <c r="AV97" s="4">
        <v>4620</v>
      </c>
      <c r="AW97" s="4">
        <v>4025</v>
      </c>
      <c r="AX97" s="4">
        <v>29233</v>
      </c>
      <c r="AY97" s="4">
        <v>190</v>
      </c>
      <c r="AZ97" s="4">
        <v>917</v>
      </c>
      <c r="BA97" s="4">
        <v>8656</v>
      </c>
      <c r="BB97" s="4">
        <v>250</v>
      </c>
      <c r="BC97" s="4">
        <v>829</v>
      </c>
      <c r="BD97" s="4">
        <v>7917</v>
      </c>
      <c r="BE97" s="4">
        <v>5040</v>
      </c>
      <c r="BF97" s="4">
        <v>3388</v>
      </c>
      <c r="BG97" s="4">
        <v>6140</v>
      </c>
      <c r="BH97" s="4">
        <v>2005</v>
      </c>
      <c r="BI97" s="4">
        <v>38372</v>
      </c>
      <c r="BJ97" s="4">
        <v>7663</v>
      </c>
      <c r="BK97" s="4">
        <v>8548</v>
      </c>
      <c r="BL97" s="4">
        <v>3708</v>
      </c>
      <c r="BM97" s="4">
        <v>6226</v>
      </c>
      <c r="BN97" s="4">
        <v>1444</v>
      </c>
      <c r="BO97" s="4">
        <v>1692</v>
      </c>
      <c r="BP97" s="4">
        <v>32349</v>
      </c>
      <c r="BQ97" s="4">
        <v>3346</v>
      </c>
      <c r="BR97" s="4">
        <v>86506</v>
      </c>
      <c r="BS97" s="4">
        <v>10411</v>
      </c>
      <c r="BT97" s="4">
        <v>13118</v>
      </c>
      <c r="BU97" s="4">
        <v>22599</v>
      </c>
      <c r="BV97" s="4">
        <v>3400</v>
      </c>
      <c r="BW97" s="4">
        <v>15650</v>
      </c>
      <c r="BX97" s="4">
        <v>3330</v>
      </c>
      <c r="BY97" s="4">
        <v>5575</v>
      </c>
      <c r="BZ97" s="4">
        <v>23761</v>
      </c>
      <c r="CA97" s="4">
        <v>2565</v>
      </c>
      <c r="CB97" s="4">
        <v>1212</v>
      </c>
      <c r="CC97" s="4">
        <v>10365</v>
      </c>
      <c r="CD97" s="4">
        <v>3903</v>
      </c>
      <c r="CE97" s="4">
        <v>4149</v>
      </c>
      <c r="CF97" s="4">
        <v>8355</v>
      </c>
      <c r="CG97" s="4">
        <v>113661</v>
      </c>
      <c r="CH97" s="4">
        <v>21542</v>
      </c>
      <c r="CI97" s="4">
        <v>43159</v>
      </c>
      <c r="CJ97" s="4">
        <v>11180</v>
      </c>
      <c r="CK97" s="4">
        <v>18668</v>
      </c>
      <c r="CL97" s="4">
        <v>12957</v>
      </c>
      <c r="CM97" s="4">
        <v>18653</v>
      </c>
      <c r="CN97" s="4">
        <v>54091</v>
      </c>
      <c r="CO97" s="4">
        <v>8352</v>
      </c>
      <c r="CP97" s="4">
        <v>3677</v>
      </c>
      <c r="CQ97" s="4">
        <v>6638</v>
      </c>
      <c r="CR97" s="4">
        <v>8897</v>
      </c>
      <c r="CS97" s="4">
        <v>34969</v>
      </c>
      <c r="CT97" s="4">
        <v>22479</v>
      </c>
      <c r="CU97" s="4">
        <v>2239</v>
      </c>
      <c r="CV97" s="4">
        <v>276939</v>
      </c>
      <c r="CW97" s="4">
        <v>9874</v>
      </c>
      <c r="CX97" s="4">
        <v>2176</v>
      </c>
      <c r="CY97" s="4">
        <v>25804</v>
      </c>
      <c r="CZ97" s="4">
        <v>3225</v>
      </c>
      <c r="DA97" s="4">
        <v>6159</v>
      </c>
      <c r="DB97" s="4">
        <v>13366</v>
      </c>
      <c r="DC97" s="4">
        <v>4408</v>
      </c>
      <c r="DD97" s="4">
        <v>2787</v>
      </c>
      <c r="DE97" s="4">
        <v>1896</v>
      </c>
      <c r="DF97" s="4">
        <v>52043</v>
      </c>
      <c r="DG97" s="4">
        <v>16150</v>
      </c>
      <c r="DH97" s="4">
        <v>17540</v>
      </c>
      <c r="DI97" s="4">
        <v>4687</v>
      </c>
      <c r="DJ97" s="4">
        <v>28315</v>
      </c>
      <c r="DK97" s="4">
        <v>18705</v>
      </c>
      <c r="DL97" s="4">
        <v>10303</v>
      </c>
      <c r="DM97" s="4">
        <v>15022</v>
      </c>
      <c r="DN97" s="4">
        <v>19641</v>
      </c>
      <c r="DO97" s="4">
        <v>3731</v>
      </c>
      <c r="DP97" s="4">
        <v>8951</v>
      </c>
      <c r="DQ97" s="4">
        <v>63256</v>
      </c>
      <c r="DR97" s="4">
        <v>3510</v>
      </c>
      <c r="DS97" s="4">
        <v>6656</v>
      </c>
      <c r="DT97" s="4">
        <v>910</v>
      </c>
      <c r="DU97" s="4">
        <v>10792</v>
      </c>
      <c r="DV97" s="4">
        <v>6637</v>
      </c>
      <c r="DW97" s="4">
        <v>6485</v>
      </c>
      <c r="DX97" s="4">
        <v>12948</v>
      </c>
      <c r="DY97" s="4">
        <v>2300</v>
      </c>
      <c r="DZ97" s="4">
        <v>2699</v>
      </c>
      <c r="EA97" s="4">
        <v>11230</v>
      </c>
      <c r="EB97" s="4">
        <v>6605</v>
      </c>
      <c r="EC97" s="4">
        <v>717</v>
      </c>
      <c r="ED97" s="4">
        <v>1213</v>
      </c>
      <c r="EE97" s="4">
        <v>41310</v>
      </c>
      <c r="EF97" s="4">
        <v>5278</v>
      </c>
      <c r="EG97" s="4">
        <v>14080</v>
      </c>
      <c r="EH97" s="4">
        <v>30436</v>
      </c>
      <c r="EJ97" s="4">
        <f t="shared" si="1"/>
        <v>1713223</v>
      </c>
    </row>
    <row r="98" spans="1:140" x14ac:dyDescent="0.25">
      <c r="A98" s="4" t="s">
        <v>234</v>
      </c>
      <c r="B98" s="4">
        <v>6772</v>
      </c>
      <c r="C98" s="4">
        <v>5512</v>
      </c>
      <c r="D98" s="4">
        <v>176</v>
      </c>
      <c r="E98" s="4">
        <v>2195</v>
      </c>
      <c r="F98" s="4">
        <v>6</v>
      </c>
      <c r="G98" s="4">
        <v>16</v>
      </c>
      <c r="H98" s="4">
        <v>16953</v>
      </c>
      <c r="I98" s="4">
        <v>79</v>
      </c>
      <c r="J98" s="4">
        <v>1709</v>
      </c>
      <c r="K98" s="4">
        <v>55</v>
      </c>
      <c r="L98" s="4">
        <v>1400</v>
      </c>
      <c r="M98" s="4">
        <v>200</v>
      </c>
      <c r="N98" s="4">
        <v>13530</v>
      </c>
      <c r="O98" s="4">
        <v>1945</v>
      </c>
      <c r="P98" s="4">
        <v>1183</v>
      </c>
      <c r="Q98" s="4">
        <v>8872</v>
      </c>
      <c r="R98" s="4">
        <v>69</v>
      </c>
      <c r="S98" s="4">
        <v>2238</v>
      </c>
      <c r="T98" s="4">
        <v>2991</v>
      </c>
      <c r="U98" s="4">
        <v>2227</v>
      </c>
      <c r="V98" s="4">
        <v>10349</v>
      </c>
      <c r="W98" s="4">
        <v>3126</v>
      </c>
      <c r="X98" s="4">
        <v>904</v>
      </c>
      <c r="Y98" s="4">
        <v>1219</v>
      </c>
      <c r="Z98" s="4">
        <v>1583</v>
      </c>
      <c r="AA98" s="4">
        <v>652</v>
      </c>
      <c r="AB98" s="4">
        <v>6244</v>
      </c>
      <c r="AC98" s="4">
        <v>1053</v>
      </c>
      <c r="AD98" s="4">
        <v>601</v>
      </c>
      <c r="AE98" s="4">
        <v>1514</v>
      </c>
      <c r="AF98" s="4">
        <v>1909</v>
      </c>
      <c r="AG98">
        <v>32052</v>
      </c>
      <c r="AH98" s="4">
        <v>544</v>
      </c>
      <c r="AI98" s="4">
        <v>1747</v>
      </c>
      <c r="AJ98" s="4">
        <v>456</v>
      </c>
      <c r="AK98" s="4">
        <v>3198</v>
      </c>
      <c r="AL98" s="4">
        <v>3569</v>
      </c>
      <c r="AM98" s="4">
        <v>923</v>
      </c>
      <c r="AN98" s="4">
        <v>369</v>
      </c>
      <c r="AO98" s="4">
        <v>11160</v>
      </c>
      <c r="AP98" s="4">
        <v>885</v>
      </c>
      <c r="AQ98" s="4">
        <v>124</v>
      </c>
      <c r="AR98" s="4">
        <v>2458</v>
      </c>
      <c r="AS98" s="4">
        <v>8254</v>
      </c>
      <c r="AT98" s="4">
        <v>1797</v>
      </c>
      <c r="AU98" s="4">
        <v>3040</v>
      </c>
      <c r="AV98" s="4">
        <v>5073</v>
      </c>
      <c r="AW98" s="4">
        <v>4361</v>
      </c>
      <c r="AX98" s="4">
        <v>31079</v>
      </c>
      <c r="AY98" s="4">
        <v>222</v>
      </c>
      <c r="AZ98" s="4">
        <v>910</v>
      </c>
      <c r="BA98" s="4">
        <v>9319</v>
      </c>
      <c r="BB98" s="4">
        <v>328</v>
      </c>
      <c r="BC98" s="4">
        <v>916</v>
      </c>
      <c r="BD98" s="4">
        <v>7594</v>
      </c>
      <c r="BE98" s="4">
        <v>3528</v>
      </c>
      <c r="BF98" s="4">
        <v>2018</v>
      </c>
      <c r="BG98" s="4">
        <v>5696</v>
      </c>
      <c r="BH98" s="4">
        <v>1967</v>
      </c>
      <c r="BI98" s="4">
        <v>36424</v>
      </c>
      <c r="BJ98" s="4">
        <v>4202</v>
      </c>
      <c r="BK98" s="4">
        <v>6869</v>
      </c>
      <c r="BL98" s="4">
        <v>3225</v>
      </c>
      <c r="BM98" s="4">
        <v>5593</v>
      </c>
      <c r="BN98" s="4">
        <v>1228</v>
      </c>
      <c r="BO98" s="4">
        <v>1393</v>
      </c>
      <c r="BP98" s="4">
        <v>24098</v>
      </c>
      <c r="BQ98" s="4">
        <v>2747</v>
      </c>
      <c r="BR98" s="4">
        <v>81195</v>
      </c>
      <c r="BS98" s="4">
        <v>8990</v>
      </c>
      <c r="BT98" s="4">
        <v>8910</v>
      </c>
      <c r="BU98" s="4">
        <v>19695</v>
      </c>
      <c r="BV98" s="4">
        <v>2882</v>
      </c>
      <c r="BW98" s="4">
        <v>14437</v>
      </c>
      <c r="BX98" s="4">
        <v>2345</v>
      </c>
      <c r="BY98" s="4">
        <v>5076</v>
      </c>
      <c r="BZ98" s="4">
        <v>24900</v>
      </c>
      <c r="CA98" s="4">
        <v>2417</v>
      </c>
      <c r="CB98" s="4">
        <v>1249</v>
      </c>
      <c r="CC98" s="4">
        <v>6816</v>
      </c>
      <c r="CD98" s="4">
        <v>3920</v>
      </c>
      <c r="CE98" s="4">
        <v>4237</v>
      </c>
      <c r="CF98" s="4">
        <v>9172</v>
      </c>
      <c r="CG98" s="4">
        <v>116814</v>
      </c>
      <c r="CH98" s="4">
        <v>16148</v>
      </c>
      <c r="CI98" s="4">
        <v>25306</v>
      </c>
      <c r="CJ98" s="4">
        <v>5789</v>
      </c>
      <c r="CK98" s="4">
        <v>16914</v>
      </c>
      <c r="CL98" s="4">
        <v>12589</v>
      </c>
      <c r="CM98" s="4">
        <v>17578</v>
      </c>
      <c r="CN98" s="4">
        <v>50039</v>
      </c>
      <c r="CO98" s="4">
        <v>5857</v>
      </c>
      <c r="CP98" s="4">
        <v>3464</v>
      </c>
      <c r="CQ98" s="4">
        <v>4740</v>
      </c>
      <c r="CR98" s="4">
        <v>7620</v>
      </c>
      <c r="CS98" s="4">
        <v>34095</v>
      </c>
      <c r="CT98" s="4">
        <v>21613</v>
      </c>
      <c r="CU98" s="4">
        <v>2042</v>
      </c>
      <c r="CV98" s="4">
        <v>267687</v>
      </c>
      <c r="CW98" s="4">
        <v>5456</v>
      </c>
      <c r="CX98" s="4">
        <v>1905</v>
      </c>
      <c r="CY98" s="4">
        <v>25745</v>
      </c>
      <c r="CZ98" s="4">
        <v>2907</v>
      </c>
      <c r="DA98" s="4">
        <v>6699</v>
      </c>
      <c r="DB98" s="4">
        <v>13019</v>
      </c>
      <c r="DC98" s="4">
        <v>4101</v>
      </c>
      <c r="DD98" s="4">
        <v>3018</v>
      </c>
      <c r="DE98" s="4">
        <v>2312</v>
      </c>
      <c r="DF98" s="4">
        <v>55610</v>
      </c>
      <c r="DG98" s="4">
        <v>14611</v>
      </c>
      <c r="DH98" s="4">
        <v>18600</v>
      </c>
      <c r="DI98" s="4">
        <v>3797</v>
      </c>
      <c r="DJ98" s="4">
        <v>28443</v>
      </c>
      <c r="DK98" s="4">
        <v>18381</v>
      </c>
      <c r="DL98" s="4">
        <v>10587</v>
      </c>
      <c r="DM98" s="4">
        <v>15450</v>
      </c>
      <c r="DN98" s="4">
        <v>16637</v>
      </c>
      <c r="DO98" s="4">
        <v>3028</v>
      </c>
      <c r="DP98" s="4">
        <v>7439</v>
      </c>
      <c r="DQ98" s="4">
        <v>62046</v>
      </c>
      <c r="DR98" s="4">
        <v>3647</v>
      </c>
      <c r="DS98" s="4">
        <v>9124</v>
      </c>
      <c r="DT98" s="4">
        <v>666</v>
      </c>
      <c r="DU98" s="4">
        <v>10011</v>
      </c>
      <c r="DV98" s="4">
        <v>5597</v>
      </c>
      <c r="DW98" s="4">
        <v>4791</v>
      </c>
      <c r="DX98" s="4">
        <v>10265</v>
      </c>
      <c r="DY98" s="4">
        <v>1866</v>
      </c>
      <c r="DZ98" s="4">
        <v>2592</v>
      </c>
      <c r="EA98" s="4">
        <v>10462</v>
      </c>
      <c r="EB98" s="4">
        <v>4854</v>
      </c>
      <c r="EC98" s="4">
        <v>751</v>
      </c>
      <c r="ED98" s="4">
        <v>1135</v>
      </c>
      <c r="EE98" s="4">
        <v>33960</v>
      </c>
      <c r="EF98" s="4">
        <v>4007</v>
      </c>
      <c r="EG98" s="4">
        <v>11965</v>
      </c>
      <c r="EH98" s="4">
        <v>25927</v>
      </c>
      <c r="EJ98" s="4">
        <f t="shared" si="1"/>
        <v>1592595</v>
      </c>
    </row>
    <row r="99" spans="1:140" x14ac:dyDescent="0.25">
      <c r="A99" s="4" t="s">
        <v>235</v>
      </c>
      <c r="B99" s="4">
        <v>6801</v>
      </c>
      <c r="C99" s="4">
        <v>5674</v>
      </c>
      <c r="D99" s="4">
        <v>172</v>
      </c>
      <c r="E99" s="4">
        <v>2017</v>
      </c>
      <c r="F99" s="4">
        <v>7</v>
      </c>
      <c r="G99" s="4">
        <v>23</v>
      </c>
      <c r="H99" s="4">
        <v>14904</v>
      </c>
      <c r="I99" s="4">
        <v>99</v>
      </c>
      <c r="J99" s="4">
        <v>1468</v>
      </c>
      <c r="K99" s="4">
        <v>68</v>
      </c>
      <c r="L99" s="4">
        <v>1419</v>
      </c>
      <c r="M99" s="4">
        <v>175</v>
      </c>
      <c r="N99" s="4">
        <v>12302</v>
      </c>
      <c r="O99" s="4">
        <v>1766</v>
      </c>
      <c r="P99" s="4">
        <v>1142</v>
      </c>
      <c r="Q99" s="4">
        <v>8029</v>
      </c>
      <c r="R99" s="4">
        <v>14</v>
      </c>
      <c r="S99" s="4">
        <v>2096</v>
      </c>
      <c r="T99" s="4">
        <v>2668</v>
      </c>
      <c r="U99" s="4">
        <v>2317</v>
      </c>
      <c r="V99" s="4">
        <v>9410</v>
      </c>
      <c r="W99" s="4">
        <v>3077</v>
      </c>
      <c r="X99" s="4">
        <v>896</v>
      </c>
      <c r="Y99" s="4">
        <v>1214</v>
      </c>
      <c r="Z99" s="4">
        <v>1077</v>
      </c>
      <c r="AA99" s="4">
        <v>668</v>
      </c>
      <c r="AB99" s="4">
        <v>5738</v>
      </c>
      <c r="AC99" s="4">
        <v>914</v>
      </c>
      <c r="AD99" s="4">
        <v>550</v>
      </c>
      <c r="AE99" s="4">
        <v>1758</v>
      </c>
      <c r="AF99" s="4">
        <v>1285</v>
      </c>
      <c r="AG99">
        <v>25315</v>
      </c>
      <c r="AH99" s="4">
        <v>486</v>
      </c>
      <c r="AI99" s="4">
        <v>2398</v>
      </c>
      <c r="AJ99" s="4">
        <v>372</v>
      </c>
      <c r="AK99" s="4">
        <v>2483</v>
      </c>
      <c r="AL99" s="4">
        <v>3663</v>
      </c>
      <c r="AM99" s="4">
        <v>953</v>
      </c>
      <c r="AN99" s="4">
        <v>517</v>
      </c>
      <c r="AO99" s="4">
        <v>10737</v>
      </c>
      <c r="AP99" s="4">
        <v>725</v>
      </c>
      <c r="AQ99" s="4">
        <v>132</v>
      </c>
      <c r="AR99" s="4">
        <v>2483</v>
      </c>
      <c r="AS99" s="4">
        <v>11243</v>
      </c>
      <c r="AT99" s="4">
        <v>2087</v>
      </c>
      <c r="AU99" s="4">
        <v>2824</v>
      </c>
      <c r="AV99" s="4">
        <v>4093</v>
      </c>
      <c r="AW99" s="4">
        <v>5903</v>
      </c>
      <c r="AX99" s="4">
        <v>31210</v>
      </c>
      <c r="AY99" s="4">
        <v>175</v>
      </c>
      <c r="AZ99" s="4">
        <v>953</v>
      </c>
      <c r="BA99" s="4">
        <v>10278</v>
      </c>
      <c r="BB99" s="4">
        <v>229</v>
      </c>
      <c r="BC99" s="4">
        <v>862</v>
      </c>
      <c r="BD99" s="4">
        <v>7407</v>
      </c>
      <c r="BE99" s="4">
        <v>3514</v>
      </c>
      <c r="BF99" s="4">
        <v>1611</v>
      </c>
      <c r="BG99" s="4">
        <v>5981</v>
      </c>
      <c r="BH99" s="4">
        <v>1905</v>
      </c>
      <c r="BI99" s="4">
        <v>33737</v>
      </c>
      <c r="BJ99" s="4">
        <v>4829</v>
      </c>
      <c r="BK99" s="4">
        <v>7403</v>
      </c>
      <c r="BL99" s="4">
        <v>3261</v>
      </c>
      <c r="BM99" s="4">
        <v>6076</v>
      </c>
      <c r="BN99" s="4">
        <v>1174</v>
      </c>
      <c r="BO99" s="4">
        <v>1442</v>
      </c>
      <c r="BP99" s="4">
        <v>25634</v>
      </c>
      <c r="BQ99" s="4">
        <v>2677</v>
      </c>
      <c r="BR99" s="4">
        <v>80231</v>
      </c>
      <c r="BS99" s="4">
        <v>9353</v>
      </c>
      <c r="BT99" s="4">
        <v>8607</v>
      </c>
      <c r="BU99" s="4">
        <v>18749</v>
      </c>
      <c r="BV99" s="4">
        <v>3275</v>
      </c>
      <c r="BW99" s="4">
        <v>13979</v>
      </c>
      <c r="BX99" s="4">
        <v>2567</v>
      </c>
      <c r="BY99" s="4">
        <v>5267</v>
      </c>
      <c r="BZ99" s="4">
        <v>24556</v>
      </c>
      <c r="CA99" s="4">
        <v>2590</v>
      </c>
      <c r="CB99" s="4">
        <v>1211</v>
      </c>
      <c r="CC99" s="4">
        <v>7002</v>
      </c>
      <c r="CD99" s="4">
        <v>3911</v>
      </c>
      <c r="CE99" s="4">
        <v>4173</v>
      </c>
      <c r="CF99" s="4">
        <v>8705</v>
      </c>
      <c r="CG99" s="4">
        <v>105005</v>
      </c>
      <c r="CH99" s="4">
        <v>15312</v>
      </c>
      <c r="CI99" s="4">
        <v>31395</v>
      </c>
      <c r="CJ99" s="4">
        <v>6620</v>
      </c>
      <c r="CK99" s="4">
        <v>16225</v>
      </c>
      <c r="CL99" s="4">
        <v>14298</v>
      </c>
      <c r="CM99" s="4">
        <v>18774</v>
      </c>
      <c r="CN99" s="4">
        <v>49934</v>
      </c>
      <c r="CO99" s="4">
        <v>5907</v>
      </c>
      <c r="CP99" s="4">
        <v>3429</v>
      </c>
      <c r="CQ99" s="4">
        <v>4595</v>
      </c>
      <c r="CR99" s="4">
        <v>7323</v>
      </c>
      <c r="CS99" s="4">
        <v>33547</v>
      </c>
      <c r="CT99" s="4">
        <v>21158</v>
      </c>
      <c r="CU99" s="4">
        <v>2019</v>
      </c>
      <c r="CV99" s="4">
        <v>269368</v>
      </c>
      <c r="CW99" s="4">
        <v>6091</v>
      </c>
      <c r="CX99" s="4">
        <v>1966</v>
      </c>
      <c r="CY99" s="4">
        <v>27140</v>
      </c>
      <c r="CZ99" s="4">
        <v>2871</v>
      </c>
      <c r="DA99" s="4">
        <v>6319</v>
      </c>
      <c r="DB99" s="4">
        <v>13630</v>
      </c>
      <c r="DC99" s="4">
        <v>4509</v>
      </c>
      <c r="DD99" s="4">
        <v>3095</v>
      </c>
      <c r="DE99" s="4">
        <v>2249</v>
      </c>
      <c r="DF99" s="4">
        <v>55664</v>
      </c>
      <c r="DG99" s="4">
        <v>16071</v>
      </c>
      <c r="DH99" s="4">
        <v>19119</v>
      </c>
      <c r="DI99" s="4">
        <v>4728</v>
      </c>
      <c r="DJ99" s="4">
        <v>31338</v>
      </c>
      <c r="DK99" s="4">
        <v>20115</v>
      </c>
      <c r="DL99" s="4">
        <v>11560</v>
      </c>
      <c r="DM99" s="4">
        <v>16205</v>
      </c>
      <c r="DN99" s="4">
        <v>21290</v>
      </c>
      <c r="DO99" s="4">
        <v>3285</v>
      </c>
      <c r="DP99" s="4">
        <v>8411</v>
      </c>
      <c r="DQ99" s="4">
        <v>62335</v>
      </c>
      <c r="DR99" s="4">
        <v>2960</v>
      </c>
      <c r="DS99" s="4">
        <v>5834</v>
      </c>
      <c r="DT99" s="4">
        <v>699</v>
      </c>
      <c r="DU99" s="4">
        <v>10917</v>
      </c>
      <c r="DV99" s="4">
        <v>4731</v>
      </c>
      <c r="DW99" s="4">
        <v>5390</v>
      </c>
      <c r="DX99" s="4">
        <v>10724</v>
      </c>
      <c r="DY99" s="4">
        <v>1585</v>
      </c>
      <c r="DZ99" s="4">
        <v>2607</v>
      </c>
      <c r="EA99" s="4">
        <v>10247</v>
      </c>
      <c r="EB99" s="4">
        <v>4982</v>
      </c>
      <c r="EC99" s="4">
        <v>630</v>
      </c>
      <c r="ED99" s="4">
        <v>1068</v>
      </c>
      <c r="EE99" s="4">
        <v>33780</v>
      </c>
      <c r="EF99" s="4">
        <v>3775</v>
      </c>
      <c r="EG99" s="4">
        <v>11341</v>
      </c>
      <c r="EH99" s="4">
        <v>24596</v>
      </c>
      <c r="EJ99" s="4">
        <f t="shared" si="1"/>
        <v>1589462</v>
      </c>
    </row>
    <row r="100" spans="1:140" x14ac:dyDescent="0.25">
      <c r="A100" s="4" t="s">
        <v>236</v>
      </c>
      <c r="B100" s="4">
        <v>6086</v>
      </c>
      <c r="C100" s="4">
        <v>5954</v>
      </c>
      <c r="D100" s="4">
        <v>197</v>
      </c>
      <c r="E100" s="4">
        <v>2421</v>
      </c>
      <c r="F100" s="4">
        <v>9</v>
      </c>
      <c r="G100" s="4">
        <v>32</v>
      </c>
      <c r="H100" s="4">
        <v>16948</v>
      </c>
      <c r="I100" s="4">
        <v>89</v>
      </c>
      <c r="J100" s="4">
        <v>1444</v>
      </c>
      <c r="K100" s="4">
        <v>111</v>
      </c>
      <c r="L100" s="4">
        <v>1753</v>
      </c>
      <c r="M100" s="4">
        <v>111</v>
      </c>
      <c r="N100" s="4">
        <v>13827</v>
      </c>
      <c r="O100" s="4">
        <v>2133</v>
      </c>
      <c r="P100" s="4">
        <v>1635</v>
      </c>
      <c r="Q100" s="4">
        <v>8886</v>
      </c>
      <c r="R100" s="4">
        <v>96</v>
      </c>
      <c r="S100" s="4">
        <v>2513</v>
      </c>
      <c r="T100" s="4">
        <v>2852</v>
      </c>
      <c r="U100" s="4">
        <v>2288</v>
      </c>
      <c r="V100" s="4">
        <v>9581</v>
      </c>
      <c r="W100" s="4">
        <v>3478</v>
      </c>
      <c r="X100" s="4">
        <v>794</v>
      </c>
      <c r="Y100" s="4">
        <v>1113</v>
      </c>
      <c r="Z100" s="4">
        <v>1146</v>
      </c>
      <c r="AA100" s="4">
        <v>752</v>
      </c>
      <c r="AB100" s="4">
        <v>6364</v>
      </c>
      <c r="AC100" s="4">
        <v>841</v>
      </c>
      <c r="AD100" s="4">
        <v>760</v>
      </c>
      <c r="AE100" s="4">
        <v>2011</v>
      </c>
      <c r="AF100" s="4">
        <v>1709</v>
      </c>
      <c r="AG100">
        <v>31620</v>
      </c>
      <c r="AH100" s="4">
        <v>532</v>
      </c>
      <c r="AI100" s="4">
        <v>1941</v>
      </c>
      <c r="AJ100" s="4">
        <v>516</v>
      </c>
      <c r="AK100" s="4">
        <v>2128</v>
      </c>
      <c r="AL100" s="4">
        <v>3644</v>
      </c>
      <c r="AM100" s="4">
        <v>930</v>
      </c>
      <c r="AN100" s="4">
        <v>353</v>
      </c>
      <c r="AO100" s="4">
        <v>10242</v>
      </c>
      <c r="AP100" s="4">
        <v>883</v>
      </c>
      <c r="AQ100" s="4">
        <v>176</v>
      </c>
      <c r="AR100" s="4">
        <v>3256</v>
      </c>
      <c r="AS100" s="4">
        <v>11123</v>
      </c>
      <c r="AT100" s="4">
        <v>2227</v>
      </c>
      <c r="AU100" s="4">
        <v>3098</v>
      </c>
      <c r="AV100" s="4">
        <v>6251</v>
      </c>
      <c r="AW100" s="4">
        <v>12954</v>
      </c>
      <c r="AX100" s="4">
        <v>33347</v>
      </c>
      <c r="AY100" s="4">
        <v>261</v>
      </c>
      <c r="AZ100" s="4">
        <v>827</v>
      </c>
      <c r="BA100" s="4">
        <v>28199</v>
      </c>
      <c r="BB100" s="4">
        <v>225</v>
      </c>
      <c r="BC100" s="4">
        <v>2134</v>
      </c>
      <c r="BD100" s="4">
        <v>8333</v>
      </c>
      <c r="BE100" s="4">
        <v>4279</v>
      </c>
      <c r="BF100" s="4">
        <v>2038</v>
      </c>
      <c r="BG100" s="4">
        <v>6298</v>
      </c>
      <c r="BH100" s="4">
        <v>2326</v>
      </c>
      <c r="BI100" s="4">
        <v>37737</v>
      </c>
      <c r="BJ100" s="4">
        <v>5527</v>
      </c>
      <c r="BK100" s="4">
        <v>8193</v>
      </c>
      <c r="BL100" s="4">
        <v>3629</v>
      </c>
      <c r="BM100" s="4">
        <v>6184</v>
      </c>
      <c r="BN100" s="4">
        <v>1275</v>
      </c>
      <c r="BO100" s="4">
        <v>2226</v>
      </c>
      <c r="BP100" s="4">
        <v>28747</v>
      </c>
      <c r="BQ100" s="4">
        <v>3069</v>
      </c>
      <c r="BR100" s="4">
        <v>92555</v>
      </c>
      <c r="BS100" s="4">
        <v>9940</v>
      </c>
      <c r="BT100" s="4">
        <v>10646</v>
      </c>
      <c r="BU100" s="4">
        <v>20220</v>
      </c>
      <c r="BV100" s="4">
        <v>3543</v>
      </c>
      <c r="BW100" s="4">
        <v>15292</v>
      </c>
      <c r="BX100" s="4">
        <v>2793</v>
      </c>
      <c r="BY100" s="4">
        <v>6358</v>
      </c>
      <c r="BZ100" s="4">
        <v>24856</v>
      </c>
      <c r="CA100" s="4">
        <v>2657</v>
      </c>
      <c r="CB100" s="4">
        <v>1494</v>
      </c>
      <c r="CC100" s="4">
        <v>7591</v>
      </c>
      <c r="CD100" s="4">
        <v>4711</v>
      </c>
      <c r="CE100" s="4">
        <v>4698</v>
      </c>
      <c r="CF100" s="4">
        <v>9531</v>
      </c>
      <c r="CG100" s="4">
        <v>118562</v>
      </c>
      <c r="CH100" s="4">
        <v>15684</v>
      </c>
      <c r="CI100" s="4">
        <v>33075</v>
      </c>
      <c r="CJ100" s="4">
        <v>7393</v>
      </c>
      <c r="CK100" s="4">
        <v>20353</v>
      </c>
      <c r="CL100" s="4">
        <v>15926</v>
      </c>
      <c r="CM100" s="4">
        <v>20049</v>
      </c>
      <c r="CN100" s="4">
        <v>54052</v>
      </c>
      <c r="CO100" s="4">
        <v>6589</v>
      </c>
      <c r="CP100" s="4">
        <v>3608</v>
      </c>
      <c r="CQ100" s="4">
        <v>5162</v>
      </c>
      <c r="CR100" s="4">
        <v>8479</v>
      </c>
      <c r="CS100" s="4">
        <v>36649</v>
      </c>
      <c r="CT100" s="4">
        <v>21868</v>
      </c>
      <c r="CU100" s="4">
        <v>2281</v>
      </c>
      <c r="CV100" s="4">
        <v>291534</v>
      </c>
      <c r="CW100" s="4">
        <v>6602</v>
      </c>
      <c r="CX100" s="4">
        <v>2296</v>
      </c>
      <c r="CY100" s="4">
        <v>28878</v>
      </c>
      <c r="CZ100" s="4">
        <v>2870</v>
      </c>
      <c r="DA100" s="4">
        <v>6697</v>
      </c>
      <c r="DB100" s="4">
        <v>14759</v>
      </c>
      <c r="DC100" s="4">
        <v>4628</v>
      </c>
      <c r="DD100" s="4">
        <v>3531</v>
      </c>
      <c r="DE100" s="4">
        <v>2179</v>
      </c>
      <c r="DF100" s="4">
        <v>61782</v>
      </c>
      <c r="DG100" s="4">
        <v>17770</v>
      </c>
      <c r="DH100" s="4">
        <v>19219</v>
      </c>
      <c r="DI100" s="4">
        <v>5852</v>
      </c>
      <c r="DJ100" s="4">
        <v>31173</v>
      </c>
      <c r="DK100" s="4">
        <v>21611</v>
      </c>
      <c r="DL100" s="4">
        <v>11538</v>
      </c>
      <c r="DM100" s="4">
        <v>15965</v>
      </c>
      <c r="DN100" s="4">
        <v>25792</v>
      </c>
      <c r="DO100" s="4">
        <v>3585</v>
      </c>
      <c r="DP100" s="4">
        <v>8828</v>
      </c>
      <c r="DQ100" s="4">
        <v>70444</v>
      </c>
      <c r="DR100" s="4">
        <v>3760</v>
      </c>
      <c r="DS100" s="4">
        <v>6387</v>
      </c>
      <c r="DT100" s="4">
        <v>956</v>
      </c>
      <c r="DU100" s="4">
        <v>11017</v>
      </c>
      <c r="DV100" s="4">
        <v>5463</v>
      </c>
      <c r="DW100" s="4">
        <v>5391</v>
      </c>
      <c r="DX100" s="4">
        <v>14816</v>
      </c>
      <c r="DY100" s="4">
        <v>1883</v>
      </c>
      <c r="DZ100" s="4">
        <v>2513</v>
      </c>
      <c r="EA100" s="4">
        <v>11169</v>
      </c>
      <c r="EB100" s="4">
        <v>6152</v>
      </c>
      <c r="EC100" s="4">
        <v>806</v>
      </c>
      <c r="ED100" s="4">
        <v>1084</v>
      </c>
      <c r="EE100" s="4">
        <v>34450</v>
      </c>
      <c r="EF100" s="4">
        <v>3888</v>
      </c>
      <c r="EG100" s="4">
        <v>12855</v>
      </c>
      <c r="EH100" s="4">
        <v>27981</v>
      </c>
      <c r="EJ100" s="4">
        <f t="shared" si="1"/>
        <v>1769381</v>
      </c>
    </row>
    <row r="101" spans="1:140" x14ac:dyDescent="0.25">
      <c r="A101" s="4" t="s">
        <v>237</v>
      </c>
      <c r="B101" s="4">
        <v>9139</v>
      </c>
      <c r="C101" s="4">
        <v>5663</v>
      </c>
      <c r="D101" s="4">
        <v>171</v>
      </c>
      <c r="E101" s="4">
        <v>1523</v>
      </c>
      <c r="F101" s="4">
        <v>6</v>
      </c>
      <c r="G101" s="4">
        <v>18</v>
      </c>
      <c r="H101" s="4">
        <v>15683</v>
      </c>
      <c r="I101" s="4">
        <v>71</v>
      </c>
      <c r="J101" s="4">
        <v>1648</v>
      </c>
      <c r="K101" s="4">
        <v>43</v>
      </c>
      <c r="L101" s="4">
        <v>1346</v>
      </c>
      <c r="M101" s="4">
        <v>102</v>
      </c>
      <c r="N101" s="4">
        <v>11587</v>
      </c>
      <c r="O101" s="4">
        <v>1784</v>
      </c>
      <c r="P101" s="4">
        <v>1280</v>
      </c>
      <c r="Q101" s="4">
        <v>7834</v>
      </c>
      <c r="R101" s="4">
        <v>21</v>
      </c>
      <c r="S101" s="4">
        <v>1894</v>
      </c>
      <c r="T101" s="4">
        <v>2458</v>
      </c>
      <c r="U101" s="4">
        <v>2383</v>
      </c>
      <c r="V101" s="4">
        <v>8443</v>
      </c>
      <c r="W101" s="4">
        <v>2837</v>
      </c>
      <c r="X101" s="4">
        <v>712</v>
      </c>
      <c r="Y101" s="4">
        <v>933</v>
      </c>
      <c r="Z101" s="4">
        <v>1266</v>
      </c>
      <c r="AA101" s="4">
        <v>547</v>
      </c>
      <c r="AB101" s="4">
        <v>4835</v>
      </c>
      <c r="AC101" s="4">
        <v>850</v>
      </c>
      <c r="AD101" s="4">
        <v>531</v>
      </c>
      <c r="AE101" s="4">
        <v>1557</v>
      </c>
      <c r="AF101" s="4">
        <v>1633</v>
      </c>
      <c r="AG101">
        <v>28758</v>
      </c>
      <c r="AH101" s="4">
        <v>523</v>
      </c>
      <c r="AI101" s="4">
        <v>1513</v>
      </c>
      <c r="AJ101" s="4">
        <v>383</v>
      </c>
      <c r="AK101" s="4">
        <v>2026</v>
      </c>
      <c r="AL101" s="4">
        <v>3219</v>
      </c>
      <c r="AM101" s="4">
        <v>860</v>
      </c>
      <c r="AN101" s="4">
        <v>380</v>
      </c>
      <c r="AO101" s="4">
        <v>10312</v>
      </c>
      <c r="AP101" s="4">
        <v>734</v>
      </c>
      <c r="AQ101" s="4">
        <v>100</v>
      </c>
      <c r="AR101" s="4">
        <v>2626</v>
      </c>
      <c r="AS101" s="4">
        <v>8090</v>
      </c>
      <c r="AT101" s="4">
        <v>1779</v>
      </c>
      <c r="AU101" s="4">
        <v>2565</v>
      </c>
      <c r="AV101" s="4">
        <v>4410</v>
      </c>
      <c r="AW101" s="4">
        <v>10032</v>
      </c>
      <c r="AX101" s="4">
        <v>31210</v>
      </c>
      <c r="AY101" s="4">
        <v>186</v>
      </c>
      <c r="AZ101" s="4">
        <v>731</v>
      </c>
      <c r="BA101" s="4">
        <v>20581</v>
      </c>
      <c r="BB101" s="4">
        <v>253</v>
      </c>
      <c r="BC101" s="4">
        <v>784</v>
      </c>
      <c r="BD101" s="4">
        <v>9960</v>
      </c>
      <c r="BE101" s="4">
        <v>4700</v>
      </c>
      <c r="BF101" s="4">
        <v>1646</v>
      </c>
      <c r="BG101" s="4">
        <v>5568</v>
      </c>
      <c r="BH101" s="4">
        <v>1835</v>
      </c>
      <c r="BI101" s="4">
        <v>36428</v>
      </c>
      <c r="BJ101" s="4">
        <v>4923</v>
      </c>
      <c r="BK101" s="4">
        <v>6464</v>
      </c>
      <c r="BL101" s="4">
        <v>3171</v>
      </c>
      <c r="BM101" s="4">
        <v>5264</v>
      </c>
      <c r="BN101" s="4">
        <v>1134</v>
      </c>
      <c r="BO101" s="4">
        <v>1327</v>
      </c>
      <c r="BP101" s="4">
        <v>27562</v>
      </c>
      <c r="BQ101" s="4">
        <v>2692</v>
      </c>
      <c r="BR101" s="4">
        <v>85364</v>
      </c>
      <c r="BS101" s="4">
        <v>9359</v>
      </c>
      <c r="BT101" s="4">
        <v>9278</v>
      </c>
      <c r="BU101" s="4">
        <v>18008</v>
      </c>
      <c r="BV101" s="4">
        <v>2853</v>
      </c>
      <c r="BW101" s="4">
        <v>13818</v>
      </c>
      <c r="BX101" s="4">
        <v>2550</v>
      </c>
      <c r="BY101" s="4">
        <v>6089</v>
      </c>
      <c r="BZ101" s="4">
        <v>22758</v>
      </c>
      <c r="CA101" s="4">
        <v>2252</v>
      </c>
      <c r="CB101" s="4">
        <v>1111</v>
      </c>
      <c r="CC101" s="4">
        <v>7066</v>
      </c>
      <c r="CD101" s="4">
        <v>3512</v>
      </c>
      <c r="CE101" s="4">
        <v>3758</v>
      </c>
      <c r="CF101" s="4">
        <v>8126</v>
      </c>
      <c r="CG101" s="4">
        <v>107549</v>
      </c>
      <c r="CH101" s="4">
        <v>14968</v>
      </c>
      <c r="CI101" s="4">
        <v>30378</v>
      </c>
      <c r="CJ101" s="4">
        <v>7010</v>
      </c>
      <c r="CK101" s="4">
        <v>16625</v>
      </c>
      <c r="CL101" s="4">
        <v>10971</v>
      </c>
      <c r="CM101" s="4">
        <v>17652</v>
      </c>
      <c r="CN101" s="4">
        <v>49490</v>
      </c>
      <c r="CO101" s="4">
        <v>5698</v>
      </c>
      <c r="CP101" s="4">
        <v>3196</v>
      </c>
      <c r="CQ101" s="4">
        <v>4732</v>
      </c>
      <c r="CR101" s="4">
        <v>7229</v>
      </c>
      <c r="CS101" s="4">
        <v>32575</v>
      </c>
      <c r="CT101" s="4">
        <v>18355</v>
      </c>
      <c r="CU101" s="4">
        <v>1872</v>
      </c>
      <c r="CV101" s="4">
        <v>269744</v>
      </c>
      <c r="CW101" s="4">
        <v>5759</v>
      </c>
      <c r="CX101" s="4">
        <v>1851</v>
      </c>
      <c r="CY101" s="4">
        <v>26031</v>
      </c>
      <c r="CZ101" s="4">
        <v>2557</v>
      </c>
      <c r="DA101" s="4">
        <v>5792</v>
      </c>
      <c r="DB101" s="4">
        <v>12676</v>
      </c>
      <c r="DC101" s="4">
        <v>4179</v>
      </c>
      <c r="DD101" s="4">
        <v>2903</v>
      </c>
      <c r="DE101" s="4">
        <v>1865</v>
      </c>
      <c r="DF101" s="4">
        <v>53597</v>
      </c>
      <c r="DG101" s="4">
        <v>14184</v>
      </c>
      <c r="DH101" s="4">
        <v>18320</v>
      </c>
      <c r="DI101" s="4">
        <v>4120</v>
      </c>
      <c r="DJ101" s="4">
        <v>27537</v>
      </c>
      <c r="DK101" s="4">
        <v>17210</v>
      </c>
      <c r="DL101" s="4">
        <v>9743</v>
      </c>
      <c r="DM101" s="4">
        <v>14388</v>
      </c>
      <c r="DN101" s="4">
        <v>18352</v>
      </c>
      <c r="DO101" s="4">
        <v>3117</v>
      </c>
      <c r="DP101" s="4">
        <v>7850</v>
      </c>
      <c r="DQ101" s="4">
        <v>62077</v>
      </c>
      <c r="DR101" s="4">
        <v>3277</v>
      </c>
      <c r="DS101" s="4">
        <v>5536</v>
      </c>
      <c r="DT101" s="4">
        <v>756</v>
      </c>
      <c r="DU101" s="4">
        <v>10057</v>
      </c>
      <c r="DV101" s="4">
        <v>5741</v>
      </c>
      <c r="DW101" s="4">
        <v>4783</v>
      </c>
      <c r="DX101" s="4">
        <v>13137</v>
      </c>
      <c r="DY101" s="4">
        <v>1939</v>
      </c>
      <c r="DZ101" s="4">
        <v>2462</v>
      </c>
      <c r="EA101" s="4">
        <v>9395</v>
      </c>
      <c r="EB101" s="4">
        <v>6093</v>
      </c>
      <c r="EC101" s="4">
        <v>798</v>
      </c>
      <c r="ED101" s="4">
        <v>988</v>
      </c>
      <c r="EE101" s="4">
        <v>33473</v>
      </c>
      <c r="EF101" s="4">
        <v>3858</v>
      </c>
      <c r="EG101" s="4">
        <v>12848</v>
      </c>
      <c r="EH101" s="4">
        <v>24405</v>
      </c>
      <c r="EJ101" s="4">
        <f t="shared" si="1"/>
        <v>1581127</v>
      </c>
    </row>
    <row r="102" spans="1:140" x14ac:dyDescent="0.25">
      <c r="A102" s="4" t="s">
        <v>238</v>
      </c>
      <c r="B102" s="4">
        <v>5903</v>
      </c>
      <c r="C102" s="4">
        <v>5833</v>
      </c>
      <c r="D102" s="4">
        <v>228</v>
      </c>
      <c r="E102" s="4">
        <v>1912</v>
      </c>
      <c r="F102" s="4">
        <v>3</v>
      </c>
      <c r="G102" s="4">
        <v>21</v>
      </c>
      <c r="H102" s="4">
        <v>16980</v>
      </c>
      <c r="I102" s="4">
        <v>70</v>
      </c>
      <c r="J102" s="4">
        <v>1809</v>
      </c>
      <c r="K102" s="4">
        <v>66</v>
      </c>
      <c r="L102" s="4">
        <v>1492</v>
      </c>
      <c r="M102" s="4">
        <v>163</v>
      </c>
      <c r="N102" s="4">
        <v>12537</v>
      </c>
      <c r="O102" s="4">
        <v>2180</v>
      </c>
      <c r="P102" s="4">
        <v>1489</v>
      </c>
      <c r="Q102" s="4">
        <v>8638</v>
      </c>
      <c r="R102" s="4">
        <v>15</v>
      </c>
      <c r="S102" s="4">
        <v>2041</v>
      </c>
      <c r="T102" s="4">
        <v>2863</v>
      </c>
      <c r="U102" s="4">
        <v>2563</v>
      </c>
      <c r="V102" s="4">
        <v>9788</v>
      </c>
      <c r="W102" s="4">
        <v>2888</v>
      </c>
      <c r="X102" s="4">
        <v>851</v>
      </c>
      <c r="Y102" s="4">
        <v>886</v>
      </c>
      <c r="Z102" s="4">
        <v>1314</v>
      </c>
      <c r="AA102" s="4">
        <v>708</v>
      </c>
      <c r="AB102" s="4">
        <v>5824</v>
      </c>
      <c r="AC102" s="4">
        <v>1033</v>
      </c>
      <c r="AD102" s="4">
        <v>617</v>
      </c>
      <c r="AE102" s="4">
        <v>1893</v>
      </c>
      <c r="AF102" s="4">
        <v>1601</v>
      </c>
      <c r="AG102">
        <v>30504</v>
      </c>
      <c r="AH102" s="4">
        <v>553</v>
      </c>
      <c r="AI102" s="4">
        <v>1415</v>
      </c>
      <c r="AJ102" s="4">
        <v>631</v>
      </c>
      <c r="AK102" s="4">
        <v>2179</v>
      </c>
      <c r="AL102" s="4">
        <v>3729</v>
      </c>
      <c r="AM102" s="4">
        <v>741</v>
      </c>
      <c r="AN102" s="4">
        <v>520</v>
      </c>
      <c r="AO102" s="4">
        <v>10196</v>
      </c>
      <c r="AP102" s="4">
        <v>827</v>
      </c>
      <c r="AQ102" s="4">
        <v>109</v>
      </c>
      <c r="AR102" s="4">
        <v>2759</v>
      </c>
      <c r="AS102" s="4">
        <v>6885</v>
      </c>
      <c r="AT102" s="4">
        <v>2141</v>
      </c>
      <c r="AU102" s="4">
        <v>2610</v>
      </c>
      <c r="AV102" s="4">
        <v>4865</v>
      </c>
      <c r="AW102" s="4">
        <v>4005</v>
      </c>
      <c r="AX102" s="4">
        <v>32999</v>
      </c>
      <c r="AY102" s="4">
        <v>231</v>
      </c>
      <c r="AZ102" s="4">
        <v>1148</v>
      </c>
      <c r="BA102" s="4">
        <v>9307</v>
      </c>
      <c r="BB102" s="4">
        <v>291</v>
      </c>
      <c r="BC102" s="4">
        <v>869</v>
      </c>
      <c r="BD102" s="4">
        <v>8572</v>
      </c>
      <c r="BE102" s="4">
        <v>4888</v>
      </c>
      <c r="BF102" s="4">
        <v>1760</v>
      </c>
      <c r="BG102" s="4">
        <v>5944</v>
      </c>
      <c r="BH102" s="4">
        <v>2404</v>
      </c>
      <c r="BI102" s="4">
        <v>39095</v>
      </c>
      <c r="BJ102" s="4">
        <v>4953</v>
      </c>
      <c r="BK102" s="4">
        <v>7198</v>
      </c>
      <c r="BL102" s="4">
        <v>3603</v>
      </c>
      <c r="BM102" s="4">
        <v>5512</v>
      </c>
      <c r="BN102" s="4">
        <v>1153</v>
      </c>
      <c r="BO102" s="4">
        <v>1341</v>
      </c>
      <c r="BP102" s="4">
        <v>29562</v>
      </c>
      <c r="BQ102" s="4">
        <v>2976</v>
      </c>
      <c r="BR102" s="4">
        <v>87968</v>
      </c>
      <c r="BS102" s="4">
        <v>9170</v>
      </c>
      <c r="BT102" s="4">
        <v>10336</v>
      </c>
      <c r="BU102" s="4">
        <v>19705</v>
      </c>
      <c r="BV102" s="4">
        <v>3348</v>
      </c>
      <c r="BW102" s="4">
        <v>15270</v>
      </c>
      <c r="BX102" s="4">
        <v>3697</v>
      </c>
      <c r="BY102" s="4">
        <v>9680</v>
      </c>
      <c r="BZ102" s="4">
        <v>23693</v>
      </c>
      <c r="CA102" s="4">
        <v>2672</v>
      </c>
      <c r="CB102" s="4">
        <v>1212</v>
      </c>
      <c r="CC102" s="4">
        <v>8171</v>
      </c>
      <c r="CD102" s="4">
        <v>4117</v>
      </c>
      <c r="CE102" s="4">
        <v>4273</v>
      </c>
      <c r="CF102" s="4">
        <v>8901</v>
      </c>
      <c r="CG102" s="4">
        <v>112999</v>
      </c>
      <c r="CH102" s="4">
        <v>15835</v>
      </c>
      <c r="CI102" s="4">
        <v>29335</v>
      </c>
      <c r="CJ102" s="4">
        <v>7903</v>
      </c>
      <c r="CK102" s="4">
        <v>17284</v>
      </c>
      <c r="CL102" s="4">
        <v>10891</v>
      </c>
      <c r="CM102" s="4">
        <v>18916</v>
      </c>
      <c r="CN102" s="4">
        <v>49756</v>
      </c>
      <c r="CO102" s="4">
        <v>6146</v>
      </c>
      <c r="CP102" s="4">
        <v>3342</v>
      </c>
      <c r="CQ102" s="4">
        <v>4396</v>
      </c>
      <c r="CR102" s="4">
        <v>7924</v>
      </c>
      <c r="CS102" s="4">
        <v>34839</v>
      </c>
      <c r="CT102" s="4">
        <v>20119</v>
      </c>
      <c r="CU102" s="4">
        <v>1931</v>
      </c>
      <c r="CV102" s="4">
        <v>283213</v>
      </c>
      <c r="CW102" s="4">
        <v>5614</v>
      </c>
      <c r="CX102" s="4">
        <v>1693</v>
      </c>
      <c r="CY102" s="4">
        <v>25751</v>
      </c>
      <c r="CZ102" s="4">
        <v>2778</v>
      </c>
      <c r="DA102" s="4">
        <v>6168</v>
      </c>
      <c r="DB102" s="4">
        <v>12118</v>
      </c>
      <c r="DC102" s="4">
        <v>3804</v>
      </c>
      <c r="DD102" s="4">
        <v>3051</v>
      </c>
      <c r="DE102" s="4">
        <v>2073</v>
      </c>
      <c r="DF102" s="4">
        <v>55953</v>
      </c>
      <c r="DG102" s="4">
        <v>14753</v>
      </c>
      <c r="DH102" s="4">
        <v>19443</v>
      </c>
      <c r="DI102" s="4">
        <v>4899</v>
      </c>
      <c r="DJ102" s="4">
        <v>27982</v>
      </c>
      <c r="DK102" s="4">
        <v>16601</v>
      </c>
      <c r="DL102" s="4">
        <v>11076</v>
      </c>
      <c r="DM102" s="4">
        <v>15060</v>
      </c>
      <c r="DN102" s="4">
        <v>20837</v>
      </c>
      <c r="DO102" s="4">
        <v>3800</v>
      </c>
      <c r="DP102" s="4">
        <v>8394</v>
      </c>
      <c r="DQ102" s="4">
        <v>64869</v>
      </c>
      <c r="DR102" s="4">
        <v>3775</v>
      </c>
      <c r="DS102" s="4">
        <v>6281</v>
      </c>
      <c r="DT102" s="4">
        <v>633</v>
      </c>
      <c r="DU102" s="4">
        <v>9833</v>
      </c>
      <c r="DV102" s="4">
        <v>5474</v>
      </c>
      <c r="DW102" s="4">
        <v>4781</v>
      </c>
      <c r="DX102" s="4">
        <v>12213</v>
      </c>
      <c r="DY102" s="4">
        <v>1920</v>
      </c>
      <c r="DZ102" s="4">
        <v>2685</v>
      </c>
      <c r="EA102" s="4">
        <v>11268</v>
      </c>
      <c r="EB102" s="4">
        <v>5962</v>
      </c>
      <c r="EC102" s="4">
        <v>768</v>
      </c>
      <c r="ED102" s="4">
        <v>1008</v>
      </c>
      <c r="EE102" s="4">
        <v>35837</v>
      </c>
      <c r="EF102" s="4">
        <v>4702</v>
      </c>
      <c r="EG102" s="4">
        <v>12231</v>
      </c>
      <c r="EH102" s="4">
        <v>29582</v>
      </c>
      <c r="EJ102" s="4">
        <f t="shared" si="1"/>
        <v>1645396</v>
      </c>
    </row>
    <row r="103" spans="1:140" x14ac:dyDescent="0.25">
      <c r="A103" s="4" t="s">
        <v>239</v>
      </c>
      <c r="B103" s="4">
        <v>5959</v>
      </c>
      <c r="C103" s="4">
        <v>5999</v>
      </c>
      <c r="D103" s="4">
        <v>217</v>
      </c>
      <c r="E103" s="4">
        <v>2127</v>
      </c>
      <c r="F103" s="4">
        <v>16</v>
      </c>
      <c r="G103" s="4">
        <v>19</v>
      </c>
      <c r="H103" s="4">
        <v>15381</v>
      </c>
      <c r="I103" s="4">
        <v>90</v>
      </c>
      <c r="J103" s="4">
        <v>1326</v>
      </c>
      <c r="K103" s="4">
        <v>146</v>
      </c>
      <c r="L103" s="4">
        <v>1565</v>
      </c>
      <c r="M103" s="4">
        <v>94</v>
      </c>
      <c r="N103" s="4">
        <v>13681</v>
      </c>
      <c r="O103" s="4">
        <v>2081</v>
      </c>
      <c r="P103" s="4">
        <v>1737</v>
      </c>
      <c r="Q103" s="4">
        <v>8886</v>
      </c>
      <c r="R103" s="4">
        <v>24</v>
      </c>
      <c r="S103" s="4">
        <v>2613</v>
      </c>
      <c r="T103" s="4">
        <v>3013</v>
      </c>
      <c r="U103" s="4">
        <v>2828</v>
      </c>
      <c r="V103" s="4">
        <v>10404</v>
      </c>
      <c r="W103" s="4">
        <v>3248</v>
      </c>
      <c r="X103" s="4">
        <v>755</v>
      </c>
      <c r="Y103" s="4">
        <v>896</v>
      </c>
      <c r="Z103" s="4">
        <v>1151</v>
      </c>
      <c r="AA103" s="4">
        <v>650</v>
      </c>
      <c r="AB103" s="4">
        <v>5800</v>
      </c>
      <c r="AC103" s="4">
        <v>1111</v>
      </c>
      <c r="AD103" s="4">
        <v>521</v>
      </c>
      <c r="AE103" s="4">
        <v>1953</v>
      </c>
      <c r="AF103" s="4">
        <v>1339</v>
      </c>
      <c r="AG103">
        <v>29611</v>
      </c>
      <c r="AH103" s="4">
        <v>463</v>
      </c>
      <c r="AI103" s="4">
        <v>1176</v>
      </c>
      <c r="AJ103" s="4">
        <v>445</v>
      </c>
      <c r="AK103" s="4">
        <v>2428</v>
      </c>
      <c r="AL103" s="4">
        <v>2936</v>
      </c>
      <c r="AM103" s="4">
        <v>805</v>
      </c>
      <c r="AN103" s="4">
        <v>360</v>
      </c>
      <c r="AO103" s="4">
        <v>10134</v>
      </c>
      <c r="AP103" s="4">
        <v>720</v>
      </c>
      <c r="AQ103" s="4">
        <v>89</v>
      </c>
      <c r="AR103" s="4">
        <v>2789</v>
      </c>
      <c r="AS103" s="4">
        <v>6405</v>
      </c>
      <c r="AT103" s="4">
        <v>1765</v>
      </c>
      <c r="AU103" s="4">
        <v>3101</v>
      </c>
      <c r="AV103" s="4">
        <v>4442</v>
      </c>
      <c r="AW103" s="4">
        <v>2968</v>
      </c>
      <c r="AX103" s="4">
        <v>30158</v>
      </c>
      <c r="AY103" s="4">
        <v>213</v>
      </c>
      <c r="AZ103" s="4">
        <v>722</v>
      </c>
      <c r="BA103" s="4">
        <v>8786</v>
      </c>
      <c r="BB103" s="4">
        <v>213</v>
      </c>
      <c r="BC103" s="4">
        <v>883</v>
      </c>
      <c r="BD103" s="4">
        <v>7677</v>
      </c>
      <c r="BE103" s="4">
        <v>4393</v>
      </c>
      <c r="BF103" s="4">
        <v>1692</v>
      </c>
      <c r="BG103" s="4">
        <v>5380</v>
      </c>
      <c r="BH103" s="4">
        <v>1936</v>
      </c>
      <c r="BI103" s="4">
        <v>35266</v>
      </c>
      <c r="BJ103" s="4">
        <v>5326</v>
      </c>
      <c r="BK103" s="4">
        <v>9726</v>
      </c>
      <c r="BL103" s="4">
        <v>3526</v>
      </c>
      <c r="BM103" s="4">
        <v>5915</v>
      </c>
      <c r="BN103" s="4">
        <v>1118</v>
      </c>
      <c r="BO103" s="4">
        <v>1289</v>
      </c>
      <c r="BP103" s="4">
        <v>27360</v>
      </c>
      <c r="BQ103" s="4">
        <v>2666</v>
      </c>
      <c r="BR103" s="4">
        <v>91480</v>
      </c>
      <c r="BS103" s="4">
        <v>8842</v>
      </c>
      <c r="BT103" s="4">
        <v>10129</v>
      </c>
      <c r="BU103" s="4">
        <v>20617</v>
      </c>
      <c r="BV103" s="4">
        <v>3238</v>
      </c>
      <c r="BW103" s="4">
        <v>14481</v>
      </c>
      <c r="BX103" s="4">
        <v>3955</v>
      </c>
      <c r="BY103" s="4">
        <v>11983</v>
      </c>
      <c r="BZ103" s="4">
        <v>24641</v>
      </c>
      <c r="CA103" s="4">
        <v>2752</v>
      </c>
      <c r="CB103" s="4">
        <v>1227</v>
      </c>
      <c r="CC103" s="4">
        <v>7678</v>
      </c>
      <c r="CD103" s="4">
        <v>4117</v>
      </c>
      <c r="CE103" s="4">
        <v>3936</v>
      </c>
      <c r="CF103" s="4">
        <v>9221</v>
      </c>
      <c r="CG103" s="4">
        <v>117103</v>
      </c>
      <c r="CH103" s="4">
        <v>16870</v>
      </c>
      <c r="CI103" s="4">
        <v>27255</v>
      </c>
      <c r="CJ103" s="4">
        <v>6814</v>
      </c>
      <c r="CK103" s="4">
        <v>16004</v>
      </c>
      <c r="CL103" s="4">
        <v>10022</v>
      </c>
      <c r="CM103" s="4">
        <v>18663</v>
      </c>
      <c r="CN103" s="4">
        <v>50885</v>
      </c>
      <c r="CO103" s="4">
        <v>5955</v>
      </c>
      <c r="CP103" s="4">
        <v>3635</v>
      </c>
      <c r="CQ103" s="4">
        <v>4259</v>
      </c>
      <c r="CR103" s="4">
        <v>6838</v>
      </c>
      <c r="CS103" s="4">
        <v>34144</v>
      </c>
      <c r="CT103" s="4">
        <v>19650</v>
      </c>
      <c r="CU103" s="4">
        <v>1806</v>
      </c>
      <c r="CV103" s="4">
        <v>273282</v>
      </c>
      <c r="CW103" s="4">
        <v>5735</v>
      </c>
      <c r="CX103" s="4">
        <v>2488</v>
      </c>
      <c r="CY103" s="4">
        <v>24841</v>
      </c>
      <c r="CZ103" s="4">
        <v>2803</v>
      </c>
      <c r="DA103" s="4">
        <v>6212</v>
      </c>
      <c r="DB103" s="4">
        <v>12642</v>
      </c>
      <c r="DC103" s="4">
        <v>4041</v>
      </c>
      <c r="DD103" s="4">
        <v>3250</v>
      </c>
      <c r="DE103" s="4">
        <v>2113</v>
      </c>
      <c r="DF103" s="4">
        <v>55517</v>
      </c>
      <c r="DG103" s="4">
        <v>12768</v>
      </c>
      <c r="DH103" s="4">
        <v>16810</v>
      </c>
      <c r="DI103" s="4">
        <v>3673</v>
      </c>
      <c r="DJ103" s="4">
        <v>26362</v>
      </c>
      <c r="DK103" s="4">
        <v>17186</v>
      </c>
      <c r="DL103" s="4">
        <v>10163</v>
      </c>
      <c r="DM103" s="4">
        <v>13349</v>
      </c>
      <c r="DN103" s="4">
        <v>17228</v>
      </c>
      <c r="DO103" s="4">
        <v>3065</v>
      </c>
      <c r="DP103" s="4">
        <v>8746</v>
      </c>
      <c r="DQ103" s="4">
        <v>63048</v>
      </c>
      <c r="DR103" s="4">
        <v>3143</v>
      </c>
      <c r="DS103" s="4">
        <v>5768</v>
      </c>
      <c r="DT103" s="4">
        <v>709</v>
      </c>
      <c r="DU103" s="4">
        <v>9641</v>
      </c>
      <c r="DV103" s="4">
        <v>5705</v>
      </c>
      <c r="DW103" s="4">
        <v>4634</v>
      </c>
      <c r="DX103" s="4">
        <v>11034</v>
      </c>
      <c r="DY103" s="4">
        <v>1708</v>
      </c>
      <c r="DZ103" s="4">
        <v>2837</v>
      </c>
      <c r="EA103" s="4">
        <v>11511</v>
      </c>
      <c r="EB103" s="4">
        <v>5603</v>
      </c>
      <c r="EC103" s="4">
        <v>745</v>
      </c>
      <c r="ED103" s="4">
        <v>1071</v>
      </c>
      <c r="EE103" s="4">
        <v>36550</v>
      </c>
      <c r="EF103" s="4">
        <v>4337</v>
      </c>
      <c r="EG103" s="4">
        <v>12474</v>
      </c>
      <c r="EH103" s="4">
        <v>30383</v>
      </c>
      <c r="EJ103" s="4">
        <f t="shared" si="1"/>
        <v>1611887</v>
      </c>
    </row>
    <row r="104" spans="1:140" x14ac:dyDescent="0.25">
      <c r="A104" s="4" t="s">
        <v>240</v>
      </c>
      <c r="B104" s="4">
        <v>6427</v>
      </c>
      <c r="C104" s="4">
        <v>6092</v>
      </c>
      <c r="D104" s="4">
        <v>224</v>
      </c>
      <c r="E104" s="4">
        <v>1982</v>
      </c>
      <c r="F104" s="4">
        <v>13</v>
      </c>
      <c r="G104" s="4">
        <v>26</v>
      </c>
      <c r="H104" s="4">
        <v>15612</v>
      </c>
      <c r="I104" s="4">
        <v>103</v>
      </c>
      <c r="J104" s="4">
        <v>1448</v>
      </c>
      <c r="K104" s="4">
        <v>66</v>
      </c>
      <c r="L104" s="4">
        <v>1379</v>
      </c>
      <c r="M104" s="4">
        <v>119</v>
      </c>
      <c r="N104" s="4">
        <v>11448</v>
      </c>
      <c r="O104" s="4">
        <v>1894</v>
      </c>
      <c r="P104" s="4">
        <v>1555</v>
      </c>
      <c r="Q104" s="4">
        <v>8531</v>
      </c>
      <c r="R104" s="4">
        <v>14</v>
      </c>
      <c r="S104" s="4">
        <v>2215</v>
      </c>
      <c r="T104" s="4">
        <v>2959</v>
      </c>
      <c r="U104" s="4">
        <v>2597</v>
      </c>
      <c r="V104" s="4">
        <v>9362</v>
      </c>
      <c r="W104" s="4">
        <v>3531</v>
      </c>
      <c r="X104" s="4">
        <v>794</v>
      </c>
      <c r="Y104" s="4">
        <v>923</v>
      </c>
      <c r="Z104" s="4">
        <v>1200</v>
      </c>
      <c r="AA104" s="4">
        <v>597</v>
      </c>
      <c r="AB104" s="4">
        <v>5667</v>
      </c>
      <c r="AC104" s="4">
        <v>1068</v>
      </c>
      <c r="AD104" s="4">
        <v>470</v>
      </c>
      <c r="AE104" s="4">
        <v>1668</v>
      </c>
      <c r="AF104" s="4">
        <v>1512</v>
      </c>
      <c r="AG104">
        <v>30059</v>
      </c>
      <c r="AH104" s="4">
        <v>449</v>
      </c>
      <c r="AI104" s="4">
        <v>1105</v>
      </c>
      <c r="AJ104" s="4">
        <v>393</v>
      </c>
      <c r="AK104" s="4">
        <v>2176</v>
      </c>
      <c r="AL104" s="4">
        <v>2874</v>
      </c>
      <c r="AM104" s="4">
        <v>853</v>
      </c>
      <c r="AN104" s="4">
        <v>345</v>
      </c>
      <c r="AO104" s="4">
        <v>10162</v>
      </c>
      <c r="AP104" s="4">
        <v>846</v>
      </c>
      <c r="AQ104" s="4">
        <v>83</v>
      </c>
      <c r="AR104" s="4">
        <v>3254</v>
      </c>
      <c r="AS104" s="4">
        <v>7441</v>
      </c>
      <c r="AT104" s="4">
        <v>1468</v>
      </c>
      <c r="AU104" s="4">
        <v>3180</v>
      </c>
      <c r="AV104" s="4">
        <v>4520</v>
      </c>
      <c r="AW104" s="4">
        <v>2299</v>
      </c>
      <c r="AX104" s="4">
        <v>34664</v>
      </c>
      <c r="AY104" s="4">
        <v>304</v>
      </c>
      <c r="AZ104" s="4">
        <v>719</v>
      </c>
      <c r="BA104" s="4">
        <v>8330</v>
      </c>
      <c r="BB104" s="4">
        <v>195</v>
      </c>
      <c r="BC104" s="4">
        <v>843</v>
      </c>
      <c r="BD104" s="4">
        <v>7691</v>
      </c>
      <c r="BE104" s="4">
        <v>4384</v>
      </c>
      <c r="BF104" s="4">
        <v>1739</v>
      </c>
      <c r="BG104" s="4">
        <v>5813</v>
      </c>
      <c r="BH104" s="4">
        <v>1840</v>
      </c>
      <c r="BI104" s="4">
        <v>35071</v>
      </c>
      <c r="BJ104" s="4">
        <v>6009</v>
      </c>
      <c r="BK104" s="4">
        <v>8783</v>
      </c>
      <c r="BL104" s="4">
        <v>3400</v>
      </c>
      <c r="BM104" s="4">
        <v>6350</v>
      </c>
      <c r="BN104" s="4">
        <v>2149</v>
      </c>
      <c r="BO104" s="4">
        <v>1493</v>
      </c>
      <c r="BP104" s="4">
        <v>28823</v>
      </c>
      <c r="BQ104" s="4">
        <v>2785</v>
      </c>
      <c r="BR104" s="4">
        <v>91605</v>
      </c>
      <c r="BS104" s="4">
        <v>10582</v>
      </c>
      <c r="BT104" s="4">
        <v>10838</v>
      </c>
      <c r="BU104" s="4">
        <v>24120</v>
      </c>
      <c r="BV104" s="4">
        <v>3308</v>
      </c>
      <c r="BW104" s="4">
        <v>15182</v>
      </c>
      <c r="BX104" s="4">
        <v>2838</v>
      </c>
      <c r="BY104" s="4">
        <v>6828</v>
      </c>
      <c r="BZ104" s="4">
        <v>23804</v>
      </c>
      <c r="CA104" s="4">
        <v>2932</v>
      </c>
      <c r="CB104" s="4">
        <v>1384</v>
      </c>
      <c r="CC104" s="4">
        <v>7445</v>
      </c>
      <c r="CD104" s="4">
        <v>4159</v>
      </c>
      <c r="CE104" s="4">
        <v>4136</v>
      </c>
      <c r="CF104" s="4">
        <v>9204</v>
      </c>
      <c r="CG104" s="4">
        <v>117096</v>
      </c>
      <c r="CH104" s="4">
        <v>15643</v>
      </c>
      <c r="CI104" s="4">
        <v>28099</v>
      </c>
      <c r="CJ104" s="4">
        <v>7155</v>
      </c>
      <c r="CK104" s="4">
        <v>15697</v>
      </c>
      <c r="CL104" s="4">
        <v>10543</v>
      </c>
      <c r="CM104" s="4">
        <v>17493</v>
      </c>
      <c r="CN104" s="4">
        <v>47817</v>
      </c>
      <c r="CO104" s="4">
        <v>6228</v>
      </c>
      <c r="CP104" s="4">
        <v>3425</v>
      </c>
      <c r="CQ104" s="4">
        <v>4468</v>
      </c>
      <c r="CR104" s="4">
        <v>7077</v>
      </c>
      <c r="CS104" s="4">
        <v>31949</v>
      </c>
      <c r="CT104" s="4">
        <v>18555</v>
      </c>
      <c r="CU104" s="4">
        <v>1852</v>
      </c>
      <c r="CV104" s="4">
        <v>267608</v>
      </c>
      <c r="CW104" s="4">
        <v>5644</v>
      </c>
      <c r="CX104" s="4">
        <v>2282</v>
      </c>
      <c r="CY104" s="4">
        <v>25989</v>
      </c>
      <c r="CZ104" s="4">
        <v>2944</v>
      </c>
      <c r="DA104" s="4">
        <v>6275</v>
      </c>
      <c r="DB104" s="4">
        <v>13318</v>
      </c>
      <c r="DC104" s="4">
        <v>4400</v>
      </c>
      <c r="DD104" s="4">
        <v>2763</v>
      </c>
      <c r="DE104" s="4">
        <v>2098</v>
      </c>
      <c r="DF104" s="4">
        <v>58240</v>
      </c>
      <c r="DG104" s="4">
        <v>13815</v>
      </c>
      <c r="DH104" s="4">
        <v>17734</v>
      </c>
      <c r="DI104" s="4">
        <v>3377</v>
      </c>
      <c r="DJ104" s="4">
        <v>26435</v>
      </c>
      <c r="DK104" s="4">
        <v>17488</v>
      </c>
      <c r="DL104" s="4">
        <v>10412</v>
      </c>
      <c r="DM104" s="4">
        <v>13973</v>
      </c>
      <c r="DN104" s="4">
        <v>18126</v>
      </c>
      <c r="DO104" s="4">
        <v>3091</v>
      </c>
      <c r="DP104" s="4">
        <v>9902</v>
      </c>
      <c r="DQ104" s="4">
        <v>61313</v>
      </c>
      <c r="DR104" s="4">
        <v>2884</v>
      </c>
      <c r="DS104" s="4">
        <v>5646</v>
      </c>
      <c r="DT104" s="4">
        <v>817</v>
      </c>
      <c r="DU104" s="4">
        <v>10472</v>
      </c>
      <c r="DV104" s="4">
        <v>5802</v>
      </c>
      <c r="DW104" s="4">
        <v>5012</v>
      </c>
      <c r="DX104" s="4">
        <v>11384</v>
      </c>
      <c r="DY104" s="4">
        <v>1961</v>
      </c>
      <c r="DZ104" s="4">
        <v>2764</v>
      </c>
      <c r="EA104" s="4">
        <v>11138</v>
      </c>
      <c r="EB104" s="4">
        <v>5091</v>
      </c>
      <c r="EC104" s="4">
        <v>811</v>
      </c>
      <c r="ED104" s="4">
        <v>1077</v>
      </c>
      <c r="EE104" s="4">
        <v>36884</v>
      </c>
      <c r="EF104" s="4">
        <v>4830</v>
      </c>
      <c r="EG104" s="4">
        <v>12566</v>
      </c>
      <c r="EH104" s="4">
        <v>28529</v>
      </c>
      <c r="EJ104" s="4">
        <f t="shared" si="1"/>
        <v>1610745</v>
      </c>
    </row>
    <row r="105" spans="1:140" x14ac:dyDescent="0.25">
      <c r="A105" s="4" t="s">
        <v>241</v>
      </c>
      <c r="B105" s="4">
        <v>6232</v>
      </c>
      <c r="C105" s="4">
        <v>6719</v>
      </c>
      <c r="D105" s="4">
        <v>208</v>
      </c>
      <c r="E105" s="4">
        <v>2172</v>
      </c>
      <c r="F105" s="4">
        <v>6</v>
      </c>
      <c r="G105" s="4">
        <v>31</v>
      </c>
      <c r="H105" s="4">
        <v>17447</v>
      </c>
      <c r="I105" s="4">
        <v>78</v>
      </c>
      <c r="J105" s="4">
        <v>1447</v>
      </c>
      <c r="K105" s="4">
        <v>66</v>
      </c>
      <c r="L105" s="4">
        <v>1689</v>
      </c>
      <c r="M105" s="4">
        <v>124</v>
      </c>
      <c r="N105" s="4">
        <v>13859</v>
      </c>
      <c r="O105" s="4">
        <v>2113</v>
      </c>
      <c r="P105" s="4">
        <v>1743</v>
      </c>
      <c r="Q105" s="4">
        <v>9867</v>
      </c>
      <c r="R105" s="4">
        <v>33</v>
      </c>
      <c r="S105" s="4">
        <v>2416</v>
      </c>
      <c r="T105" s="4">
        <v>3599</v>
      </c>
      <c r="U105" s="4">
        <v>2943</v>
      </c>
      <c r="V105" s="4">
        <v>10704</v>
      </c>
      <c r="W105" s="4">
        <v>3443</v>
      </c>
      <c r="X105" s="4">
        <v>940</v>
      </c>
      <c r="Y105" s="4">
        <v>974</v>
      </c>
      <c r="Z105" s="4">
        <v>1247</v>
      </c>
      <c r="AA105" s="4">
        <v>692</v>
      </c>
      <c r="AB105" s="4">
        <v>6140</v>
      </c>
      <c r="AC105" s="4">
        <v>1383</v>
      </c>
      <c r="AD105" s="4">
        <v>451</v>
      </c>
      <c r="AE105" s="4">
        <v>1545</v>
      </c>
      <c r="AF105" s="4">
        <v>1689</v>
      </c>
      <c r="AG105">
        <v>32136</v>
      </c>
      <c r="AH105" s="4">
        <v>566</v>
      </c>
      <c r="AI105" s="4">
        <v>1327</v>
      </c>
      <c r="AJ105" s="4">
        <v>467</v>
      </c>
      <c r="AK105" s="4">
        <v>2486</v>
      </c>
      <c r="AL105" s="4">
        <v>2804</v>
      </c>
      <c r="AM105" s="4">
        <v>1027</v>
      </c>
      <c r="AN105" s="4">
        <v>365</v>
      </c>
      <c r="AO105" s="4">
        <v>11135</v>
      </c>
      <c r="AP105" s="4">
        <v>814</v>
      </c>
      <c r="AQ105" s="4">
        <v>101</v>
      </c>
      <c r="AR105" s="4">
        <v>3068</v>
      </c>
      <c r="AS105" s="4">
        <v>8112</v>
      </c>
      <c r="AT105" s="4">
        <v>1574</v>
      </c>
      <c r="AU105" s="4">
        <v>3506</v>
      </c>
      <c r="AV105" s="4">
        <v>4966</v>
      </c>
      <c r="AW105" s="4">
        <v>4152</v>
      </c>
      <c r="AX105" s="4">
        <v>32176</v>
      </c>
      <c r="AY105" s="4">
        <v>308</v>
      </c>
      <c r="AZ105" s="4">
        <v>923</v>
      </c>
      <c r="BA105" s="4">
        <v>9125</v>
      </c>
      <c r="BB105" s="4">
        <v>254</v>
      </c>
      <c r="BC105" s="4">
        <v>889</v>
      </c>
      <c r="BD105" s="4">
        <v>8292</v>
      </c>
      <c r="BE105" s="4">
        <v>4694</v>
      </c>
      <c r="BF105" s="4">
        <v>2145</v>
      </c>
      <c r="BG105" s="4">
        <v>6444</v>
      </c>
      <c r="BH105" s="4">
        <v>2069</v>
      </c>
      <c r="BI105" s="4">
        <v>38580</v>
      </c>
      <c r="BJ105" s="4">
        <v>5670</v>
      </c>
      <c r="BK105" s="4">
        <v>7566</v>
      </c>
      <c r="BL105" s="4">
        <v>4256</v>
      </c>
      <c r="BM105" s="4">
        <v>6448</v>
      </c>
      <c r="BN105" s="4">
        <v>1672</v>
      </c>
      <c r="BO105" s="4">
        <v>1432</v>
      </c>
      <c r="BP105" s="4">
        <v>31841</v>
      </c>
      <c r="BQ105" s="4">
        <v>3027</v>
      </c>
      <c r="BR105" s="4">
        <v>94723</v>
      </c>
      <c r="BS105" s="4">
        <v>11392</v>
      </c>
      <c r="BT105" s="4">
        <v>11782</v>
      </c>
      <c r="BU105" s="4">
        <v>29639</v>
      </c>
      <c r="BV105" s="4">
        <v>3726</v>
      </c>
      <c r="BW105" s="4">
        <v>16764</v>
      </c>
      <c r="BX105" s="4">
        <v>2857</v>
      </c>
      <c r="BY105" s="4">
        <v>7998</v>
      </c>
      <c r="BZ105" s="4">
        <v>24504</v>
      </c>
      <c r="CA105" s="4">
        <v>3089</v>
      </c>
      <c r="CB105" s="4">
        <v>1312</v>
      </c>
      <c r="CC105" s="4">
        <v>8474</v>
      </c>
      <c r="CD105" s="4">
        <v>4386</v>
      </c>
      <c r="CE105" s="4">
        <v>4221</v>
      </c>
      <c r="CF105" s="4">
        <v>9204</v>
      </c>
      <c r="CG105" s="4">
        <v>120555</v>
      </c>
      <c r="CH105" s="4">
        <v>16169</v>
      </c>
      <c r="CI105" s="4">
        <v>30202</v>
      </c>
      <c r="CJ105" s="4">
        <v>7658</v>
      </c>
      <c r="CK105" s="4">
        <v>18282</v>
      </c>
      <c r="CL105" s="4">
        <v>11225</v>
      </c>
      <c r="CM105" s="4">
        <v>19185</v>
      </c>
      <c r="CN105" s="4">
        <v>53524</v>
      </c>
      <c r="CO105" s="4">
        <v>6323</v>
      </c>
      <c r="CP105" s="4">
        <v>4384</v>
      </c>
      <c r="CQ105" s="4">
        <v>5009</v>
      </c>
      <c r="CR105" s="4">
        <v>6818</v>
      </c>
      <c r="CS105" s="4">
        <v>34884</v>
      </c>
      <c r="CT105" s="4">
        <v>20146</v>
      </c>
      <c r="CU105" s="4">
        <v>1872</v>
      </c>
      <c r="CV105" s="4">
        <v>288574</v>
      </c>
      <c r="CW105" s="4">
        <v>6007</v>
      </c>
      <c r="CX105" s="4">
        <v>2123</v>
      </c>
      <c r="CY105" s="4">
        <v>28566</v>
      </c>
      <c r="CZ105" s="4">
        <v>3205</v>
      </c>
      <c r="DA105" s="4">
        <v>6037</v>
      </c>
      <c r="DB105" s="4">
        <v>14066</v>
      </c>
      <c r="DC105" s="4">
        <v>4662</v>
      </c>
      <c r="DD105" s="4">
        <v>2923</v>
      </c>
      <c r="DE105" s="4">
        <v>2264</v>
      </c>
      <c r="DF105" s="4">
        <v>59537</v>
      </c>
      <c r="DG105" s="4">
        <v>14603</v>
      </c>
      <c r="DH105" s="4">
        <v>17870</v>
      </c>
      <c r="DI105" s="4">
        <v>3646</v>
      </c>
      <c r="DJ105" s="4">
        <v>28071</v>
      </c>
      <c r="DK105" s="4">
        <v>17751</v>
      </c>
      <c r="DL105" s="4">
        <v>11124</v>
      </c>
      <c r="DM105" s="4">
        <v>14727</v>
      </c>
      <c r="DN105" s="4">
        <v>17777</v>
      </c>
      <c r="DO105" s="4">
        <v>3416</v>
      </c>
      <c r="DP105" s="4">
        <v>10579</v>
      </c>
      <c r="DQ105" s="4">
        <v>65625</v>
      </c>
      <c r="DR105" s="4">
        <v>2916</v>
      </c>
      <c r="DS105" s="4">
        <v>5663</v>
      </c>
      <c r="DT105" s="4">
        <v>821</v>
      </c>
      <c r="DU105" s="4">
        <v>11745</v>
      </c>
      <c r="DV105" s="4">
        <v>6682</v>
      </c>
      <c r="DW105" s="4">
        <v>5508</v>
      </c>
      <c r="DX105" s="4">
        <v>13489</v>
      </c>
      <c r="DY105" s="4">
        <v>1968</v>
      </c>
      <c r="DZ105" s="4">
        <v>2848</v>
      </c>
      <c r="EA105" s="4">
        <v>11983</v>
      </c>
      <c r="EB105" s="4">
        <v>5989</v>
      </c>
      <c r="EC105" s="4">
        <v>925</v>
      </c>
      <c r="ED105" s="4">
        <v>1028</v>
      </c>
      <c r="EE105" s="4">
        <v>37541</v>
      </c>
      <c r="EF105" s="4">
        <v>4817</v>
      </c>
      <c r="EG105" s="4">
        <v>13588</v>
      </c>
      <c r="EH105" s="4">
        <v>29441</v>
      </c>
      <c r="EJ105" s="4">
        <f t="shared" si="1"/>
        <v>1718829</v>
      </c>
    </row>
    <row r="106" spans="1:140" x14ac:dyDescent="0.25">
      <c r="A106" s="4" t="s">
        <v>242</v>
      </c>
      <c r="B106" s="4">
        <v>6044</v>
      </c>
      <c r="C106" s="4">
        <v>5973</v>
      </c>
      <c r="D106" s="4">
        <v>191</v>
      </c>
      <c r="E106" s="4">
        <v>1962</v>
      </c>
      <c r="F106" s="4">
        <v>6</v>
      </c>
      <c r="G106" s="4">
        <v>34</v>
      </c>
      <c r="H106" s="4">
        <v>14449</v>
      </c>
      <c r="I106" s="4">
        <v>110</v>
      </c>
      <c r="J106" s="4">
        <v>1230</v>
      </c>
      <c r="K106" s="4">
        <v>35</v>
      </c>
      <c r="L106" s="4">
        <v>1421</v>
      </c>
      <c r="M106" s="4">
        <v>110</v>
      </c>
      <c r="N106" s="4">
        <v>11896</v>
      </c>
      <c r="O106" s="4">
        <v>1771</v>
      </c>
      <c r="P106" s="4">
        <v>1685</v>
      </c>
      <c r="Q106" s="4">
        <v>7571</v>
      </c>
      <c r="R106" s="4">
        <v>29</v>
      </c>
      <c r="S106" s="4">
        <v>2105</v>
      </c>
      <c r="T106" s="4">
        <v>2787</v>
      </c>
      <c r="U106" s="4">
        <v>2889</v>
      </c>
      <c r="V106" s="4">
        <v>7869</v>
      </c>
      <c r="W106" s="4">
        <v>2943</v>
      </c>
      <c r="X106" s="4">
        <v>740</v>
      </c>
      <c r="Y106" s="4">
        <v>781</v>
      </c>
      <c r="Z106" s="4">
        <v>1211</v>
      </c>
      <c r="AA106" s="4">
        <v>671</v>
      </c>
      <c r="AB106" s="4">
        <v>5869</v>
      </c>
      <c r="AC106" s="4">
        <v>1146</v>
      </c>
      <c r="AD106" s="4">
        <v>414</v>
      </c>
      <c r="AE106" s="4">
        <v>1441</v>
      </c>
      <c r="AF106" s="4">
        <v>1151</v>
      </c>
      <c r="AG106">
        <v>27750</v>
      </c>
      <c r="AH106" s="4">
        <v>414</v>
      </c>
      <c r="AI106" s="4">
        <v>1200</v>
      </c>
      <c r="AJ106" s="4">
        <v>440</v>
      </c>
      <c r="AK106" s="4">
        <v>2028</v>
      </c>
      <c r="AL106" s="4">
        <v>2828</v>
      </c>
      <c r="AM106" s="4">
        <v>791</v>
      </c>
      <c r="AN106" s="4">
        <v>258</v>
      </c>
      <c r="AO106" s="4">
        <v>8480</v>
      </c>
      <c r="AP106" s="4">
        <v>758</v>
      </c>
      <c r="AQ106" s="4">
        <v>91</v>
      </c>
      <c r="AR106" s="4">
        <v>2797</v>
      </c>
      <c r="AS106" s="4">
        <v>6463</v>
      </c>
      <c r="AT106" s="4">
        <v>1421</v>
      </c>
      <c r="AU106" s="4">
        <v>3757</v>
      </c>
      <c r="AV106" s="4">
        <v>3942</v>
      </c>
      <c r="AW106" s="4">
        <v>4126</v>
      </c>
      <c r="AX106" s="4">
        <v>30450</v>
      </c>
      <c r="AY106" s="4">
        <v>261</v>
      </c>
      <c r="AZ106" s="4">
        <v>1032</v>
      </c>
      <c r="BA106" s="4">
        <v>6474</v>
      </c>
      <c r="BB106" s="4">
        <v>205</v>
      </c>
      <c r="BC106" s="4">
        <v>798</v>
      </c>
      <c r="BD106" s="4">
        <v>7371</v>
      </c>
      <c r="BE106" s="4">
        <v>4480</v>
      </c>
      <c r="BF106" s="4">
        <v>1937</v>
      </c>
      <c r="BG106" s="4">
        <v>5092</v>
      </c>
      <c r="BH106" s="4">
        <v>1818</v>
      </c>
      <c r="BI106" s="4">
        <v>31884</v>
      </c>
      <c r="BJ106" s="4">
        <v>4472</v>
      </c>
      <c r="BK106" s="4">
        <v>6233</v>
      </c>
      <c r="BL106" s="4">
        <v>4035</v>
      </c>
      <c r="BM106" s="4">
        <v>5460</v>
      </c>
      <c r="BN106" s="4">
        <v>1700</v>
      </c>
      <c r="BO106" s="4">
        <v>1125</v>
      </c>
      <c r="BP106" s="4">
        <v>31538</v>
      </c>
      <c r="BQ106" s="4">
        <v>2669</v>
      </c>
      <c r="BR106" s="4">
        <v>84969</v>
      </c>
      <c r="BS106" s="4">
        <v>8449</v>
      </c>
      <c r="BT106" s="4">
        <v>12054</v>
      </c>
      <c r="BU106" s="4">
        <v>28205</v>
      </c>
      <c r="BV106" s="4">
        <v>3883</v>
      </c>
      <c r="BW106" s="4">
        <v>15031</v>
      </c>
      <c r="BX106" s="4">
        <v>2266</v>
      </c>
      <c r="BY106" s="4">
        <v>5040</v>
      </c>
      <c r="BZ106" s="4">
        <v>21950</v>
      </c>
      <c r="CA106" s="4">
        <v>2676</v>
      </c>
      <c r="CB106" s="4">
        <v>1066</v>
      </c>
      <c r="CC106" s="4">
        <v>6590</v>
      </c>
      <c r="CD106" s="4">
        <v>3555</v>
      </c>
      <c r="CE106" s="4">
        <v>3682</v>
      </c>
      <c r="CF106" s="4">
        <v>8129</v>
      </c>
      <c r="CG106" s="4">
        <v>104426</v>
      </c>
      <c r="CH106" s="4">
        <v>14541</v>
      </c>
      <c r="CI106" s="4">
        <v>27877</v>
      </c>
      <c r="CJ106" s="4">
        <v>7185</v>
      </c>
      <c r="CK106" s="4">
        <v>16290</v>
      </c>
      <c r="CL106" s="4">
        <v>10732</v>
      </c>
      <c r="CM106" s="4">
        <v>16411</v>
      </c>
      <c r="CN106" s="4">
        <v>47461</v>
      </c>
      <c r="CO106" s="4">
        <v>5747</v>
      </c>
      <c r="CP106" s="4">
        <v>3631</v>
      </c>
      <c r="CQ106" s="4">
        <v>4401</v>
      </c>
      <c r="CR106" s="4">
        <v>6070</v>
      </c>
      <c r="CS106" s="4">
        <v>31493</v>
      </c>
      <c r="CT106" s="4">
        <v>18948</v>
      </c>
      <c r="CU106" s="4">
        <v>1529</v>
      </c>
      <c r="CV106" s="4">
        <v>253142</v>
      </c>
      <c r="CW106" s="4">
        <v>5417</v>
      </c>
      <c r="CX106" s="4">
        <v>2080</v>
      </c>
      <c r="CY106" s="4">
        <v>25940</v>
      </c>
      <c r="CZ106" s="4">
        <v>2882</v>
      </c>
      <c r="DA106" s="4">
        <v>5296</v>
      </c>
      <c r="DB106" s="4">
        <v>12192</v>
      </c>
      <c r="DC106" s="4">
        <v>4235</v>
      </c>
      <c r="DD106" s="4">
        <v>2580</v>
      </c>
      <c r="DE106" s="4">
        <v>2005</v>
      </c>
      <c r="DF106" s="4">
        <v>52362</v>
      </c>
      <c r="DG106" s="4">
        <v>13664</v>
      </c>
      <c r="DH106" s="4">
        <v>16195</v>
      </c>
      <c r="DI106" s="4">
        <v>3294</v>
      </c>
      <c r="DJ106" s="4">
        <v>24873</v>
      </c>
      <c r="DK106" s="4">
        <v>16753</v>
      </c>
      <c r="DL106" s="4">
        <v>9343</v>
      </c>
      <c r="DM106" s="4">
        <v>12367</v>
      </c>
      <c r="DN106" s="4">
        <v>15320</v>
      </c>
      <c r="DO106" s="4">
        <v>2757</v>
      </c>
      <c r="DP106" s="4">
        <v>9460</v>
      </c>
      <c r="DQ106" s="4">
        <v>54683</v>
      </c>
      <c r="DR106" s="4">
        <v>2466</v>
      </c>
      <c r="DS106" s="4">
        <v>4941</v>
      </c>
      <c r="DT106" s="4">
        <v>720</v>
      </c>
      <c r="DU106" s="4">
        <v>9729</v>
      </c>
      <c r="DV106" s="4">
        <v>5270</v>
      </c>
      <c r="DW106" s="4">
        <v>4985</v>
      </c>
      <c r="DX106" s="4">
        <v>11980</v>
      </c>
      <c r="DY106" s="4">
        <v>1732</v>
      </c>
      <c r="DZ106" s="4">
        <v>2376</v>
      </c>
      <c r="EA106" s="4">
        <v>10557</v>
      </c>
      <c r="EB106" s="4">
        <v>5623</v>
      </c>
      <c r="EC106" s="4">
        <v>870</v>
      </c>
      <c r="ED106" s="4">
        <v>1120</v>
      </c>
      <c r="EE106" s="4">
        <v>35157</v>
      </c>
      <c r="EF106" s="4">
        <v>4109</v>
      </c>
      <c r="EG106" s="4">
        <v>12667</v>
      </c>
      <c r="EH106" s="4">
        <v>25872</v>
      </c>
      <c r="EJ106" s="4">
        <f t="shared" si="1"/>
        <v>1514413</v>
      </c>
    </row>
    <row r="107" spans="1:140" x14ac:dyDescent="0.25">
      <c r="A107" s="4" t="s">
        <v>243</v>
      </c>
      <c r="B107" s="4">
        <v>6889</v>
      </c>
      <c r="C107" s="4">
        <v>6610</v>
      </c>
      <c r="D107" s="4">
        <v>330</v>
      </c>
      <c r="E107" s="4">
        <v>2166</v>
      </c>
      <c r="F107" s="4">
        <v>16</v>
      </c>
      <c r="G107" s="4">
        <v>39</v>
      </c>
      <c r="H107" s="4">
        <v>16020</v>
      </c>
      <c r="I107" s="4">
        <v>93</v>
      </c>
      <c r="J107" s="4">
        <v>1467</v>
      </c>
      <c r="K107" s="4">
        <v>58</v>
      </c>
      <c r="L107" s="4">
        <v>1473</v>
      </c>
      <c r="M107" s="4">
        <v>92</v>
      </c>
      <c r="N107" s="4">
        <v>12725</v>
      </c>
      <c r="O107" s="4">
        <v>2201</v>
      </c>
      <c r="P107" s="4">
        <v>2161</v>
      </c>
      <c r="Q107" s="4">
        <v>9598</v>
      </c>
      <c r="R107" s="4">
        <v>49</v>
      </c>
      <c r="S107" s="4">
        <v>2580</v>
      </c>
      <c r="T107" s="4">
        <v>2763</v>
      </c>
      <c r="U107" s="4">
        <v>2738</v>
      </c>
      <c r="V107" s="4">
        <v>8709</v>
      </c>
      <c r="W107" s="4">
        <v>3225</v>
      </c>
      <c r="X107" s="4">
        <v>936</v>
      </c>
      <c r="Y107" s="4">
        <v>2478</v>
      </c>
      <c r="Z107" s="4">
        <v>1895</v>
      </c>
      <c r="AA107" s="4">
        <v>585</v>
      </c>
      <c r="AB107" s="4">
        <v>5104</v>
      </c>
      <c r="AC107" s="4">
        <v>1187</v>
      </c>
      <c r="AD107" s="4">
        <v>467</v>
      </c>
      <c r="AE107" s="4">
        <v>1710</v>
      </c>
      <c r="AF107" s="4">
        <v>2169</v>
      </c>
      <c r="AG107">
        <v>31074</v>
      </c>
      <c r="AH107" s="4">
        <v>599</v>
      </c>
      <c r="AI107" s="4">
        <v>1624</v>
      </c>
      <c r="AJ107" s="4">
        <v>378</v>
      </c>
      <c r="AK107" s="4">
        <v>2239</v>
      </c>
      <c r="AL107" s="4">
        <v>3060</v>
      </c>
      <c r="AM107" s="4">
        <v>856</v>
      </c>
      <c r="AN107" s="4">
        <v>578</v>
      </c>
      <c r="AO107" s="4">
        <v>10459</v>
      </c>
      <c r="AP107" s="4">
        <v>756</v>
      </c>
      <c r="AQ107" s="4">
        <v>94</v>
      </c>
      <c r="AR107" s="4">
        <v>2807</v>
      </c>
      <c r="AS107" s="4">
        <v>7372</v>
      </c>
      <c r="AT107" s="4">
        <v>1595</v>
      </c>
      <c r="AU107" s="4">
        <v>6864</v>
      </c>
      <c r="AV107" s="4">
        <v>4607</v>
      </c>
      <c r="AW107" s="4">
        <v>3282</v>
      </c>
      <c r="AX107" s="4">
        <v>33278</v>
      </c>
      <c r="AY107" s="4">
        <v>219</v>
      </c>
      <c r="AZ107" s="4">
        <v>762</v>
      </c>
      <c r="BA107" s="4">
        <v>7545</v>
      </c>
      <c r="BB107" s="4">
        <v>221</v>
      </c>
      <c r="BC107" s="4">
        <v>924</v>
      </c>
      <c r="BD107" s="4">
        <v>8758</v>
      </c>
      <c r="BE107" s="4">
        <v>4520</v>
      </c>
      <c r="BF107" s="4">
        <v>4027</v>
      </c>
      <c r="BG107" s="4">
        <v>6406</v>
      </c>
      <c r="BH107" s="4">
        <v>1941</v>
      </c>
      <c r="BI107" s="4">
        <v>36980</v>
      </c>
      <c r="BJ107" s="4">
        <v>5730</v>
      </c>
      <c r="BK107" s="4">
        <v>8123</v>
      </c>
      <c r="BL107" s="4">
        <v>4565</v>
      </c>
      <c r="BM107" s="4">
        <v>5975</v>
      </c>
      <c r="BN107" s="4">
        <v>1651</v>
      </c>
      <c r="BO107" s="4">
        <v>1575</v>
      </c>
      <c r="BP107" s="4">
        <v>30551</v>
      </c>
      <c r="BQ107" s="4">
        <v>2823</v>
      </c>
      <c r="BR107" s="4">
        <v>87143</v>
      </c>
      <c r="BS107" s="4">
        <v>10866</v>
      </c>
      <c r="BT107" s="4">
        <v>10208</v>
      </c>
      <c r="BU107" s="4">
        <v>26777</v>
      </c>
      <c r="BV107" s="4">
        <v>3833</v>
      </c>
      <c r="BW107" s="4">
        <v>15960</v>
      </c>
      <c r="BX107" s="4">
        <v>2467</v>
      </c>
      <c r="BY107" s="4">
        <v>5845</v>
      </c>
      <c r="BZ107" s="4">
        <v>22911</v>
      </c>
      <c r="CA107" s="4">
        <v>2757</v>
      </c>
      <c r="CB107" s="4">
        <v>1314</v>
      </c>
      <c r="CC107" s="4">
        <v>7843</v>
      </c>
      <c r="CD107" s="4">
        <v>4124</v>
      </c>
      <c r="CE107" s="4">
        <v>4044</v>
      </c>
      <c r="CF107" s="4">
        <v>8647</v>
      </c>
      <c r="CG107" s="4">
        <v>112163</v>
      </c>
      <c r="CH107" s="4">
        <v>15753</v>
      </c>
      <c r="CI107" s="4">
        <v>29676</v>
      </c>
      <c r="CJ107" s="4">
        <v>7703</v>
      </c>
      <c r="CK107" s="4">
        <v>17044</v>
      </c>
      <c r="CL107" s="4">
        <v>11957</v>
      </c>
      <c r="CM107" s="4">
        <v>17979</v>
      </c>
      <c r="CN107" s="4">
        <v>50382</v>
      </c>
      <c r="CO107" s="4">
        <v>6164</v>
      </c>
      <c r="CP107" s="4">
        <v>3966</v>
      </c>
      <c r="CQ107" s="4">
        <v>4425</v>
      </c>
      <c r="CR107" s="4">
        <v>6531</v>
      </c>
      <c r="CS107" s="4">
        <v>34430</v>
      </c>
      <c r="CT107" s="4">
        <v>19891</v>
      </c>
      <c r="CU107" s="4">
        <v>1703</v>
      </c>
      <c r="CV107" s="4">
        <v>270961</v>
      </c>
      <c r="CW107" s="4">
        <v>6636</v>
      </c>
      <c r="CX107" s="4">
        <v>1932</v>
      </c>
      <c r="CY107" s="4">
        <v>26337</v>
      </c>
      <c r="CZ107" s="4">
        <v>3026</v>
      </c>
      <c r="DA107" s="4">
        <v>6236</v>
      </c>
      <c r="DB107" s="4">
        <v>13079</v>
      </c>
      <c r="DC107" s="4">
        <v>4495</v>
      </c>
      <c r="DD107" s="4">
        <v>2709</v>
      </c>
      <c r="DE107" s="4">
        <v>2091</v>
      </c>
      <c r="DF107" s="4">
        <v>56667</v>
      </c>
      <c r="DG107" s="4">
        <v>14379</v>
      </c>
      <c r="DH107" s="4">
        <v>18780</v>
      </c>
      <c r="DI107" s="4">
        <v>3623</v>
      </c>
      <c r="DJ107" s="4">
        <v>28705</v>
      </c>
      <c r="DK107" s="4">
        <v>18447</v>
      </c>
      <c r="DL107" s="4">
        <v>10492</v>
      </c>
      <c r="DM107" s="4">
        <v>13928</v>
      </c>
      <c r="DN107" s="4">
        <v>16918</v>
      </c>
      <c r="DO107" s="4">
        <v>3130</v>
      </c>
      <c r="DP107" s="4">
        <v>7711</v>
      </c>
      <c r="DQ107" s="4">
        <v>62824</v>
      </c>
      <c r="DR107" s="4">
        <v>2898</v>
      </c>
      <c r="DS107" s="4">
        <v>6040</v>
      </c>
      <c r="DT107" s="4">
        <v>792</v>
      </c>
      <c r="DU107" s="4">
        <v>9899</v>
      </c>
      <c r="DV107" s="4">
        <v>5558</v>
      </c>
      <c r="DW107" s="4">
        <v>4771</v>
      </c>
      <c r="DX107" s="4">
        <v>13236</v>
      </c>
      <c r="DY107" s="4">
        <v>1862</v>
      </c>
      <c r="DZ107" s="4">
        <v>2620</v>
      </c>
      <c r="EA107" s="4">
        <v>11471</v>
      </c>
      <c r="EB107" s="4">
        <v>6002</v>
      </c>
      <c r="EC107" s="4">
        <v>861</v>
      </c>
      <c r="ED107" s="4">
        <v>1222</v>
      </c>
      <c r="EE107" s="4">
        <v>38105</v>
      </c>
      <c r="EF107" s="4">
        <v>5153</v>
      </c>
      <c r="EG107" s="4">
        <v>14659</v>
      </c>
      <c r="EH107" s="4">
        <v>27480</v>
      </c>
      <c r="EJ107" s="4">
        <f t="shared" si="1"/>
        <v>1643592</v>
      </c>
    </row>
    <row r="108" spans="1:140" x14ac:dyDescent="0.25">
      <c r="A108" s="4" t="s">
        <v>244</v>
      </c>
      <c r="B108" s="4">
        <v>7041</v>
      </c>
      <c r="C108" s="4">
        <v>6749</v>
      </c>
      <c r="D108" s="4">
        <v>300</v>
      </c>
      <c r="E108" s="4">
        <v>2120</v>
      </c>
      <c r="F108" s="4">
        <v>4</v>
      </c>
      <c r="G108" s="4">
        <v>28</v>
      </c>
      <c r="H108" s="4">
        <v>15887</v>
      </c>
      <c r="I108" s="4">
        <v>161</v>
      </c>
      <c r="J108" s="4">
        <v>1472</v>
      </c>
      <c r="K108" s="4">
        <v>73</v>
      </c>
      <c r="L108" s="4">
        <v>1253</v>
      </c>
      <c r="M108" s="4">
        <v>126</v>
      </c>
      <c r="N108" s="4">
        <v>12935</v>
      </c>
      <c r="O108" s="4">
        <v>2205</v>
      </c>
      <c r="P108" s="4">
        <v>2140</v>
      </c>
      <c r="Q108" s="4">
        <v>9820</v>
      </c>
      <c r="R108" s="4">
        <v>140</v>
      </c>
      <c r="S108" s="4">
        <v>2370</v>
      </c>
      <c r="T108" s="4">
        <v>2548</v>
      </c>
      <c r="U108" s="4">
        <v>3072</v>
      </c>
      <c r="V108" s="4">
        <v>9452</v>
      </c>
      <c r="W108" s="4">
        <v>3290</v>
      </c>
      <c r="X108" s="4">
        <v>982</v>
      </c>
      <c r="Y108" s="4">
        <v>1847</v>
      </c>
      <c r="Z108" s="4">
        <v>1244</v>
      </c>
      <c r="AA108" s="4">
        <v>650</v>
      </c>
      <c r="AB108" s="4">
        <v>7265</v>
      </c>
      <c r="AC108" s="4">
        <v>1260</v>
      </c>
      <c r="AD108" s="4">
        <v>613</v>
      </c>
      <c r="AE108" s="4">
        <v>1789</v>
      </c>
      <c r="AF108" s="4">
        <v>2044</v>
      </c>
      <c r="AG108">
        <v>28847</v>
      </c>
      <c r="AH108" s="4">
        <v>471</v>
      </c>
      <c r="AI108" s="4">
        <v>1415</v>
      </c>
      <c r="AJ108" s="4">
        <v>366</v>
      </c>
      <c r="AK108" s="4">
        <v>2398</v>
      </c>
      <c r="AL108" s="4">
        <v>3377</v>
      </c>
      <c r="AM108" s="4">
        <v>843</v>
      </c>
      <c r="AN108" s="4">
        <v>307</v>
      </c>
      <c r="AO108" s="4">
        <v>10167</v>
      </c>
      <c r="AP108" s="4">
        <v>768</v>
      </c>
      <c r="AQ108" s="4">
        <v>93</v>
      </c>
      <c r="AR108" s="4">
        <v>2927</v>
      </c>
      <c r="AS108" s="4">
        <v>7153</v>
      </c>
      <c r="AT108" s="4">
        <v>1196</v>
      </c>
      <c r="AU108" s="4">
        <v>6651</v>
      </c>
      <c r="AV108" s="4">
        <v>4716</v>
      </c>
      <c r="AW108" s="4">
        <v>3357</v>
      </c>
      <c r="AX108" s="4">
        <v>32178</v>
      </c>
      <c r="AY108" s="4">
        <v>233</v>
      </c>
      <c r="AZ108" s="4">
        <v>896</v>
      </c>
      <c r="BA108" s="4">
        <v>8682</v>
      </c>
      <c r="BB108" s="4">
        <v>461</v>
      </c>
      <c r="BC108" s="4">
        <v>1111</v>
      </c>
      <c r="BD108" s="4">
        <v>8007</v>
      </c>
      <c r="BE108" s="4">
        <v>4166</v>
      </c>
      <c r="BF108" s="4">
        <v>5666</v>
      </c>
      <c r="BG108" s="4">
        <v>5351</v>
      </c>
      <c r="BH108" s="4">
        <v>1863</v>
      </c>
      <c r="BI108" s="4">
        <v>29999</v>
      </c>
      <c r="BJ108" s="4">
        <v>4375</v>
      </c>
      <c r="BK108" s="4">
        <v>6346</v>
      </c>
      <c r="BL108" s="4">
        <v>4057</v>
      </c>
      <c r="BM108" s="4">
        <v>5867</v>
      </c>
      <c r="BN108" s="4">
        <v>1478</v>
      </c>
      <c r="BO108" s="4">
        <v>1606</v>
      </c>
      <c r="BP108" s="4">
        <v>28473</v>
      </c>
      <c r="BQ108" s="4">
        <v>2900</v>
      </c>
      <c r="BR108" s="4">
        <v>88838</v>
      </c>
      <c r="BS108" s="4">
        <v>9985</v>
      </c>
      <c r="BT108" s="4">
        <v>9301</v>
      </c>
      <c r="BU108" s="4">
        <v>21188</v>
      </c>
      <c r="BV108" s="4">
        <v>3051</v>
      </c>
      <c r="BW108" s="4">
        <v>14061</v>
      </c>
      <c r="BX108" s="4">
        <v>2436</v>
      </c>
      <c r="BY108" s="4">
        <v>5484</v>
      </c>
      <c r="BZ108" s="4">
        <v>22873</v>
      </c>
      <c r="CA108" s="4">
        <v>2970</v>
      </c>
      <c r="CB108" s="4">
        <v>1204</v>
      </c>
      <c r="CC108" s="4">
        <v>9836</v>
      </c>
      <c r="CD108" s="4">
        <v>3573</v>
      </c>
      <c r="CE108" s="4">
        <v>4453</v>
      </c>
      <c r="CF108" s="4">
        <v>8483</v>
      </c>
      <c r="CG108" s="4">
        <v>106773</v>
      </c>
      <c r="CH108" s="4">
        <v>18694</v>
      </c>
      <c r="CI108" s="4">
        <v>32456</v>
      </c>
      <c r="CJ108" s="4">
        <v>7437</v>
      </c>
      <c r="CK108" s="4">
        <v>15914</v>
      </c>
      <c r="CL108" s="4">
        <v>9955</v>
      </c>
      <c r="CM108" s="4">
        <v>17822</v>
      </c>
      <c r="CN108" s="4">
        <v>47514</v>
      </c>
      <c r="CO108" s="4">
        <v>7541</v>
      </c>
      <c r="CP108" s="4">
        <v>3414</v>
      </c>
      <c r="CQ108" s="4">
        <v>5843</v>
      </c>
      <c r="CR108" s="4">
        <v>6464</v>
      </c>
      <c r="CS108" s="4">
        <v>32031</v>
      </c>
      <c r="CT108" s="4">
        <v>18483</v>
      </c>
      <c r="CU108" s="4">
        <v>1849</v>
      </c>
      <c r="CV108" s="4">
        <v>245357</v>
      </c>
      <c r="CW108" s="4">
        <v>7436</v>
      </c>
      <c r="CX108" s="4">
        <v>1895</v>
      </c>
      <c r="CY108" s="4">
        <v>24537</v>
      </c>
      <c r="CZ108" s="4">
        <v>3121</v>
      </c>
      <c r="DA108" s="4">
        <v>5518</v>
      </c>
      <c r="DB108" s="4">
        <v>12880</v>
      </c>
      <c r="DC108" s="4">
        <v>4252</v>
      </c>
      <c r="DD108" s="4">
        <v>2505</v>
      </c>
      <c r="DE108" s="4">
        <v>1971</v>
      </c>
      <c r="DF108" s="4">
        <v>52843</v>
      </c>
      <c r="DG108" s="4">
        <v>13469</v>
      </c>
      <c r="DH108" s="4">
        <v>15860</v>
      </c>
      <c r="DI108" s="4">
        <v>3749</v>
      </c>
      <c r="DJ108" s="4">
        <v>24747</v>
      </c>
      <c r="DK108" s="4">
        <v>17303</v>
      </c>
      <c r="DL108" s="4">
        <v>10206</v>
      </c>
      <c r="DM108" s="4">
        <v>13874</v>
      </c>
      <c r="DN108" s="4">
        <v>16501</v>
      </c>
      <c r="DO108" s="4">
        <v>3114</v>
      </c>
      <c r="DP108" s="4">
        <v>7911</v>
      </c>
      <c r="DQ108" s="4">
        <v>59773</v>
      </c>
      <c r="DR108" s="4">
        <v>2785</v>
      </c>
      <c r="DS108" s="4">
        <v>6049</v>
      </c>
      <c r="DT108" s="4">
        <v>871</v>
      </c>
      <c r="DU108" s="4">
        <v>10146</v>
      </c>
      <c r="DV108" s="4">
        <v>6067</v>
      </c>
      <c r="DW108" s="4">
        <v>5137</v>
      </c>
      <c r="DX108" s="4">
        <v>14026</v>
      </c>
      <c r="DY108" s="4">
        <v>1914</v>
      </c>
      <c r="DZ108" s="4">
        <v>3980</v>
      </c>
      <c r="EA108" s="4">
        <v>11296</v>
      </c>
      <c r="EB108" s="4">
        <v>6430</v>
      </c>
      <c r="EC108" s="4">
        <v>759</v>
      </c>
      <c r="ED108" s="4">
        <v>1186</v>
      </c>
      <c r="EE108" s="4">
        <v>40540</v>
      </c>
      <c r="EF108" s="4">
        <v>5069</v>
      </c>
      <c r="EG108" s="4">
        <v>17070</v>
      </c>
      <c r="EH108" s="4">
        <v>26491</v>
      </c>
      <c r="EJ108" s="4">
        <f t="shared" si="1"/>
        <v>1578211</v>
      </c>
    </row>
    <row r="109" spans="1:140" x14ac:dyDescent="0.25">
      <c r="A109" s="4" t="s">
        <v>245</v>
      </c>
      <c r="B109" s="4">
        <v>6541</v>
      </c>
      <c r="C109" s="4">
        <v>6099</v>
      </c>
      <c r="D109" s="4">
        <v>210</v>
      </c>
      <c r="E109" s="4">
        <v>3232</v>
      </c>
      <c r="F109" s="4">
        <v>15</v>
      </c>
      <c r="G109" s="4">
        <v>39</v>
      </c>
      <c r="H109" s="4">
        <v>17500</v>
      </c>
      <c r="I109" s="4">
        <v>89</v>
      </c>
      <c r="J109" s="4">
        <v>1480</v>
      </c>
      <c r="K109" s="4">
        <v>64</v>
      </c>
      <c r="L109" s="4">
        <v>1409</v>
      </c>
      <c r="M109" s="4">
        <v>184</v>
      </c>
      <c r="N109" s="4">
        <v>13940</v>
      </c>
      <c r="O109" s="4">
        <v>2147</v>
      </c>
      <c r="P109" s="4">
        <v>2369</v>
      </c>
      <c r="Q109" s="4">
        <v>10871</v>
      </c>
      <c r="R109" s="4">
        <v>277</v>
      </c>
      <c r="S109" s="4">
        <v>2492</v>
      </c>
      <c r="T109" s="4">
        <v>2773</v>
      </c>
      <c r="U109" s="4">
        <v>3045</v>
      </c>
      <c r="V109" s="4">
        <v>11394</v>
      </c>
      <c r="W109" s="4">
        <v>3834</v>
      </c>
      <c r="X109" s="4">
        <v>931</v>
      </c>
      <c r="Y109" s="4">
        <v>1003</v>
      </c>
      <c r="Z109" s="4">
        <v>1260</v>
      </c>
      <c r="AA109" s="4">
        <v>536</v>
      </c>
      <c r="AB109" s="4">
        <v>5647</v>
      </c>
      <c r="AC109" s="4">
        <v>1673</v>
      </c>
      <c r="AD109" s="4">
        <v>498</v>
      </c>
      <c r="AE109" s="4">
        <v>2371</v>
      </c>
      <c r="AF109" s="4">
        <v>1907</v>
      </c>
      <c r="AG109">
        <v>24339</v>
      </c>
      <c r="AH109" s="4">
        <v>424</v>
      </c>
      <c r="AI109" s="4">
        <v>1649</v>
      </c>
      <c r="AJ109" s="4">
        <v>787</v>
      </c>
      <c r="AK109" s="4">
        <v>2178</v>
      </c>
      <c r="AL109" s="4">
        <v>3443</v>
      </c>
      <c r="AM109" s="4">
        <v>952</v>
      </c>
      <c r="AN109" s="4">
        <v>380</v>
      </c>
      <c r="AO109" s="4">
        <v>9766</v>
      </c>
      <c r="AP109" s="4">
        <v>741</v>
      </c>
      <c r="AQ109" s="4">
        <v>99</v>
      </c>
      <c r="AR109" s="4">
        <v>3277</v>
      </c>
      <c r="AS109" s="4">
        <v>6065</v>
      </c>
      <c r="AT109" s="4">
        <v>1453</v>
      </c>
      <c r="AU109" s="4">
        <v>6544</v>
      </c>
      <c r="AV109" s="4">
        <v>4365</v>
      </c>
      <c r="AW109" s="4">
        <v>2823</v>
      </c>
      <c r="AX109" s="4">
        <v>30257</v>
      </c>
      <c r="AY109" s="4">
        <v>253</v>
      </c>
      <c r="AZ109" s="4">
        <v>944</v>
      </c>
      <c r="BA109" s="4">
        <v>8851</v>
      </c>
      <c r="BB109" s="4">
        <v>268</v>
      </c>
      <c r="BC109" s="4">
        <v>1007</v>
      </c>
      <c r="BD109" s="4">
        <v>9116</v>
      </c>
      <c r="BE109" s="4">
        <v>4847</v>
      </c>
      <c r="BF109" s="4">
        <v>3731</v>
      </c>
      <c r="BG109" s="4">
        <v>6072</v>
      </c>
      <c r="BH109" s="4">
        <v>1884</v>
      </c>
      <c r="BI109" s="4">
        <v>35036</v>
      </c>
      <c r="BJ109" s="4">
        <v>7603</v>
      </c>
      <c r="BK109" s="4">
        <v>7174</v>
      </c>
      <c r="BL109" s="4">
        <v>3732</v>
      </c>
      <c r="BM109" s="4">
        <v>5450</v>
      </c>
      <c r="BN109" s="4">
        <v>1366</v>
      </c>
      <c r="BO109" s="4">
        <v>1574</v>
      </c>
      <c r="BP109" s="4">
        <v>33710</v>
      </c>
      <c r="BQ109" s="4">
        <v>3366</v>
      </c>
      <c r="BR109" s="4">
        <v>88099</v>
      </c>
      <c r="BS109" s="4">
        <v>9361</v>
      </c>
      <c r="BT109" s="4">
        <v>12157</v>
      </c>
      <c r="BU109" s="4">
        <v>21644</v>
      </c>
      <c r="BV109" s="4">
        <v>3148</v>
      </c>
      <c r="BW109" s="4">
        <v>14604</v>
      </c>
      <c r="BX109" s="4">
        <v>2940</v>
      </c>
      <c r="BY109" s="4">
        <v>5875</v>
      </c>
      <c r="BZ109" s="4">
        <v>23216</v>
      </c>
      <c r="CA109" s="4">
        <v>2718</v>
      </c>
      <c r="CB109" s="4">
        <v>2522</v>
      </c>
      <c r="CC109" s="4">
        <v>10197</v>
      </c>
      <c r="CD109" s="4">
        <v>3734</v>
      </c>
      <c r="CE109" s="4">
        <v>4618</v>
      </c>
      <c r="CF109" s="4">
        <v>8260</v>
      </c>
      <c r="CG109" s="4">
        <v>114810</v>
      </c>
      <c r="CH109" s="4">
        <v>26204</v>
      </c>
      <c r="CI109" s="4">
        <v>52658</v>
      </c>
      <c r="CJ109" s="4">
        <v>16844</v>
      </c>
      <c r="CK109" s="4">
        <v>24350</v>
      </c>
      <c r="CL109" s="4">
        <v>14428</v>
      </c>
      <c r="CM109" s="4">
        <v>25977</v>
      </c>
      <c r="CN109" s="4">
        <v>54842</v>
      </c>
      <c r="CO109" s="4">
        <v>8751</v>
      </c>
      <c r="CP109" s="4">
        <v>4162</v>
      </c>
      <c r="CQ109" s="4">
        <v>6852</v>
      </c>
      <c r="CR109" s="4">
        <v>9294</v>
      </c>
      <c r="CS109" s="4">
        <v>34214</v>
      </c>
      <c r="CT109" s="4">
        <v>21838</v>
      </c>
      <c r="CU109" s="4">
        <v>2419</v>
      </c>
      <c r="CV109" s="4">
        <v>248920</v>
      </c>
      <c r="CW109" s="4">
        <v>9440</v>
      </c>
      <c r="CX109" s="4">
        <v>2196</v>
      </c>
      <c r="CY109" s="4">
        <v>27391</v>
      </c>
      <c r="CZ109" s="4">
        <v>4140</v>
      </c>
      <c r="DA109" s="4">
        <v>5860</v>
      </c>
      <c r="DB109" s="4">
        <v>14267</v>
      </c>
      <c r="DC109" s="4">
        <v>4664</v>
      </c>
      <c r="DD109" s="4">
        <v>2628</v>
      </c>
      <c r="DE109" s="4">
        <v>2040</v>
      </c>
      <c r="DF109" s="4">
        <v>52913</v>
      </c>
      <c r="DG109" s="4">
        <v>16097</v>
      </c>
      <c r="DH109" s="4">
        <v>16907</v>
      </c>
      <c r="DI109" s="4">
        <v>4685</v>
      </c>
      <c r="DJ109" s="4">
        <v>29424</v>
      </c>
      <c r="DK109" s="4">
        <v>17693</v>
      </c>
      <c r="DL109" s="4">
        <v>10631</v>
      </c>
      <c r="DM109" s="4">
        <v>14883</v>
      </c>
      <c r="DN109" s="4">
        <v>18461</v>
      </c>
      <c r="DO109" s="4">
        <v>3462</v>
      </c>
      <c r="DP109" s="4">
        <v>8859</v>
      </c>
      <c r="DQ109" s="4">
        <v>59968</v>
      </c>
      <c r="DR109" s="4">
        <v>3538</v>
      </c>
      <c r="DS109" s="4">
        <v>8244</v>
      </c>
      <c r="DT109" s="4">
        <v>798</v>
      </c>
      <c r="DU109" s="4">
        <v>11152</v>
      </c>
      <c r="DV109" s="4">
        <v>6783</v>
      </c>
      <c r="DW109" s="4">
        <v>6176</v>
      </c>
      <c r="DX109" s="4">
        <v>13633</v>
      </c>
      <c r="DY109" s="4">
        <v>2202</v>
      </c>
      <c r="DZ109" s="4">
        <v>3489</v>
      </c>
      <c r="EA109" s="4">
        <v>10545</v>
      </c>
      <c r="EB109" s="4">
        <v>6363</v>
      </c>
      <c r="EC109" s="4">
        <v>881</v>
      </c>
      <c r="ED109" s="4">
        <v>859</v>
      </c>
      <c r="EE109" s="4">
        <v>36455</v>
      </c>
      <c r="EF109" s="4">
        <v>5327</v>
      </c>
      <c r="EG109" s="4">
        <v>18323</v>
      </c>
      <c r="EH109" s="4">
        <v>25771</v>
      </c>
      <c r="EJ109" s="4">
        <f t="shared" si="1"/>
        <v>1708160</v>
      </c>
    </row>
    <row r="110" spans="1:140" x14ac:dyDescent="0.25">
      <c r="A110" s="4" t="s">
        <v>246</v>
      </c>
      <c r="B110" s="4">
        <v>6260</v>
      </c>
      <c r="C110" s="4">
        <v>6591</v>
      </c>
      <c r="D110" s="4">
        <v>284</v>
      </c>
      <c r="E110" s="4">
        <v>2629</v>
      </c>
      <c r="F110" s="4">
        <v>29</v>
      </c>
      <c r="G110" s="4">
        <v>43</v>
      </c>
      <c r="H110" s="4">
        <v>16999</v>
      </c>
      <c r="I110" s="4">
        <v>108</v>
      </c>
      <c r="J110" s="4">
        <v>2792</v>
      </c>
      <c r="K110" s="4">
        <v>51</v>
      </c>
      <c r="L110" s="4">
        <v>2183</v>
      </c>
      <c r="M110" s="4">
        <v>177</v>
      </c>
      <c r="N110" s="4">
        <v>14516</v>
      </c>
      <c r="O110" s="4">
        <v>2684</v>
      </c>
      <c r="P110" s="4">
        <v>1921</v>
      </c>
      <c r="Q110" s="4">
        <v>10573</v>
      </c>
      <c r="R110" s="4">
        <v>26</v>
      </c>
      <c r="S110" s="4">
        <v>2887</v>
      </c>
      <c r="T110" s="4">
        <v>3093</v>
      </c>
      <c r="U110" s="4">
        <v>2590</v>
      </c>
      <c r="V110" s="4">
        <v>9970</v>
      </c>
      <c r="W110" s="4">
        <v>4722</v>
      </c>
      <c r="X110" s="4">
        <v>1068</v>
      </c>
      <c r="Y110" s="4">
        <v>1569</v>
      </c>
      <c r="Z110" s="4">
        <v>1426</v>
      </c>
      <c r="AA110" s="4">
        <v>792</v>
      </c>
      <c r="AB110" s="4">
        <v>6788</v>
      </c>
      <c r="AC110" s="4">
        <v>1235</v>
      </c>
      <c r="AD110" s="4">
        <v>589</v>
      </c>
      <c r="AE110" s="4">
        <v>1875</v>
      </c>
      <c r="AF110" s="4">
        <v>2479</v>
      </c>
      <c r="AG110">
        <v>35314</v>
      </c>
      <c r="AH110" s="4">
        <v>596</v>
      </c>
      <c r="AI110" s="4">
        <v>2103</v>
      </c>
      <c r="AJ110" s="4">
        <v>657</v>
      </c>
      <c r="AK110" s="4">
        <v>3271</v>
      </c>
      <c r="AL110" s="4">
        <v>3802</v>
      </c>
      <c r="AM110" s="4">
        <v>962</v>
      </c>
      <c r="AN110" s="4">
        <v>380</v>
      </c>
      <c r="AO110" s="4">
        <v>13578</v>
      </c>
      <c r="AP110" s="4">
        <v>1063</v>
      </c>
      <c r="AQ110" s="4">
        <v>154</v>
      </c>
      <c r="AR110" s="4">
        <v>3436</v>
      </c>
      <c r="AS110" s="4">
        <v>10956</v>
      </c>
      <c r="AT110" s="4">
        <v>1482</v>
      </c>
      <c r="AU110" s="4">
        <v>3654</v>
      </c>
      <c r="AV110" s="4">
        <v>5301</v>
      </c>
      <c r="AW110" s="4">
        <v>8650</v>
      </c>
      <c r="AX110" s="4">
        <v>38656</v>
      </c>
      <c r="AY110" s="4">
        <v>418</v>
      </c>
      <c r="AZ110" s="4">
        <v>1258</v>
      </c>
      <c r="BA110" s="4">
        <v>9754</v>
      </c>
      <c r="BB110" s="4">
        <v>372</v>
      </c>
      <c r="BC110" s="4">
        <v>1140</v>
      </c>
      <c r="BD110" s="4">
        <v>8085</v>
      </c>
      <c r="BE110" s="4">
        <v>3937</v>
      </c>
      <c r="BF110" s="4">
        <v>2714</v>
      </c>
      <c r="BG110" s="4">
        <v>6967</v>
      </c>
      <c r="BH110" s="4">
        <v>2296</v>
      </c>
      <c r="BI110" s="4">
        <v>36658</v>
      </c>
      <c r="BJ110" s="4">
        <v>5984</v>
      </c>
      <c r="BK110" s="4">
        <v>7049</v>
      </c>
      <c r="BL110" s="4">
        <v>3207</v>
      </c>
      <c r="BM110" s="4">
        <v>5900</v>
      </c>
      <c r="BN110" s="4">
        <v>1557</v>
      </c>
      <c r="BO110" s="4">
        <v>1365</v>
      </c>
      <c r="BP110" s="4">
        <v>27928</v>
      </c>
      <c r="BQ110" s="4">
        <v>2816</v>
      </c>
      <c r="BR110" s="4">
        <v>90854</v>
      </c>
      <c r="BS110" s="4">
        <v>10744</v>
      </c>
      <c r="BT110" s="4">
        <v>9805</v>
      </c>
      <c r="BU110" s="4">
        <v>21501</v>
      </c>
      <c r="BV110" s="4">
        <v>3491</v>
      </c>
      <c r="BW110" s="4">
        <v>15822</v>
      </c>
      <c r="BX110" s="4">
        <v>3040</v>
      </c>
      <c r="BY110" s="4">
        <v>6497</v>
      </c>
      <c r="BZ110" s="4">
        <v>28032</v>
      </c>
      <c r="CA110" s="4">
        <v>3202</v>
      </c>
      <c r="CB110" s="4">
        <v>1585</v>
      </c>
      <c r="CC110" s="4">
        <v>9877</v>
      </c>
      <c r="CD110" s="4">
        <v>5180</v>
      </c>
      <c r="CE110" s="4">
        <v>5873</v>
      </c>
      <c r="CF110" s="4">
        <v>9697</v>
      </c>
      <c r="CG110" s="4">
        <v>141759</v>
      </c>
      <c r="CH110" s="4">
        <v>18697</v>
      </c>
      <c r="CI110" s="4">
        <v>30871</v>
      </c>
      <c r="CJ110" s="4">
        <v>7122</v>
      </c>
      <c r="CK110" s="4">
        <v>17869</v>
      </c>
      <c r="CL110" s="4">
        <v>14650</v>
      </c>
      <c r="CM110" s="4">
        <v>18778</v>
      </c>
      <c r="CN110" s="4">
        <v>52700</v>
      </c>
      <c r="CO110" s="4">
        <v>7320</v>
      </c>
      <c r="CP110" s="4">
        <v>4042</v>
      </c>
      <c r="CQ110" s="4">
        <v>5295</v>
      </c>
      <c r="CR110" s="4">
        <v>7571</v>
      </c>
      <c r="CS110" s="4">
        <v>36165</v>
      </c>
      <c r="CT110" s="4">
        <v>22148</v>
      </c>
      <c r="CU110" s="4">
        <v>2506</v>
      </c>
      <c r="CV110" s="4">
        <v>281471</v>
      </c>
      <c r="CW110" s="4">
        <v>6212</v>
      </c>
      <c r="CX110" s="4">
        <v>2385</v>
      </c>
      <c r="CY110" s="4">
        <v>26512</v>
      </c>
      <c r="CZ110" s="4">
        <v>3420</v>
      </c>
      <c r="DA110" s="4">
        <v>7480</v>
      </c>
      <c r="DB110" s="4">
        <v>14575</v>
      </c>
      <c r="DC110" s="4">
        <v>5212</v>
      </c>
      <c r="DD110" s="4">
        <v>3485</v>
      </c>
      <c r="DE110" s="4">
        <v>2561</v>
      </c>
      <c r="DF110" s="4">
        <v>57681</v>
      </c>
      <c r="DG110" s="4">
        <v>16731</v>
      </c>
      <c r="DH110" s="4">
        <v>18662</v>
      </c>
      <c r="DI110" s="4">
        <v>3994</v>
      </c>
      <c r="DJ110" s="4">
        <v>28342</v>
      </c>
      <c r="DK110" s="4">
        <v>19234</v>
      </c>
      <c r="DL110" s="4">
        <v>11300</v>
      </c>
      <c r="DM110" s="4">
        <v>16239</v>
      </c>
      <c r="DN110" s="4">
        <v>17022</v>
      </c>
      <c r="DO110" s="4">
        <v>3742</v>
      </c>
      <c r="DP110" s="4">
        <v>8463</v>
      </c>
      <c r="DQ110" s="4">
        <v>67087</v>
      </c>
      <c r="DR110" s="4">
        <v>3509</v>
      </c>
      <c r="DS110" s="4">
        <v>8246</v>
      </c>
      <c r="DT110" s="4">
        <v>992</v>
      </c>
      <c r="DU110" s="4">
        <v>11884</v>
      </c>
      <c r="DV110" s="4">
        <v>5666</v>
      </c>
      <c r="DW110" s="4">
        <v>6371</v>
      </c>
      <c r="DX110" s="4">
        <v>12322</v>
      </c>
      <c r="DY110" s="4">
        <v>1982</v>
      </c>
      <c r="DZ110" s="4">
        <v>2938</v>
      </c>
      <c r="EA110" s="4">
        <v>12060</v>
      </c>
      <c r="EB110" s="4">
        <v>5567</v>
      </c>
      <c r="EC110" s="4">
        <v>1024</v>
      </c>
      <c r="ED110" s="4">
        <v>1451</v>
      </c>
      <c r="EE110" s="4">
        <v>37842</v>
      </c>
      <c r="EF110" s="4">
        <v>4857</v>
      </c>
      <c r="EG110" s="4">
        <v>13414</v>
      </c>
      <c r="EH110" s="4">
        <v>28375</v>
      </c>
      <c r="EJ110" s="4">
        <f t="shared" si="1"/>
        <v>1765372</v>
      </c>
    </row>
    <row r="111" spans="1:140" x14ac:dyDescent="0.25">
      <c r="A111" s="4" t="s">
        <v>247</v>
      </c>
      <c r="B111" s="4">
        <v>6090</v>
      </c>
      <c r="C111" s="4">
        <v>6469</v>
      </c>
      <c r="D111" s="4">
        <v>248</v>
      </c>
      <c r="E111" s="4">
        <v>2021</v>
      </c>
      <c r="F111" s="4">
        <v>14</v>
      </c>
      <c r="G111" s="4">
        <v>38</v>
      </c>
      <c r="H111" s="4">
        <v>16277</v>
      </c>
      <c r="I111" s="4">
        <v>85</v>
      </c>
      <c r="J111" s="4">
        <v>1475</v>
      </c>
      <c r="K111" s="4">
        <v>66</v>
      </c>
      <c r="L111" s="4">
        <v>1606</v>
      </c>
      <c r="M111" s="4">
        <v>158</v>
      </c>
      <c r="N111" s="4">
        <v>11989</v>
      </c>
      <c r="O111" s="4">
        <v>2352</v>
      </c>
      <c r="P111" s="4">
        <v>2479</v>
      </c>
      <c r="Q111" s="4">
        <v>8832</v>
      </c>
      <c r="R111" s="4">
        <v>27</v>
      </c>
      <c r="S111" s="4">
        <v>2373</v>
      </c>
      <c r="T111" s="4">
        <v>3337</v>
      </c>
      <c r="U111" s="4">
        <v>3274</v>
      </c>
      <c r="V111" s="4">
        <v>8713</v>
      </c>
      <c r="W111" s="4">
        <v>3717</v>
      </c>
      <c r="X111" s="4">
        <v>1021</v>
      </c>
      <c r="Y111" s="4">
        <v>1251</v>
      </c>
      <c r="Z111" s="4">
        <v>1122</v>
      </c>
      <c r="AA111" s="4">
        <v>719</v>
      </c>
      <c r="AB111" s="4">
        <v>5925</v>
      </c>
      <c r="AC111" s="4">
        <v>1187</v>
      </c>
      <c r="AD111" s="4">
        <v>504</v>
      </c>
      <c r="AE111" s="4">
        <v>1641</v>
      </c>
      <c r="AF111" s="4">
        <v>1829</v>
      </c>
      <c r="AG111">
        <v>28795</v>
      </c>
      <c r="AH111" s="4">
        <v>504</v>
      </c>
      <c r="AI111" s="4">
        <v>2245</v>
      </c>
      <c r="AJ111" s="4">
        <v>481</v>
      </c>
      <c r="AK111" s="4">
        <v>2689</v>
      </c>
      <c r="AL111" s="4">
        <v>3775</v>
      </c>
      <c r="AM111" s="4">
        <v>837</v>
      </c>
      <c r="AN111" s="4">
        <v>330</v>
      </c>
      <c r="AO111" s="4">
        <v>10154</v>
      </c>
      <c r="AP111" s="4">
        <v>793</v>
      </c>
      <c r="AQ111" s="4">
        <v>117</v>
      </c>
      <c r="AR111" s="4">
        <v>3363</v>
      </c>
      <c r="AS111" s="4">
        <v>11427</v>
      </c>
      <c r="AT111" s="4">
        <v>1424</v>
      </c>
      <c r="AU111" s="4">
        <v>2821</v>
      </c>
      <c r="AV111" s="4">
        <v>4945</v>
      </c>
      <c r="AW111" s="4">
        <v>6821</v>
      </c>
      <c r="AX111" s="4">
        <v>32369</v>
      </c>
      <c r="AY111" s="4">
        <v>229</v>
      </c>
      <c r="AZ111" s="4">
        <v>1059</v>
      </c>
      <c r="BA111" s="4">
        <v>14629</v>
      </c>
      <c r="BB111" s="4">
        <v>249</v>
      </c>
      <c r="BC111" s="4">
        <v>845</v>
      </c>
      <c r="BD111" s="4">
        <v>8126</v>
      </c>
      <c r="BE111" s="4">
        <v>3645</v>
      </c>
      <c r="BF111" s="4">
        <v>2025</v>
      </c>
      <c r="BG111" s="4">
        <v>6463</v>
      </c>
      <c r="BH111" s="4">
        <v>2234</v>
      </c>
      <c r="BI111" s="4">
        <v>34386</v>
      </c>
      <c r="BJ111" s="4">
        <v>5034</v>
      </c>
      <c r="BK111" s="4">
        <v>6819</v>
      </c>
      <c r="BL111" s="4">
        <v>3344</v>
      </c>
      <c r="BM111" s="4">
        <v>5982</v>
      </c>
      <c r="BN111" s="4">
        <v>1367</v>
      </c>
      <c r="BO111" s="4">
        <v>1420</v>
      </c>
      <c r="BP111" s="4">
        <v>27041</v>
      </c>
      <c r="BQ111" s="4">
        <v>2656</v>
      </c>
      <c r="BR111" s="4">
        <v>85469</v>
      </c>
      <c r="BS111" s="4">
        <v>9254</v>
      </c>
      <c r="BT111" s="4">
        <v>8995</v>
      </c>
      <c r="BU111" s="4">
        <v>20201</v>
      </c>
      <c r="BV111" s="4">
        <v>3013</v>
      </c>
      <c r="BW111" s="4">
        <v>14778</v>
      </c>
      <c r="BX111" s="4">
        <v>2676</v>
      </c>
      <c r="BY111" s="4">
        <v>5606</v>
      </c>
      <c r="BZ111" s="4">
        <v>26203</v>
      </c>
      <c r="CA111" s="4">
        <v>2787</v>
      </c>
      <c r="CB111" s="4">
        <v>1382</v>
      </c>
      <c r="CC111" s="4">
        <v>7490</v>
      </c>
      <c r="CD111" s="4">
        <v>4595</v>
      </c>
      <c r="CE111" s="4">
        <v>5042</v>
      </c>
      <c r="CF111" s="4">
        <v>8170</v>
      </c>
      <c r="CG111" s="4">
        <v>110751</v>
      </c>
      <c r="CH111" s="4">
        <v>16531</v>
      </c>
      <c r="CI111" s="4">
        <v>32556</v>
      </c>
      <c r="CJ111" s="4">
        <v>7021</v>
      </c>
      <c r="CK111" s="4">
        <v>19192</v>
      </c>
      <c r="CL111" s="4">
        <v>15403</v>
      </c>
      <c r="CM111" s="4">
        <v>18257</v>
      </c>
      <c r="CN111" s="4">
        <v>50170</v>
      </c>
      <c r="CO111" s="4">
        <v>6178</v>
      </c>
      <c r="CP111" s="4">
        <v>3555</v>
      </c>
      <c r="CQ111" s="4">
        <v>5208</v>
      </c>
      <c r="CR111" s="4">
        <v>7409</v>
      </c>
      <c r="CS111" s="4">
        <v>34888</v>
      </c>
      <c r="CT111" s="4">
        <v>21322</v>
      </c>
      <c r="CU111" s="4">
        <v>2317</v>
      </c>
      <c r="CV111" s="4">
        <v>265192</v>
      </c>
      <c r="CW111" s="4">
        <v>6383</v>
      </c>
      <c r="CX111" s="4">
        <v>2314</v>
      </c>
      <c r="CY111" s="4">
        <v>26818</v>
      </c>
      <c r="CZ111" s="4">
        <v>2837</v>
      </c>
      <c r="DA111" s="4">
        <v>6523</v>
      </c>
      <c r="DB111" s="4">
        <v>14137</v>
      </c>
      <c r="DC111" s="4">
        <v>4826</v>
      </c>
      <c r="DD111" s="4">
        <v>3211</v>
      </c>
      <c r="DE111" s="4">
        <v>2559</v>
      </c>
      <c r="DF111" s="4">
        <v>56650</v>
      </c>
      <c r="DG111" s="4">
        <v>15912</v>
      </c>
      <c r="DH111" s="4">
        <v>18951</v>
      </c>
      <c r="DI111" s="4">
        <v>4538</v>
      </c>
      <c r="DJ111" s="4">
        <v>31549</v>
      </c>
      <c r="DK111" s="4">
        <v>19723</v>
      </c>
      <c r="DL111" s="4">
        <v>12917</v>
      </c>
      <c r="DM111" s="4">
        <v>16502</v>
      </c>
      <c r="DN111" s="4">
        <v>21000</v>
      </c>
      <c r="DO111" s="4">
        <v>3263</v>
      </c>
      <c r="DP111" s="4">
        <v>8307</v>
      </c>
      <c r="DQ111" s="4">
        <v>63894</v>
      </c>
      <c r="DR111" s="4">
        <v>2903</v>
      </c>
      <c r="DS111" s="4">
        <v>6815</v>
      </c>
      <c r="DT111" s="4">
        <v>778</v>
      </c>
      <c r="DU111" s="4">
        <v>10916</v>
      </c>
      <c r="DV111" s="4">
        <v>5693</v>
      </c>
      <c r="DW111" s="4">
        <v>5694</v>
      </c>
      <c r="DX111" s="4">
        <v>12770</v>
      </c>
      <c r="DY111" s="4">
        <v>1828</v>
      </c>
      <c r="DZ111" s="4">
        <v>2917</v>
      </c>
      <c r="EA111" s="4">
        <v>11730</v>
      </c>
      <c r="EB111" s="4">
        <v>5552</v>
      </c>
      <c r="EC111" s="4">
        <v>921</v>
      </c>
      <c r="ED111" s="4">
        <v>1252</v>
      </c>
      <c r="EE111" s="4">
        <v>36059</v>
      </c>
      <c r="EF111" s="4">
        <v>4043</v>
      </c>
      <c r="EG111" s="4">
        <v>11724</v>
      </c>
      <c r="EH111" s="4">
        <v>26663</v>
      </c>
      <c r="EJ111" s="4">
        <f t="shared" si="1"/>
        <v>1650965</v>
      </c>
    </row>
    <row r="112" spans="1:140" x14ac:dyDescent="0.25">
      <c r="A112" s="4" t="s">
        <v>248</v>
      </c>
      <c r="B112" s="4">
        <v>5481</v>
      </c>
      <c r="C112" s="4">
        <v>6255</v>
      </c>
      <c r="D112" s="4">
        <v>183</v>
      </c>
      <c r="E112" s="4">
        <v>2128</v>
      </c>
      <c r="F112" s="4">
        <v>21</v>
      </c>
      <c r="G112" s="4">
        <v>20</v>
      </c>
      <c r="H112" s="4">
        <v>15706</v>
      </c>
      <c r="I112" s="4">
        <v>94</v>
      </c>
      <c r="J112" s="4">
        <v>2651</v>
      </c>
      <c r="K112" s="4">
        <v>58</v>
      </c>
      <c r="L112" s="4">
        <v>1674</v>
      </c>
      <c r="M112" s="4">
        <v>225</v>
      </c>
      <c r="N112" s="4">
        <v>12893</v>
      </c>
      <c r="O112" s="4">
        <v>2647</v>
      </c>
      <c r="P112" s="4">
        <v>2793</v>
      </c>
      <c r="Q112" s="4">
        <v>8914</v>
      </c>
      <c r="R112" s="4">
        <v>24</v>
      </c>
      <c r="S112" s="4">
        <v>2536</v>
      </c>
      <c r="T112" s="4">
        <v>2663</v>
      </c>
      <c r="U112" s="4">
        <v>2457</v>
      </c>
      <c r="V112" s="4">
        <v>10580</v>
      </c>
      <c r="W112" s="4">
        <v>3682</v>
      </c>
      <c r="X112" s="4">
        <v>796</v>
      </c>
      <c r="Y112" s="4">
        <v>1047</v>
      </c>
      <c r="Z112" s="4">
        <v>989</v>
      </c>
      <c r="AA112" s="4">
        <v>665</v>
      </c>
      <c r="AB112" s="4">
        <v>6189</v>
      </c>
      <c r="AC112" s="4">
        <v>798</v>
      </c>
      <c r="AD112" s="4">
        <v>460</v>
      </c>
      <c r="AE112" s="4">
        <v>1681</v>
      </c>
      <c r="AF112" s="4">
        <v>2289</v>
      </c>
      <c r="AG112">
        <v>31383</v>
      </c>
      <c r="AH112" s="4">
        <v>446</v>
      </c>
      <c r="AI112" s="4">
        <v>1984</v>
      </c>
      <c r="AJ112" s="4">
        <v>555</v>
      </c>
      <c r="AK112" s="4">
        <v>2108</v>
      </c>
      <c r="AL112" s="4">
        <v>3654</v>
      </c>
      <c r="AM112" s="4">
        <v>1081</v>
      </c>
      <c r="AN112" s="4">
        <v>325</v>
      </c>
      <c r="AO112" s="4">
        <v>9606</v>
      </c>
      <c r="AP112" s="4">
        <v>875</v>
      </c>
      <c r="AQ112" s="4">
        <v>136</v>
      </c>
      <c r="AR112" s="4">
        <v>3171</v>
      </c>
      <c r="AS112" s="4">
        <v>10618</v>
      </c>
      <c r="AT112" s="4">
        <v>1580</v>
      </c>
      <c r="AU112" s="4">
        <v>2762</v>
      </c>
      <c r="AV112" s="4">
        <v>6612</v>
      </c>
      <c r="AW112" s="4">
        <v>12054</v>
      </c>
      <c r="AX112" s="4">
        <v>32572</v>
      </c>
      <c r="AY112" s="4">
        <v>328</v>
      </c>
      <c r="AZ112" s="4">
        <v>1037</v>
      </c>
      <c r="BA112" s="4">
        <v>22258</v>
      </c>
      <c r="BB112" s="4">
        <v>293</v>
      </c>
      <c r="BC112" s="4">
        <v>2699</v>
      </c>
      <c r="BD112" s="4">
        <v>11069</v>
      </c>
      <c r="BE112" s="4">
        <v>3811</v>
      </c>
      <c r="BF112" s="4">
        <v>2025</v>
      </c>
      <c r="BG112" s="4">
        <v>6066</v>
      </c>
      <c r="BH112" s="4">
        <v>2094</v>
      </c>
      <c r="BI112" s="4">
        <v>36422</v>
      </c>
      <c r="BJ112" s="4">
        <v>5634</v>
      </c>
      <c r="BK112" s="4">
        <v>7309</v>
      </c>
      <c r="BL112" s="4">
        <v>2919</v>
      </c>
      <c r="BM112" s="4">
        <v>5917</v>
      </c>
      <c r="BN112" s="4">
        <v>1462</v>
      </c>
      <c r="BO112" s="4">
        <v>1366</v>
      </c>
      <c r="BP112" s="4">
        <v>28163</v>
      </c>
      <c r="BQ112" s="4">
        <v>2970</v>
      </c>
      <c r="BR112" s="4">
        <v>92718</v>
      </c>
      <c r="BS112" s="4">
        <v>10774</v>
      </c>
      <c r="BT112" s="4">
        <v>10913</v>
      </c>
      <c r="BU112" s="4">
        <v>19993</v>
      </c>
      <c r="BV112" s="4">
        <v>3539</v>
      </c>
      <c r="BW112" s="4">
        <v>15613</v>
      </c>
      <c r="BX112" s="4">
        <v>2795</v>
      </c>
      <c r="BY112" s="4">
        <v>6388</v>
      </c>
      <c r="BZ112" s="4">
        <v>25649</v>
      </c>
      <c r="CA112" s="4">
        <v>2842</v>
      </c>
      <c r="CB112" s="4">
        <v>1458</v>
      </c>
      <c r="CC112" s="4">
        <v>7566</v>
      </c>
      <c r="CD112" s="4">
        <v>4574</v>
      </c>
      <c r="CE112" s="4">
        <v>5413</v>
      </c>
      <c r="CF112" s="4">
        <v>8979</v>
      </c>
      <c r="CG112" s="4">
        <v>122731</v>
      </c>
      <c r="CH112" s="4">
        <v>16439</v>
      </c>
      <c r="CI112" s="4">
        <v>31164</v>
      </c>
      <c r="CJ112" s="4">
        <v>7848</v>
      </c>
      <c r="CK112" s="4">
        <v>18307</v>
      </c>
      <c r="CL112" s="4">
        <v>12677</v>
      </c>
      <c r="CM112" s="4">
        <v>19165</v>
      </c>
      <c r="CN112" s="4">
        <v>50703</v>
      </c>
      <c r="CO112" s="4">
        <v>6298</v>
      </c>
      <c r="CP112" s="4">
        <v>3747</v>
      </c>
      <c r="CQ112" s="4">
        <v>4908</v>
      </c>
      <c r="CR112" s="4">
        <v>7510</v>
      </c>
      <c r="CS112" s="4">
        <v>35902</v>
      </c>
      <c r="CT112" s="4">
        <v>22441</v>
      </c>
      <c r="CU112" s="4">
        <v>2020</v>
      </c>
      <c r="CV112" s="4">
        <v>283349</v>
      </c>
      <c r="CW112" s="4">
        <v>6844</v>
      </c>
      <c r="CX112" s="4">
        <v>2232</v>
      </c>
      <c r="CY112" s="4">
        <v>29018</v>
      </c>
      <c r="CZ112" s="4">
        <v>3367</v>
      </c>
      <c r="DA112" s="4">
        <v>7016</v>
      </c>
      <c r="DB112" s="4">
        <v>14827</v>
      </c>
      <c r="DC112" s="4">
        <v>4642</v>
      </c>
      <c r="DD112" s="4">
        <v>3572</v>
      </c>
      <c r="DE112" s="4">
        <v>2228</v>
      </c>
      <c r="DF112" s="4">
        <v>57704</v>
      </c>
      <c r="DG112" s="4">
        <v>17494</v>
      </c>
      <c r="DH112" s="4">
        <v>18645</v>
      </c>
      <c r="DI112" s="4">
        <v>5827</v>
      </c>
      <c r="DJ112" s="4">
        <v>29464</v>
      </c>
      <c r="DK112" s="4">
        <v>20822</v>
      </c>
      <c r="DL112" s="4">
        <v>12181</v>
      </c>
      <c r="DM112" s="4">
        <v>15372</v>
      </c>
      <c r="DN112" s="4">
        <v>22719</v>
      </c>
      <c r="DO112" s="4">
        <v>3394</v>
      </c>
      <c r="DP112" s="4">
        <v>8224</v>
      </c>
      <c r="DQ112" s="4">
        <v>66592</v>
      </c>
      <c r="DR112" s="4">
        <v>3535</v>
      </c>
      <c r="DS112" s="4">
        <v>6823</v>
      </c>
      <c r="DT112" s="4">
        <v>961</v>
      </c>
      <c r="DU112" s="4">
        <v>11486</v>
      </c>
      <c r="DV112" s="4">
        <v>5582</v>
      </c>
      <c r="DW112" s="4">
        <v>5703</v>
      </c>
      <c r="DX112" s="4">
        <v>14932</v>
      </c>
      <c r="DY112" s="4">
        <v>1984</v>
      </c>
      <c r="DZ112" s="4">
        <v>3040</v>
      </c>
      <c r="EA112" s="4">
        <v>11846</v>
      </c>
      <c r="EB112" s="4">
        <v>7851</v>
      </c>
      <c r="EC112" s="4">
        <v>865</v>
      </c>
      <c r="ED112" s="4">
        <v>1028</v>
      </c>
      <c r="EE112" s="4">
        <v>35272</v>
      </c>
      <c r="EF112" s="4">
        <v>4129</v>
      </c>
      <c r="EG112" s="4">
        <v>13700</v>
      </c>
      <c r="EH112" s="4">
        <v>27391</v>
      </c>
      <c r="EJ112" s="4">
        <f t="shared" si="1"/>
        <v>1736698</v>
      </c>
    </row>
    <row r="113" spans="1:140" x14ac:dyDescent="0.25">
      <c r="A113" s="4" t="s">
        <v>249</v>
      </c>
      <c r="B113" s="4">
        <v>5967</v>
      </c>
      <c r="C113" s="4">
        <v>6357</v>
      </c>
      <c r="D113" s="4">
        <v>189</v>
      </c>
      <c r="E113" s="4">
        <v>1859</v>
      </c>
      <c r="F113" s="4">
        <v>29</v>
      </c>
      <c r="G113" s="4">
        <v>27</v>
      </c>
      <c r="H113" s="4">
        <v>18349</v>
      </c>
      <c r="I113" s="4">
        <v>97</v>
      </c>
      <c r="J113" s="4">
        <v>1800</v>
      </c>
      <c r="K113" s="4">
        <v>69</v>
      </c>
      <c r="L113" s="4">
        <v>1289</v>
      </c>
      <c r="M113" s="4">
        <v>140</v>
      </c>
      <c r="N113" s="4">
        <v>12914</v>
      </c>
      <c r="O113" s="4">
        <v>2549</v>
      </c>
      <c r="P113" s="4">
        <v>3311</v>
      </c>
      <c r="Q113" s="4">
        <v>8661</v>
      </c>
      <c r="R113" s="4">
        <v>18</v>
      </c>
      <c r="S113" s="4">
        <v>2514</v>
      </c>
      <c r="T113" s="4">
        <v>2970</v>
      </c>
      <c r="U113" s="4">
        <v>2616</v>
      </c>
      <c r="V113" s="4">
        <v>9319</v>
      </c>
      <c r="W113" s="4">
        <v>4017</v>
      </c>
      <c r="X113" s="4">
        <v>1245</v>
      </c>
      <c r="Y113" s="4">
        <v>991</v>
      </c>
      <c r="Z113" s="4">
        <v>1277</v>
      </c>
      <c r="AA113" s="4">
        <v>736</v>
      </c>
      <c r="AB113" s="4">
        <v>5829</v>
      </c>
      <c r="AC113" s="4">
        <v>870</v>
      </c>
      <c r="AD113" s="4">
        <v>488</v>
      </c>
      <c r="AE113" s="4">
        <v>1553</v>
      </c>
      <c r="AF113" s="4">
        <v>1823</v>
      </c>
      <c r="AG113">
        <v>31925</v>
      </c>
      <c r="AH113" s="4">
        <v>517</v>
      </c>
      <c r="AI113" s="4">
        <v>1392</v>
      </c>
      <c r="AJ113" s="4">
        <v>522</v>
      </c>
      <c r="AK113" s="4">
        <v>2481</v>
      </c>
      <c r="AL113" s="4">
        <v>3984</v>
      </c>
      <c r="AM113" s="4">
        <v>1133</v>
      </c>
      <c r="AN113" s="4">
        <v>375</v>
      </c>
      <c r="AO113" s="4">
        <v>11622</v>
      </c>
      <c r="AP113" s="4">
        <v>876</v>
      </c>
      <c r="AQ113" s="4">
        <v>148</v>
      </c>
      <c r="AR113" s="4">
        <v>3404</v>
      </c>
      <c r="AS113" s="4">
        <v>7820</v>
      </c>
      <c r="AT113" s="4">
        <v>1831</v>
      </c>
      <c r="AU113" s="4">
        <v>3070</v>
      </c>
      <c r="AV113" s="4">
        <v>4769</v>
      </c>
      <c r="AW113" s="4">
        <v>5413</v>
      </c>
      <c r="AX113" s="4">
        <v>37118</v>
      </c>
      <c r="AY113" s="4">
        <v>335</v>
      </c>
      <c r="AZ113" s="4">
        <v>911</v>
      </c>
      <c r="BA113" s="4">
        <v>20890</v>
      </c>
      <c r="BB113" s="4">
        <v>271</v>
      </c>
      <c r="BC113" s="4">
        <v>951</v>
      </c>
      <c r="BD113" s="4">
        <v>8115</v>
      </c>
      <c r="BE113" s="4">
        <v>4230</v>
      </c>
      <c r="BF113" s="4">
        <v>2161</v>
      </c>
      <c r="BG113" s="4">
        <v>6346</v>
      </c>
      <c r="BH113" s="4">
        <v>2154</v>
      </c>
      <c r="BI113" s="4">
        <v>37450</v>
      </c>
      <c r="BJ113" s="4">
        <v>5435</v>
      </c>
      <c r="BK113" s="4">
        <v>6782</v>
      </c>
      <c r="BL113" s="4">
        <v>3419</v>
      </c>
      <c r="BM113" s="4">
        <v>6282</v>
      </c>
      <c r="BN113" s="4">
        <v>1289</v>
      </c>
      <c r="BO113" s="4">
        <v>1504</v>
      </c>
      <c r="BP113" s="4">
        <v>29497</v>
      </c>
      <c r="BQ113" s="4">
        <v>2816</v>
      </c>
      <c r="BR113" s="4">
        <v>93085</v>
      </c>
      <c r="BS113" s="4">
        <v>9310</v>
      </c>
      <c r="BT113" s="4">
        <v>10933</v>
      </c>
      <c r="BU113" s="4">
        <v>20631</v>
      </c>
      <c r="BV113" s="4">
        <v>3380</v>
      </c>
      <c r="BW113" s="4">
        <v>15678</v>
      </c>
      <c r="BX113" s="4">
        <v>2914</v>
      </c>
      <c r="BY113" s="4">
        <v>5858</v>
      </c>
      <c r="BZ113" s="4">
        <v>25595</v>
      </c>
      <c r="CA113" s="4">
        <v>2481</v>
      </c>
      <c r="CB113" s="4">
        <v>1241</v>
      </c>
      <c r="CC113" s="4">
        <v>8154</v>
      </c>
      <c r="CD113" s="4">
        <v>3972</v>
      </c>
      <c r="CE113" s="4">
        <v>4461</v>
      </c>
      <c r="CF113" s="4">
        <v>9230</v>
      </c>
      <c r="CG113" s="4">
        <v>122589</v>
      </c>
      <c r="CH113" s="4">
        <v>16664</v>
      </c>
      <c r="CI113" s="4">
        <v>31678</v>
      </c>
      <c r="CJ113" s="4">
        <v>8017</v>
      </c>
      <c r="CK113" s="4">
        <v>18791</v>
      </c>
      <c r="CL113" s="4">
        <v>11456</v>
      </c>
      <c r="CM113" s="4">
        <v>19780</v>
      </c>
      <c r="CN113" s="4">
        <v>52779</v>
      </c>
      <c r="CO113" s="4">
        <v>6504</v>
      </c>
      <c r="CP113" s="4">
        <v>3820</v>
      </c>
      <c r="CQ113" s="4">
        <v>5144</v>
      </c>
      <c r="CR113" s="4">
        <v>7712</v>
      </c>
      <c r="CS113" s="4">
        <v>35149</v>
      </c>
      <c r="CT113" s="4">
        <v>20645</v>
      </c>
      <c r="CU113" s="4">
        <v>1931</v>
      </c>
      <c r="CV113" s="4">
        <v>289053</v>
      </c>
      <c r="CW113" s="4">
        <v>6598</v>
      </c>
      <c r="CX113" s="4">
        <v>2290</v>
      </c>
      <c r="CY113" s="4">
        <v>28889</v>
      </c>
      <c r="CZ113" s="4">
        <v>3201</v>
      </c>
      <c r="DA113" s="4">
        <v>7005</v>
      </c>
      <c r="DB113" s="4">
        <v>14617</v>
      </c>
      <c r="DC113" s="4">
        <v>4963</v>
      </c>
      <c r="DD113" s="4">
        <v>3237</v>
      </c>
      <c r="DE113" s="4">
        <v>2239</v>
      </c>
      <c r="DF113" s="4">
        <v>58695</v>
      </c>
      <c r="DG113" s="4">
        <v>16617</v>
      </c>
      <c r="DH113" s="4">
        <v>20034</v>
      </c>
      <c r="DI113" s="4">
        <v>5256</v>
      </c>
      <c r="DJ113" s="4">
        <v>29898</v>
      </c>
      <c r="DK113" s="4">
        <v>19185</v>
      </c>
      <c r="DL113" s="4">
        <v>11416</v>
      </c>
      <c r="DM113" s="4">
        <v>16894</v>
      </c>
      <c r="DN113" s="4">
        <v>21322</v>
      </c>
      <c r="DO113" s="4">
        <v>3432</v>
      </c>
      <c r="DP113" s="4">
        <v>8878</v>
      </c>
      <c r="DQ113" s="4">
        <v>69880</v>
      </c>
      <c r="DR113" s="4">
        <v>3629</v>
      </c>
      <c r="DS113" s="4">
        <v>8133</v>
      </c>
      <c r="DT113" s="4">
        <v>794</v>
      </c>
      <c r="DU113" s="4">
        <v>10929</v>
      </c>
      <c r="DV113" s="4">
        <v>6188</v>
      </c>
      <c r="DW113" s="4">
        <v>5322</v>
      </c>
      <c r="DX113" s="4">
        <v>14863</v>
      </c>
      <c r="DY113" s="4">
        <v>2391</v>
      </c>
      <c r="DZ113" s="4">
        <v>2680</v>
      </c>
      <c r="EA113" s="4">
        <v>11060</v>
      </c>
      <c r="EB113" s="4">
        <v>6372</v>
      </c>
      <c r="EC113" s="4">
        <v>874</v>
      </c>
      <c r="ED113" s="4">
        <v>1122</v>
      </c>
      <c r="EE113" s="4">
        <v>38583</v>
      </c>
      <c r="EF113" s="4">
        <v>4160</v>
      </c>
      <c r="EG113" s="4">
        <v>14043</v>
      </c>
      <c r="EH113" s="4">
        <v>27821</v>
      </c>
      <c r="EJ113" s="4">
        <f t="shared" si="1"/>
        <v>1741256</v>
      </c>
    </row>
    <row r="114" spans="1:140" x14ac:dyDescent="0.25">
      <c r="A114" s="4" t="s">
        <v>250</v>
      </c>
      <c r="B114" s="4">
        <v>7296</v>
      </c>
      <c r="C114" s="4">
        <v>6837</v>
      </c>
      <c r="D114" s="4">
        <v>209</v>
      </c>
      <c r="E114" s="4">
        <v>2145</v>
      </c>
      <c r="F114" s="4">
        <v>16</v>
      </c>
      <c r="G114" s="4">
        <v>48</v>
      </c>
      <c r="H114" s="4">
        <v>17402</v>
      </c>
      <c r="I114" s="4">
        <v>81</v>
      </c>
      <c r="J114" s="4">
        <v>1821</v>
      </c>
      <c r="K114" s="4">
        <v>47</v>
      </c>
      <c r="L114" s="4">
        <v>1409</v>
      </c>
      <c r="M114" s="4">
        <v>128</v>
      </c>
      <c r="N114" s="4">
        <v>13548</v>
      </c>
      <c r="O114" s="4">
        <v>2614</v>
      </c>
      <c r="P114" s="4">
        <v>2599</v>
      </c>
      <c r="Q114" s="4">
        <v>9705</v>
      </c>
      <c r="R114" s="4">
        <v>31</v>
      </c>
      <c r="S114" s="4">
        <v>2607</v>
      </c>
      <c r="T114" s="4">
        <v>3208</v>
      </c>
      <c r="U114" s="4">
        <v>2549</v>
      </c>
      <c r="V114" s="4">
        <v>9663</v>
      </c>
      <c r="W114" s="4">
        <v>4026</v>
      </c>
      <c r="X114" s="4">
        <v>975</v>
      </c>
      <c r="Y114" s="4">
        <v>1110</v>
      </c>
      <c r="Z114" s="4">
        <v>1690</v>
      </c>
      <c r="AA114" s="4">
        <v>679</v>
      </c>
      <c r="AB114" s="4">
        <v>6202</v>
      </c>
      <c r="AC114" s="4">
        <v>978</v>
      </c>
      <c r="AD114" s="4">
        <v>436</v>
      </c>
      <c r="AE114" s="4">
        <v>1836</v>
      </c>
      <c r="AF114" s="4">
        <v>1829</v>
      </c>
      <c r="AG114">
        <v>34843</v>
      </c>
      <c r="AH114" s="4">
        <v>568</v>
      </c>
      <c r="AI114" s="4">
        <v>1287</v>
      </c>
      <c r="AJ114" s="4">
        <v>545</v>
      </c>
      <c r="AK114" s="4">
        <v>2686</v>
      </c>
      <c r="AL114" s="4">
        <v>3113</v>
      </c>
      <c r="AM114" s="4">
        <v>1044</v>
      </c>
      <c r="AN114" s="4">
        <v>382</v>
      </c>
      <c r="AO114" s="4">
        <v>10955</v>
      </c>
      <c r="AP114" s="4">
        <v>895</v>
      </c>
      <c r="AQ114" s="4">
        <v>162</v>
      </c>
      <c r="AR114" s="4">
        <v>3318</v>
      </c>
      <c r="AS114" s="4">
        <v>8332</v>
      </c>
      <c r="AT114" s="4">
        <v>2135</v>
      </c>
      <c r="AU114" s="4">
        <v>3647</v>
      </c>
      <c r="AV114" s="4">
        <v>4816</v>
      </c>
      <c r="AW114" s="4">
        <v>2643</v>
      </c>
      <c r="AX114" s="4">
        <v>36303</v>
      </c>
      <c r="AY114" s="4">
        <v>423</v>
      </c>
      <c r="AZ114" s="4">
        <v>1142</v>
      </c>
      <c r="BA114" s="4">
        <v>10989</v>
      </c>
      <c r="BB114" s="4">
        <v>193</v>
      </c>
      <c r="BC114" s="4">
        <v>1019</v>
      </c>
      <c r="BD114" s="4">
        <v>8618</v>
      </c>
      <c r="BE114" s="4">
        <v>5087</v>
      </c>
      <c r="BF114" s="4">
        <v>2156</v>
      </c>
      <c r="BG114" s="4">
        <v>6375</v>
      </c>
      <c r="BH114" s="4">
        <v>2318</v>
      </c>
      <c r="BI114" s="4">
        <v>38317</v>
      </c>
      <c r="BJ114" s="4">
        <v>5267</v>
      </c>
      <c r="BK114" s="4">
        <v>7352</v>
      </c>
      <c r="BL114" s="4">
        <v>3462</v>
      </c>
      <c r="BM114" s="4">
        <v>6378</v>
      </c>
      <c r="BN114" s="4">
        <v>1441</v>
      </c>
      <c r="BO114" s="4">
        <v>1364</v>
      </c>
      <c r="BP114" s="4">
        <v>30563</v>
      </c>
      <c r="BQ114" s="4">
        <v>2660</v>
      </c>
      <c r="BR114" s="4">
        <v>93706</v>
      </c>
      <c r="BS114" s="4">
        <v>9872</v>
      </c>
      <c r="BT114" s="4">
        <v>10718</v>
      </c>
      <c r="BU114" s="4">
        <v>21182</v>
      </c>
      <c r="BV114" s="4">
        <v>3427</v>
      </c>
      <c r="BW114" s="4">
        <v>15864</v>
      </c>
      <c r="BX114" s="4">
        <v>4285</v>
      </c>
      <c r="BY114" s="4">
        <v>10972</v>
      </c>
      <c r="BZ114" s="4">
        <v>26446</v>
      </c>
      <c r="CA114" s="4">
        <v>3047</v>
      </c>
      <c r="CB114" s="4">
        <v>1465</v>
      </c>
      <c r="CC114" s="4">
        <v>9784</v>
      </c>
      <c r="CD114" s="4">
        <v>4142</v>
      </c>
      <c r="CE114" s="4">
        <v>4691</v>
      </c>
      <c r="CF114" s="4">
        <v>9578</v>
      </c>
      <c r="CG114" s="4">
        <v>129235</v>
      </c>
      <c r="CH114" s="4">
        <v>17653</v>
      </c>
      <c r="CI114" s="4">
        <v>30822</v>
      </c>
      <c r="CJ114" s="4">
        <v>8717</v>
      </c>
      <c r="CK114" s="4">
        <v>18166</v>
      </c>
      <c r="CL114" s="4">
        <v>10764</v>
      </c>
      <c r="CM114" s="4">
        <v>19458</v>
      </c>
      <c r="CN114" s="4">
        <v>51121</v>
      </c>
      <c r="CO114" s="4">
        <v>6563</v>
      </c>
      <c r="CP114" s="4">
        <v>4063</v>
      </c>
      <c r="CQ114" s="4">
        <v>4689</v>
      </c>
      <c r="CR114" s="4">
        <v>7918</v>
      </c>
      <c r="CS114" s="4">
        <v>35821</v>
      </c>
      <c r="CT114" s="4">
        <v>21321</v>
      </c>
      <c r="CU114" s="4">
        <v>2070</v>
      </c>
      <c r="CV114" s="4">
        <v>294723</v>
      </c>
      <c r="CW114" s="4">
        <v>6553</v>
      </c>
      <c r="CX114" s="4">
        <v>2132</v>
      </c>
      <c r="CY114" s="4">
        <v>28249</v>
      </c>
      <c r="CZ114" s="4">
        <v>3334</v>
      </c>
      <c r="DA114" s="4">
        <v>7408</v>
      </c>
      <c r="DB114" s="4">
        <v>13037</v>
      </c>
      <c r="DC114" s="4">
        <v>4248</v>
      </c>
      <c r="DD114" s="4">
        <v>3032</v>
      </c>
      <c r="DE114" s="4">
        <v>2277</v>
      </c>
      <c r="DF114" s="4">
        <v>57887</v>
      </c>
      <c r="DG114" s="4">
        <v>14925</v>
      </c>
      <c r="DH114" s="4">
        <v>19284</v>
      </c>
      <c r="DI114" s="4">
        <v>4408</v>
      </c>
      <c r="DJ114" s="4">
        <v>29376</v>
      </c>
      <c r="DK114" s="4">
        <v>18835</v>
      </c>
      <c r="DL114" s="4">
        <v>12443</v>
      </c>
      <c r="DM114" s="4">
        <v>16376</v>
      </c>
      <c r="DN114" s="4">
        <v>19950</v>
      </c>
      <c r="DO114" s="4">
        <v>4053</v>
      </c>
      <c r="DP114" s="4">
        <v>9224</v>
      </c>
      <c r="DQ114" s="4">
        <v>66897</v>
      </c>
      <c r="DR114" s="4">
        <v>4368</v>
      </c>
      <c r="DS114" s="4">
        <v>7776</v>
      </c>
      <c r="DT114" s="4">
        <v>811</v>
      </c>
      <c r="DU114" s="4">
        <v>11335</v>
      </c>
      <c r="DV114" s="4">
        <v>5901</v>
      </c>
      <c r="DW114" s="4">
        <v>5351</v>
      </c>
      <c r="DX114" s="4">
        <v>12705</v>
      </c>
      <c r="DY114" s="4">
        <v>2032</v>
      </c>
      <c r="DZ114" s="4">
        <v>2655</v>
      </c>
      <c r="EA114" s="4">
        <v>11700</v>
      </c>
      <c r="EB114" s="4">
        <v>6227</v>
      </c>
      <c r="EC114" s="4">
        <v>951</v>
      </c>
      <c r="ED114" s="4">
        <v>1126</v>
      </c>
      <c r="EE114" s="4">
        <v>39659</v>
      </c>
      <c r="EF114" s="4">
        <v>4900</v>
      </c>
      <c r="EG114" s="4">
        <v>13326</v>
      </c>
      <c r="EH114" s="4">
        <v>31538</v>
      </c>
      <c r="EJ114" s="4">
        <f t="shared" si="1"/>
        <v>1755094</v>
      </c>
    </row>
    <row r="115" spans="1:140" x14ac:dyDescent="0.25">
      <c r="A115" s="4" t="s">
        <v>251</v>
      </c>
      <c r="B115" s="4">
        <v>6185</v>
      </c>
      <c r="C115" s="4">
        <v>6349</v>
      </c>
      <c r="D115" s="4">
        <v>171</v>
      </c>
      <c r="E115" s="4">
        <v>1994</v>
      </c>
      <c r="F115" s="4">
        <v>20</v>
      </c>
      <c r="G115" s="4">
        <v>31</v>
      </c>
      <c r="H115" s="4">
        <v>14969</v>
      </c>
      <c r="I115" s="4">
        <v>95</v>
      </c>
      <c r="J115" s="4">
        <v>1998</v>
      </c>
      <c r="K115" s="4">
        <v>61</v>
      </c>
      <c r="L115" s="4">
        <v>1269</v>
      </c>
      <c r="M115" s="4">
        <v>120</v>
      </c>
      <c r="N115" s="4">
        <v>13690</v>
      </c>
      <c r="O115" s="4">
        <v>2125</v>
      </c>
      <c r="P115" s="4">
        <v>2941</v>
      </c>
      <c r="Q115" s="4">
        <v>9571</v>
      </c>
      <c r="R115" s="4">
        <v>19</v>
      </c>
      <c r="S115" s="4">
        <v>2844</v>
      </c>
      <c r="T115" s="4">
        <v>3116</v>
      </c>
      <c r="U115" s="4">
        <v>2692</v>
      </c>
      <c r="V115" s="4">
        <v>9726</v>
      </c>
      <c r="W115" s="4">
        <v>3631</v>
      </c>
      <c r="X115" s="4">
        <v>846</v>
      </c>
      <c r="Y115" s="4">
        <v>936</v>
      </c>
      <c r="Z115" s="4">
        <v>1564</v>
      </c>
      <c r="AA115" s="4">
        <v>835</v>
      </c>
      <c r="AB115" s="4">
        <v>6310</v>
      </c>
      <c r="AC115" s="4">
        <v>890</v>
      </c>
      <c r="AD115" s="4">
        <v>359</v>
      </c>
      <c r="AE115" s="4">
        <v>1772</v>
      </c>
      <c r="AF115" s="4">
        <v>2015</v>
      </c>
      <c r="AG115">
        <v>29645</v>
      </c>
      <c r="AH115" s="4">
        <v>510</v>
      </c>
      <c r="AI115" s="4">
        <v>1325</v>
      </c>
      <c r="AJ115" s="4">
        <v>422</v>
      </c>
      <c r="AK115" s="4">
        <v>2152</v>
      </c>
      <c r="AL115" s="4">
        <v>2633</v>
      </c>
      <c r="AM115" s="4">
        <v>887</v>
      </c>
      <c r="AN115" s="4">
        <v>340</v>
      </c>
      <c r="AO115" s="4">
        <v>11103</v>
      </c>
      <c r="AP115" s="4">
        <v>746</v>
      </c>
      <c r="AQ115" s="4">
        <v>154</v>
      </c>
      <c r="AR115" s="4">
        <v>3368</v>
      </c>
      <c r="AS115" s="4">
        <v>6687</v>
      </c>
      <c r="AT115" s="4">
        <v>1415</v>
      </c>
      <c r="AU115" s="4">
        <v>3602</v>
      </c>
      <c r="AV115" s="4">
        <v>4812</v>
      </c>
      <c r="AW115" s="4">
        <v>3083</v>
      </c>
      <c r="AX115" s="4">
        <v>30385</v>
      </c>
      <c r="AY115" s="4">
        <v>268</v>
      </c>
      <c r="AZ115" s="4">
        <v>972</v>
      </c>
      <c r="BA115" s="4">
        <v>8910</v>
      </c>
      <c r="BB115" s="4">
        <v>237</v>
      </c>
      <c r="BC115" s="4">
        <v>833</v>
      </c>
      <c r="BD115" s="4">
        <v>8416</v>
      </c>
      <c r="BE115" s="4">
        <v>3969</v>
      </c>
      <c r="BF115" s="4">
        <v>2009</v>
      </c>
      <c r="BG115" s="4">
        <v>6844</v>
      </c>
      <c r="BH115" s="4">
        <v>1954</v>
      </c>
      <c r="BI115" s="4">
        <v>33276</v>
      </c>
      <c r="BJ115" s="4">
        <v>4773</v>
      </c>
      <c r="BK115" s="4">
        <v>8944</v>
      </c>
      <c r="BL115" s="4">
        <v>3307</v>
      </c>
      <c r="BM115" s="4">
        <v>5767</v>
      </c>
      <c r="BN115" s="4">
        <v>1108</v>
      </c>
      <c r="BO115" s="4">
        <v>1219</v>
      </c>
      <c r="BP115" s="4">
        <v>28578</v>
      </c>
      <c r="BQ115" s="4">
        <v>2720</v>
      </c>
      <c r="BR115" s="4">
        <v>92395</v>
      </c>
      <c r="BS115" s="4">
        <v>9304</v>
      </c>
      <c r="BT115" s="4">
        <v>11143</v>
      </c>
      <c r="BU115" s="4">
        <v>21166</v>
      </c>
      <c r="BV115" s="4">
        <v>3199</v>
      </c>
      <c r="BW115" s="4">
        <v>14897</v>
      </c>
      <c r="BX115" s="4">
        <v>3603</v>
      </c>
      <c r="BY115" s="4">
        <v>9445</v>
      </c>
      <c r="BZ115" s="4">
        <v>24481</v>
      </c>
      <c r="CA115" s="4">
        <v>3077</v>
      </c>
      <c r="CB115" s="4">
        <v>1653</v>
      </c>
      <c r="CC115" s="4">
        <v>7920</v>
      </c>
      <c r="CD115" s="4">
        <v>4169</v>
      </c>
      <c r="CE115" s="4">
        <v>4692</v>
      </c>
      <c r="CF115" s="4">
        <v>8614</v>
      </c>
      <c r="CG115" s="4">
        <v>123165</v>
      </c>
      <c r="CH115" s="4">
        <v>16955</v>
      </c>
      <c r="CI115" s="4">
        <v>28567</v>
      </c>
      <c r="CJ115" s="4">
        <v>7617</v>
      </c>
      <c r="CK115" s="4">
        <v>17657</v>
      </c>
      <c r="CL115" s="4">
        <v>10967</v>
      </c>
      <c r="CM115" s="4">
        <v>17679</v>
      </c>
      <c r="CN115" s="4">
        <v>49287</v>
      </c>
      <c r="CO115" s="4">
        <v>6407</v>
      </c>
      <c r="CP115" s="4">
        <v>3666</v>
      </c>
      <c r="CQ115" s="4">
        <v>4192</v>
      </c>
      <c r="CR115" s="4">
        <v>7269</v>
      </c>
      <c r="CS115" s="4">
        <v>34549</v>
      </c>
      <c r="CT115" s="4">
        <v>20446</v>
      </c>
      <c r="CU115" s="4">
        <v>1999</v>
      </c>
      <c r="CV115" s="4">
        <v>273175</v>
      </c>
      <c r="CW115" s="4">
        <v>6690</v>
      </c>
      <c r="CX115" s="4">
        <v>1999</v>
      </c>
      <c r="CY115" s="4">
        <v>26688</v>
      </c>
      <c r="CZ115" s="4">
        <v>2966</v>
      </c>
      <c r="DA115" s="4">
        <v>6560</v>
      </c>
      <c r="DB115" s="4">
        <v>14443</v>
      </c>
      <c r="DC115" s="4">
        <v>4469</v>
      </c>
      <c r="DD115" s="4">
        <v>3667</v>
      </c>
      <c r="DE115" s="4">
        <v>2151</v>
      </c>
      <c r="DF115" s="4">
        <v>55895</v>
      </c>
      <c r="DG115" s="4">
        <v>13815</v>
      </c>
      <c r="DH115" s="4">
        <v>16978</v>
      </c>
      <c r="DI115" s="4">
        <v>4239</v>
      </c>
      <c r="DJ115" s="4">
        <v>26512</v>
      </c>
      <c r="DK115" s="4">
        <v>17740</v>
      </c>
      <c r="DL115" s="4">
        <v>10867</v>
      </c>
      <c r="DM115" s="4">
        <v>14652</v>
      </c>
      <c r="DN115" s="4">
        <v>17350</v>
      </c>
      <c r="DO115" s="4">
        <v>3270</v>
      </c>
      <c r="DP115" s="4">
        <v>8996</v>
      </c>
      <c r="DQ115" s="4">
        <v>61874</v>
      </c>
      <c r="DR115" s="4">
        <v>3386</v>
      </c>
      <c r="DS115" s="4">
        <v>6939</v>
      </c>
      <c r="DT115" s="4">
        <v>742</v>
      </c>
      <c r="DU115" s="4">
        <v>11291</v>
      </c>
      <c r="DV115" s="4">
        <v>6399</v>
      </c>
      <c r="DW115" s="4">
        <v>5336</v>
      </c>
      <c r="DX115" s="4">
        <v>12006</v>
      </c>
      <c r="DY115" s="4">
        <v>2051</v>
      </c>
      <c r="DZ115" s="4">
        <v>2678</v>
      </c>
      <c r="EA115" s="4">
        <v>11910</v>
      </c>
      <c r="EB115" s="4">
        <v>5706</v>
      </c>
      <c r="EC115" s="4">
        <v>834</v>
      </c>
      <c r="ED115" s="4">
        <v>1183</v>
      </c>
      <c r="EE115" s="4">
        <v>38328</v>
      </c>
      <c r="EF115" s="4">
        <v>4254</v>
      </c>
      <c r="EG115" s="4">
        <v>13082</v>
      </c>
      <c r="EH115" s="4">
        <v>30540</v>
      </c>
      <c r="EJ115" s="4">
        <f t="shared" si="1"/>
        <v>1648358</v>
      </c>
    </row>
    <row r="116" spans="1:140" x14ac:dyDescent="0.25">
      <c r="A116" s="4" t="s">
        <v>252</v>
      </c>
      <c r="B116" s="4">
        <v>6978</v>
      </c>
      <c r="C116" s="4">
        <v>7084</v>
      </c>
      <c r="D116" s="4">
        <v>208</v>
      </c>
      <c r="E116" s="4">
        <v>2191</v>
      </c>
      <c r="F116" s="4">
        <v>20</v>
      </c>
      <c r="G116" s="4">
        <v>40</v>
      </c>
      <c r="H116" s="4">
        <v>17216</v>
      </c>
      <c r="I116" s="4">
        <v>85</v>
      </c>
      <c r="J116" s="4">
        <v>2040</v>
      </c>
      <c r="K116" s="4">
        <v>96</v>
      </c>
      <c r="L116" s="4">
        <v>1406</v>
      </c>
      <c r="M116" s="4">
        <v>171</v>
      </c>
      <c r="N116" s="4">
        <v>12006</v>
      </c>
      <c r="O116" s="4">
        <v>2211</v>
      </c>
      <c r="P116" s="4">
        <v>3288</v>
      </c>
      <c r="Q116" s="4">
        <v>9369</v>
      </c>
      <c r="R116" s="4">
        <v>23</v>
      </c>
      <c r="S116" s="4">
        <v>2759</v>
      </c>
      <c r="T116" s="4">
        <v>2860</v>
      </c>
      <c r="U116" s="4">
        <v>2820</v>
      </c>
      <c r="V116" s="4">
        <v>9640</v>
      </c>
      <c r="W116" s="4">
        <v>3872</v>
      </c>
      <c r="X116" s="4">
        <v>868</v>
      </c>
      <c r="Y116" s="4">
        <v>903</v>
      </c>
      <c r="Z116" s="4">
        <v>1166</v>
      </c>
      <c r="AA116" s="4">
        <v>890</v>
      </c>
      <c r="AB116" s="4">
        <v>7086</v>
      </c>
      <c r="AC116" s="4">
        <v>960</v>
      </c>
      <c r="AD116" s="4">
        <v>423</v>
      </c>
      <c r="AE116" s="4">
        <v>2130</v>
      </c>
      <c r="AF116" s="4">
        <v>1602</v>
      </c>
      <c r="AG116">
        <v>33751</v>
      </c>
      <c r="AH116" s="4">
        <v>515</v>
      </c>
      <c r="AI116" s="4">
        <v>1386</v>
      </c>
      <c r="AJ116" s="4">
        <v>596</v>
      </c>
      <c r="AK116" s="4">
        <v>2511</v>
      </c>
      <c r="AL116" s="4">
        <v>3187</v>
      </c>
      <c r="AM116" s="4">
        <v>897</v>
      </c>
      <c r="AN116" s="4">
        <v>368</v>
      </c>
      <c r="AO116" s="4">
        <v>11000</v>
      </c>
      <c r="AP116" s="4">
        <v>887</v>
      </c>
      <c r="AQ116" s="4">
        <v>150</v>
      </c>
      <c r="AR116" s="4">
        <v>4131</v>
      </c>
      <c r="AS116" s="4">
        <v>8027</v>
      </c>
      <c r="AT116" s="4">
        <v>1662</v>
      </c>
      <c r="AU116" s="4">
        <v>3464</v>
      </c>
      <c r="AV116" s="4">
        <v>5689</v>
      </c>
      <c r="AW116" s="4">
        <v>2173</v>
      </c>
      <c r="AX116" s="4">
        <v>36970</v>
      </c>
      <c r="AY116" s="4">
        <v>305</v>
      </c>
      <c r="AZ116" s="4">
        <v>1024</v>
      </c>
      <c r="BA116" s="4">
        <v>7750</v>
      </c>
      <c r="BB116" s="4">
        <v>267</v>
      </c>
      <c r="BC116" s="4">
        <v>916</v>
      </c>
      <c r="BD116" s="4">
        <v>8049</v>
      </c>
      <c r="BE116" s="4">
        <v>3749</v>
      </c>
      <c r="BF116" s="4">
        <v>2274</v>
      </c>
      <c r="BG116" s="4">
        <v>6695</v>
      </c>
      <c r="BH116" s="4">
        <v>2241</v>
      </c>
      <c r="BI116" s="4">
        <v>36335</v>
      </c>
      <c r="BJ116" s="4">
        <v>5166</v>
      </c>
      <c r="BK116" s="4">
        <v>8116</v>
      </c>
      <c r="BL116" s="4">
        <v>4454</v>
      </c>
      <c r="BM116" s="4">
        <v>6729</v>
      </c>
      <c r="BN116" s="4">
        <v>1131</v>
      </c>
      <c r="BO116" s="4">
        <v>1457</v>
      </c>
      <c r="BP116" s="4">
        <v>31602</v>
      </c>
      <c r="BQ116" s="4">
        <v>2831</v>
      </c>
      <c r="BR116" s="4">
        <v>96029</v>
      </c>
      <c r="BS116" s="4">
        <v>9749</v>
      </c>
      <c r="BT116" s="4">
        <v>10983</v>
      </c>
      <c r="BU116" s="4">
        <v>24269</v>
      </c>
      <c r="BV116" s="4">
        <v>3377</v>
      </c>
      <c r="BW116" s="4">
        <v>16793</v>
      </c>
      <c r="BX116" s="4">
        <v>3097</v>
      </c>
      <c r="BY116" s="4">
        <v>7975</v>
      </c>
      <c r="BZ116" s="4">
        <v>26147</v>
      </c>
      <c r="CA116" s="4">
        <v>3248</v>
      </c>
      <c r="CB116" s="4">
        <v>1353</v>
      </c>
      <c r="CC116" s="4">
        <v>8422</v>
      </c>
      <c r="CD116" s="4">
        <v>4202</v>
      </c>
      <c r="CE116" s="4">
        <v>4627</v>
      </c>
      <c r="CF116" s="4">
        <v>10974</v>
      </c>
      <c r="CG116" s="4">
        <v>125365</v>
      </c>
      <c r="CH116" s="4">
        <v>17298</v>
      </c>
      <c r="CI116" s="4">
        <v>30789</v>
      </c>
      <c r="CJ116" s="4">
        <v>8300</v>
      </c>
      <c r="CK116" s="4">
        <v>17956</v>
      </c>
      <c r="CL116" s="4">
        <v>10935</v>
      </c>
      <c r="CM116" s="4">
        <v>17629</v>
      </c>
      <c r="CN116" s="4">
        <v>51260</v>
      </c>
      <c r="CO116" s="4">
        <v>6527</v>
      </c>
      <c r="CP116" s="4">
        <v>4218</v>
      </c>
      <c r="CQ116" s="4">
        <v>4571</v>
      </c>
      <c r="CR116" s="4">
        <v>6910</v>
      </c>
      <c r="CS116" s="4">
        <v>34327</v>
      </c>
      <c r="CT116" s="4">
        <v>20712</v>
      </c>
      <c r="CU116" s="4">
        <v>1991</v>
      </c>
      <c r="CV116" s="4">
        <v>281569</v>
      </c>
      <c r="CW116" s="4">
        <v>6874</v>
      </c>
      <c r="CX116" s="4">
        <v>2224</v>
      </c>
      <c r="CY116" s="4">
        <v>29243</v>
      </c>
      <c r="CZ116" s="4">
        <v>3453</v>
      </c>
      <c r="DA116" s="4">
        <v>6636</v>
      </c>
      <c r="DB116" s="4">
        <v>14541</v>
      </c>
      <c r="DC116" s="4">
        <v>5042</v>
      </c>
      <c r="DD116" s="4">
        <v>3301</v>
      </c>
      <c r="DE116" s="4">
        <v>2518</v>
      </c>
      <c r="DF116" s="4">
        <v>60168</v>
      </c>
      <c r="DG116" s="4">
        <v>15357</v>
      </c>
      <c r="DH116" s="4">
        <v>19041</v>
      </c>
      <c r="DI116" s="4">
        <v>3803</v>
      </c>
      <c r="DJ116" s="4">
        <v>29367</v>
      </c>
      <c r="DK116" s="4">
        <v>19541</v>
      </c>
      <c r="DL116" s="4">
        <v>11821</v>
      </c>
      <c r="DM116" s="4">
        <v>15900</v>
      </c>
      <c r="DN116" s="4">
        <v>19560</v>
      </c>
      <c r="DO116" s="4">
        <v>3580</v>
      </c>
      <c r="DP116" s="4">
        <v>11307</v>
      </c>
      <c r="DQ116" s="4">
        <v>67746</v>
      </c>
      <c r="DR116" s="4">
        <v>3303</v>
      </c>
      <c r="DS116" s="4">
        <v>7278</v>
      </c>
      <c r="DT116" s="4">
        <v>863</v>
      </c>
      <c r="DU116" s="4">
        <v>11925</v>
      </c>
      <c r="DV116" s="4">
        <v>6845</v>
      </c>
      <c r="DW116" s="4">
        <v>5812</v>
      </c>
      <c r="DX116" s="4">
        <v>13284</v>
      </c>
      <c r="DY116" s="4">
        <v>2145</v>
      </c>
      <c r="DZ116" s="4">
        <v>3078</v>
      </c>
      <c r="EA116" s="4">
        <v>13192</v>
      </c>
      <c r="EB116" s="4">
        <v>5475</v>
      </c>
      <c r="EC116" s="4">
        <v>1004</v>
      </c>
      <c r="ED116" s="4">
        <v>1148</v>
      </c>
      <c r="EE116" s="4">
        <v>40123</v>
      </c>
      <c r="EF116" s="4">
        <v>4957</v>
      </c>
      <c r="EG116" s="4">
        <v>14705</v>
      </c>
      <c r="EH116" s="4">
        <v>31217</v>
      </c>
      <c r="EJ116" s="4">
        <f t="shared" si="1"/>
        <v>1739845</v>
      </c>
    </row>
    <row r="117" spans="1:140" x14ac:dyDescent="0.25">
      <c r="A117" s="4" t="s">
        <v>253</v>
      </c>
      <c r="B117" s="4">
        <v>6094</v>
      </c>
      <c r="C117" s="4">
        <v>6627</v>
      </c>
      <c r="D117" s="4">
        <v>262</v>
      </c>
      <c r="E117" s="4">
        <v>2215</v>
      </c>
      <c r="F117" s="4">
        <v>13</v>
      </c>
      <c r="G117" s="4">
        <v>54</v>
      </c>
      <c r="H117" s="4">
        <v>18255</v>
      </c>
      <c r="I117" s="4">
        <v>106</v>
      </c>
      <c r="J117" s="4">
        <v>1617</v>
      </c>
      <c r="K117" s="4">
        <v>57</v>
      </c>
      <c r="L117" s="4">
        <v>1456</v>
      </c>
      <c r="M117" s="4">
        <v>186</v>
      </c>
      <c r="N117" s="4">
        <v>14053</v>
      </c>
      <c r="O117" s="4">
        <v>2296</v>
      </c>
      <c r="P117" s="4">
        <v>2997</v>
      </c>
      <c r="Q117" s="4">
        <v>10529</v>
      </c>
      <c r="R117" s="4">
        <v>33</v>
      </c>
      <c r="S117" s="4">
        <v>2982</v>
      </c>
      <c r="T117" s="4">
        <v>3333</v>
      </c>
      <c r="U117" s="4">
        <v>3010</v>
      </c>
      <c r="V117" s="4">
        <v>9417</v>
      </c>
      <c r="W117" s="4">
        <v>4567</v>
      </c>
      <c r="X117" s="4">
        <v>891</v>
      </c>
      <c r="Y117" s="4">
        <v>976</v>
      </c>
      <c r="Z117" s="4">
        <v>1362</v>
      </c>
      <c r="AA117" s="4">
        <v>778</v>
      </c>
      <c r="AB117" s="4">
        <v>7112</v>
      </c>
      <c r="AC117" s="4">
        <v>1048</v>
      </c>
      <c r="AD117" s="4">
        <v>612</v>
      </c>
      <c r="AE117" s="4">
        <v>1711</v>
      </c>
      <c r="AF117" s="4">
        <v>1638</v>
      </c>
      <c r="AG117">
        <v>31988</v>
      </c>
      <c r="AH117" s="4">
        <v>571</v>
      </c>
      <c r="AI117" s="4">
        <v>1457</v>
      </c>
      <c r="AJ117" s="4">
        <v>580</v>
      </c>
      <c r="AK117" s="4">
        <v>2339</v>
      </c>
      <c r="AL117" s="4">
        <v>2934</v>
      </c>
      <c r="AM117" s="4">
        <v>899</v>
      </c>
      <c r="AN117" s="4">
        <v>448</v>
      </c>
      <c r="AO117" s="4">
        <v>11187</v>
      </c>
      <c r="AP117" s="4">
        <v>948</v>
      </c>
      <c r="AQ117" s="4">
        <v>170</v>
      </c>
      <c r="AR117" s="4">
        <v>3325</v>
      </c>
      <c r="AS117" s="4">
        <v>8052</v>
      </c>
      <c r="AT117" s="4">
        <v>1870</v>
      </c>
      <c r="AU117" s="4">
        <v>3336</v>
      </c>
      <c r="AV117" s="4">
        <v>4792</v>
      </c>
      <c r="AW117" s="4">
        <v>2777</v>
      </c>
      <c r="AX117" s="4">
        <v>34064</v>
      </c>
      <c r="AY117" s="4">
        <v>259</v>
      </c>
      <c r="AZ117" s="4">
        <v>1013</v>
      </c>
      <c r="BA117" s="4">
        <v>7569</v>
      </c>
      <c r="BB117" s="4">
        <v>205</v>
      </c>
      <c r="BC117" s="4">
        <v>859</v>
      </c>
      <c r="BD117" s="4">
        <v>8613</v>
      </c>
      <c r="BE117" s="4">
        <v>4142</v>
      </c>
      <c r="BF117" s="4">
        <v>2323</v>
      </c>
      <c r="BG117" s="4">
        <v>6749</v>
      </c>
      <c r="BH117" s="4">
        <v>2165</v>
      </c>
      <c r="BI117" s="4">
        <v>38071</v>
      </c>
      <c r="BJ117" s="4">
        <v>5168</v>
      </c>
      <c r="BK117" s="4">
        <v>7438</v>
      </c>
      <c r="BL117" s="4">
        <v>4231</v>
      </c>
      <c r="BM117" s="4">
        <v>6305</v>
      </c>
      <c r="BN117" s="4">
        <v>1572</v>
      </c>
      <c r="BO117" s="4">
        <v>1526</v>
      </c>
      <c r="BP117" s="4">
        <v>31633</v>
      </c>
      <c r="BQ117" s="4">
        <v>2998</v>
      </c>
      <c r="BR117" s="4">
        <v>89802</v>
      </c>
      <c r="BS117" s="4">
        <v>10102</v>
      </c>
      <c r="BT117" s="4">
        <v>11011</v>
      </c>
      <c r="BU117" s="4">
        <v>27869</v>
      </c>
      <c r="BV117" s="4">
        <v>3539</v>
      </c>
      <c r="BW117" s="4">
        <v>16198</v>
      </c>
      <c r="BX117" s="4">
        <v>2764</v>
      </c>
      <c r="BY117" s="4">
        <v>7231</v>
      </c>
      <c r="BZ117" s="4">
        <v>25346</v>
      </c>
      <c r="CA117" s="4">
        <v>2973</v>
      </c>
      <c r="CB117" s="4">
        <v>1361</v>
      </c>
      <c r="CC117" s="4">
        <v>8335</v>
      </c>
      <c r="CD117" s="4">
        <v>3996</v>
      </c>
      <c r="CE117" s="4">
        <v>4366</v>
      </c>
      <c r="CF117" s="4">
        <v>9263</v>
      </c>
      <c r="CG117" s="4">
        <v>123038</v>
      </c>
      <c r="CH117" s="4">
        <v>16644</v>
      </c>
      <c r="CI117" s="4">
        <v>31226</v>
      </c>
      <c r="CJ117" s="4">
        <v>8379</v>
      </c>
      <c r="CK117" s="4">
        <v>17864</v>
      </c>
      <c r="CL117" s="4">
        <v>10917</v>
      </c>
      <c r="CM117" s="4">
        <v>18123</v>
      </c>
      <c r="CN117" s="4">
        <v>51033</v>
      </c>
      <c r="CO117" s="4">
        <v>6599</v>
      </c>
      <c r="CP117" s="4">
        <v>4252</v>
      </c>
      <c r="CQ117" s="4">
        <v>4898</v>
      </c>
      <c r="CR117" s="4">
        <v>6688</v>
      </c>
      <c r="CS117" s="4">
        <v>34163</v>
      </c>
      <c r="CT117" s="4">
        <v>21295</v>
      </c>
      <c r="CU117" s="4">
        <v>2040</v>
      </c>
      <c r="CV117" s="4">
        <v>283806</v>
      </c>
      <c r="CW117" s="4">
        <v>6655</v>
      </c>
      <c r="CX117" s="4">
        <v>2227</v>
      </c>
      <c r="CY117" s="4">
        <v>27495</v>
      </c>
      <c r="CZ117" s="4">
        <v>3188</v>
      </c>
      <c r="DA117" s="4">
        <v>6554</v>
      </c>
      <c r="DB117" s="4">
        <v>14121</v>
      </c>
      <c r="DC117" s="4">
        <v>4966</v>
      </c>
      <c r="DD117" s="4">
        <v>3114</v>
      </c>
      <c r="DE117" s="4">
        <v>2367</v>
      </c>
      <c r="DF117" s="4">
        <v>57601</v>
      </c>
      <c r="DG117" s="4">
        <v>14991</v>
      </c>
      <c r="DH117" s="4">
        <v>18094</v>
      </c>
      <c r="DI117" s="4">
        <v>4117</v>
      </c>
      <c r="DJ117" s="4">
        <v>28944</v>
      </c>
      <c r="DK117" s="4">
        <v>18521</v>
      </c>
      <c r="DL117" s="4">
        <v>11205</v>
      </c>
      <c r="DM117" s="4">
        <v>15285</v>
      </c>
      <c r="DN117" s="4">
        <v>17047</v>
      </c>
      <c r="DO117" s="4">
        <v>3373</v>
      </c>
      <c r="DP117" s="4">
        <v>12558</v>
      </c>
      <c r="DQ117" s="4">
        <v>65753</v>
      </c>
      <c r="DR117" s="4">
        <v>3014</v>
      </c>
      <c r="DS117" s="4">
        <v>7474</v>
      </c>
      <c r="DT117" s="4">
        <v>832</v>
      </c>
      <c r="DU117" s="4">
        <v>10973</v>
      </c>
      <c r="DV117" s="4">
        <v>6326</v>
      </c>
      <c r="DW117" s="4">
        <v>5715</v>
      </c>
      <c r="DX117" s="4">
        <v>13583</v>
      </c>
      <c r="DY117" s="4">
        <v>2168</v>
      </c>
      <c r="DZ117" s="4">
        <v>3131</v>
      </c>
      <c r="EA117" s="4">
        <v>12649</v>
      </c>
      <c r="EB117" s="4">
        <v>5946</v>
      </c>
      <c r="EC117" s="4">
        <v>1006</v>
      </c>
      <c r="ED117" s="4">
        <v>1102</v>
      </c>
      <c r="EE117" s="4">
        <v>39381</v>
      </c>
      <c r="EF117" s="4">
        <v>5294</v>
      </c>
      <c r="EG117" s="4">
        <v>15282</v>
      </c>
      <c r="EH117" s="4">
        <v>30231</v>
      </c>
      <c r="EJ117" s="4">
        <f t="shared" si="1"/>
        <v>1718267</v>
      </c>
    </row>
    <row r="118" spans="1:140" x14ac:dyDescent="0.25">
      <c r="A118" s="4" t="s">
        <v>254</v>
      </c>
      <c r="B118" s="4">
        <v>5961</v>
      </c>
      <c r="C118" s="4">
        <v>6019</v>
      </c>
      <c r="D118" s="4">
        <v>197</v>
      </c>
      <c r="E118" s="4">
        <v>1802</v>
      </c>
      <c r="F118" s="4">
        <v>30</v>
      </c>
      <c r="G118" s="4">
        <v>34</v>
      </c>
      <c r="H118" s="4">
        <v>17239</v>
      </c>
      <c r="I118" s="4">
        <v>83</v>
      </c>
      <c r="J118" s="4">
        <v>1347</v>
      </c>
      <c r="K118" s="4">
        <v>59</v>
      </c>
      <c r="L118" s="4">
        <v>1273</v>
      </c>
      <c r="M118" s="4">
        <v>93</v>
      </c>
      <c r="N118" s="4">
        <v>12922</v>
      </c>
      <c r="O118" s="4">
        <v>2142</v>
      </c>
      <c r="P118" s="4">
        <v>2194</v>
      </c>
      <c r="Q118" s="4">
        <v>8366</v>
      </c>
      <c r="R118" s="4">
        <v>34</v>
      </c>
      <c r="S118" s="4">
        <v>2237</v>
      </c>
      <c r="T118" s="4">
        <v>2498</v>
      </c>
      <c r="U118" s="4">
        <v>2843</v>
      </c>
      <c r="V118" s="4">
        <v>8441</v>
      </c>
      <c r="W118" s="4">
        <v>4199</v>
      </c>
      <c r="X118" s="4">
        <v>770</v>
      </c>
      <c r="Y118" s="4">
        <v>1022</v>
      </c>
      <c r="Z118" s="4">
        <v>1073</v>
      </c>
      <c r="AA118" s="4">
        <v>763</v>
      </c>
      <c r="AB118" s="4">
        <v>7457</v>
      </c>
      <c r="AC118" s="4">
        <v>1185</v>
      </c>
      <c r="AD118" s="4">
        <v>445</v>
      </c>
      <c r="AE118" s="4">
        <v>1701</v>
      </c>
      <c r="AF118" s="4">
        <v>1855</v>
      </c>
      <c r="AG118">
        <v>29659</v>
      </c>
      <c r="AH118" s="4">
        <v>504</v>
      </c>
      <c r="AI118" s="4">
        <v>1919</v>
      </c>
      <c r="AJ118" s="4">
        <v>409</v>
      </c>
      <c r="AK118" s="4">
        <v>1993</v>
      </c>
      <c r="AL118" s="4">
        <v>2917</v>
      </c>
      <c r="AM118" s="4">
        <v>788</v>
      </c>
      <c r="AN118" s="4">
        <v>339</v>
      </c>
      <c r="AO118" s="4">
        <v>9106</v>
      </c>
      <c r="AP118" s="4">
        <v>834</v>
      </c>
      <c r="AQ118" s="4">
        <v>216</v>
      </c>
      <c r="AR118" s="4">
        <v>3050</v>
      </c>
      <c r="AS118" s="4">
        <v>7317</v>
      </c>
      <c r="AT118" s="4">
        <v>2142</v>
      </c>
      <c r="AU118" s="4">
        <v>3172</v>
      </c>
      <c r="AV118" s="4">
        <v>4505</v>
      </c>
      <c r="AW118" s="4">
        <v>2334</v>
      </c>
      <c r="AX118" s="4">
        <v>31129</v>
      </c>
      <c r="AY118" s="4">
        <v>158</v>
      </c>
      <c r="AZ118" s="4">
        <v>784</v>
      </c>
      <c r="BA118" s="4">
        <v>7494</v>
      </c>
      <c r="BB118" s="4">
        <v>195</v>
      </c>
      <c r="BC118" s="4">
        <v>774</v>
      </c>
      <c r="BD118" s="4">
        <v>7674</v>
      </c>
      <c r="BE118" s="4">
        <v>5056</v>
      </c>
      <c r="BF118" s="4">
        <v>2404</v>
      </c>
      <c r="BG118" s="4">
        <v>5508</v>
      </c>
      <c r="BH118" s="4">
        <v>2274</v>
      </c>
      <c r="BI118" s="4">
        <v>35702</v>
      </c>
      <c r="BJ118" s="4">
        <v>4866</v>
      </c>
      <c r="BK118" s="4">
        <v>6213</v>
      </c>
      <c r="BL118" s="4">
        <v>3761</v>
      </c>
      <c r="BM118" s="4">
        <v>6158</v>
      </c>
      <c r="BN118" s="4">
        <v>1594</v>
      </c>
      <c r="BO118" s="4">
        <v>1394</v>
      </c>
      <c r="BP118" s="4">
        <v>31701</v>
      </c>
      <c r="BQ118" s="4">
        <v>2821</v>
      </c>
      <c r="BR118" s="4">
        <v>84223</v>
      </c>
      <c r="BS118" s="4">
        <v>9088</v>
      </c>
      <c r="BT118" s="4">
        <v>10959</v>
      </c>
      <c r="BU118" s="4">
        <v>27097</v>
      </c>
      <c r="BV118" s="4">
        <v>3491</v>
      </c>
      <c r="BW118" s="4">
        <v>14811</v>
      </c>
      <c r="BX118" s="4">
        <v>2559</v>
      </c>
      <c r="BY118" s="4">
        <v>5298</v>
      </c>
      <c r="BZ118" s="4">
        <v>22133</v>
      </c>
      <c r="CA118" s="4">
        <v>2723</v>
      </c>
      <c r="CB118" s="4">
        <v>1248</v>
      </c>
      <c r="CC118" s="4">
        <v>7787</v>
      </c>
      <c r="CD118" s="4">
        <v>3731</v>
      </c>
      <c r="CE118" s="4">
        <v>4360</v>
      </c>
      <c r="CF118" s="4">
        <v>8083</v>
      </c>
      <c r="CG118" s="4">
        <v>115312</v>
      </c>
      <c r="CH118" s="4">
        <v>15533</v>
      </c>
      <c r="CI118" s="4">
        <v>28346</v>
      </c>
      <c r="CJ118" s="4">
        <v>8262</v>
      </c>
      <c r="CK118" s="4">
        <v>17301</v>
      </c>
      <c r="CL118" s="4">
        <v>11071</v>
      </c>
      <c r="CM118" s="4">
        <v>16762</v>
      </c>
      <c r="CN118" s="4">
        <v>48643</v>
      </c>
      <c r="CO118" s="4">
        <v>6161</v>
      </c>
      <c r="CP118" s="4">
        <v>4363</v>
      </c>
      <c r="CQ118" s="4">
        <v>4118</v>
      </c>
      <c r="CR118" s="4">
        <v>6635</v>
      </c>
      <c r="CS118" s="4">
        <v>32373</v>
      </c>
      <c r="CT118" s="4">
        <v>20376</v>
      </c>
      <c r="CU118" s="4">
        <v>1791</v>
      </c>
      <c r="CV118" s="4">
        <v>264878</v>
      </c>
      <c r="CW118" s="4">
        <v>5976</v>
      </c>
      <c r="CX118" s="4">
        <v>2071</v>
      </c>
      <c r="CY118" s="4">
        <v>26325</v>
      </c>
      <c r="CZ118" s="4">
        <v>2908</v>
      </c>
      <c r="DA118" s="4">
        <v>5603</v>
      </c>
      <c r="DB118" s="4">
        <v>13448</v>
      </c>
      <c r="DC118" s="4">
        <v>4465</v>
      </c>
      <c r="DD118" s="4">
        <v>2908</v>
      </c>
      <c r="DE118" s="4">
        <v>2144</v>
      </c>
      <c r="DF118" s="4">
        <v>52518</v>
      </c>
      <c r="DG118" s="4">
        <v>14243</v>
      </c>
      <c r="DH118" s="4">
        <v>17658</v>
      </c>
      <c r="DI118" s="4">
        <v>3659</v>
      </c>
      <c r="DJ118" s="4">
        <v>25167</v>
      </c>
      <c r="DK118" s="4">
        <v>17979</v>
      </c>
      <c r="DL118" s="4">
        <v>10503</v>
      </c>
      <c r="DM118" s="4">
        <v>13526</v>
      </c>
      <c r="DN118" s="4">
        <v>15818</v>
      </c>
      <c r="DO118" s="4">
        <v>3048</v>
      </c>
      <c r="DP118" s="4">
        <v>8976</v>
      </c>
      <c r="DQ118" s="4">
        <v>59906</v>
      </c>
      <c r="DR118" s="4">
        <v>2666</v>
      </c>
      <c r="DS118" s="4">
        <v>7054</v>
      </c>
      <c r="DT118" s="4">
        <v>720</v>
      </c>
      <c r="DU118" s="4">
        <v>10767</v>
      </c>
      <c r="DV118" s="4">
        <v>6003</v>
      </c>
      <c r="DW118" s="4">
        <v>5306</v>
      </c>
      <c r="DX118" s="4">
        <v>13123</v>
      </c>
      <c r="DY118" s="4">
        <v>2067</v>
      </c>
      <c r="DZ118" s="4">
        <v>2790</v>
      </c>
      <c r="EA118" s="4">
        <v>11582</v>
      </c>
      <c r="EB118" s="4">
        <v>5928</v>
      </c>
      <c r="EC118" s="4">
        <v>846</v>
      </c>
      <c r="ED118" s="4">
        <v>908</v>
      </c>
      <c r="EE118" s="4">
        <v>36024</v>
      </c>
      <c r="EF118" s="4">
        <v>4414</v>
      </c>
      <c r="EG118" s="4">
        <v>13373</v>
      </c>
      <c r="EH118" s="4">
        <v>27306</v>
      </c>
      <c r="EJ118" s="4">
        <f t="shared" si="1"/>
        <v>1594390</v>
      </c>
    </row>
    <row r="119" spans="1:140" x14ac:dyDescent="0.25">
      <c r="A119" s="4" t="s">
        <v>255</v>
      </c>
      <c r="B119" s="4">
        <v>6516</v>
      </c>
      <c r="C119" s="4">
        <v>6426</v>
      </c>
      <c r="D119" s="4">
        <v>197</v>
      </c>
      <c r="E119" s="4">
        <v>2170</v>
      </c>
      <c r="F119" s="4">
        <v>13</v>
      </c>
      <c r="G119" s="4">
        <v>41</v>
      </c>
      <c r="H119" s="4">
        <v>17009</v>
      </c>
      <c r="I119" s="4">
        <v>101</v>
      </c>
      <c r="J119" s="4">
        <v>1495</v>
      </c>
      <c r="K119" s="4">
        <v>58</v>
      </c>
      <c r="L119" s="4">
        <v>1335</v>
      </c>
      <c r="M119" s="4">
        <v>109</v>
      </c>
      <c r="N119" s="4">
        <v>14371</v>
      </c>
      <c r="O119" s="4">
        <v>2759</v>
      </c>
      <c r="P119" s="4">
        <v>3571</v>
      </c>
      <c r="Q119" s="4">
        <v>9671</v>
      </c>
      <c r="R119" s="4">
        <v>62</v>
      </c>
      <c r="S119" s="4">
        <v>2913</v>
      </c>
      <c r="T119" s="4">
        <v>2749</v>
      </c>
      <c r="U119" s="4">
        <v>2772</v>
      </c>
      <c r="V119" s="4">
        <v>7545</v>
      </c>
      <c r="W119" s="4">
        <v>4519</v>
      </c>
      <c r="X119" s="4">
        <v>814</v>
      </c>
      <c r="Y119" s="4">
        <v>1172</v>
      </c>
      <c r="Z119" s="4">
        <v>1108</v>
      </c>
      <c r="AA119" s="4">
        <v>842</v>
      </c>
      <c r="AB119" s="4">
        <v>5376</v>
      </c>
      <c r="AC119" s="4">
        <v>877</v>
      </c>
      <c r="AD119" s="4">
        <v>445</v>
      </c>
      <c r="AE119" s="4">
        <v>1861</v>
      </c>
      <c r="AF119" s="4">
        <v>1723</v>
      </c>
      <c r="AG119">
        <v>32825</v>
      </c>
      <c r="AH119" s="4">
        <v>470</v>
      </c>
      <c r="AI119" s="4">
        <v>1596</v>
      </c>
      <c r="AJ119" s="4">
        <v>620</v>
      </c>
      <c r="AK119" s="4">
        <v>2214</v>
      </c>
      <c r="AL119" s="4">
        <v>3002</v>
      </c>
      <c r="AM119" s="4">
        <v>796</v>
      </c>
      <c r="AN119" s="4">
        <v>354</v>
      </c>
      <c r="AO119" s="4">
        <v>11857</v>
      </c>
      <c r="AP119" s="4">
        <v>773</v>
      </c>
      <c r="AQ119" s="4">
        <v>110</v>
      </c>
      <c r="AR119" s="4">
        <v>3082</v>
      </c>
      <c r="AS119" s="4">
        <v>8272</v>
      </c>
      <c r="AT119" s="4">
        <v>2418</v>
      </c>
      <c r="AU119" s="4">
        <v>6946</v>
      </c>
      <c r="AV119" s="4">
        <v>5571</v>
      </c>
      <c r="AW119" s="4">
        <v>2892</v>
      </c>
      <c r="AX119" s="4">
        <v>34533</v>
      </c>
      <c r="AY119" s="4">
        <v>257</v>
      </c>
      <c r="AZ119" s="4">
        <v>1169</v>
      </c>
      <c r="BA119" s="4">
        <v>7320</v>
      </c>
      <c r="BB119" s="4">
        <v>234</v>
      </c>
      <c r="BC119" s="4">
        <v>1041</v>
      </c>
      <c r="BD119" s="4">
        <v>8559</v>
      </c>
      <c r="BE119" s="4">
        <v>4144</v>
      </c>
      <c r="BF119" s="4">
        <v>4368</v>
      </c>
      <c r="BG119" s="4">
        <v>6433</v>
      </c>
      <c r="BH119" s="4">
        <v>2061</v>
      </c>
      <c r="BI119" s="4">
        <v>42457</v>
      </c>
      <c r="BJ119" s="4">
        <v>5448</v>
      </c>
      <c r="BK119" s="4">
        <v>7662</v>
      </c>
      <c r="BL119" s="4">
        <v>3901</v>
      </c>
      <c r="BM119" s="4">
        <v>6200</v>
      </c>
      <c r="BN119" s="4">
        <v>1537</v>
      </c>
      <c r="BO119" s="4">
        <v>1320</v>
      </c>
      <c r="BP119" s="4">
        <v>31910</v>
      </c>
      <c r="BQ119" s="4">
        <v>3028</v>
      </c>
      <c r="BR119" s="4">
        <v>90300</v>
      </c>
      <c r="BS119" s="4">
        <v>10498</v>
      </c>
      <c r="BT119" s="4">
        <v>10295</v>
      </c>
      <c r="BU119" s="4">
        <v>29421</v>
      </c>
      <c r="BV119" s="4">
        <v>4211</v>
      </c>
      <c r="BW119" s="4">
        <v>17325</v>
      </c>
      <c r="BX119" s="4">
        <v>2745</v>
      </c>
      <c r="BY119" s="4">
        <v>6498</v>
      </c>
      <c r="BZ119" s="4">
        <v>24245</v>
      </c>
      <c r="CA119" s="4">
        <v>2839</v>
      </c>
      <c r="CB119" s="4">
        <v>1581</v>
      </c>
      <c r="CC119" s="4">
        <v>8444</v>
      </c>
      <c r="CD119" s="4">
        <v>4219</v>
      </c>
      <c r="CE119" s="4">
        <v>4682</v>
      </c>
      <c r="CF119" s="4">
        <v>9709</v>
      </c>
      <c r="CG119" s="4">
        <v>127227</v>
      </c>
      <c r="CH119" s="4">
        <v>16271</v>
      </c>
      <c r="CI119" s="4">
        <v>29267</v>
      </c>
      <c r="CJ119" s="4">
        <v>7618</v>
      </c>
      <c r="CK119" s="4">
        <v>18544</v>
      </c>
      <c r="CL119" s="4">
        <v>12171</v>
      </c>
      <c r="CM119" s="4">
        <v>18072</v>
      </c>
      <c r="CN119" s="4">
        <v>54020</v>
      </c>
      <c r="CO119" s="4">
        <v>7213</v>
      </c>
      <c r="CP119" s="4">
        <v>4244</v>
      </c>
      <c r="CQ119" s="4">
        <v>4678</v>
      </c>
      <c r="CR119" s="4">
        <v>7055</v>
      </c>
      <c r="CS119" s="4">
        <v>35094</v>
      </c>
      <c r="CT119" s="4">
        <v>22327</v>
      </c>
      <c r="CU119" s="4">
        <v>2045</v>
      </c>
      <c r="CV119" s="4">
        <v>290085</v>
      </c>
      <c r="CW119" s="4">
        <v>6541</v>
      </c>
      <c r="CX119" s="4">
        <v>2177</v>
      </c>
      <c r="CY119" s="4">
        <v>28197</v>
      </c>
      <c r="CZ119" s="4">
        <v>3097</v>
      </c>
      <c r="DA119" s="4">
        <v>6652</v>
      </c>
      <c r="DB119" s="4">
        <v>13813</v>
      </c>
      <c r="DC119" s="4">
        <v>4772</v>
      </c>
      <c r="DD119" s="4">
        <v>3095</v>
      </c>
      <c r="DE119" s="4">
        <v>2250</v>
      </c>
      <c r="DF119" s="4">
        <v>56893</v>
      </c>
      <c r="DG119" s="4">
        <v>15076</v>
      </c>
      <c r="DH119" s="4">
        <v>18242</v>
      </c>
      <c r="DI119" s="4">
        <v>3917</v>
      </c>
      <c r="DJ119" s="4">
        <v>30045</v>
      </c>
      <c r="DK119" s="4">
        <v>19754</v>
      </c>
      <c r="DL119" s="4">
        <v>11523</v>
      </c>
      <c r="DM119" s="4">
        <v>15559</v>
      </c>
      <c r="DN119" s="4">
        <v>17377</v>
      </c>
      <c r="DO119" s="4">
        <v>3440</v>
      </c>
      <c r="DP119" s="4">
        <v>8818</v>
      </c>
      <c r="DQ119" s="4">
        <v>66022</v>
      </c>
      <c r="DR119" s="4">
        <v>3072</v>
      </c>
      <c r="DS119" s="4">
        <v>8307</v>
      </c>
      <c r="DT119" s="4">
        <v>1016</v>
      </c>
      <c r="DU119" s="4">
        <v>10944</v>
      </c>
      <c r="DV119" s="4">
        <v>6039</v>
      </c>
      <c r="DW119" s="4">
        <v>4974</v>
      </c>
      <c r="DX119" s="4">
        <v>14209</v>
      </c>
      <c r="DY119" s="4">
        <v>2222</v>
      </c>
      <c r="DZ119" s="4">
        <v>2805</v>
      </c>
      <c r="EA119" s="4">
        <v>13162</v>
      </c>
      <c r="EB119" s="4">
        <v>6891</v>
      </c>
      <c r="EC119" s="4">
        <v>934</v>
      </c>
      <c r="ED119" s="4">
        <v>1547</v>
      </c>
      <c r="EE119" s="4">
        <v>40358</v>
      </c>
      <c r="EF119" s="4">
        <v>5886</v>
      </c>
      <c r="EG119" s="4">
        <v>15134</v>
      </c>
      <c r="EH119" s="4">
        <v>30510</v>
      </c>
      <c r="EJ119" s="4">
        <f t="shared" si="1"/>
        <v>1746213</v>
      </c>
    </row>
    <row r="120" spans="1:140" x14ac:dyDescent="0.25">
      <c r="A120" s="4" t="s">
        <v>256</v>
      </c>
      <c r="B120" s="4">
        <v>6730</v>
      </c>
      <c r="C120" s="4">
        <v>6452</v>
      </c>
      <c r="D120" s="4">
        <v>251</v>
      </c>
      <c r="E120" s="4">
        <v>1904</v>
      </c>
      <c r="F120" s="4">
        <v>25</v>
      </c>
      <c r="G120" s="4">
        <v>79</v>
      </c>
      <c r="H120" s="4">
        <v>15481</v>
      </c>
      <c r="I120" s="4">
        <v>120</v>
      </c>
      <c r="J120" s="4">
        <v>1745</v>
      </c>
      <c r="K120" s="4">
        <v>63</v>
      </c>
      <c r="L120" s="4">
        <v>1365</v>
      </c>
      <c r="M120" s="4">
        <v>127</v>
      </c>
      <c r="N120" s="4">
        <v>12698</v>
      </c>
      <c r="O120" s="4">
        <v>2136</v>
      </c>
      <c r="P120" s="4">
        <v>4051</v>
      </c>
      <c r="Q120" s="4">
        <v>9057</v>
      </c>
      <c r="R120" s="4">
        <v>33</v>
      </c>
      <c r="S120" s="4">
        <v>2714</v>
      </c>
      <c r="T120" s="4">
        <v>2657</v>
      </c>
      <c r="U120" s="4">
        <v>3010</v>
      </c>
      <c r="V120" s="4">
        <v>7927</v>
      </c>
      <c r="W120" s="4">
        <v>3051</v>
      </c>
      <c r="X120" s="4">
        <v>711</v>
      </c>
      <c r="Y120" s="4">
        <v>2253</v>
      </c>
      <c r="Z120" s="4">
        <v>1760</v>
      </c>
      <c r="AA120" s="4">
        <v>802</v>
      </c>
      <c r="AB120" s="4">
        <v>7370</v>
      </c>
      <c r="AC120" s="4">
        <v>940</v>
      </c>
      <c r="AD120" s="4">
        <v>503</v>
      </c>
      <c r="AE120" s="4">
        <v>1716</v>
      </c>
      <c r="AF120" s="4">
        <v>1351</v>
      </c>
      <c r="AG120">
        <v>30758</v>
      </c>
      <c r="AH120" s="4">
        <v>475</v>
      </c>
      <c r="AI120" s="4">
        <v>1346</v>
      </c>
      <c r="AJ120" s="4">
        <v>504</v>
      </c>
      <c r="AK120" s="4">
        <v>2137</v>
      </c>
      <c r="AL120" s="4">
        <v>3235</v>
      </c>
      <c r="AM120" s="4">
        <v>744</v>
      </c>
      <c r="AN120" s="4">
        <v>494</v>
      </c>
      <c r="AO120" s="4">
        <v>10942</v>
      </c>
      <c r="AP120" s="4">
        <v>757</v>
      </c>
      <c r="AQ120" s="4">
        <v>144</v>
      </c>
      <c r="AR120" s="4">
        <v>3057</v>
      </c>
      <c r="AS120" s="4">
        <v>7077</v>
      </c>
      <c r="AT120" s="4">
        <v>1339</v>
      </c>
      <c r="AU120" s="4">
        <v>6603</v>
      </c>
      <c r="AV120" s="4">
        <v>4119</v>
      </c>
      <c r="AW120" s="4">
        <v>2689</v>
      </c>
      <c r="AX120" s="4">
        <v>29477</v>
      </c>
      <c r="AY120" s="4">
        <v>189</v>
      </c>
      <c r="AZ120" s="4">
        <v>1052</v>
      </c>
      <c r="BA120" s="4">
        <v>8117</v>
      </c>
      <c r="BB120" s="4">
        <v>195</v>
      </c>
      <c r="BC120" s="4">
        <v>950</v>
      </c>
      <c r="BD120" s="4">
        <v>7501</v>
      </c>
      <c r="BE120" s="4">
        <v>3726</v>
      </c>
      <c r="BF120" s="4">
        <v>3592</v>
      </c>
      <c r="BG120" s="4">
        <v>5309</v>
      </c>
      <c r="BH120" s="4">
        <v>1935</v>
      </c>
      <c r="BI120" s="4">
        <v>30624</v>
      </c>
      <c r="BJ120" s="4">
        <v>5110</v>
      </c>
      <c r="BK120" s="4">
        <v>6676</v>
      </c>
      <c r="BL120" s="4">
        <v>3417</v>
      </c>
      <c r="BM120" s="4">
        <v>5932</v>
      </c>
      <c r="BN120" s="4">
        <v>1186</v>
      </c>
      <c r="BO120" s="4">
        <v>1322</v>
      </c>
      <c r="BP120" s="4">
        <v>28429</v>
      </c>
      <c r="BQ120" s="4">
        <v>3153</v>
      </c>
      <c r="BR120" s="4">
        <v>85990</v>
      </c>
      <c r="BS120" s="4">
        <v>8654</v>
      </c>
      <c r="BT120" s="4">
        <v>10014</v>
      </c>
      <c r="BU120" s="4">
        <v>23083</v>
      </c>
      <c r="BV120" s="4">
        <v>3421</v>
      </c>
      <c r="BW120" s="4">
        <v>14360</v>
      </c>
      <c r="BX120" s="4">
        <v>2429</v>
      </c>
      <c r="BY120" s="4">
        <v>5795</v>
      </c>
      <c r="BZ120" s="4">
        <v>22543</v>
      </c>
      <c r="CA120" s="4">
        <v>3016</v>
      </c>
      <c r="CB120" s="4">
        <v>1319</v>
      </c>
      <c r="CC120" s="4">
        <v>8832</v>
      </c>
      <c r="CD120" s="4">
        <v>3623</v>
      </c>
      <c r="CE120" s="4">
        <v>4222</v>
      </c>
      <c r="CF120" s="4">
        <v>8226</v>
      </c>
      <c r="CG120" s="4">
        <v>105371</v>
      </c>
      <c r="CH120" s="4">
        <v>18348</v>
      </c>
      <c r="CI120" s="4">
        <v>33581</v>
      </c>
      <c r="CJ120" s="4">
        <v>8813</v>
      </c>
      <c r="CK120" s="4">
        <v>17643</v>
      </c>
      <c r="CL120" s="4">
        <v>10966</v>
      </c>
      <c r="CM120" s="4">
        <v>17207</v>
      </c>
      <c r="CN120" s="4">
        <v>47703</v>
      </c>
      <c r="CO120" s="4">
        <v>6849</v>
      </c>
      <c r="CP120" s="4">
        <v>3681</v>
      </c>
      <c r="CQ120" s="4">
        <v>4115</v>
      </c>
      <c r="CR120" s="4">
        <v>6238</v>
      </c>
      <c r="CS120" s="4">
        <v>31692</v>
      </c>
      <c r="CT120" s="4">
        <v>19585</v>
      </c>
      <c r="CU120" s="4">
        <v>1814</v>
      </c>
      <c r="CV120" s="4">
        <v>250159</v>
      </c>
      <c r="CW120" s="4">
        <v>6422</v>
      </c>
      <c r="CX120" s="4">
        <v>2103</v>
      </c>
      <c r="CY120" s="4">
        <v>23811</v>
      </c>
      <c r="CZ120" s="4">
        <v>3087</v>
      </c>
      <c r="DA120" s="4">
        <v>5538</v>
      </c>
      <c r="DB120" s="4">
        <v>12851</v>
      </c>
      <c r="DC120" s="4">
        <v>4369</v>
      </c>
      <c r="DD120" s="4">
        <v>2746</v>
      </c>
      <c r="DE120" s="4">
        <v>1928</v>
      </c>
      <c r="DF120" s="4">
        <v>50702</v>
      </c>
      <c r="DG120" s="4">
        <v>13772</v>
      </c>
      <c r="DH120" s="4">
        <v>15791</v>
      </c>
      <c r="DI120" s="4">
        <v>3768</v>
      </c>
      <c r="DJ120" s="4">
        <v>24828</v>
      </c>
      <c r="DK120" s="4">
        <v>17786</v>
      </c>
      <c r="DL120" s="4">
        <v>10130</v>
      </c>
      <c r="DM120" s="4">
        <v>14586</v>
      </c>
      <c r="DN120" s="4">
        <v>16163</v>
      </c>
      <c r="DO120" s="4">
        <v>3060</v>
      </c>
      <c r="DP120" s="4">
        <v>8164</v>
      </c>
      <c r="DQ120" s="4">
        <v>60090</v>
      </c>
      <c r="DR120" s="4">
        <v>2884</v>
      </c>
      <c r="DS120" s="4">
        <v>8099</v>
      </c>
      <c r="DT120" s="4">
        <v>779</v>
      </c>
      <c r="DU120" s="4">
        <v>9774</v>
      </c>
      <c r="DV120" s="4">
        <v>5496</v>
      </c>
      <c r="DW120" s="4">
        <v>5298</v>
      </c>
      <c r="DX120" s="4">
        <v>13532</v>
      </c>
      <c r="DY120" s="4">
        <v>1873</v>
      </c>
      <c r="DZ120" s="4">
        <v>4143</v>
      </c>
      <c r="EA120" s="4">
        <v>10522</v>
      </c>
      <c r="EB120" s="4">
        <v>5897</v>
      </c>
      <c r="EC120" s="4">
        <v>887</v>
      </c>
      <c r="ED120" s="4">
        <v>1060</v>
      </c>
      <c r="EE120" s="4">
        <v>38322</v>
      </c>
      <c r="EF120" s="4">
        <v>4802</v>
      </c>
      <c r="EG120" s="4">
        <v>16152</v>
      </c>
      <c r="EH120" s="4">
        <v>27039</v>
      </c>
      <c r="EJ120" s="4">
        <f t="shared" si="1"/>
        <v>1570940</v>
      </c>
    </row>
    <row r="121" spans="1:140" x14ac:dyDescent="0.25">
      <c r="A121" s="4" t="s">
        <v>257</v>
      </c>
      <c r="B121" s="4">
        <v>5434</v>
      </c>
      <c r="C121" s="4">
        <v>5193</v>
      </c>
      <c r="D121" s="4">
        <v>371</v>
      </c>
      <c r="E121" s="4">
        <v>1657</v>
      </c>
      <c r="F121" s="4">
        <v>9</v>
      </c>
      <c r="G121" s="4">
        <v>6</v>
      </c>
      <c r="H121" s="4">
        <v>15240</v>
      </c>
      <c r="I121" s="4">
        <v>73</v>
      </c>
      <c r="J121" s="4">
        <v>1150</v>
      </c>
      <c r="K121" s="4">
        <v>88</v>
      </c>
      <c r="L121" s="4">
        <v>998</v>
      </c>
      <c r="M121" s="4">
        <v>147</v>
      </c>
      <c r="N121" s="4">
        <v>11452</v>
      </c>
      <c r="O121" s="4">
        <v>1654</v>
      </c>
      <c r="P121" s="4">
        <v>1622</v>
      </c>
      <c r="Q121" s="4">
        <v>7951</v>
      </c>
      <c r="R121" s="4">
        <v>164</v>
      </c>
      <c r="S121" s="4">
        <v>2233</v>
      </c>
      <c r="T121" s="4">
        <v>2709</v>
      </c>
      <c r="U121" s="4">
        <v>2406</v>
      </c>
      <c r="V121" s="4">
        <v>7856</v>
      </c>
      <c r="W121" s="4">
        <v>4113</v>
      </c>
      <c r="X121" s="4">
        <v>581</v>
      </c>
      <c r="Y121" s="4">
        <v>911</v>
      </c>
      <c r="Z121" s="4">
        <v>1657</v>
      </c>
      <c r="AA121" s="4">
        <v>464</v>
      </c>
      <c r="AB121" s="4">
        <v>5531</v>
      </c>
      <c r="AC121" s="4">
        <v>1064</v>
      </c>
      <c r="AD121" s="4">
        <v>317</v>
      </c>
      <c r="AE121" s="4">
        <v>2061</v>
      </c>
      <c r="AF121" s="4">
        <v>1536</v>
      </c>
      <c r="AG121">
        <v>22977</v>
      </c>
      <c r="AH121" s="4">
        <v>464</v>
      </c>
      <c r="AI121" s="4">
        <v>1528</v>
      </c>
      <c r="AJ121" s="4">
        <v>288</v>
      </c>
      <c r="AK121" s="4">
        <v>2021</v>
      </c>
      <c r="AL121" s="4">
        <v>3111</v>
      </c>
      <c r="AM121" s="4">
        <v>660</v>
      </c>
      <c r="AN121" s="4">
        <v>321</v>
      </c>
      <c r="AO121" s="4">
        <v>9452</v>
      </c>
      <c r="AP121" s="4">
        <v>666</v>
      </c>
      <c r="AQ121" s="4">
        <v>108</v>
      </c>
      <c r="AR121" s="4">
        <v>2799</v>
      </c>
      <c r="AS121" s="4">
        <v>5538</v>
      </c>
      <c r="AT121" s="4">
        <v>1089</v>
      </c>
      <c r="AU121" s="4">
        <v>5253</v>
      </c>
      <c r="AV121" s="4">
        <v>3867</v>
      </c>
      <c r="AW121" s="4">
        <v>2230</v>
      </c>
      <c r="AX121" s="4">
        <v>26933</v>
      </c>
      <c r="AY121" s="4">
        <v>216</v>
      </c>
      <c r="AZ121" s="4">
        <v>801</v>
      </c>
      <c r="BA121" s="4">
        <v>6821</v>
      </c>
      <c r="BB121" s="4">
        <v>294</v>
      </c>
      <c r="BC121" s="4">
        <v>837</v>
      </c>
      <c r="BD121" s="4">
        <v>7196</v>
      </c>
      <c r="BE121" s="4">
        <v>3625</v>
      </c>
      <c r="BF121" s="4">
        <v>3595</v>
      </c>
      <c r="BG121" s="4">
        <v>5297</v>
      </c>
      <c r="BH121" s="4">
        <v>1370</v>
      </c>
      <c r="BI121" s="4">
        <v>29219</v>
      </c>
      <c r="BJ121" s="4">
        <v>4752</v>
      </c>
      <c r="BK121" s="4">
        <v>6125</v>
      </c>
      <c r="BL121" s="4">
        <v>4082</v>
      </c>
      <c r="BM121" s="4">
        <v>5384</v>
      </c>
      <c r="BN121" s="4">
        <v>1107</v>
      </c>
      <c r="BO121" s="4">
        <v>1451</v>
      </c>
      <c r="BP121" s="4">
        <v>30279</v>
      </c>
      <c r="BQ121" s="4">
        <v>2964</v>
      </c>
      <c r="BR121" s="4">
        <v>77443</v>
      </c>
      <c r="BS121" s="4">
        <v>8766</v>
      </c>
      <c r="BT121" s="4">
        <v>11842</v>
      </c>
      <c r="BU121" s="4">
        <v>19997</v>
      </c>
      <c r="BV121" s="4">
        <v>3001</v>
      </c>
      <c r="BW121" s="4">
        <v>12984</v>
      </c>
      <c r="BX121" s="4">
        <v>2964</v>
      </c>
      <c r="BY121" s="4">
        <v>5554</v>
      </c>
      <c r="BZ121" s="4">
        <v>19860</v>
      </c>
      <c r="CA121" s="4">
        <v>2626</v>
      </c>
      <c r="CB121" s="4">
        <v>1075</v>
      </c>
      <c r="CC121" s="4">
        <v>7785</v>
      </c>
      <c r="CD121" s="4">
        <v>3273</v>
      </c>
      <c r="CE121" s="4">
        <v>3821</v>
      </c>
      <c r="CF121" s="4">
        <v>7447</v>
      </c>
      <c r="CG121" s="4">
        <v>94440</v>
      </c>
      <c r="CH121" s="4">
        <v>22560</v>
      </c>
      <c r="CI121" s="4">
        <v>43272</v>
      </c>
      <c r="CJ121" s="4">
        <v>10381</v>
      </c>
      <c r="CK121" s="4">
        <v>22652</v>
      </c>
      <c r="CL121" s="4">
        <v>15001</v>
      </c>
      <c r="CM121" s="4">
        <v>21873</v>
      </c>
      <c r="CN121" s="4">
        <v>51689</v>
      </c>
      <c r="CO121" s="4">
        <v>9110</v>
      </c>
      <c r="CP121" s="4">
        <v>3877</v>
      </c>
      <c r="CQ121" s="4">
        <v>5985</v>
      </c>
      <c r="CR121" s="4">
        <v>8772</v>
      </c>
      <c r="CS121" s="4">
        <v>31905</v>
      </c>
      <c r="CT121" s="4">
        <v>19586</v>
      </c>
      <c r="CU121" s="4">
        <v>1827</v>
      </c>
      <c r="CV121" s="4">
        <v>231718</v>
      </c>
      <c r="CW121" s="4">
        <v>10222</v>
      </c>
      <c r="CX121" s="4">
        <v>2177</v>
      </c>
      <c r="CY121" s="4">
        <v>26036</v>
      </c>
      <c r="CZ121" s="4">
        <v>3329</v>
      </c>
      <c r="DA121" s="4">
        <v>5823</v>
      </c>
      <c r="DB121" s="4">
        <v>14014</v>
      </c>
      <c r="DC121" s="4">
        <v>4632</v>
      </c>
      <c r="DD121" s="4">
        <v>2822</v>
      </c>
      <c r="DE121" s="4">
        <v>2056</v>
      </c>
      <c r="DF121" s="4">
        <v>48316</v>
      </c>
      <c r="DG121" s="4">
        <v>15946</v>
      </c>
      <c r="DH121" s="4">
        <v>16546</v>
      </c>
      <c r="DI121" s="4">
        <v>4416</v>
      </c>
      <c r="DJ121" s="4">
        <v>29381</v>
      </c>
      <c r="DK121" s="4">
        <v>18376</v>
      </c>
      <c r="DL121" s="4">
        <v>9813</v>
      </c>
      <c r="DM121" s="4">
        <v>14910</v>
      </c>
      <c r="DN121" s="4">
        <v>16930</v>
      </c>
      <c r="DO121" s="4">
        <v>3596</v>
      </c>
      <c r="DP121" s="4">
        <v>7754</v>
      </c>
      <c r="DQ121" s="4">
        <v>54220</v>
      </c>
      <c r="DR121" s="4">
        <v>3090</v>
      </c>
      <c r="DS121" s="4">
        <v>9930</v>
      </c>
      <c r="DT121" s="4">
        <v>658</v>
      </c>
      <c r="DU121" s="4">
        <v>8527</v>
      </c>
      <c r="DV121" s="4">
        <v>5633</v>
      </c>
      <c r="DW121" s="4">
        <v>6222</v>
      </c>
      <c r="DX121" s="4">
        <v>12869</v>
      </c>
      <c r="DY121" s="4">
        <v>2024</v>
      </c>
      <c r="DZ121" s="4">
        <v>3647</v>
      </c>
      <c r="EA121" s="4">
        <v>9622</v>
      </c>
      <c r="EB121" s="4">
        <v>6331</v>
      </c>
      <c r="EC121" s="4">
        <v>748</v>
      </c>
      <c r="ED121" s="4">
        <v>1008</v>
      </c>
      <c r="EE121" s="4">
        <v>36372</v>
      </c>
      <c r="EF121" s="4">
        <v>4523</v>
      </c>
      <c r="EG121" s="4">
        <v>17376</v>
      </c>
      <c r="EH121" s="4">
        <v>29617</v>
      </c>
      <c r="EJ121" s="4">
        <f t="shared" si="1"/>
        <v>1543966</v>
      </c>
    </row>
    <row r="122" spans="1:140" x14ac:dyDescent="0.25">
      <c r="A122" s="4" t="s">
        <v>258</v>
      </c>
      <c r="B122" s="4">
        <v>5603</v>
      </c>
      <c r="C122" s="4">
        <v>6832</v>
      </c>
      <c r="D122" s="4">
        <v>298</v>
      </c>
      <c r="E122" s="4">
        <v>1900</v>
      </c>
      <c r="F122" s="4">
        <v>6</v>
      </c>
      <c r="G122" s="4">
        <v>28</v>
      </c>
      <c r="H122" s="4">
        <v>18587</v>
      </c>
      <c r="I122" s="4">
        <v>136</v>
      </c>
      <c r="J122" s="4">
        <v>1698</v>
      </c>
      <c r="K122" s="4">
        <v>91</v>
      </c>
      <c r="L122" s="4">
        <v>1474</v>
      </c>
      <c r="M122" s="4">
        <v>114</v>
      </c>
      <c r="N122" s="4">
        <v>13872</v>
      </c>
      <c r="O122" s="4">
        <v>2273</v>
      </c>
      <c r="P122" s="4">
        <v>3289</v>
      </c>
      <c r="Q122" s="4">
        <v>11017</v>
      </c>
      <c r="R122" s="4">
        <v>26</v>
      </c>
      <c r="S122" s="4">
        <v>2783</v>
      </c>
      <c r="T122" s="4">
        <v>3096</v>
      </c>
      <c r="U122" s="4">
        <v>2700</v>
      </c>
      <c r="V122" s="4">
        <v>10736</v>
      </c>
      <c r="W122" s="4">
        <v>5175</v>
      </c>
      <c r="X122" s="4">
        <v>1016</v>
      </c>
      <c r="Y122" s="4">
        <v>1364</v>
      </c>
      <c r="Z122" s="4">
        <v>1083</v>
      </c>
      <c r="AA122" s="4">
        <v>1184</v>
      </c>
      <c r="AB122" s="4">
        <v>6309</v>
      </c>
      <c r="AC122" s="4">
        <v>1176</v>
      </c>
      <c r="AD122" s="4">
        <v>553</v>
      </c>
      <c r="AE122" s="4">
        <v>2210</v>
      </c>
      <c r="AF122" s="4">
        <v>2095</v>
      </c>
      <c r="AG122">
        <v>35521</v>
      </c>
      <c r="AH122" s="4">
        <v>584</v>
      </c>
      <c r="AI122" s="4">
        <v>1952</v>
      </c>
      <c r="AJ122" s="4">
        <v>534</v>
      </c>
      <c r="AK122" s="4">
        <v>2526</v>
      </c>
      <c r="AL122" s="4">
        <v>3689</v>
      </c>
      <c r="AM122" s="4">
        <v>887</v>
      </c>
      <c r="AN122" s="4">
        <v>310</v>
      </c>
      <c r="AO122" s="4">
        <v>12312</v>
      </c>
      <c r="AP122" s="4">
        <v>1128</v>
      </c>
      <c r="AQ122" s="4">
        <v>144</v>
      </c>
      <c r="AR122" s="4">
        <v>3581</v>
      </c>
      <c r="AS122" s="4">
        <v>8778</v>
      </c>
      <c r="AT122" s="4">
        <v>1530</v>
      </c>
      <c r="AU122" s="4">
        <v>3515</v>
      </c>
      <c r="AV122" s="4">
        <v>5223</v>
      </c>
      <c r="AW122" s="4">
        <v>3467</v>
      </c>
      <c r="AX122" s="4">
        <v>39250</v>
      </c>
      <c r="AY122" s="4">
        <v>296</v>
      </c>
      <c r="AZ122" s="4">
        <v>1089</v>
      </c>
      <c r="BA122" s="4">
        <v>13216</v>
      </c>
      <c r="BB122" s="4">
        <v>201</v>
      </c>
      <c r="BC122" s="4">
        <v>1032</v>
      </c>
      <c r="BD122" s="4">
        <v>8039</v>
      </c>
      <c r="BE122" s="4">
        <v>4451</v>
      </c>
      <c r="BF122" s="4">
        <v>2349</v>
      </c>
      <c r="BG122" s="4">
        <v>6658</v>
      </c>
      <c r="BH122" s="4">
        <v>2011</v>
      </c>
      <c r="BI122" s="4">
        <v>36141</v>
      </c>
      <c r="BJ122" s="4">
        <v>5818</v>
      </c>
      <c r="BK122" s="4">
        <v>7572</v>
      </c>
      <c r="BL122" s="4">
        <v>3645</v>
      </c>
      <c r="BM122" s="4">
        <v>6249</v>
      </c>
      <c r="BN122" s="4">
        <v>1441</v>
      </c>
      <c r="BO122" s="4">
        <v>1558</v>
      </c>
      <c r="BP122" s="4">
        <v>28329</v>
      </c>
      <c r="BQ122" s="4">
        <v>3221</v>
      </c>
      <c r="BR122" s="4">
        <v>86512</v>
      </c>
      <c r="BS122" s="4">
        <v>9486</v>
      </c>
      <c r="BT122" s="4">
        <v>9112</v>
      </c>
      <c r="BU122" s="4">
        <v>21168</v>
      </c>
      <c r="BV122" s="4">
        <v>3372</v>
      </c>
      <c r="BW122" s="4">
        <v>15451</v>
      </c>
      <c r="BX122" s="4">
        <v>2848</v>
      </c>
      <c r="BY122" s="4">
        <v>6034</v>
      </c>
      <c r="BZ122" s="4">
        <v>25955</v>
      </c>
      <c r="CA122" s="4">
        <v>2912</v>
      </c>
      <c r="CB122" s="4">
        <v>1574</v>
      </c>
      <c r="CC122" s="4">
        <v>8706</v>
      </c>
      <c r="CD122" s="4">
        <v>4165</v>
      </c>
      <c r="CE122" s="4">
        <v>5671</v>
      </c>
      <c r="CF122" s="4">
        <v>10890</v>
      </c>
      <c r="CG122" s="4">
        <v>132649</v>
      </c>
      <c r="CH122" s="4">
        <v>18066</v>
      </c>
      <c r="CI122" s="4">
        <v>31083</v>
      </c>
      <c r="CJ122" s="4">
        <v>6459</v>
      </c>
      <c r="CK122" s="4">
        <v>18383</v>
      </c>
      <c r="CL122" s="4">
        <v>13207</v>
      </c>
      <c r="CM122" s="4">
        <v>18344</v>
      </c>
      <c r="CN122" s="4">
        <v>51239</v>
      </c>
      <c r="CO122" s="4">
        <v>7565</v>
      </c>
      <c r="CP122" s="4">
        <v>4126</v>
      </c>
      <c r="CQ122" s="4">
        <v>4793</v>
      </c>
      <c r="CR122" s="4">
        <v>8264</v>
      </c>
      <c r="CS122" s="4">
        <v>36931</v>
      </c>
      <c r="CT122" s="4">
        <v>22639</v>
      </c>
      <c r="CU122" s="4">
        <v>2459</v>
      </c>
      <c r="CV122" s="4">
        <v>291784</v>
      </c>
      <c r="CW122" s="4">
        <v>6283</v>
      </c>
      <c r="CX122" s="4">
        <v>2336</v>
      </c>
      <c r="CY122" s="4">
        <v>27451</v>
      </c>
      <c r="CZ122" s="4">
        <v>3520</v>
      </c>
      <c r="DA122" s="4">
        <v>6918</v>
      </c>
      <c r="DB122" s="4">
        <v>14361</v>
      </c>
      <c r="DC122" s="4">
        <v>4827</v>
      </c>
      <c r="DD122" s="4">
        <v>3641</v>
      </c>
      <c r="DE122" s="4">
        <v>2594</v>
      </c>
      <c r="DF122" s="4">
        <v>54204</v>
      </c>
      <c r="DG122" s="4">
        <v>15794</v>
      </c>
      <c r="DH122" s="4">
        <v>18952</v>
      </c>
      <c r="DI122" s="4">
        <v>4166</v>
      </c>
      <c r="DJ122" s="4">
        <v>29138</v>
      </c>
      <c r="DK122" s="4">
        <v>19996</v>
      </c>
      <c r="DL122" s="4">
        <v>11617</v>
      </c>
      <c r="DM122" s="4">
        <v>17189</v>
      </c>
      <c r="DN122" s="4">
        <v>16429</v>
      </c>
      <c r="DO122" s="4">
        <v>3773</v>
      </c>
      <c r="DP122" s="4">
        <v>8592</v>
      </c>
      <c r="DQ122" s="4">
        <v>66900</v>
      </c>
      <c r="DR122" s="4">
        <v>3635</v>
      </c>
      <c r="DS122" s="4">
        <v>8995</v>
      </c>
      <c r="DT122" s="4">
        <v>994</v>
      </c>
      <c r="DU122" s="4">
        <v>11575</v>
      </c>
      <c r="DV122" s="4">
        <v>6093</v>
      </c>
      <c r="DW122" s="4">
        <v>5368</v>
      </c>
      <c r="DX122" s="4">
        <v>11356</v>
      </c>
      <c r="DY122" s="4">
        <v>1922</v>
      </c>
      <c r="DZ122" s="4">
        <v>3100</v>
      </c>
      <c r="EA122" s="4">
        <v>12260</v>
      </c>
      <c r="EB122" s="4">
        <v>5614</v>
      </c>
      <c r="EC122" s="4">
        <v>1011</v>
      </c>
      <c r="ED122" s="4">
        <v>1279</v>
      </c>
      <c r="EE122" s="4">
        <v>37937</v>
      </c>
      <c r="EF122" s="4">
        <v>4963</v>
      </c>
      <c r="EG122" s="4">
        <v>14018</v>
      </c>
      <c r="EH122" s="4">
        <v>30863</v>
      </c>
      <c r="EJ122" s="4">
        <f t="shared" si="1"/>
        <v>1748482</v>
      </c>
    </row>
    <row r="123" spans="1:140" x14ac:dyDescent="0.25">
      <c r="A123" s="4" t="s">
        <v>259</v>
      </c>
      <c r="B123" s="4">
        <v>5800</v>
      </c>
      <c r="C123" s="4">
        <v>6374</v>
      </c>
      <c r="D123" s="4">
        <v>274</v>
      </c>
      <c r="E123" s="4">
        <v>1831</v>
      </c>
      <c r="F123" s="4">
        <v>22</v>
      </c>
      <c r="G123" s="4">
        <v>17</v>
      </c>
      <c r="H123" s="4">
        <v>16399</v>
      </c>
      <c r="I123" s="4">
        <v>94</v>
      </c>
      <c r="J123" s="4">
        <v>1576</v>
      </c>
      <c r="K123" s="4">
        <v>77</v>
      </c>
      <c r="L123" s="4">
        <v>1558</v>
      </c>
      <c r="M123" s="4">
        <v>109</v>
      </c>
      <c r="N123" s="4">
        <v>12810</v>
      </c>
      <c r="O123" s="4">
        <v>1704</v>
      </c>
      <c r="P123" s="4">
        <v>3994</v>
      </c>
      <c r="Q123" s="4">
        <v>9344</v>
      </c>
      <c r="R123" s="4">
        <v>72</v>
      </c>
      <c r="S123" s="4">
        <v>2870</v>
      </c>
      <c r="T123" s="4">
        <v>3024</v>
      </c>
      <c r="U123" s="4">
        <v>2644</v>
      </c>
      <c r="V123" s="4">
        <v>9632</v>
      </c>
      <c r="W123" s="4">
        <v>3919</v>
      </c>
      <c r="X123" s="4">
        <v>805</v>
      </c>
      <c r="Y123" s="4">
        <v>916</v>
      </c>
      <c r="Z123" s="4">
        <v>1275</v>
      </c>
      <c r="AA123" s="4">
        <v>993</v>
      </c>
      <c r="AB123" s="4">
        <v>6872</v>
      </c>
      <c r="AC123" s="4">
        <v>772</v>
      </c>
      <c r="AD123" s="4">
        <v>478</v>
      </c>
      <c r="AE123" s="4">
        <v>2095</v>
      </c>
      <c r="AF123" s="4">
        <v>1772</v>
      </c>
      <c r="AG123">
        <v>30659</v>
      </c>
      <c r="AH123" s="4">
        <v>477</v>
      </c>
      <c r="AI123" s="4">
        <v>2307</v>
      </c>
      <c r="AJ123" s="4">
        <v>636</v>
      </c>
      <c r="AK123" s="4">
        <v>2430</v>
      </c>
      <c r="AL123" s="4">
        <v>4004</v>
      </c>
      <c r="AM123" s="4">
        <v>985</v>
      </c>
      <c r="AN123" s="4">
        <v>321</v>
      </c>
      <c r="AO123" s="4">
        <v>11012</v>
      </c>
      <c r="AP123" s="4">
        <v>854</v>
      </c>
      <c r="AQ123" s="4">
        <v>166</v>
      </c>
      <c r="AR123" s="4">
        <v>3353</v>
      </c>
      <c r="AS123" s="4">
        <v>9577</v>
      </c>
      <c r="AT123" s="4">
        <v>1716</v>
      </c>
      <c r="AU123" s="4">
        <v>2708</v>
      </c>
      <c r="AV123" s="4">
        <v>5408</v>
      </c>
      <c r="AW123" s="4">
        <v>5358</v>
      </c>
      <c r="AX123" s="4">
        <v>35862</v>
      </c>
      <c r="AY123" s="4">
        <v>260</v>
      </c>
      <c r="AZ123" s="4">
        <v>898</v>
      </c>
      <c r="BA123" s="4">
        <v>8280</v>
      </c>
      <c r="BB123" s="4">
        <v>209</v>
      </c>
      <c r="BC123" s="4">
        <v>933</v>
      </c>
      <c r="BD123" s="4">
        <v>7901</v>
      </c>
      <c r="BE123" s="4">
        <v>3745</v>
      </c>
      <c r="BF123" s="4">
        <v>1983</v>
      </c>
      <c r="BG123" s="4">
        <v>6925</v>
      </c>
      <c r="BH123" s="4">
        <v>2384</v>
      </c>
      <c r="BI123" s="4">
        <v>34336</v>
      </c>
      <c r="BJ123" s="4">
        <v>5450</v>
      </c>
      <c r="BK123" s="4">
        <v>7091</v>
      </c>
      <c r="BL123" s="4">
        <v>2939</v>
      </c>
      <c r="BM123" s="4">
        <v>6461</v>
      </c>
      <c r="BN123" s="4">
        <v>1322</v>
      </c>
      <c r="BO123" s="4">
        <v>1497</v>
      </c>
      <c r="BP123" s="4">
        <v>27618</v>
      </c>
      <c r="BQ123" s="4">
        <v>2834</v>
      </c>
      <c r="BR123" s="4">
        <v>87116</v>
      </c>
      <c r="BS123" s="4">
        <v>9313</v>
      </c>
      <c r="BT123" s="4">
        <v>9537</v>
      </c>
      <c r="BU123" s="4">
        <v>21107</v>
      </c>
      <c r="BV123" s="4">
        <v>3524</v>
      </c>
      <c r="BW123" s="4">
        <v>16047</v>
      </c>
      <c r="BX123" s="4">
        <v>2871</v>
      </c>
      <c r="BY123" s="4">
        <v>6454</v>
      </c>
      <c r="BZ123" s="4">
        <v>26306</v>
      </c>
      <c r="CA123" s="4">
        <v>3010</v>
      </c>
      <c r="CB123" s="4">
        <v>1379</v>
      </c>
      <c r="CC123" s="4">
        <v>8513</v>
      </c>
      <c r="CD123" s="4">
        <v>4133</v>
      </c>
      <c r="CE123" s="4">
        <v>4596</v>
      </c>
      <c r="CF123" s="4">
        <v>9520</v>
      </c>
      <c r="CG123" s="4">
        <v>117471</v>
      </c>
      <c r="CH123" s="4">
        <v>16319</v>
      </c>
      <c r="CI123" s="4">
        <v>30995</v>
      </c>
      <c r="CJ123" s="4">
        <v>7012</v>
      </c>
      <c r="CK123" s="4">
        <v>17381</v>
      </c>
      <c r="CL123" s="4">
        <v>15371</v>
      </c>
      <c r="CM123" s="4">
        <v>18950</v>
      </c>
      <c r="CN123" s="4">
        <v>52244</v>
      </c>
      <c r="CO123" s="4">
        <v>6521</v>
      </c>
      <c r="CP123" s="4">
        <v>4041</v>
      </c>
      <c r="CQ123" s="4">
        <v>5695</v>
      </c>
      <c r="CR123" s="4">
        <v>7729</v>
      </c>
      <c r="CS123" s="4">
        <v>37088</v>
      </c>
      <c r="CT123" s="4">
        <v>21185</v>
      </c>
      <c r="CU123" s="4">
        <v>2186</v>
      </c>
      <c r="CV123" s="4">
        <v>293704</v>
      </c>
      <c r="CW123" s="4">
        <v>7046</v>
      </c>
      <c r="CX123" s="4">
        <v>2358</v>
      </c>
      <c r="CY123" s="4">
        <v>28512</v>
      </c>
      <c r="CZ123" s="4">
        <v>3181</v>
      </c>
      <c r="DA123" s="4">
        <v>6632</v>
      </c>
      <c r="DB123" s="4">
        <v>15846</v>
      </c>
      <c r="DC123" s="4">
        <v>5309</v>
      </c>
      <c r="DD123" s="4">
        <v>3584</v>
      </c>
      <c r="DE123" s="4">
        <v>2468</v>
      </c>
      <c r="DF123" s="4">
        <v>58104</v>
      </c>
      <c r="DG123" s="4">
        <v>17950</v>
      </c>
      <c r="DH123" s="4">
        <v>20019</v>
      </c>
      <c r="DI123" s="4">
        <v>4610</v>
      </c>
      <c r="DJ123" s="4">
        <v>33680</v>
      </c>
      <c r="DK123" s="4">
        <v>21050</v>
      </c>
      <c r="DL123" s="4">
        <v>12324</v>
      </c>
      <c r="DM123" s="4">
        <v>18545</v>
      </c>
      <c r="DN123" s="4">
        <v>20806</v>
      </c>
      <c r="DO123" s="4">
        <v>3632</v>
      </c>
      <c r="DP123" s="4">
        <v>8507</v>
      </c>
      <c r="DQ123" s="4">
        <v>69729</v>
      </c>
      <c r="DR123" s="4">
        <v>3294</v>
      </c>
      <c r="DS123" s="4">
        <v>7081</v>
      </c>
      <c r="DT123" s="4">
        <v>933</v>
      </c>
      <c r="DU123" s="4">
        <v>11150</v>
      </c>
      <c r="DV123" s="4">
        <v>6238</v>
      </c>
      <c r="DW123" s="4">
        <v>5495</v>
      </c>
      <c r="DX123" s="4">
        <v>12383</v>
      </c>
      <c r="DY123" s="4">
        <v>1928</v>
      </c>
      <c r="DZ123" s="4">
        <v>2510</v>
      </c>
      <c r="EA123" s="4">
        <v>12584</v>
      </c>
      <c r="EB123" s="4">
        <v>5653</v>
      </c>
      <c r="EC123" s="4">
        <v>919</v>
      </c>
      <c r="ED123" s="4">
        <v>1043</v>
      </c>
      <c r="EE123" s="4">
        <v>37406</v>
      </c>
      <c r="EF123" s="4">
        <v>3858</v>
      </c>
      <c r="EG123" s="4">
        <v>12413</v>
      </c>
      <c r="EH123" s="4">
        <v>31239</v>
      </c>
      <c r="EJ123" s="4">
        <f t="shared" si="1"/>
        <v>1728358</v>
      </c>
    </row>
    <row r="124" spans="1:140" x14ac:dyDescent="0.25">
      <c r="A124" s="4" t="s">
        <v>260</v>
      </c>
      <c r="B124" s="4">
        <v>4642</v>
      </c>
      <c r="C124" s="4">
        <v>6622</v>
      </c>
      <c r="D124" s="4">
        <v>258</v>
      </c>
      <c r="E124" s="4">
        <v>2317</v>
      </c>
      <c r="F124" s="4">
        <v>11</v>
      </c>
      <c r="G124" s="4">
        <v>20</v>
      </c>
      <c r="H124" s="4">
        <v>16873</v>
      </c>
      <c r="I124" s="4">
        <v>77</v>
      </c>
      <c r="J124" s="4">
        <v>1676</v>
      </c>
      <c r="K124" s="4">
        <v>85</v>
      </c>
      <c r="L124" s="4">
        <v>1857</v>
      </c>
      <c r="M124" s="4">
        <v>179</v>
      </c>
      <c r="N124" s="4">
        <v>13520</v>
      </c>
      <c r="O124" s="4">
        <v>2316</v>
      </c>
      <c r="P124" s="4">
        <v>3650</v>
      </c>
      <c r="Q124" s="4">
        <v>9316</v>
      </c>
      <c r="R124" s="4">
        <v>26</v>
      </c>
      <c r="S124" s="4">
        <v>3639</v>
      </c>
      <c r="T124" s="4">
        <v>3151</v>
      </c>
      <c r="U124" s="4">
        <v>2854</v>
      </c>
      <c r="V124" s="4">
        <v>9537</v>
      </c>
      <c r="W124" s="4">
        <v>4304</v>
      </c>
      <c r="X124" s="4">
        <v>829</v>
      </c>
      <c r="Y124" s="4">
        <v>1126</v>
      </c>
      <c r="Z124" s="4">
        <v>1754</v>
      </c>
      <c r="AA124" s="4">
        <v>759</v>
      </c>
      <c r="AB124" s="4">
        <v>6641</v>
      </c>
      <c r="AC124" s="4">
        <v>758</v>
      </c>
      <c r="AD124" s="4">
        <v>488</v>
      </c>
      <c r="AE124" s="4">
        <v>2076</v>
      </c>
      <c r="AF124" s="4">
        <v>1817</v>
      </c>
      <c r="AG124">
        <v>31699</v>
      </c>
      <c r="AH124" s="4">
        <v>491</v>
      </c>
      <c r="AI124" s="4">
        <v>1931</v>
      </c>
      <c r="AJ124" s="4">
        <v>480</v>
      </c>
      <c r="AK124" s="4">
        <v>2153</v>
      </c>
      <c r="AL124" s="4">
        <v>3443</v>
      </c>
      <c r="AM124" s="4">
        <v>850</v>
      </c>
      <c r="AN124" s="4">
        <v>269</v>
      </c>
      <c r="AO124" s="4">
        <v>11544</v>
      </c>
      <c r="AP124" s="4">
        <v>896</v>
      </c>
      <c r="AQ124" s="4">
        <v>123</v>
      </c>
      <c r="AR124" s="4">
        <v>3566</v>
      </c>
      <c r="AS124" s="4">
        <v>11416</v>
      </c>
      <c r="AT124" s="4">
        <v>1554</v>
      </c>
      <c r="AU124" s="4">
        <v>2726</v>
      </c>
      <c r="AV124" s="4">
        <v>5095</v>
      </c>
      <c r="AW124" s="4">
        <v>6833</v>
      </c>
      <c r="AX124" s="4">
        <v>33584</v>
      </c>
      <c r="AY124" s="4">
        <v>287</v>
      </c>
      <c r="AZ124" s="4">
        <v>1080</v>
      </c>
      <c r="BA124" s="4">
        <v>16641</v>
      </c>
      <c r="BB124" s="4">
        <v>278</v>
      </c>
      <c r="BC124" s="4">
        <v>988</v>
      </c>
      <c r="BD124" s="4">
        <v>10173</v>
      </c>
      <c r="BE124" s="4">
        <v>3270</v>
      </c>
      <c r="BF124" s="4">
        <v>2295</v>
      </c>
      <c r="BG124" s="4">
        <v>6545</v>
      </c>
      <c r="BH124" s="4">
        <v>2201</v>
      </c>
      <c r="BI124" s="4">
        <v>34191</v>
      </c>
      <c r="BJ124" s="4">
        <v>5215</v>
      </c>
      <c r="BK124" s="4">
        <v>7559</v>
      </c>
      <c r="BL124" s="4">
        <v>3661</v>
      </c>
      <c r="BM124" s="4">
        <v>6927</v>
      </c>
      <c r="BN124" s="4">
        <v>1310</v>
      </c>
      <c r="BO124" s="4">
        <v>1504</v>
      </c>
      <c r="BP124" s="4">
        <v>30046</v>
      </c>
      <c r="BQ124" s="4">
        <v>3072</v>
      </c>
      <c r="BR124" s="4">
        <v>89923</v>
      </c>
      <c r="BS124" s="4">
        <v>9407</v>
      </c>
      <c r="BT124" s="4">
        <v>10314</v>
      </c>
      <c r="BU124" s="4">
        <v>19637</v>
      </c>
      <c r="BV124" s="4">
        <v>3642</v>
      </c>
      <c r="BW124" s="4">
        <v>15148</v>
      </c>
      <c r="BX124" s="4">
        <v>2620</v>
      </c>
      <c r="BY124" s="4">
        <v>6843</v>
      </c>
      <c r="BZ124" s="4">
        <v>24589</v>
      </c>
      <c r="CA124" s="4">
        <v>2974</v>
      </c>
      <c r="CB124" s="4">
        <v>1516</v>
      </c>
      <c r="CC124" s="4">
        <v>9229</v>
      </c>
      <c r="CD124" s="4">
        <v>4228</v>
      </c>
      <c r="CE124" s="4">
        <v>5209</v>
      </c>
      <c r="CF124" s="4">
        <v>9538</v>
      </c>
      <c r="CG124" s="4">
        <v>122410</v>
      </c>
      <c r="CH124" s="4">
        <v>16211</v>
      </c>
      <c r="CI124" s="4">
        <v>31108</v>
      </c>
      <c r="CJ124" s="4">
        <v>8000</v>
      </c>
      <c r="CK124" s="4">
        <v>17695</v>
      </c>
      <c r="CL124" s="4">
        <v>10674</v>
      </c>
      <c r="CM124" s="4">
        <v>18632</v>
      </c>
      <c r="CN124" s="4">
        <v>50653</v>
      </c>
      <c r="CO124" s="4">
        <v>6481</v>
      </c>
      <c r="CP124" s="4">
        <v>4143</v>
      </c>
      <c r="CQ124" s="4">
        <v>5281</v>
      </c>
      <c r="CR124" s="4">
        <v>7958</v>
      </c>
      <c r="CS124" s="4">
        <v>37982</v>
      </c>
      <c r="CT124" s="4">
        <v>22278</v>
      </c>
      <c r="CU124" s="4">
        <v>2328</v>
      </c>
      <c r="CV124" s="4">
        <v>283626</v>
      </c>
      <c r="CW124" s="4">
        <v>7339</v>
      </c>
      <c r="CX124" s="4">
        <v>2472</v>
      </c>
      <c r="CY124" s="4">
        <v>29414</v>
      </c>
      <c r="CZ124" s="4">
        <v>3279</v>
      </c>
      <c r="DA124" s="4">
        <v>7205</v>
      </c>
      <c r="DB124" s="4">
        <v>15499</v>
      </c>
      <c r="DC124" s="4">
        <v>5376</v>
      </c>
      <c r="DD124" s="4">
        <v>3788</v>
      </c>
      <c r="DE124" s="4">
        <v>2546</v>
      </c>
      <c r="DF124" s="4">
        <v>58564</v>
      </c>
      <c r="DG124" s="4">
        <v>18461</v>
      </c>
      <c r="DH124" s="4">
        <v>20025</v>
      </c>
      <c r="DI124" s="4">
        <v>5713</v>
      </c>
      <c r="DJ124" s="4">
        <v>32477</v>
      </c>
      <c r="DK124" s="4">
        <v>21739</v>
      </c>
      <c r="DL124" s="4">
        <v>12899</v>
      </c>
      <c r="DM124" s="4">
        <v>16844</v>
      </c>
      <c r="DN124" s="4">
        <v>24986</v>
      </c>
      <c r="DO124" s="4">
        <v>3813</v>
      </c>
      <c r="DP124" s="4">
        <v>8848</v>
      </c>
      <c r="DQ124" s="4">
        <v>69668</v>
      </c>
      <c r="DR124" s="4">
        <v>3982</v>
      </c>
      <c r="DS124" s="4">
        <v>7095</v>
      </c>
      <c r="DT124" s="4">
        <v>972</v>
      </c>
      <c r="DU124" s="4">
        <v>11879</v>
      </c>
      <c r="DV124" s="4">
        <v>6034</v>
      </c>
      <c r="DW124" s="4">
        <v>6112</v>
      </c>
      <c r="DX124" s="4">
        <v>16326</v>
      </c>
      <c r="DY124" s="4">
        <v>2454</v>
      </c>
      <c r="DZ124" s="4">
        <v>2807</v>
      </c>
      <c r="EA124" s="4">
        <v>12882</v>
      </c>
      <c r="EB124" s="4">
        <v>6904</v>
      </c>
      <c r="EC124" s="4">
        <v>989</v>
      </c>
      <c r="ED124" s="4">
        <v>1082</v>
      </c>
      <c r="EE124" s="4">
        <v>37683</v>
      </c>
      <c r="EF124" s="4">
        <v>4459</v>
      </c>
      <c r="EG124" s="4">
        <v>14318</v>
      </c>
      <c r="EH124" s="4">
        <v>28568</v>
      </c>
      <c r="EJ124" s="4">
        <f t="shared" si="1"/>
        <v>1754852</v>
      </c>
    </row>
    <row r="125" spans="1:140" x14ac:dyDescent="0.25">
      <c r="A125" s="4" t="s">
        <v>261</v>
      </c>
      <c r="B125" s="4">
        <v>5488</v>
      </c>
      <c r="C125" s="4">
        <v>6139</v>
      </c>
      <c r="D125" s="4">
        <v>224</v>
      </c>
      <c r="E125" s="4">
        <v>2047</v>
      </c>
      <c r="F125" s="4">
        <v>5</v>
      </c>
      <c r="G125" s="4">
        <v>33</v>
      </c>
      <c r="H125" s="4">
        <v>18260</v>
      </c>
      <c r="I125" s="4">
        <v>126</v>
      </c>
      <c r="J125" s="4">
        <v>1773</v>
      </c>
      <c r="K125" s="4">
        <v>68</v>
      </c>
      <c r="L125" s="4">
        <v>1353</v>
      </c>
      <c r="M125" s="4">
        <v>113</v>
      </c>
      <c r="N125" s="4">
        <v>13104</v>
      </c>
      <c r="O125" s="4">
        <v>2275</v>
      </c>
      <c r="P125" s="4">
        <v>3693</v>
      </c>
      <c r="Q125" s="4">
        <v>8999</v>
      </c>
      <c r="R125" s="4">
        <v>31</v>
      </c>
      <c r="S125" s="4">
        <v>2561</v>
      </c>
      <c r="T125" s="4">
        <v>3175</v>
      </c>
      <c r="U125" s="4">
        <v>3174</v>
      </c>
      <c r="V125" s="4">
        <v>8952</v>
      </c>
      <c r="W125" s="4">
        <v>3993</v>
      </c>
      <c r="X125" s="4">
        <v>868</v>
      </c>
      <c r="Y125" s="4">
        <v>788</v>
      </c>
      <c r="Z125" s="4">
        <v>1275</v>
      </c>
      <c r="AA125" s="4">
        <v>617</v>
      </c>
      <c r="AB125" s="4">
        <v>6352</v>
      </c>
      <c r="AC125" s="4">
        <v>891</v>
      </c>
      <c r="AD125" s="4">
        <v>441</v>
      </c>
      <c r="AE125" s="4">
        <v>1875</v>
      </c>
      <c r="AF125" s="4">
        <v>1706</v>
      </c>
      <c r="AG125">
        <v>32181</v>
      </c>
      <c r="AH125" s="4">
        <v>518</v>
      </c>
      <c r="AI125" s="4">
        <v>1508</v>
      </c>
      <c r="AJ125" s="4">
        <v>566</v>
      </c>
      <c r="AK125" s="4">
        <v>2388</v>
      </c>
      <c r="AL125" s="4">
        <v>3459</v>
      </c>
      <c r="AM125" s="4">
        <v>942</v>
      </c>
      <c r="AN125" s="4">
        <v>395</v>
      </c>
      <c r="AO125" s="4">
        <v>11844</v>
      </c>
      <c r="AP125" s="4">
        <v>1016</v>
      </c>
      <c r="AQ125" s="4">
        <v>154</v>
      </c>
      <c r="AR125" s="4">
        <v>3331</v>
      </c>
      <c r="AS125" s="4">
        <v>10894</v>
      </c>
      <c r="AT125" s="4">
        <v>2078</v>
      </c>
      <c r="AU125" s="4">
        <v>3433</v>
      </c>
      <c r="AV125" s="4">
        <v>6836</v>
      </c>
      <c r="AW125" s="4">
        <v>9664</v>
      </c>
      <c r="AX125" s="4">
        <v>38777</v>
      </c>
      <c r="AY125" s="4">
        <v>401</v>
      </c>
      <c r="AZ125" s="4">
        <v>1096</v>
      </c>
      <c r="BA125" s="4">
        <v>19748</v>
      </c>
      <c r="BB125" s="4">
        <v>262</v>
      </c>
      <c r="BC125" s="4">
        <v>2002</v>
      </c>
      <c r="BD125" s="4">
        <v>9534</v>
      </c>
      <c r="BE125" s="4">
        <v>4489</v>
      </c>
      <c r="BF125" s="4">
        <v>2038</v>
      </c>
      <c r="BG125" s="4">
        <v>6484</v>
      </c>
      <c r="BH125" s="4">
        <v>2429</v>
      </c>
      <c r="BI125" s="4">
        <v>35982</v>
      </c>
      <c r="BJ125" s="4">
        <v>5534</v>
      </c>
      <c r="BK125" s="4">
        <v>6879</v>
      </c>
      <c r="BL125" s="4">
        <v>3606</v>
      </c>
      <c r="BM125" s="4">
        <v>6195</v>
      </c>
      <c r="BN125" s="4">
        <v>1231</v>
      </c>
      <c r="BO125" s="4">
        <v>1327</v>
      </c>
      <c r="BP125" s="4">
        <v>29754</v>
      </c>
      <c r="BQ125" s="4">
        <v>2840</v>
      </c>
      <c r="BR125" s="4">
        <v>91173</v>
      </c>
      <c r="BS125" s="4">
        <v>9474</v>
      </c>
      <c r="BT125" s="4">
        <v>10044</v>
      </c>
      <c r="BU125" s="4">
        <v>19516</v>
      </c>
      <c r="BV125" s="4">
        <v>3184</v>
      </c>
      <c r="BW125" s="4">
        <v>15915</v>
      </c>
      <c r="BX125" s="4">
        <v>2712</v>
      </c>
      <c r="BY125" s="4">
        <v>6836</v>
      </c>
      <c r="BZ125" s="4">
        <v>24819</v>
      </c>
      <c r="CA125" s="4">
        <v>2768</v>
      </c>
      <c r="CB125" s="4">
        <v>1056</v>
      </c>
      <c r="CC125" s="4">
        <v>8926</v>
      </c>
      <c r="CD125" s="4">
        <v>3598</v>
      </c>
      <c r="CE125" s="4">
        <v>4518</v>
      </c>
      <c r="CF125" s="4">
        <v>9224</v>
      </c>
      <c r="CG125" s="4">
        <v>121456</v>
      </c>
      <c r="CH125" s="4">
        <v>16312</v>
      </c>
      <c r="CI125" s="4">
        <v>33065</v>
      </c>
      <c r="CJ125" s="4">
        <v>7991</v>
      </c>
      <c r="CK125" s="4">
        <v>17890</v>
      </c>
      <c r="CL125" s="4">
        <v>10838</v>
      </c>
      <c r="CM125" s="4">
        <v>18398</v>
      </c>
      <c r="CN125" s="4">
        <v>51928</v>
      </c>
      <c r="CO125" s="4">
        <v>6622</v>
      </c>
      <c r="CP125" s="4">
        <v>3965</v>
      </c>
      <c r="CQ125" s="4">
        <v>6116</v>
      </c>
      <c r="CR125" s="4">
        <v>7339</v>
      </c>
      <c r="CS125" s="4">
        <v>36351</v>
      </c>
      <c r="CT125" s="4">
        <v>20672</v>
      </c>
      <c r="CU125" s="4">
        <v>2294</v>
      </c>
      <c r="CV125" s="4">
        <v>293609</v>
      </c>
      <c r="CW125" s="4">
        <v>6702</v>
      </c>
      <c r="CX125" s="4">
        <v>2166</v>
      </c>
      <c r="CY125" s="4">
        <v>28338</v>
      </c>
      <c r="CZ125" s="4">
        <v>3085</v>
      </c>
      <c r="DA125" s="4">
        <v>6734</v>
      </c>
      <c r="DB125" s="4">
        <v>14495</v>
      </c>
      <c r="DC125" s="4">
        <v>5116</v>
      </c>
      <c r="DD125" s="4">
        <v>3363</v>
      </c>
      <c r="DE125" s="4">
        <v>2162</v>
      </c>
      <c r="DF125" s="4">
        <v>56396</v>
      </c>
      <c r="DG125" s="4">
        <v>16856</v>
      </c>
      <c r="DH125" s="4">
        <v>19671</v>
      </c>
      <c r="DI125" s="4">
        <v>5380</v>
      </c>
      <c r="DJ125" s="4">
        <v>30308</v>
      </c>
      <c r="DK125" s="4">
        <v>20242</v>
      </c>
      <c r="DL125" s="4">
        <v>11743</v>
      </c>
      <c r="DM125" s="4">
        <v>17378</v>
      </c>
      <c r="DN125" s="4">
        <v>20455</v>
      </c>
      <c r="DO125" s="4">
        <v>3911</v>
      </c>
      <c r="DP125" s="4">
        <v>8417</v>
      </c>
      <c r="DQ125" s="4">
        <v>69286</v>
      </c>
      <c r="DR125" s="4">
        <v>3788</v>
      </c>
      <c r="DS125" s="4">
        <v>7292</v>
      </c>
      <c r="DT125" s="4">
        <v>962</v>
      </c>
      <c r="DU125" s="4">
        <v>11737</v>
      </c>
      <c r="DV125" s="4">
        <v>7776</v>
      </c>
      <c r="DW125" s="4">
        <v>6200</v>
      </c>
      <c r="DX125" s="4">
        <v>15005</v>
      </c>
      <c r="DY125" s="4">
        <v>2581</v>
      </c>
      <c r="DZ125" s="4">
        <v>2869</v>
      </c>
      <c r="EA125" s="4">
        <v>12274</v>
      </c>
      <c r="EB125" s="4">
        <v>7062</v>
      </c>
      <c r="EC125" s="4">
        <v>1062</v>
      </c>
      <c r="ED125" s="4">
        <v>1241</v>
      </c>
      <c r="EE125" s="4">
        <v>37990</v>
      </c>
      <c r="EF125" s="4">
        <v>4492</v>
      </c>
      <c r="EG125" s="4">
        <v>14917</v>
      </c>
      <c r="EH125" s="4">
        <v>26856</v>
      </c>
      <c r="EJ125" s="4">
        <f t="shared" si="1"/>
        <v>1757131</v>
      </c>
    </row>
    <row r="126" spans="1:140" x14ac:dyDescent="0.25">
      <c r="A126" s="4" t="s">
        <v>262</v>
      </c>
      <c r="B126" s="4">
        <v>5521</v>
      </c>
      <c r="C126" s="4">
        <v>6621</v>
      </c>
      <c r="D126" s="4">
        <v>241</v>
      </c>
      <c r="E126" s="4">
        <v>2080</v>
      </c>
      <c r="F126" s="4">
        <v>11</v>
      </c>
      <c r="G126" s="4">
        <v>26</v>
      </c>
      <c r="H126" s="4">
        <v>19858</v>
      </c>
      <c r="I126" s="4">
        <v>110</v>
      </c>
      <c r="J126" s="4">
        <v>1955</v>
      </c>
      <c r="K126" s="4">
        <v>109</v>
      </c>
      <c r="L126" s="4">
        <v>1387</v>
      </c>
      <c r="M126" s="4">
        <v>210</v>
      </c>
      <c r="N126" s="4">
        <v>13746</v>
      </c>
      <c r="O126" s="4">
        <v>2383</v>
      </c>
      <c r="P126" s="4">
        <v>3760</v>
      </c>
      <c r="Q126" s="4">
        <v>9302</v>
      </c>
      <c r="R126" s="4">
        <v>46</v>
      </c>
      <c r="S126" s="4">
        <v>2831</v>
      </c>
      <c r="T126" s="4">
        <v>3334</v>
      </c>
      <c r="U126" s="4">
        <v>3092</v>
      </c>
      <c r="V126" s="4">
        <v>9623</v>
      </c>
      <c r="W126" s="4">
        <v>3544</v>
      </c>
      <c r="X126" s="4">
        <v>898</v>
      </c>
      <c r="Y126" s="4">
        <v>923</v>
      </c>
      <c r="Z126" s="4">
        <v>1771</v>
      </c>
      <c r="AA126" s="4">
        <v>707</v>
      </c>
      <c r="AB126" s="4">
        <v>7177</v>
      </c>
      <c r="AC126" s="4">
        <v>959</v>
      </c>
      <c r="AD126" s="4">
        <v>490</v>
      </c>
      <c r="AE126" s="4">
        <v>2005</v>
      </c>
      <c r="AF126" s="4">
        <v>2001</v>
      </c>
      <c r="AG126">
        <v>33724</v>
      </c>
      <c r="AH126" s="4">
        <v>567</v>
      </c>
      <c r="AI126" s="4">
        <v>1543</v>
      </c>
      <c r="AJ126" s="4">
        <v>503</v>
      </c>
      <c r="AK126" s="4">
        <v>2628</v>
      </c>
      <c r="AL126" s="4">
        <v>3623</v>
      </c>
      <c r="AM126" s="4">
        <v>1046</v>
      </c>
      <c r="AN126" s="4">
        <v>497</v>
      </c>
      <c r="AO126" s="4">
        <v>11931</v>
      </c>
      <c r="AP126" s="4">
        <v>942</v>
      </c>
      <c r="AQ126" s="4">
        <v>175</v>
      </c>
      <c r="AR126" s="4">
        <v>3550</v>
      </c>
      <c r="AS126" s="4">
        <v>8872</v>
      </c>
      <c r="AT126" s="4">
        <v>1373</v>
      </c>
      <c r="AU126" s="4">
        <v>3340</v>
      </c>
      <c r="AV126" s="4">
        <v>5966</v>
      </c>
      <c r="AW126" s="4">
        <v>8564</v>
      </c>
      <c r="AX126" s="4">
        <v>40376</v>
      </c>
      <c r="AY126" s="4">
        <v>342</v>
      </c>
      <c r="AZ126" s="4">
        <v>1106</v>
      </c>
      <c r="BA126" s="4">
        <v>15223</v>
      </c>
      <c r="BB126" s="4">
        <v>1066</v>
      </c>
      <c r="BC126" s="4">
        <v>1441</v>
      </c>
      <c r="BD126" s="4">
        <v>8845</v>
      </c>
      <c r="BE126" s="4">
        <v>4644</v>
      </c>
      <c r="BF126" s="4">
        <v>2342</v>
      </c>
      <c r="BG126" s="4">
        <v>7009</v>
      </c>
      <c r="BH126" s="4">
        <v>2440</v>
      </c>
      <c r="BI126" s="4">
        <v>36260</v>
      </c>
      <c r="BJ126" s="4">
        <v>5813</v>
      </c>
      <c r="BK126" s="4">
        <v>7191</v>
      </c>
      <c r="BL126" s="4">
        <v>3381</v>
      </c>
      <c r="BM126" s="4">
        <v>6437</v>
      </c>
      <c r="BN126" s="4">
        <v>1202</v>
      </c>
      <c r="BO126" s="4">
        <v>1320</v>
      </c>
      <c r="BP126" s="4">
        <v>30577</v>
      </c>
      <c r="BQ126" s="4">
        <v>2913</v>
      </c>
      <c r="BR126" s="4">
        <v>94725</v>
      </c>
      <c r="BS126" s="4">
        <v>10138</v>
      </c>
      <c r="BT126" s="4">
        <v>10311</v>
      </c>
      <c r="BU126" s="4">
        <v>20557</v>
      </c>
      <c r="BV126" s="4">
        <v>3321</v>
      </c>
      <c r="BW126" s="4">
        <v>15748</v>
      </c>
      <c r="BX126" s="4">
        <v>3324</v>
      </c>
      <c r="BY126" s="4">
        <v>9473</v>
      </c>
      <c r="BZ126" s="4">
        <v>25338</v>
      </c>
      <c r="CA126" s="4">
        <v>3088</v>
      </c>
      <c r="CB126" s="4">
        <v>1352</v>
      </c>
      <c r="CC126" s="4">
        <v>9247</v>
      </c>
      <c r="CD126" s="4">
        <v>4083</v>
      </c>
      <c r="CE126" s="4">
        <v>4922</v>
      </c>
      <c r="CF126" s="4">
        <v>9886</v>
      </c>
      <c r="CG126" s="4">
        <v>127325</v>
      </c>
      <c r="CH126" s="4">
        <v>17457</v>
      </c>
      <c r="CI126" s="4">
        <v>31525</v>
      </c>
      <c r="CJ126" s="4">
        <v>8382</v>
      </c>
      <c r="CK126" s="4">
        <v>18044</v>
      </c>
      <c r="CL126" s="4">
        <v>10593</v>
      </c>
      <c r="CM126" s="4">
        <v>18164</v>
      </c>
      <c r="CN126" s="4">
        <v>53021</v>
      </c>
      <c r="CO126" s="4">
        <v>6919</v>
      </c>
      <c r="CP126" s="4">
        <v>4184</v>
      </c>
      <c r="CQ126" s="4">
        <v>4943</v>
      </c>
      <c r="CR126" s="4">
        <v>8366</v>
      </c>
      <c r="CS126" s="4">
        <v>37217</v>
      </c>
      <c r="CT126" s="4">
        <v>22495</v>
      </c>
      <c r="CU126" s="4">
        <v>2276</v>
      </c>
      <c r="CV126" s="4">
        <v>298117</v>
      </c>
      <c r="CW126" s="4">
        <v>6671</v>
      </c>
      <c r="CX126" s="4">
        <v>2193</v>
      </c>
      <c r="CY126" s="4">
        <v>27663</v>
      </c>
      <c r="CZ126" s="4">
        <v>3037</v>
      </c>
      <c r="DA126" s="4">
        <v>7949</v>
      </c>
      <c r="DB126" s="4">
        <v>13929</v>
      </c>
      <c r="DC126" s="4">
        <v>4853</v>
      </c>
      <c r="DD126" s="4">
        <v>3452</v>
      </c>
      <c r="DE126" s="4">
        <v>2409</v>
      </c>
      <c r="DF126" s="4">
        <v>56242</v>
      </c>
      <c r="DG126" s="4">
        <v>16208</v>
      </c>
      <c r="DH126" s="4">
        <v>20207</v>
      </c>
      <c r="DI126" s="4">
        <v>4579</v>
      </c>
      <c r="DJ126" s="4">
        <v>30243</v>
      </c>
      <c r="DK126" s="4">
        <v>19512</v>
      </c>
      <c r="DL126" s="4">
        <v>12490</v>
      </c>
      <c r="DM126" s="4">
        <v>16406</v>
      </c>
      <c r="DN126" s="4">
        <v>18840</v>
      </c>
      <c r="DO126" s="4">
        <v>4054</v>
      </c>
      <c r="DP126" s="4">
        <v>9194</v>
      </c>
      <c r="DQ126" s="4">
        <v>69536</v>
      </c>
      <c r="DR126" s="4">
        <v>4294</v>
      </c>
      <c r="DS126" s="4">
        <v>7563</v>
      </c>
      <c r="DT126" s="4">
        <v>828</v>
      </c>
      <c r="DU126" s="4">
        <v>11803</v>
      </c>
      <c r="DV126" s="4">
        <v>6281</v>
      </c>
      <c r="DW126" s="4">
        <v>5366</v>
      </c>
      <c r="DX126" s="4">
        <v>13373</v>
      </c>
      <c r="DY126" s="4">
        <v>2415</v>
      </c>
      <c r="DZ126" s="4">
        <v>2831</v>
      </c>
      <c r="EA126" s="4">
        <v>13478</v>
      </c>
      <c r="EB126" s="4">
        <v>7173</v>
      </c>
      <c r="EC126" s="4">
        <v>1132</v>
      </c>
      <c r="ED126" s="4">
        <v>1290</v>
      </c>
      <c r="EE126" s="4">
        <v>40613</v>
      </c>
      <c r="EF126" s="4">
        <v>4761</v>
      </c>
      <c r="EG126" s="4">
        <v>14301</v>
      </c>
      <c r="EH126" s="4">
        <v>33552</v>
      </c>
      <c r="EJ126" s="4">
        <f t="shared" si="1"/>
        <v>1790755</v>
      </c>
    </row>
    <row r="127" spans="1:140" x14ac:dyDescent="0.25">
      <c r="A127" s="4" t="s">
        <v>263</v>
      </c>
      <c r="B127" s="4">
        <v>5698</v>
      </c>
      <c r="C127" s="4">
        <v>6031</v>
      </c>
      <c r="D127" s="4">
        <v>190</v>
      </c>
      <c r="E127" s="4">
        <v>2092</v>
      </c>
      <c r="F127" s="4">
        <v>11</v>
      </c>
      <c r="G127" s="4">
        <v>31</v>
      </c>
      <c r="H127" s="4">
        <v>15023</v>
      </c>
      <c r="I127" s="4">
        <v>93</v>
      </c>
      <c r="J127" s="4">
        <v>1760</v>
      </c>
      <c r="K127" s="4">
        <v>108</v>
      </c>
      <c r="L127" s="4">
        <v>1327</v>
      </c>
      <c r="M127" s="4">
        <v>124</v>
      </c>
      <c r="N127" s="4">
        <v>12844</v>
      </c>
      <c r="O127" s="4">
        <v>2180</v>
      </c>
      <c r="P127" s="4">
        <v>3661</v>
      </c>
      <c r="Q127" s="4">
        <v>8696</v>
      </c>
      <c r="R127" s="4">
        <v>30</v>
      </c>
      <c r="S127" s="4">
        <v>2348</v>
      </c>
      <c r="T127" s="4">
        <v>3565</v>
      </c>
      <c r="U127" s="4">
        <v>3030</v>
      </c>
      <c r="V127" s="4">
        <v>9855</v>
      </c>
      <c r="W127" s="4">
        <v>3016</v>
      </c>
      <c r="X127" s="4">
        <v>806</v>
      </c>
      <c r="Y127" s="4">
        <v>850</v>
      </c>
      <c r="Z127" s="4">
        <v>1463</v>
      </c>
      <c r="AA127" s="4">
        <v>766</v>
      </c>
      <c r="AB127" s="4">
        <v>7152</v>
      </c>
      <c r="AC127" s="4">
        <v>1109</v>
      </c>
      <c r="AD127" s="4">
        <v>470</v>
      </c>
      <c r="AE127" s="4">
        <v>1732</v>
      </c>
      <c r="AF127" s="4">
        <v>1484</v>
      </c>
      <c r="AG127">
        <v>32361</v>
      </c>
      <c r="AH127" s="4">
        <v>582</v>
      </c>
      <c r="AI127" s="4">
        <v>1313</v>
      </c>
      <c r="AJ127" s="4">
        <v>444</v>
      </c>
      <c r="AK127" s="4">
        <v>2524</v>
      </c>
      <c r="AL127" s="4">
        <v>3152</v>
      </c>
      <c r="AM127" s="4">
        <v>914</v>
      </c>
      <c r="AN127" s="4">
        <v>328</v>
      </c>
      <c r="AO127" s="4">
        <v>11843</v>
      </c>
      <c r="AP127" s="4">
        <v>756</v>
      </c>
      <c r="AQ127" s="4">
        <v>166</v>
      </c>
      <c r="AR127" s="4">
        <v>3121</v>
      </c>
      <c r="AS127" s="4">
        <v>7186</v>
      </c>
      <c r="AT127" s="4">
        <v>1238</v>
      </c>
      <c r="AU127" s="4">
        <v>3033</v>
      </c>
      <c r="AV127" s="4">
        <v>4912</v>
      </c>
      <c r="AW127" s="4">
        <v>2452</v>
      </c>
      <c r="AX127" s="4">
        <v>31738</v>
      </c>
      <c r="AY127" s="4">
        <v>295</v>
      </c>
      <c r="AZ127" s="4">
        <v>950</v>
      </c>
      <c r="BA127" s="4">
        <v>7859</v>
      </c>
      <c r="BB127" s="4">
        <v>474</v>
      </c>
      <c r="BC127" s="4">
        <v>842</v>
      </c>
      <c r="BD127" s="4">
        <v>8019</v>
      </c>
      <c r="BE127" s="4">
        <v>3991</v>
      </c>
      <c r="BF127" s="4">
        <v>2245</v>
      </c>
      <c r="BG127" s="4">
        <v>6269</v>
      </c>
      <c r="BH127" s="4">
        <v>1955</v>
      </c>
      <c r="BI127" s="4">
        <v>33833</v>
      </c>
      <c r="BJ127" s="4">
        <v>5012</v>
      </c>
      <c r="BK127" s="4">
        <v>7561</v>
      </c>
      <c r="BL127" s="4">
        <v>3744</v>
      </c>
      <c r="BM127" s="4">
        <v>5814</v>
      </c>
      <c r="BN127" s="4">
        <v>1094</v>
      </c>
      <c r="BO127" s="4">
        <v>1263</v>
      </c>
      <c r="BP127" s="4">
        <v>28132</v>
      </c>
      <c r="BQ127" s="4">
        <v>2620</v>
      </c>
      <c r="BR127" s="4">
        <v>81911</v>
      </c>
      <c r="BS127" s="4">
        <v>8887</v>
      </c>
      <c r="BT127" s="4">
        <v>9866</v>
      </c>
      <c r="BU127" s="4">
        <v>20438</v>
      </c>
      <c r="BV127" s="4">
        <v>3364</v>
      </c>
      <c r="BW127" s="4">
        <v>13686</v>
      </c>
      <c r="BX127" s="4">
        <v>3295</v>
      </c>
      <c r="BY127" s="4">
        <v>10934</v>
      </c>
      <c r="BZ127" s="4">
        <v>22896</v>
      </c>
      <c r="CA127" s="4">
        <v>2826</v>
      </c>
      <c r="CB127" s="4">
        <v>1319</v>
      </c>
      <c r="CC127" s="4">
        <v>8322</v>
      </c>
      <c r="CD127" s="4">
        <v>3849</v>
      </c>
      <c r="CE127" s="4">
        <v>4750</v>
      </c>
      <c r="CF127" s="4">
        <v>9317</v>
      </c>
      <c r="CG127" s="4">
        <v>114272</v>
      </c>
      <c r="CH127" s="4">
        <v>16124</v>
      </c>
      <c r="CI127" s="4">
        <v>28332</v>
      </c>
      <c r="CJ127" s="4">
        <v>7545</v>
      </c>
      <c r="CK127" s="4">
        <v>17827</v>
      </c>
      <c r="CL127" s="4">
        <v>9737</v>
      </c>
      <c r="CM127" s="4">
        <v>16402</v>
      </c>
      <c r="CN127" s="4">
        <v>49966</v>
      </c>
      <c r="CO127" s="4">
        <v>6285</v>
      </c>
      <c r="CP127" s="4">
        <v>3924</v>
      </c>
      <c r="CQ127" s="4">
        <v>4907</v>
      </c>
      <c r="CR127" s="4">
        <v>7247</v>
      </c>
      <c r="CS127" s="4">
        <v>34945</v>
      </c>
      <c r="CT127" s="4">
        <v>19781</v>
      </c>
      <c r="CU127" s="4">
        <v>1809</v>
      </c>
      <c r="CV127" s="4">
        <v>263934</v>
      </c>
      <c r="CW127" s="4">
        <v>6431</v>
      </c>
      <c r="CX127" s="4">
        <v>2179</v>
      </c>
      <c r="CY127" s="4">
        <v>25697</v>
      </c>
      <c r="CZ127" s="4">
        <v>3029</v>
      </c>
      <c r="DA127" s="4">
        <v>6691</v>
      </c>
      <c r="DB127" s="4">
        <v>14187</v>
      </c>
      <c r="DC127" s="4">
        <v>4890</v>
      </c>
      <c r="DD127" s="4">
        <v>3453</v>
      </c>
      <c r="DE127" s="4">
        <v>2176</v>
      </c>
      <c r="DF127" s="4">
        <v>52750</v>
      </c>
      <c r="DG127" s="4">
        <v>14017</v>
      </c>
      <c r="DH127" s="4">
        <v>17728</v>
      </c>
      <c r="DI127" s="4">
        <v>3720</v>
      </c>
      <c r="DJ127" s="4">
        <v>26672</v>
      </c>
      <c r="DK127" s="4">
        <v>18323</v>
      </c>
      <c r="DL127" s="4">
        <v>10717</v>
      </c>
      <c r="DM127" s="4">
        <v>14373</v>
      </c>
      <c r="DN127" s="4">
        <v>16694</v>
      </c>
      <c r="DO127" s="4">
        <v>3573</v>
      </c>
      <c r="DP127" s="4">
        <v>8911</v>
      </c>
      <c r="DQ127" s="4">
        <v>62195</v>
      </c>
      <c r="DR127" s="4">
        <v>3613</v>
      </c>
      <c r="DS127" s="4">
        <v>6547</v>
      </c>
      <c r="DT127" s="4">
        <v>1098</v>
      </c>
      <c r="DU127" s="4">
        <v>10318</v>
      </c>
      <c r="DV127" s="4">
        <v>6214</v>
      </c>
      <c r="DW127" s="4">
        <v>5032</v>
      </c>
      <c r="DX127" s="4">
        <v>12909</v>
      </c>
      <c r="DY127" s="4">
        <v>2050</v>
      </c>
      <c r="DZ127" s="4">
        <v>2835</v>
      </c>
      <c r="EA127" s="4">
        <v>12386</v>
      </c>
      <c r="EB127" s="4">
        <v>6556</v>
      </c>
      <c r="EC127" s="4">
        <v>1018</v>
      </c>
      <c r="ED127" s="4">
        <v>1210</v>
      </c>
      <c r="EE127" s="4">
        <v>38517</v>
      </c>
      <c r="EF127" s="4">
        <v>4580</v>
      </c>
      <c r="EG127" s="4">
        <v>12976</v>
      </c>
      <c r="EH127" s="4">
        <v>31502</v>
      </c>
      <c r="EJ127" s="4">
        <f t="shared" si="1"/>
        <v>1614044</v>
      </c>
    </row>
    <row r="128" spans="1:140" x14ac:dyDescent="0.25">
      <c r="A128" s="4" t="s">
        <v>264</v>
      </c>
      <c r="B128" s="4">
        <v>5881</v>
      </c>
      <c r="C128" s="4">
        <v>7420</v>
      </c>
      <c r="D128" s="4">
        <v>295</v>
      </c>
      <c r="E128" s="4">
        <v>2236</v>
      </c>
      <c r="F128" s="4">
        <v>11</v>
      </c>
      <c r="G128" s="4">
        <v>26</v>
      </c>
      <c r="H128" s="4">
        <v>17978</v>
      </c>
      <c r="I128" s="4">
        <v>129</v>
      </c>
      <c r="J128" s="4">
        <v>2234</v>
      </c>
      <c r="K128" s="4">
        <v>112</v>
      </c>
      <c r="L128" s="4">
        <v>1428</v>
      </c>
      <c r="M128" s="4">
        <v>164</v>
      </c>
      <c r="N128" s="4">
        <v>12331</v>
      </c>
      <c r="O128" s="4">
        <v>2139</v>
      </c>
      <c r="P128" s="4">
        <v>3582</v>
      </c>
      <c r="Q128" s="4">
        <v>9150</v>
      </c>
      <c r="R128" s="4">
        <v>14</v>
      </c>
      <c r="S128" s="4">
        <v>2675</v>
      </c>
      <c r="T128" s="4">
        <v>3393</v>
      </c>
      <c r="U128" s="4">
        <v>3350</v>
      </c>
      <c r="V128" s="4">
        <v>10023</v>
      </c>
      <c r="W128" s="4">
        <v>3629</v>
      </c>
      <c r="X128" s="4">
        <v>885</v>
      </c>
      <c r="Y128" s="4">
        <v>962</v>
      </c>
      <c r="Z128" s="4">
        <v>1240</v>
      </c>
      <c r="AA128" s="4">
        <v>795</v>
      </c>
      <c r="AB128" s="4">
        <v>7006</v>
      </c>
      <c r="AC128" s="4">
        <v>945</v>
      </c>
      <c r="AD128" s="4">
        <v>518</v>
      </c>
      <c r="AE128" s="4">
        <v>2007</v>
      </c>
      <c r="AF128" s="4">
        <v>2083</v>
      </c>
      <c r="AG128">
        <v>34427</v>
      </c>
      <c r="AH128" s="4">
        <v>579</v>
      </c>
      <c r="AI128" s="4">
        <v>1486</v>
      </c>
      <c r="AJ128" s="4">
        <v>530</v>
      </c>
      <c r="AK128" s="4">
        <v>2576</v>
      </c>
      <c r="AL128" s="4">
        <v>3383</v>
      </c>
      <c r="AM128" s="4">
        <v>861</v>
      </c>
      <c r="AN128" s="4">
        <v>378</v>
      </c>
      <c r="AO128" s="4">
        <v>12798</v>
      </c>
      <c r="AP128" s="4">
        <v>1122</v>
      </c>
      <c r="AQ128" s="4">
        <v>175</v>
      </c>
      <c r="AR128" s="4">
        <v>3899</v>
      </c>
      <c r="AS128" s="4">
        <v>8594</v>
      </c>
      <c r="AT128" s="4">
        <v>1405</v>
      </c>
      <c r="AU128" s="4">
        <v>3402</v>
      </c>
      <c r="AV128" s="4">
        <v>5677</v>
      </c>
      <c r="AW128" s="4">
        <v>2528</v>
      </c>
      <c r="AX128" s="4">
        <v>36308</v>
      </c>
      <c r="AY128" s="4">
        <v>347</v>
      </c>
      <c r="AZ128" s="4">
        <v>1121</v>
      </c>
      <c r="BA128" s="4">
        <v>7902</v>
      </c>
      <c r="BB128" s="4">
        <v>281</v>
      </c>
      <c r="BC128" s="4">
        <v>970</v>
      </c>
      <c r="BD128" s="4">
        <v>8960</v>
      </c>
      <c r="BE128" s="4">
        <v>3906</v>
      </c>
      <c r="BF128" s="4">
        <v>2552</v>
      </c>
      <c r="BG128" s="4">
        <v>7796</v>
      </c>
      <c r="BH128" s="4">
        <v>2203</v>
      </c>
      <c r="BI128" s="4">
        <v>36835</v>
      </c>
      <c r="BJ128" s="4">
        <v>5078</v>
      </c>
      <c r="BK128" s="4">
        <v>9381</v>
      </c>
      <c r="BL128" s="4">
        <v>3909</v>
      </c>
      <c r="BM128" s="4">
        <v>6745</v>
      </c>
      <c r="BN128" s="4">
        <v>1531</v>
      </c>
      <c r="BO128" s="4">
        <v>1299</v>
      </c>
      <c r="BP128" s="4">
        <v>30518</v>
      </c>
      <c r="BQ128" s="4">
        <v>2940</v>
      </c>
      <c r="BR128" s="4">
        <v>92297</v>
      </c>
      <c r="BS128" s="4">
        <v>10263</v>
      </c>
      <c r="BT128" s="4">
        <v>11922</v>
      </c>
      <c r="BU128" s="4">
        <v>26048</v>
      </c>
      <c r="BV128" s="4">
        <v>4013</v>
      </c>
      <c r="BW128" s="4">
        <v>16688</v>
      </c>
      <c r="BX128" s="4">
        <v>3308</v>
      </c>
      <c r="BY128" s="4">
        <v>7635</v>
      </c>
      <c r="BZ128" s="4">
        <v>25028</v>
      </c>
      <c r="CA128" s="4">
        <v>3282</v>
      </c>
      <c r="CB128" s="4">
        <v>1454</v>
      </c>
      <c r="CC128" s="4">
        <v>8393</v>
      </c>
      <c r="CD128" s="4">
        <v>4136</v>
      </c>
      <c r="CE128" s="4">
        <v>5005</v>
      </c>
      <c r="CF128" s="4">
        <v>8765</v>
      </c>
      <c r="CG128" s="4">
        <v>130240</v>
      </c>
      <c r="CH128" s="4">
        <v>16813</v>
      </c>
      <c r="CI128" s="4">
        <v>29827</v>
      </c>
      <c r="CJ128" s="4">
        <v>7845</v>
      </c>
      <c r="CK128" s="4">
        <v>17491</v>
      </c>
      <c r="CL128" s="4">
        <v>10097</v>
      </c>
      <c r="CM128" s="4">
        <v>16810</v>
      </c>
      <c r="CN128" s="4">
        <v>49473</v>
      </c>
      <c r="CO128" s="4">
        <v>6542</v>
      </c>
      <c r="CP128" s="4">
        <v>4002</v>
      </c>
      <c r="CQ128" s="4">
        <v>4948</v>
      </c>
      <c r="CR128" s="4">
        <v>7678</v>
      </c>
      <c r="CS128" s="4">
        <v>35041</v>
      </c>
      <c r="CT128" s="4">
        <v>20103</v>
      </c>
      <c r="CU128" s="4">
        <v>2045</v>
      </c>
      <c r="CV128" s="4">
        <v>277207</v>
      </c>
      <c r="CW128" s="4">
        <v>6414</v>
      </c>
      <c r="CX128" s="4">
        <v>2341</v>
      </c>
      <c r="CY128" s="4">
        <v>27584</v>
      </c>
      <c r="CZ128" s="4">
        <v>3095</v>
      </c>
      <c r="DA128" s="4">
        <v>7284</v>
      </c>
      <c r="DB128" s="4">
        <v>14565</v>
      </c>
      <c r="DC128" s="4">
        <v>5301</v>
      </c>
      <c r="DD128" s="4">
        <v>3291</v>
      </c>
      <c r="DE128" s="4">
        <v>2658</v>
      </c>
      <c r="DF128" s="4">
        <v>57705</v>
      </c>
      <c r="DG128" s="4">
        <v>15602</v>
      </c>
      <c r="DH128" s="4">
        <v>19403</v>
      </c>
      <c r="DI128" s="4">
        <v>3803</v>
      </c>
      <c r="DJ128" s="4">
        <v>29515</v>
      </c>
      <c r="DK128" s="4">
        <v>20533</v>
      </c>
      <c r="DL128" s="4">
        <v>12312</v>
      </c>
      <c r="DM128" s="4">
        <v>16059</v>
      </c>
      <c r="DN128" s="4">
        <v>19349</v>
      </c>
      <c r="DO128" s="4">
        <v>3739</v>
      </c>
      <c r="DP128" s="4">
        <v>10322</v>
      </c>
      <c r="DQ128" s="4">
        <v>65368</v>
      </c>
      <c r="DR128" s="4">
        <v>3492</v>
      </c>
      <c r="DS128" s="4">
        <v>7026</v>
      </c>
      <c r="DT128" s="4">
        <v>1084</v>
      </c>
      <c r="DU128" s="4">
        <v>11598</v>
      </c>
      <c r="DV128" s="4">
        <v>5861</v>
      </c>
      <c r="DW128" s="4">
        <v>5592</v>
      </c>
      <c r="DX128" s="4">
        <v>13468</v>
      </c>
      <c r="DY128" s="4">
        <v>2224</v>
      </c>
      <c r="DZ128" s="4">
        <v>2797</v>
      </c>
      <c r="EA128" s="4">
        <v>13402</v>
      </c>
      <c r="EB128" s="4">
        <v>6379</v>
      </c>
      <c r="EC128" s="4">
        <v>1024</v>
      </c>
      <c r="ED128" s="4">
        <v>1269</v>
      </c>
      <c r="EE128" s="4">
        <v>39816</v>
      </c>
      <c r="EF128" s="4">
        <v>4480</v>
      </c>
      <c r="EG128" s="4">
        <v>13899</v>
      </c>
      <c r="EH128" s="4">
        <v>31905</v>
      </c>
      <c r="EJ128" s="4">
        <f t="shared" si="1"/>
        <v>1735001</v>
      </c>
    </row>
    <row r="129" spans="1:140" x14ac:dyDescent="0.25">
      <c r="A129" s="4" t="s">
        <v>265</v>
      </c>
      <c r="B129" s="4">
        <v>5703</v>
      </c>
      <c r="C129" s="4">
        <v>6951</v>
      </c>
      <c r="D129" s="4">
        <v>293</v>
      </c>
      <c r="E129" s="4">
        <v>1980</v>
      </c>
      <c r="F129" s="4">
        <v>8</v>
      </c>
      <c r="G129" s="4">
        <v>41</v>
      </c>
      <c r="H129" s="4">
        <v>16529</v>
      </c>
      <c r="I129" s="4">
        <v>108</v>
      </c>
      <c r="J129" s="4">
        <v>1547</v>
      </c>
      <c r="K129" s="4">
        <v>72</v>
      </c>
      <c r="L129" s="4">
        <v>1477</v>
      </c>
      <c r="M129" s="4">
        <v>121</v>
      </c>
      <c r="N129" s="4">
        <v>13074</v>
      </c>
      <c r="O129" s="4">
        <v>2182</v>
      </c>
      <c r="P129" s="4">
        <v>4829</v>
      </c>
      <c r="Q129" s="4">
        <v>9651</v>
      </c>
      <c r="R129" s="4">
        <v>15</v>
      </c>
      <c r="S129" s="4">
        <v>2361</v>
      </c>
      <c r="T129" s="4">
        <v>3245</v>
      </c>
      <c r="U129" s="4">
        <v>3354</v>
      </c>
      <c r="V129" s="4">
        <v>9078</v>
      </c>
      <c r="W129" s="4">
        <v>3394</v>
      </c>
      <c r="X129" s="4">
        <v>794</v>
      </c>
      <c r="Y129" s="4">
        <v>932</v>
      </c>
      <c r="Z129" s="4">
        <v>1477</v>
      </c>
      <c r="AA129" s="4">
        <v>665</v>
      </c>
      <c r="AB129" s="4">
        <v>7491</v>
      </c>
      <c r="AC129" s="4">
        <v>837</v>
      </c>
      <c r="AD129" s="4">
        <v>587</v>
      </c>
      <c r="AE129" s="4">
        <v>1764</v>
      </c>
      <c r="AF129" s="4">
        <v>1730</v>
      </c>
      <c r="AG129">
        <v>31347</v>
      </c>
      <c r="AH129" s="4">
        <v>610</v>
      </c>
      <c r="AI129" s="4">
        <v>1351</v>
      </c>
      <c r="AJ129" s="4">
        <v>522</v>
      </c>
      <c r="AK129" s="4">
        <v>2488</v>
      </c>
      <c r="AL129" s="4">
        <v>3158</v>
      </c>
      <c r="AM129" s="4">
        <v>873</v>
      </c>
      <c r="AN129" s="4">
        <v>347</v>
      </c>
      <c r="AO129" s="4">
        <v>12014</v>
      </c>
      <c r="AP129" s="4">
        <v>864</v>
      </c>
      <c r="AQ129" s="4">
        <v>202</v>
      </c>
      <c r="AR129" s="4">
        <v>3653</v>
      </c>
      <c r="AS129" s="4">
        <v>8537</v>
      </c>
      <c r="AT129" s="4">
        <v>1387</v>
      </c>
      <c r="AU129" s="4">
        <v>3306</v>
      </c>
      <c r="AV129" s="4">
        <v>4755</v>
      </c>
      <c r="AW129" s="4">
        <v>2424</v>
      </c>
      <c r="AX129" s="4">
        <v>31491</v>
      </c>
      <c r="AY129" s="4">
        <v>298</v>
      </c>
      <c r="AZ129" s="4">
        <v>1020</v>
      </c>
      <c r="BA129" s="4">
        <v>7094</v>
      </c>
      <c r="BB129" s="4">
        <v>254</v>
      </c>
      <c r="BC129" s="4">
        <v>941</v>
      </c>
      <c r="BD129" s="4">
        <v>8264</v>
      </c>
      <c r="BE129" s="4">
        <v>3871</v>
      </c>
      <c r="BF129" s="4">
        <v>2486</v>
      </c>
      <c r="BG129" s="4">
        <v>7750</v>
      </c>
      <c r="BH129" s="4">
        <v>1920</v>
      </c>
      <c r="BI129" s="4">
        <v>34701</v>
      </c>
      <c r="BJ129" s="4">
        <v>4841</v>
      </c>
      <c r="BK129" s="4">
        <v>7241</v>
      </c>
      <c r="BL129" s="4">
        <v>4034</v>
      </c>
      <c r="BM129" s="4">
        <v>6355</v>
      </c>
      <c r="BN129" s="4">
        <v>1988</v>
      </c>
      <c r="BO129" s="4">
        <v>1178</v>
      </c>
      <c r="BP129" s="4">
        <v>30377</v>
      </c>
      <c r="BQ129" s="4">
        <v>2834</v>
      </c>
      <c r="BR129" s="4">
        <v>85012</v>
      </c>
      <c r="BS129" s="4">
        <v>8986</v>
      </c>
      <c r="BT129" s="4">
        <v>11983</v>
      </c>
      <c r="BU129" s="4">
        <v>26867</v>
      </c>
      <c r="BV129" s="4">
        <v>3783</v>
      </c>
      <c r="BW129" s="4">
        <v>14821</v>
      </c>
      <c r="BX129" s="4">
        <v>2924</v>
      </c>
      <c r="BY129" s="4">
        <v>7299</v>
      </c>
      <c r="BZ129" s="4">
        <v>24075</v>
      </c>
      <c r="CA129" s="4">
        <v>3113</v>
      </c>
      <c r="CB129" s="4">
        <v>1176</v>
      </c>
      <c r="CC129" s="4">
        <v>8035</v>
      </c>
      <c r="CD129" s="4">
        <v>3874</v>
      </c>
      <c r="CE129" s="4">
        <v>4745</v>
      </c>
      <c r="CF129" s="4">
        <v>8673</v>
      </c>
      <c r="CG129" s="4">
        <v>117883</v>
      </c>
      <c r="CH129" s="4">
        <v>14910</v>
      </c>
      <c r="CI129" s="4">
        <v>27780</v>
      </c>
      <c r="CJ129" s="4">
        <v>6791</v>
      </c>
      <c r="CK129" s="4">
        <v>16305</v>
      </c>
      <c r="CL129" s="4">
        <v>9478</v>
      </c>
      <c r="CM129" s="4">
        <v>16580</v>
      </c>
      <c r="CN129" s="4">
        <v>48479</v>
      </c>
      <c r="CO129" s="4">
        <v>5771</v>
      </c>
      <c r="CP129" s="4">
        <v>4338</v>
      </c>
      <c r="CQ129" s="4">
        <v>4864</v>
      </c>
      <c r="CR129" s="4">
        <v>6979</v>
      </c>
      <c r="CS129" s="4">
        <v>34647</v>
      </c>
      <c r="CT129" s="4">
        <v>19396</v>
      </c>
      <c r="CU129" s="4">
        <v>1733</v>
      </c>
      <c r="CV129" s="4">
        <v>271507</v>
      </c>
      <c r="CW129" s="4">
        <v>6120</v>
      </c>
      <c r="CX129" s="4">
        <v>2188</v>
      </c>
      <c r="CY129" s="4">
        <v>26708</v>
      </c>
      <c r="CZ129" s="4">
        <v>3222</v>
      </c>
      <c r="DA129" s="4">
        <v>6469</v>
      </c>
      <c r="DB129" s="4">
        <v>14329</v>
      </c>
      <c r="DC129" s="4">
        <v>5250</v>
      </c>
      <c r="DD129" s="4">
        <v>2872</v>
      </c>
      <c r="DE129" s="4">
        <v>2325</v>
      </c>
      <c r="DF129" s="4">
        <v>53953</v>
      </c>
      <c r="DG129" s="4">
        <v>14599</v>
      </c>
      <c r="DH129" s="4">
        <v>18407</v>
      </c>
      <c r="DI129" s="4">
        <v>3763</v>
      </c>
      <c r="DJ129" s="4">
        <v>27778</v>
      </c>
      <c r="DK129" s="4">
        <v>18653</v>
      </c>
      <c r="DL129" s="4">
        <v>11352</v>
      </c>
      <c r="DM129" s="4">
        <v>15192</v>
      </c>
      <c r="DN129" s="4">
        <v>16915</v>
      </c>
      <c r="DO129" s="4">
        <v>3493</v>
      </c>
      <c r="DP129" s="4">
        <v>10825</v>
      </c>
      <c r="DQ129" s="4">
        <v>64837</v>
      </c>
      <c r="DR129" s="4">
        <v>3274</v>
      </c>
      <c r="DS129" s="4">
        <v>6187</v>
      </c>
      <c r="DT129" s="4">
        <v>958</v>
      </c>
      <c r="DU129" s="4">
        <v>10838</v>
      </c>
      <c r="DV129" s="4">
        <v>5262</v>
      </c>
      <c r="DW129" s="4">
        <v>5477</v>
      </c>
      <c r="DX129" s="4">
        <v>13845</v>
      </c>
      <c r="DY129" s="4">
        <v>2168</v>
      </c>
      <c r="DZ129" s="4">
        <v>2605</v>
      </c>
      <c r="EA129" s="4">
        <v>12112</v>
      </c>
      <c r="EB129" s="4">
        <v>6701</v>
      </c>
      <c r="EC129" s="4">
        <v>1056</v>
      </c>
      <c r="ED129" s="4">
        <v>1028</v>
      </c>
      <c r="EE129" s="4">
        <v>38083</v>
      </c>
      <c r="EF129" s="4">
        <v>3836</v>
      </c>
      <c r="EG129" s="4">
        <v>13797</v>
      </c>
      <c r="EH129" s="4">
        <v>29043</v>
      </c>
      <c r="EJ129" s="4">
        <f t="shared" si="1"/>
        <v>1647393</v>
      </c>
    </row>
    <row r="130" spans="1:140" x14ac:dyDescent="0.25">
      <c r="A130" s="4" t="s">
        <v>266</v>
      </c>
      <c r="B130" s="4">
        <v>6344</v>
      </c>
      <c r="C130" s="4">
        <v>6628</v>
      </c>
      <c r="D130" s="4">
        <v>297</v>
      </c>
      <c r="E130" s="4">
        <v>2057</v>
      </c>
      <c r="F130" s="4">
        <v>10</v>
      </c>
      <c r="G130" s="4">
        <v>27</v>
      </c>
      <c r="H130" s="4">
        <v>16435</v>
      </c>
      <c r="I130" s="4">
        <v>118</v>
      </c>
      <c r="J130" s="4">
        <v>1594</v>
      </c>
      <c r="K130" s="4">
        <v>62</v>
      </c>
      <c r="L130" s="4">
        <v>1598</v>
      </c>
      <c r="M130" s="4">
        <v>145</v>
      </c>
      <c r="N130" s="4">
        <v>13634</v>
      </c>
      <c r="O130" s="4">
        <v>2215</v>
      </c>
      <c r="P130" s="4">
        <v>2866</v>
      </c>
      <c r="Q130" s="4">
        <v>8715</v>
      </c>
      <c r="R130" s="4">
        <v>16</v>
      </c>
      <c r="S130" s="4">
        <v>2463</v>
      </c>
      <c r="T130" s="4">
        <v>3434</v>
      </c>
      <c r="U130" s="4">
        <v>3515</v>
      </c>
      <c r="V130" s="4">
        <v>8119</v>
      </c>
      <c r="W130" s="4">
        <v>3197</v>
      </c>
      <c r="X130" s="4">
        <v>783</v>
      </c>
      <c r="Y130" s="4">
        <v>783</v>
      </c>
      <c r="Z130" s="4">
        <v>1323</v>
      </c>
      <c r="AA130" s="4">
        <v>685</v>
      </c>
      <c r="AB130" s="4">
        <v>7999</v>
      </c>
      <c r="AC130" s="4">
        <v>1258</v>
      </c>
      <c r="AD130" s="4">
        <v>601</v>
      </c>
      <c r="AE130" s="4">
        <v>1981</v>
      </c>
      <c r="AF130" s="4">
        <v>1532</v>
      </c>
      <c r="AG130">
        <v>32176</v>
      </c>
      <c r="AH130" s="4">
        <v>549</v>
      </c>
      <c r="AI130" s="4">
        <v>1616</v>
      </c>
      <c r="AJ130" s="4">
        <v>420</v>
      </c>
      <c r="AK130" s="4">
        <v>2238</v>
      </c>
      <c r="AL130" s="4">
        <v>2997</v>
      </c>
      <c r="AM130" s="4">
        <v>809</v>
      </c>
      <c r="AN130" s="4">
        <v>471</v>
      </c>
      <c r="AO130" s="4">
        <v>9844</v>
      </c>
      <c r="AP130" s="4">
        <v>842</v>
      </c>
      <c r="AQ130" s="4">
        <v>181</v>
      </c>
      <c r="AR130" s="4">
        <v>3187</v>
      </c>
      <c r="AS130" s="4">
        <v>7880</v>
      </c>
      <c r="AT130" s="4">
        <v>1232</v>
      </c>
      <c r="AU130" s="4">
        <v>3509</v>
      </c>
      <c r="AV130" s="4">
        <v>4756</v>
      </c>
      <c r="AW130" s="4">
        <v>2697</v>
      </c>
      <c r="AX130" s="4">
        <v>30921</v>
      </c>
      <c r="AY130" s="4">
        <v>214</v>
      </c>
      <c r="AZ130" s="4">
        <v>1031</v>
      </c>
      <c r="BA130" s="4">
        <v>7677</v>
      </c>
      <c r="BB130" s="4">
        <v>177</v>
      </c>
      <c r="BC130" s="4">
        <v>943</v>
      </c>
      <c r="BD130" s="4">
        <v>8221</v>
      </c>
      <c r="BE130" s="4">
        <v>4628</v>
      </c>
      <c r="BF130" s="4">
        <v>3054</v>
      </c>
      <c r="BG130" s="4">
        <v>6400</v>
      </c>
      <c r="BH130" s="4">
        <v>2791</v>
      </c>
      <c r="BI130" s="4">
        <v>37128</v>
      </c>
      <c r="BJ130" s="4">
        <v>4801</v>
      </c>
      <c r="BK130" s="4">
        <v>6797</v>
      </c>
      <c r="BL130" s="4">
        <v>3857</v>
      </c>
      <c r="BM130" s="4">
        <v>6484</v>
      </c>
      <c r="BN130" s="4">
        <v>1724</v>
      </c>
      <c r="BO130" s="4">
        <v>1195</v>
      </c>
      <c r="BP130" s="4">
        <v>32189</v>
      </c>
      <c r="BQ130" s="4">
        <v>2792</v>
      </c>
      <c r="BR130" s="4">
        <v>84224</v>
      </c>
      <c r="BS130" s="4">
        <v>9306</v>
      </c>
      <c r="BT130" s="4">
        <v>11627</v>
      </c>
      <c r="BU130" s="4">
        <v>25589</v>
      </c>
      <c r="BV130" s="4">
        <v>3792</v>
      </c>
      <c r="BW130" s="4">
        <v>15561</v>
      </c>
      <c r="BX130" s="4">
        <v>2666</v>
      </c>
      <c r="BY130" s="4">
        <v>6023</v>
      </c>
      <c r="BZ130" s="4">
        <v>22425</v>
      </c>
      <c r="CA130" s="4">
        <v>3253</v>
      </c>
      <c r="CB130" s="4">
        <v>1160</v>
      </c>
      <c r="CC130" s="4">
        <v>8803</v>
      </c>
      <c r="CD130" s="4">
        <v>3760</v>
      </c>
      <c r="CE130" s="4">
        <v>4696</v>
      </c>
      <c r="CF130" s="4">
        <v>7829</v>
      </c>
      <c r="CG130" s="4">
        <v>116438</v>
      </c>
      <c r="CH130" s="4">
        <v>15674</v>
      </c>
      <c r="CI130" s="4">
        <v>30178</v>
      </c>
      <c r="CJ130" s="4">
        <v>7108</v>
      </c>
      <c r="CK130" s="4">
        <v>17489</v>
      </c>
      <c r="CL130" s="4">
        <v>10503</v>
      </c>
      <c r="CM130" s="4">
        <v>16372</v>
      </c>
      <c r="CN130" s="4">
        <v>47888</v>
      </c>
      <c r="CO130" s="4">
        <v>6288</v>
      </c>
      <c r="CP130" s="4">
        <v>4002</v>
      </c>
      <c r="CQ130" s="4">
        <v>4845</v>
      </c>
      <c r="CR130" s="4">
        <v>7665</v>
      </c>
      <c r="CS130" s="4">
        <v>33593</v>
      </c>
      <c r="CT130" s="4">
        <v>20287</v>
      </c>
      <c r="CU130" s="4">
        <v>1790</v>
      </c>
      <c r="CV130" s="4">
        <v>270439</v>
      </c>
      <c r="CW130" s="4">
        <v>6045</v>
      </c>
      <c r="CX130" s="4">
        <v>2267</v>
      </c>
      <c r="CY130" s="4">
        <v>27449</v>
      </c>
      <c r="CZ130" s="4">
        <v>2884</v>
      </c>
      <c r="DA130" s="4">
        <v>6645</v>
      </c>
      <c r="DB130" s="4">
        <v>14127</v>
      </c>
      <c r="DC130" s="4">
        <v>5264</v>
      </c>
      <c r="DD130" s="4">
        <v>3133</v>
      </c>
      <c r="DE130" s="4">
        <v>2449</v>
      </c>
      <c r="DF130" s="4">
        <v>50959</v>
      </c>
      <c r="DG130" s="4">
        <v>15192</v>
      </c>
      <c r="DH130" s="4">
        <v>18031</v>
      </c>
      <c r="DI130" s="4">
        <v>3983</v>
      </c>
      <c r="DJ130" s="4">
        <v>26792</v>
      </c>
      <c r="DK130" s="4">
        <v>20076</v>
      </c>
      <c r="DL130" s="4">
        <v>11521</v>
      </c>
      <c r="DM130" s="4">
        <v>14877</v>
      </c>
      <c r="DN130" s="4">
        <v>16866</v>
      </c>
      <c r="DO130" s="4">
        <v>3415</v>
      </c>
      <c r="DP130" s="4">
        <v>10785</v>
      </c>
      <c r="DQ130" s="4">
        <v>63090</v>
      </c>
      <c r="DR130" s="4">
        <v>3099</v>
      </c>
      <c r="DS130" s="4">
        <v>5961</v>
      </c>
      <c r="DT130" s="4">
        <v>942</v>
      </c>
      <c r="DU130" s="4">
        <v>11062</v>
      </c>
      <c r="DV130" s="4">
        <v>5496</v>
      </c>
      <c r="DW130" s="4">
        <v>5562</v>
      </c>
      <c r="DX130" s="4">
        <v>13561</v>
      </c>
      <c r="DY130" s="4">
        <v>2331</v>
      </c>
      <c r="DZ130" s="4">
        <v>2887</v>
      </c>
      <c r="EA130" s="4">
        <v>12649</v>
      </c>
      <c r="EB130" s="4">
        <v>7055</v>
      </c>
      <c r="EC130" s="4">
        <v>1033</v>
      </c>
      <c r="ED130" s="4">
        <v>1193</v>
      </c>
      <c r="EE130" s="4">
        <v>39577</v>
      </c>
      <c r="EF130" s="4">
        <v>4628</v>
      </c>
      <c r="EG130" s="4">
        <v>13952</v>
      </c>
      <c r="EH130" s="4">
        <v>29671</v>
      </c>
      <c r="EJ130" s="4">
        <f t="shared" si="1"/>
        <v>1646644</v>
      </c>
    </row>
    <row r="131" spans="1:140" x14ac:dyDescent="0.25">
      <c r="A131" s="4" t="s">
        <v>267</v>
      </c>
      <c r="B131" s="4">
        <v>6433</v>
      </c>
      <c r="C131" s="4">
        <v>7281</v>
      </c>
      <c r="D131" s="4">
        <v>378</v>
      </c>
      <c r="E131" s="4">
        <v>2305</v>
      </c>
      <c r="F131" s="4">
        <v>8</v>
      </c>
      <c r="G131" s="4">
        <v>56</v>
      </c>
      <c r="H131" s="4">
        <v>18346</v>
      </c>
      <c r="I131" s="4">
        <v>145</v>
      </c>
      <c r="J131" s="4">
        <v>2144</v>
      </c>
      <c r="K131" s="4">
        <v>110</v>
      </c>
      <c r="L131" s="4">
        <v>1476</v>
      </c>
      <c r="M131" s="4">
        <v>139</v>
      </c>
      <c r="N131" s="4">
        <v>13486</v>
      </c>
      <c r="O131" s="4">
        <v>2708</v>
      </c>
      <c r="P131" s="4">
        <v>4487</v>
      </c>
      <c r="Q131" s="4">
        <v>11371</v>
      </c>
      <c r="R131" s="4">
        <v>32</v>
      </c>
      <c r="S131" s="4">
        <v>2676</v>
      </c>
      <c r="T131" s="4">
        <v>3234</v>
      </c>
      <c r="U131" s="4">
        <v>3835</v>
      </c>
      <c r="V131" s="4">
        <v>12820</v>
      </c>
      <c r="W131" s="4">
        <v>3149</v>
      </c>
      <c r="X131" s="4">
        <v>769</v>
      </c>
      <c r="Y131" s="4">
        <v>771</v>
      </c>
      <c r="Z131" s="4">
        <v>1527</v>
      </c>
      <c r="AA131" s="4">
        <v>653</v>
      </c>
      <c r="AB131" s="4">
        <v>6506</v>
      </c>
      <c r="AC131" s="4">
        <v>1099</v>
      </c>
      <c r="AD131" s="4">
        <v>653</v>
      </c>
      <c r="AE131" s="4">
        <v>2071</v>
      </c>
      <c r="AF131" s="4">
        <v>1994</v>
      </c>
      <c r="AG131">
        <v>34760</v>
      </c>
      <c r="AH131" s="4">
        <v>603</v>
      </c>
      <c r="AI131" s="4">
        <v>1593</v>
      </c>
      <c r="AJ131" s="4">
        <v>471</v>
      </c>
      <c r="AK131" s="4">
        <v>2542</v>
      </c>
      <c r="AL131" s="4">
        <v>3158</v>
      </c>
      <c r="AM131" s="4">
        <v>935</v>
      </c>
      <c r="AN131" s="4">
        <v>414</v>
      </c>
      <c r="AO131" s="4">
        <v>11705</v>
      </c>
      <c r="AP131" s="4">
        <v>1043</v>
      </c>
      <c r="AQ131" s="4">
        <v>151</v>
      </c>
      <c r="AR131" s="4">
        <v>3046</v>
      </c>
      <c r="AS131" s="4">
        <v>8667</v>
      </c>
      <c r="AT131" s="4">
        <v>1251</v>
      </c>
      <c r="AU131" s="4">
        <v>5524</v>
      </c>
      <c r="AV131" s="4">
        <v>5515</v>
      </c>
      <c r="AW131" s="4">
        <v>3236</v>
      </c>
      <c r="AX131" s="4">
        <v>36687</v>
      </c>
      <c r="AY131" s="4">
        <v>286</v>
      </c>
      <c r="AZ131" s="4">
        <v>916</v>
      </c>
      <c r="BA131" s="4">
        <v>7829</v>
      </c>
      <c r="BB131" s="4">
        <v>232</v>
      </c>
      <c r="BC131" s="4">
        <v>1058</v>
      </c>
      <c r="BD131" s="4">
        <v>9013</v>
      </c>
      <c r="BE131" s="4">
        <v>4795</v>
      </c>
      <c r="BF131" s="4">
        <v>3152</v>
      </c>
      <c r="BG131" s="4">
        <v>7439</v>
      </c>
      <c r="BH131" s="4">
        <v>2016</v>
      </c>
      <c r="BI131" s="4">
        <v>39696</v>
      </c>
      <c r="BJ131" s="4">
        <v>5959</v>
      </c>
      <c r="BK131" s="4">
        <v>7510</v>
      </c>
      <c r="BL131" s="4">
        <v>3746</v>
      </c>
      <c r="BM131" s="4">
        <v>6744</v>
      </c>
      <c r="BN131" s="4">
        <v>1495</v>
      </c>
      <c r="BO131" s="4">
        <v>1298</v>
      </c>
      <c r="BP131" s="4">
        <v>30623</v>
      </c>
      <c r="BQ131" s="4">
        <v>3431</v>
      </c>
      <c r="BR131" s="4">
        <v>89564</v>
      </c>
      <c r="BS131" s="4">
        <v>9331</v>
      </c>
      <c r="BT131" s="4">
        <v>9560</v>
      </c>
      <c r="BU131" s="4">
        <v>21337</v>
      </c>
      <c r="BV131" s="4">
        <v>3334</v>
      </c>
      <c r="BW131" s="4">
        <v>14589</v>
      </c>
      <c r="BX131" s="4">
        <v>2688</v>
      </c>
      <c r="BY131" s="4">
        <v>5936</v>
      </c>
      <c r="BZ131" s="4">
        <v>23718</v>
      </c>
      <c r="CA131" s="4">
        <v>3442</v>
      </c>
      <c r="CB131" s="4">
        <v>1457</v>
      </c>
      <c r="CC131" s="4">
        <v>10994</v>
      </c>
      <c r="CD131" s="4">
        <v>3905</v>
      </c>
      <c r="CE131" s="4">
        <v>5119</v>
      </c>
      <c r="CF131" s="4">
        <v>8630</v>
      </c>
      <c r="CG131" s="4">
        <v>120897</v>
      </c>
      <c r="CH131" s="4">
        <v>17503</v>
      </c>
      <c r="CI131" s="4">
        <v>35233</v>
      </c>
      <c r="CJ131" s="4">
        <v>7730</v>
      </c>
      <c r="CK131" s="4">
        <v>17220</v>
      </c>
      <c r="CL131" s="4">
        <v>10063</v>
      </c>
      <c r="CM131" s="4">
        <v>19617</v>
      </c>
      <c r="CN131" s="4">
        <v>54961</v>
      </c>
      <c r="CO131" s="4">
        <v>6679</v>
      </c>
      <c r="CP131" s="4">
        <v>4155</v>
      </c>
      <c r="CQ131" s="4">
        <v>5508</v>
      </c>
      <c r="CR131" s="4">
        <v>7189</v>
      </c>
      <c r="CS131" s="4">
        <v>34912</v>
      </c>
      <c r="CT131" s="4">
        <v>19962</v>
      </c>
      <c r="CU131" s="4">
        <v>2012</v>
      </c>
      <c r="CV131" s="4">
        <v>285583</v>
      </c>
      <c r="CW131" s="4">
        <v>6523</v>
      </c>
      <c r="CX131" s="4">
        <v>2239</v>
      </c>
      <c r="CY131" s="4">
        <v>27638</v>
      </c>
      <c r="CZ131" s="4">
        <v>3438</v>
      </c>
      <c r="DA131" s="4">
        <v>7092</v>
      </c>
      <c r="DB131" s="4">
        <v>15142</v>
      </c>
      <c r="DC131" s="4">
        <v>5378</v>
      </c>
      <c r="DD131" s="4">
        <v>2996</v>
      </c>
      <c r="DE131" s="4">
        <v>2642</v>
      </c>
      <c r="DF131" s="4">
        <v>56334</v>
      </c>
      <c r="DG131" s="4">
        <v>15495</v>
      </c>
      <c r="DH131" s="4">
        <v>18340</v>
      </c>
      <c r="DI131" s="4">
        <v>3963</v>
      </c>
      <c r="DJ131" s="4">
        <v>29999</v>
      </c>
      <c r="DK131" s="4">
        <v>21223</v>
      </c>
      <c r="DL131" s="4">
        <v>12474</v>
      </c>
      <c r="DM131" s="4">
        <v>15544</v>
      </c>
      <c r="DN131" s="4">
        <v>16491</v>
      </c>
      <c r="DO131" s="4">
        <v>3861</v>
      </c>
      <c r="DP131" s="4">
        <v>9542</v>
      </c>
      <c r="DQ131" s="4">
        <v>65861</v>
      </c>
      <c r="DR131" s="4">
        <v>3265</v>
      </c>
      <c r="DS131" s="4">
        <v>6532</v>
      </c>
      <c r="DT131" s="4">
        <v>1159</v>
      </c>
      <c r="DU131" s="4">
        <v>12114</v>
      </c>
      <c r="DV131" s="4">
        <v>7195</v>
      </c>
      <c r="DW131" s="4">
        <v>5469</v>
      </c>
      <c r="DX131" s="4">
        <v>14175</v>
      </c>
      <c r="DY131" s="4">
        <v>2735</v>
      </c>
      <c r="DZ131" s="4">
        <v>3435</v>
      </c>
      <c r="EA131" s="4">
        <v>13492</v>
      </c>
      <c r="EB131" s="4">
        <v>7200</v>
      </c>
      <c r="EC131" s="4">
        <v>1227</v>
      </c>
      <c r="ED131" s="4">
        <v>1652</v>
      </c>
      <c r="EE131" s="4">
        <v>41208</v>
      </c>
      <c r="EF131" s="4">
        <v>5234</v>
      </c>
      <c r="EG131" s="4">
        <v>14880</v>
      </c>
      <c r="EH131" s="4">
        <v>31440</v>
      </c>
      <c r="EJ131" s="4">
        <f t="shared" ref="EJ131:EJ157" si="2">SUM(B131:EH131)</f>
        <v>1748656</v>
      </c>
    </row>
    <row r="132" spans="1:140" x14ac:dyDescent="0.25">
      <c r="A132" s="4" t="s">
        <v>268</v>
      </c>
      <c r="B132" s="4">
        <v>6611</v>
      </c>
      <c r="C132" s="4">
        <v>6713</v>
      </c>
      <c r="D132" s="4">
        <v>355</v>
      </c>
      <c r="E132" s="4">
        <v>2282</v>
      </c>
      <c r="F132" s="4">
        <v>9</v>
      </c>
      <c r="G132" s="4">
        <v>36</v>
      </c>
      <c r="H132" s="4">
        <v>14404</v>
      </c>
      <c r="I132" s="4">
        <v>104</v>
      </c>
      <c r="J132" s="4">
        <v>2200</v>
      </c>
      <c r="K132" s="4">
        <v>76</v>
      </c>
      <c r="L132" s="4">
        <v>1478</v>
      </c>
      <c r="M132" s="4">
        <v>122</v>
      </c>
      <c r="N132" s="4">
        <v>13662</v>
      </c>
      <c r="O132" s="4">
        <v>1803</v>
      </c>
      <c r="P132" s="4">
        <v>4514</v>
      </c>
      <c r="Q132" s="4">
        <v>10835</v>
      </c>
      <c r="R132" s="4">
        <v>20</v>
      </c>
      <c r="S132" s="4">
        <v>2345</v>
      </c>
      <c r="T132" s="4">
        <v>3153</v>
      </c>
      <c r="U132" s="4">
        <v>3978</v>
      </c>
      <c r="V132" s="4">
        <v>10661</v>
      </c>
      <c r="W132" s="4">
        <v>3423</v>
      </c>
      <c r="X132" s="4">
        <v>750</v>
      </c>
      <c r="Y132" s="4">
        <v>2716</v>
      </c>
      <c r="Z132" s="4">
        <v>1749</v>
      </c>
      <c r="AA132" s="4">
        <v>571</v>
      </c>
      <c r="AB132" s="4">
        <v>7378</v>
      </c>
      <c r="AC132" s="4">
        <v>974</v>
      </c>
      <c r="AD132" s="4">
        <v>777</v>
      </c>
      <c r="AE132" s="4">
        <v>1802</v>
      </c>
      <c r="AF132" s="4">
        <v>2050</v>
      </c>
      <c r="AG132">
        <v>32563</v>
      </c>
      <c r="AH132" s="4">
        <v>551</v>
      </c>
      <c r="AI132" s="4">
        <v>1679</v>
      </c>
      <c r="AJ132" s="4">
        <v>453</v>
      </c>
      <c r="AK132" s="4">
        <v>2651</v>
      </c>
      <c r="AL132" s="4">
        <v>3650</v>
      </c>
      <c r="AM132" s="4">
        <v>815</v>
      </c>
      <c r="AN132" s="4">
        <v>412</v>
      </c>
      <c r="AO132" s="4">
        <v>10596</v>
      </c>
      <c r="AP132" s="4">
        <v>930</v>
      </c>
      <c r="AQ132" s="4">
        <v>225</v>
      </c>
      <c r="AR132" s="4">
        <v>2744</v>
      </c>
      <c r="AS132" s="4">
        <v>7575</v>
      </c>
      <c r="AT132" s="4">
        <v>1033</v>
      </c>
      <c r="AU132" s="4">
        <v>6955</v>
      </c>
      <c r="AV132" s="4">
        <v>4619</v>
      </c>
      <c r="AW132" s="4">
        <v>3197</v>
      </c>
      <c r="AX132" s="4">
        <v>37106</v>
      </c>
      <c r="AY132" s="4">
        <v>277</v>
      </c>
      <c r="AZ132" s="4">
        <v>982</v>
      </c>
      <c r="BA132" s="4">
        <v>7464</v>
      </c>
      <c r="BB132" s="4">
        <v>196</v>
      </c>
      <c r="BC132" s="4">
        <v>990</v>
      </c>
      <c r="BD132" s="4">
        <v>7541</v>
      </c>
      <c r="BE132" s="4">
        <v>3868</v>
      </c>
      <c r="BF132" s="4">
        <v>6256</v>
      </c>
      <c r="BG132" s="4">
        <v>5688</v>
      </c>
      <c r="BH132" s="4">
        <v>2153</v>
      </c>
      <c r="BI132" s="4">
        <v>27984</v>
      </c>
      <c r="BJ132" s="4">
        <v>4454</v>
      </c>
      <c r="BK132" s="4">
        <v>7276</v>
      </c>
      <c r="BL132" s="4">
        <v>3991</v>
      </c>
      <c r="BM132" s="4">
        <v>6055</v>
      </c>
      <c r="BN132" s="4">
        <v>1278</v>
      </c>
      <c r="BO132" s="4">
        <v>1251</v>
      </c>
      <c r="BP132" s="4">
        <v>27948</v>
      </c>
      <c r="BQ132" s="4">
        <v>2773</v>
      </c>
      <c r="BR132" s="4">
        <v>81380</v>
      </c>
      <c r="BS132" s="4">
        <v>8929</v>
      </c>
      <c r="BT132" s="4">
        <v>8933</v>
      </c>
      <c r="BU132" s="4">
        <v>19595</v>
      </c>
      <c r="BV132" s="4">
        <v>3117</v>
      </c>
      <c r="BW132" s="4">
        <v>13106</v>
      </c>
      <c r="BX132" s="4">
        <v>2996</v>
      </c>
      <c r="BY132" s="4">
        <v>5318</v>
      </c>
      <c r="BZ132" s="4">
        <v>23754</v>
      </c>
      <c r="CA132" s="4">
        <v>2863</v>
      </c>
      <c r="CB132" s="4">
        <v>1220</v>
      </c>
      <c r="CC132" s="4">
        <v>9444</v>
      </c>
      <c r="CD132" s="4">
        <v>3411</v>
      </c>
      <c r="CE132" s="4">
        <v>4793</v>
      </c>
      <c r="CF132" s="4">
        <v>7537</v>
      </c>
      <c r="CG132" s="4">
        <v>110655</v>
      </c>
      <c r="CH132" s="4">
        <v>19688</v>
      </c>
      <c r="CI132" s="4">
        <v>34877</v>
      </c>
      <c r="CJ132" s="4">
        <v>9832</v>
      </c>
      <c r="CK132" s="4">
        <v>18912</v>
      </c>
      <c r="CL132" s="4">
        <v>11241</v>
      </c>
      <c r="CM132" s="4">
        <v>18152</v>
      </c>
      <c r="CN132" s="4">
        <v>46642</v>
      </c>
      <c r="CO132" s="4">
        <v>6075</v>
      </c>
      <c r="CP132" s="4">
        <v>3786</v>
      </c>
      <c r="CQ132" s="4">
        <v>6031</v>
      </c>
      <c r="CR132" s="4">
        <v>7123</v>
      </c>
      <c r="CS132" s="4">
        <v>31426</v>
      </c>
      <c r="CT132" s="4">
        <v>18628</v>
      </c>
      <c r="CU132" s="4">
        <v>1700</v>
      </c>
      <c r="CV132" s="4">
        <v>252308</v>
      </c>
      <c r="CW132" s="4">
        <v>6414</v>
      </c>
      <c r="CX132" s="4">
        <v>2285</v>
      </c>
      <c r="CY132" s="4">
        <v>24171</v>
      </c>
      <c r="CZ132" s="4">
        <v>3410</v>
      </c>
      <c r="DA132" s="4">
        <v>6461</v>
      </c>
      <c r="DB132" s="4">
        <v>13343</v>
      </c>
      <c r="DC132" s="4">
        <v>4679</v>
      </c>
      <c r="DD132" s="4">
        <v>2779</v>
      </c>
      <c r="DE132" s="4">
        <v>2304</v>
      </c>
      <c r="DF132" s="4">
        <v>48565</v>
      </c>
      <c r="DG132" s="4">
        <v>14471</v>
      </c>
      <c r="DH132" s="4">
        <v>16201</v>
      </c>
      <c r="DI132" s="4">
        <v>4132</v>
      </c>
      <c r="DJ132" s="4">
        <v>26120</v>
      </c>
      <c r="DK132" s="4">
        <v>18741</v>
      </c>
      <c r="DL132" s="4">
        <v>10946</v>
      </c>
      <c r="DM132" s="4">
        <v>14106</v>
      </c>
      <c r="DN132" s="4">
        <v>15485</v>
      </c>
      <c r="DO132" s="4">
        <v>3396</v>
      </c>
      <c r="DP132" s="4">
        <v>8718</v>
      </c>
      <c r="DQ132" s="4">
        <v>59650</v>
      </c>
      <c r="DR132" s="4">
        <v>2778</v>
      </c>
      <c r="DS132" s="4">
        <v>6171</v>
      </c>
      <c r="DT132" s="4">
        <v>918</v>
      </c>
      <c r="DU132" s="4">
        <v>10870</v>
      </c>
      <c r="DV132" s="4">
        <v>5976</v>
      </c>
      <c r="DW132" s="4">
        <v>5184</v>
      </c>
      <c r="DX132" s="4">
        <v>15270</v>
      </c>
      <c r="DY132" s="4">
        <v>2412</v>
      </c>
      <c r="DZ132" s="4">
        <v>3180</v>
      </c>
      <c r="EA132" s="4">
        <v>11363</v>
      </c>
      <c r="EB132" s="4">
        <v>6855</v>
      </c>
      <c r="EC132" s="4">
        <v>1055</v>
      </c>
      <c r="ED132" s="4">
        <v>1244</v>
      </c>
      <c r="EE132" s="4">
        <v>39571</v>
      </c>
      <c r="EF132" s="4">
        <v>5137</v>
      </c>
      <c r="EG132" s="4">
        <v>14541</v>
      </c>
      <c r="EH132" s="4">
        <v>28521</v>
      </c>
      <c r="EJ132" s="4">
        <f t="shared" si="2"/>
        <v>1604625</v>
      </c>
    </row>
    <row r="133" spans="1:140" x14ac:dyDescent="0.25">
      <c r="A133" s="4" t="s">
        <v>269</v>
      </c>
      <c r="B133" s="4">
        <v>5679</v>
      </c>
      <c r="C133" s="4">
        <v>6022</v>
      </c>
      <c r="D133" s="4">
        <v>287</v>
      </c>
      <c r="E133" s="4">
        <v>2264</v>
      </c>
      <c r="F133" s="4">
        <v>19</v>
      </c>
      <c r="G133" s="4">
        <v>129</v>
      </c>
      <c r="H133" s="4">
        <v>16206</v>
      </c>
      <c r="I133" s="4">
        <v>137</v>
      </c>
      <c r="J133" s="4">
        <v>1863</v>
      </c>
      <c r="K133" s="4">
        <v>136</v>
      </c>
      <c r="L133" s="4">
        <v>1846</v>
      </c>
      <c r="M133" s="4">
        <v>184</v>
      </c>
      <c r="N133" s="4">
        <v>14047</v>
      </c>
      <c r="O133" s="4">
        <v>2220</v>
      </c>
      <c r="P133" s="4">
        <v>5760</v>
      </c>
      <c r="Q133" s="4">
        <v>13212</v>
      </c>
      <c r="R133" s="4">
        <v>17</v>
      </c>
      <c r="S133" s="4">
        <v>3354</v>
      </c>
      <c r="T133" s="4">
        <v>3497</v>
      </c>
      <c r="U133" s="4">
        <v>3886</v>
      </c>
      <c r="V133" s="4">
        <v>10753</v>
      </c>
      <c r="W133" s="4">
        <v>3163</v>
      </c>
      <c r="X133" s="4">
        <v>839</v>
      </c>
      <c r="Y133" s="4">
        <v>922</v>
      </c>
      <c r="Z133" s="4">
        <v>1548</v>
      </c>
      <c r="AA133" s="4">
        <v>556</v>
      </c>
      <c r="AB133" s="4">
        <v>7722</v>
      </c>
      <c r="AC133" s="4">
        <v>917</v>
      </c>
      <c r="AD133" s="4">
        <v>579</v>
      </c>
      <c r="AE133" s="4">
        <v>2443</v>
      </c>
      <c r="AF133" s="4">
        <v>1952</v>
      </c>
      <c r="AG133">
        <v>28071</v>
      </c>
      <c r="AH133" s="4">
        <v>572</v>
      </c>
      <c r="AI133" s="4">
        <v>1623</v>
      </c>
      <c r="AJ133" s="4">
        <v>392</v>
      </c>
      <c r="AK133" s="4">
        <v>2708</v>
      </c>
      <c r="AL133" s="4">
        <v>3975</v>
      </c>
      <c r="AM133" s="4">
        <v>845</v>
      </c>
      <c r="AN133" s="4">
        <v>357</v>
      </c>
      <c r="AO133" s="4">
        <v>10775</v>
      </c>
      <c r="AP133" s="4">
        <v>991</v>
      </c>
      <c r="AQ133" s="4">
        <v>243</v>
      </c>
      <c r="AR133" s="4">
        <v>3574</v>
      </c>
      <c r="AS133" s="4">
        <v>7858</v>
      </c>
      <c r="AT133" s="4">
        <v>1212</v>
      </c>
      <c r="AU133" s="4">
        <v>4256</v>
      </c>
      <c r="AV133" s="4">
        <v>4770</v>
      </c>
      <c r="AW133" s="4">
        <v>2947</v>
      </c>
      <c r="AX133" s="4">
        <v>33803</v>
      </c>
      <c r="AY133" s="4">
        <v>276</v>
      </c>
      <c r="AZ133" s="4">
        <v>1064</v>
      </c>
      <c r="BA133" s="4">
        <v>7705</v>
      </c>
      <c r="BB133" s="4">
        <v>277</v>
      </c>
      <c r="BC133" s="4">
        <v>1028</v>
      </c>
      <c r="BD133" s="4">
        <v>8002</v>
      </c>
      <c r="BE133" s="4">
        <v>4555</v>
      </c>
      <c r="BF133" s="4">
        <v>3804</v>
      </c>
      <c r="BG133" s="4">
        <v>6660</v>
      </c>
      <c r="BH133" s="4">
        <v>2164</v>
      </c>
      <c r="BI133" s="4">
        <v>37250</v>
      </c>
      <c r="BJ133" s="4">
        <v>4591</v>
      </c>
      <c r="BK133" s="4">
        <v>8785</v>
      </c>
      <c r="BL133" s="4">
        <v>4237</v>
      </c>
      <c r="BM133" s="4">
        <v>6586</v>
      </c>
      <c r="BN133" s="4">
        <v>1378</v>
      </c>
      <c r="BO133" s="4">
        <v>1520</v>
      </c>
      <c r="BP133" s="4">
        <v>31243</v>
      </c>
      <c r="BQ133" s="4">
        <v>3245</v>
      </c>
      <c r="BR133" s="4">
        <v>86572</v>
      </c>
      <c r="BS133" s="4">
        <v>9918</v>
      </c>
      <c r="BT133" s="4">
        <v>13052</v>
      </c>
      <c r="BU133" s="4">
        <v>20509</v>
      </c>
      <c r="BV133" s="4">
        <v>3062</v>
      </c>
      <c r="BW133" s="4">
        <v>14115</v>
      </c>
      <c r="BX133" s="4">
        <v>3423</v>
      </c>
      <c r="BY133" s="4">
        <v>5972</v>
      </c>
      <c r="BZ133" s="4">
        <v>24974</v>
      </c>
      <c r="CA133" s="4">
        <v>3180</v>
      </c>
      <c r="CB133" s="4">
        <v>1279</v>
      </c>
      <c r="CC133" s="4">
        <v>8128</v>
      </c>
      <c r="CD133" s="4">
        <v>3794</v>
      </c>
      <c r="CE133" s="4">
        <v>4938</v>
      </c>
      <c r="CF133" s="4">
        <v>8993</v>
      </c>
      <c r="CG133" s="4">
        <v>114778</v>
      </c>
      <c r="CH133" s="4">
        <v>19956</v>
      </c>
      <c r="CI133" s="4">
        <v>39389</v>
      </c>
      <c r="CJ133" s="4">
        <v>9228</v>
      </c>
      <c r="CK133" s="4">
        <v>18279</v>
      </c>
      <c r="CL133" s="4">
        <v>14489</v>
      </c>
      <c r="CM133" s="4">
        <v>18551</v>
      </c>
      <c r="CN133" s="4">
        <v>54720</v>
      </c>
      <c r="CO133" s="4">
        <v>7753</v>
      </c>
      <c r="CP133" s="4">
        <v>4394</v>
      </c>
      <c r="CQ133" s="4">
        <v>7189</v>
      </c>
      <c r="CR133" s="4">
        <v>7967</v>
      </c>
      <c r="CS133" s="4">
        <v>35096</v>
      </c>
      <c r="CT133" s="4">
        <v>22919</v>
      </c>
      <c r="CU133" s="4">
        <v>1984</v>
      </c>
      <c r="CV133" s="4">
        <v>268867</v>
      </c>
      <c r="CW133" s="4">
        <v>11513</v>
      </c>
      <c r="CX133" s="4">
        <v>2548</v>
      </c>
      <c r="CY133" s="4">
        <v>27533</v>
      </c>
      <c r="CZ133" s="4">
        <v>3263</v>
      </c>
      <c r="DA133" s="4">
        <v>7226</v>
      </c>
      <c r="DB133" s="4">
        <v>14842</v>
      </c>
      <c r="DC133" s="4">
        <v>4913</v>
      </c>
      <c r="DD133" s="4">
        <v>2976</v>
      </c>
      <c r="DE133" s="4">
        <v>2335</v>
      </c>
      <c r="DF133" s="4">
        <v>51898</v>
      </c>
      <c r="DG133" s="4">
        <v>17316</v>
      </c>
      <c r="DH133" s="4">
        <v>17695</v>
      </c>
      <c r="DI133" s="4">
        <v>4443</v>
      </c>
      <c r="DJ133" s="4">
        <v>32322</v>
      </c>
      <c r="DK133" s="4">
        <v>19298</v>
      </c>
      <c r="DL133" s="4">
        <v>11202</v>
      </c>
      <c r="DM133" s="4">
        <v>16576</v>
      </c>
      <c r="DN133" s="4">
        <v>18081</v>
      </c>
      <c r="DO133" s="4">
        <v>3858</v>
      </c>
      <c r="DP133" s="4">
        <v>8102</v>
      </c>
      <c r="DQ133" s="4">
        <v>62393</v>
      </c>
      <c r="DR133" s="4">
        <v>3339</v>
      </c>
      <c r="DS133" s="4">
        <v>9533</v>
      </c>
      <c r="DT133" s="4">
        <v>1058</v>
      </c>
      <c r="DU133" s="4">
        <v>11109</v>
      </c>
      <c r="DV133" s="4">
        <v>6559</v>
      </c>
      <c r="DW133" s="4">
        <v>6307</v>
      </c>
      <c r="DX133" s="4">
        <v>15214</v>
      </c>
      <c r="DY133" s="4">
        <v>2379</v>
      </c>
      <c r="DZ133" s="4">
        <v>4844</v>
      </c>
      <c r="EA133" s="4">
        <v>12096</v>
      </c>
      <c r="EB133" s="4">
        <v>6875</v>
      </c>
      <c r="EC133" s="4">
        <v>1070</v>
      </c>
      <c r="ED133" s="4">
        <v>1388</v>
      </c>
      <c r="EE133" s="4">
        <v>44193</v>
      </c>
      <c r="EF133" s="4">
        <v>5797</v>
      </c>
      <c r="EG133" s="4">
        <v>16695</v>
      </c>
      <c r="EH133" s="4">
        <v>30646</v>
      </c>
      <c r="EJ133" s="4">
        <f t="shared" si="2"/>
        <v>1732404</v>
      </c>
    </row>
    <row r="134" spans="1:140" x14ac:dyDescent="0.25">
      <c r="A134" s="4" t="s">
        <v>270</v>
      </c>
      <c r="B134" s="4">
        <v>5440</v>
      </c>
      <c r="C134" s="4">
        <v>6912</v>
      </c>
      <c r="D134" s="4">
        <v>316</v>
      </c>
      <c r="E134" s="4">
        <v>2304</v>
      </c>
      <c r="F134" s="4">
        <v>12</v>
      </c>
      <c r="G134" s="4">
        <v>59</v>
      </c>
      <c r="H134" s="4">
        <v>16402</v>
      </c>
      <c r="I134" s="4">
        <v>85</v>
      </c>
      <c r="J134" s="4">
        <v>2199</v>
      </c>
      <c r="K134" s="4">
        <v>105</v>
      </c>
      <c r="L134" s="4">
        <v>1750</v>
      </c>
      <c r="M134" s="4">
        <v>406</v>
      </c>
      <c r="N134" s="4">
        <v>14068</v>
      </c>
      <c r="O134" s="4">
        <v>2368</v>
      </c>
      <c r="P134" s="4">
        <v>3677</v>
      </c>
      <c r="Q134" s="4">
        <v>10017</v>
      </c>
      <c r="R134" s="4">
        <v>24</v>
      </c>
      <c r="S134" s="4">
        <v>3100</v>
      </c>
      <c r="T134" s="4">
        <v>3294</v>
      </c>
      <c r="U134" s="4">
        <v>3565</v>
      </c>
      <c r="V134" s="4">
        <v>10567</v>
      </c>
      <c r="W134" s="4">
        <v>3845</v>
      </c>
      <c r="X134" s="4">
        <v>963</v>
      </c>
      <c r="Y134" s="4">
        <v>1320</v>
      </c>
      <c r="Z134" s="4">
        <v>1605</v>
      </c>
      <c r="AA134" s="4">
        <v>958</v>
      </c>
      <c r="AB134" s="4">
        <v>7919</v>
      </c>
      <c r="AC134" s="4">
        <v>1320</v>
      </c>
      <c r="AD134" s="4">
        <v>622</v>
      </c>
      <c r="AE134" s="4">
        <v>2127</v>
      </c>
      <c r="AF134" s="4">
        <v>1961</v>
      </c>
      <c r="AG134">
        <v>37002</v>
      </c>
      <c r="AH134" s="4">
        <v>697</v>
      </c>
      <c r="AI134" s="4">
        <v>2011</v>
      </c>
      <c r="AJ134" s="4">
        <v>682</v>
      </c>
      <c r="AK134" s="4">
        <v>2980</v>
      </c>
      <c r="AL134" s="4">
        <v>3859</v>
      </c>
      <c r="AM134" s="4">
        <v>1055</v>
      </c>
      <c r="AN134" s="4">
        <v>385</v>
      </c>
      <c r="AO134" s="4">
        <v>11070</v>
      </c>
      <c r="AP134" s="4">
        <v>1210</v>
      </c>
      <c r="AQ134" s="4">
        <v>163</v>
      </c>
      <c r="AR134" s="4">
        <v>4239</v>
      </c>
      <c r="AS134" s="4">
        <v>8911</v>
      </c>
      <c r="AT134" s="4">
        <v>1259</v>
      </c>
      <c r="AU134" s="4">
        <v>3342</v>
      </c>
      <c r="AV134" s="4">
        <v>5144</v>
      </c>
      <c r="AW134" s="4">
        <v>3782</v>
      </c>
      <c r="AX134" s="4">
        <v>38565</v>
      </c>
      <c r="AY134" s="4">
        <v>457</v>
      </c>
      <c r="AZ134" s="4">
        <v>1275</v>
      </c>
      <c r="BA134" s="4">
        <v>9491</v>
      </c>
      <c r="BB134" s="4">
        <v>249</v>
      </c>
      <c r="BC134" s="4">
        <v>1140</v>
      </c>
      <c r="BD134" s="4">
        <v>7889</v>
      </c>
      <c r="BE134" s="4">
        <v>3799</v>
      </c>
      <c r="BF134" s="4">
        <v>2334</v>
      </c>
      <c r="BG134" s="4">
        <v>7322</v>
      </c>
      <c r="BH134" s="4">
        <v>2191</v>
      </c>
      <c r="BI134" s="4">
        <v>36667</v>
      </c>
      <c r="BJ134" s="4">
        <v>5313</v>
      </c>
      <c r="BK134" s="4">
        <v>7782</v>
      </c>
      <c r="BL134" s="4">
        <v>3188</v>
      </c>
      <c r="BM134" s="4">
        <v>6295</v>
      </c>
      <c r="BN134" s="4">
        <v>1582</v>
      </c>
      <c r="BO134" s="4">
        <v>1552</v>
      </c>
      <c r="BP134" s="4">
        <v>28643</v>
      </c>
      <c r="BQ134" s="4">
        <v>2942</v>
      </c>
      <c r="BR134" s="4">
        <v>81779</v>
      </c>
      <c r="BS134" s="4">
        <v>9385</v>
      </c>
      <c r="BT134" s="4">
        <v>8530</v>
      </c>
      <c r="BU134" s="4">
        <v>19963</v>
      </c>
      <c r="BV134" s="4">
        <v>3385</v>
      </c>
      <c r="BW134" s="4">
        <v>14194</v>
      </c>
      <c r="BX134" s="4">
        <v>2584</v>
      </c>
      <c r="BY134" s="4">
        <v>5456</v>
      </c>
      <c r="BZ134" s="4">
        <v>25134</v>
      </c>
      <c r="CA134" s="4">
        <v>2679</v>
      </c>
      <c r="CB134" s="4">
        <v>1340</v>
      </c>
      <c r="CC134" s="4">
        <v>8857</v>
      </c>
      <c r="CD134" s="4">
        <v>4064</v>
      </c>
      <c r="CE134" s="4">
        <v>5797</v>
      </c>
      <c r="CF134" s="4">
        <v>9165</v>
      </c>
      <c r="CG134" s="4">
        <v>136586</v>
      </c>
      <c r="CH134" s="4">
        <v>16951</v>
      </c>
      <c r="CI134" s="4">
        <v>26044</v>
      </c>
      <c r="CJ134" s="4">
        <v>6304</v>
      </c>
      <c r="CK134" s="4">
        <v>16013</v>
      </c>
      <c r="CL134" s="4">
        <v>11735</v>
      </c>
      <c r="CM134" s="4">
        <v>16754</v>
      </c>
      <c r="CN134" s="4">
        <v>48658</v>
      </c>
      <c r="CO134" s="4">
        <v>6276</v>
      </c>
      <c r="CP134" s="4">
        <v>4097</v>
      </c>
      <c r="CQ134" s="4">
        <v>4741</v>
      </c>
      <c r="CR134" s="4">
        <v>7969</v>
      </c>
      <c r="CS134" s="4">
        <v>33570</v>
      </c>
      <c r="CT134" s="4">
        <v>20935</v>
      </c>
      <c r="CU134" s="4">
        <v>2286</v>
      </c>
      <c r="CV134" s="4">
        <v>276477</v>
      </c>
      <c r="CW134" s="4">
        <v>6609</v>
      </c>
      <c r="CX134" s="4">
        <v>2337</v>
      </c>
      <c r="CY134" s="4">
        <v>24747</v>
      </c>
      <c r="CZ134" s="4">
        <v>3148</v>
      </c>
      <c r="DA134" s="4">
        <v>8145</v>
      </c>
      <c r="DB134" s="4">
        <v>13786</v>
      </c>
      <c r="DC134" s="4">
        <v>4872</v>
      </c>
      <c r="DD134" s="4">
        <v>3420</v>
      </c>
      <c r="DE134" s="4">
        <v>2375</v>
      </c>
      <c r="DF134" s="4">
        <v>49647</v>
      </c>
      <c r="DG134" s="4">
        <v>15849</v>
      </c>
      <c r="DH134" s="4">
        <v>18175</v>
      </c>
      <c r="DI134" s="4">
        <v>3874</v>
      </c>
      <c r="DJ134" s="4">
        <v>29013</v>
      </c>
      <c r="DK134" s="4">
        <v>19709</v>
      </c>
      <c r="DL134" s="4">
        <v>11350</v>
      </c>
      <c r="DM134" s="4">
        <v>14988</v>
      </c>
      <c r="DN134" s="4">
        <v>15485</v>
      </c>
      <c r="DO134" s="4">
        <v>3602</v>
      </c>
      <c r="DP134" s="4">
        <v>7663</v>
      </c>
      <c r="DQ134" s="4">
        <v>60978</v>
      </c>
      <c r="DR134" s="4">
        <v>3466</v>
      </c>
      <c r="DS134" s="4">
        <v>7635</v>
      </c>
      <c r="DT134" s="4">
        <v>1064</v>
      </c>
      <c r="DU134" s="4">
        <v>11728</v>
      </c>
      <c r="DV134" s="4">
        <v>5910</v>
      </c>
      <c r="DW134" s="4">
        <v>6362</v>
      </c>
      <c r="DX134" s="4">
        <v>11622</v>
      </c>
      <c r="DY134" s="4">
        <v>2186</v>
      </c>
      <c r="DZ134" s="4">
        <v>3002</v>
      </c>
      <c r="EA134" s="4">
        <v>12158</v>
      </c>
      <c r="EB134" s="4">
        <v>6290</v>
      </c>
      <c r="EC134" s="4">
        <v>1327</v>
      </c>
      <c r="ED134" s="4">
        <v>1365</v>
      </c>
      <c r="EE134" s="4">
        <v>36925</v>
      </c>
      <c r="EF134" s="4">
        <v>4631</v>
      </c>
      <c r="EG134" s="4">
        <v>13720</v>
      </c>
      <c r="EH134" s="4">
        <v>29220</v>
      </c>
      <c r="EJ134" s="4">
        <f t="shared" si="2"/>
        <v>1681868</v>
      </c>
    </row>
    <row r="135" spans="1:140" x14ac:dyDescent="0.25">
      <c r="A135" s="4" t="s">
        <v>271</v>
      </c>
      <c r="B135" s="4">
        <v>6630</v>
      </c>
      <c r="C135" s="4">
        <v>6656</v>
      </c>
      <c r="D135" s="4">
        <v>259</v>
      </c>
      <c r="E135" s="4">
        <v>2334</v>
      </c>
      <c r="F135" s="4">
        <v>25</v>
      </c>
      <c r="G135" s="4">
        <v>32</v>
      </c>
      <c r="H135" s="4">
        <v>15982</v>
      </c>
      <c r="I135" s="4">
        <v>108</v>
      </c>
      <c r="J135" s="4">
        <v>2059</v>
      </c>
      <c r="K135" s="4">
        <v>80</v>
      </c>
      <c r="L135" s="4">
        <v>1442</v>
      </c>
      <c r="M135" s="4">
        <v>106</v>
      </c>
      <c r="N135" s="4">
        <v>12814</v>
      </c>
      <c r="O135" s="4">
        <v>2246</v>
      </c>
      <c r="P135" s="4">
        <v>4355</v>
      </c>
      <c r="Q135" s="4">
        <v>9297</v>
      </c>
      <c r="R135" s="4">
        <v>25</v>
      </c>
      <c r="S135" s="4">
        <v>2349</v>
      </c>
      <c r="T135" s="4">
        <v>3222</v>
      </c>
      <c r="U135" s="4">
        <v>3417</v>
      </c>
      <c r="V135" s="4">
        <v>9719</v>
      </c>
      <c r="W135" s="4">
        <v>3482</v>
      </c>
      <c r="X135" s="4">
        <v>861</v>
      </c>
      <c r="Y135" s="4">
        <v>868</v>
      </c>
      <c r="Z135" s="4">
        <v>1268</v>
      </c>
      <c r="AA135" s="4">
        <v>774</v>
      </c>
      <c r="AB135" s="4">
        <v>7534</v>
      </c>
      <c r="AC135" s="4">
        <v>856</v>
      </c>
      <c r="AD135" s="4">
        <v>516</v>
      </c>
      <c r="AE135" s="4">
        <v>2716</v>
      </c>
      <c r="AF135" s="4">
        <v>1555</v>
      </c>
      <c r="AG135">
        <v>31106</v>
      </c>
      <c r="AH135" s="4">
        <v>727</v>
      </c>
      <c r="AI135" s="4">
        <v>2631</v>
      </c>
      <c r="AJ135" s="4">
        <v>487</v>
      </c>
      <c r="AK135" s="4">
        <v>2858</v>
      </c>
      <c r="AL135" s="4">
        <v>4154</v>
      </c>
      <c r="AM135" s="4">
        <v>990</v>
      </c>
      <c r="AN135" s="4">
        <v>448</v>
      </c>
      <c r="AO135" s="4">
        <v>12056</v>
      </c>
      <c r="AP135" s="4">
        <v>1153</v>
      </c>
      <c r="AQ135" s="4">
        <v>202</v>
      </c>
      <c r="AR135" s="4">
        <v>3907</v>
      </c>
      <c r="AS135" s="4">
        <v>9295</v>
      </c>
      <c r="AT135" s="4">
        <v>1348</v>
      </c>
      <c r="AU135" s="4">
        <v>2938</v>
      </c>
      <c r="AV135" s="4">
        <v>5235</v>
      </c>
      <c r="AW135" s="4">
        <v>6296</v>
      </c>
      <c r="AX135" s="4">
        <v>32225</v>
      </c>
      <c r="AY135" s="4">
        <v>380</v>
      </c>
      <c r="AZ135" s="4">
        <v>1024</v>
      </c>
      <c r="BA135" s="4">
        <v>7951</v>
      </c>
      <c r="BB135" s="4">
        <v>281</v>
      </c>
      <c r="BC135" s="4">
        <v>1029</v>
      </c>
      <c r="BD135" s="4">
        <v>7756</v>
      </c>
      <c r="BE135" s="4">
        <v>3421</v>
      </c>
      <c r="BF135" s="4">
        <v>2362</v>
      </c>
      <c r="BG135" s="4">
        <v>6996</v>
      </c>
      <c r="BH135" s="4">
        <v>1716</v>
      </c>
      <c r="BI135" s="4">
        <v>35137</v>
      </c>
      <c r="BJ135" s="4">
        <v>5768</v>
      </c>
      <c r="BK135" s="4">
        <v>7523</v>
      </c>
      <c r="BL135" s="4">
        <v>3411</v>
      </c>
      <c r="BM135" s="4">
        <v>6474</v>
      </c>
      <c r="BN135" s="4">
        <v>1437</v>
      </c>
      <c r="BO135" s="4">
        <v>1435</v>
      </c>
      <c r="BP135" s="4">
        <v>27655</v>
      </c>
      <c r="BQ135" s="4">
        <v>2744</v>
      </c>
      <c r="BR135" s="4">
        <v>79197</v>
      </c>
      <c r="BS135" s="4">
        <v>9631</v>
      </c>
      <c r="BT135" s="4">
        <v>9041</v>
      </c>
      <c r="BU135" s="4">
        <v>20260</v>
      </c>
      <c r="BV135" s="4">
        <v>3531</v>
      </c>
      <c r="BW135" s="4">
        <v>13988</v>
      </c>
      <c r="BX135" s="4">
        <v>2751</v>
      </c>
      <c r="BY135" s="4">
        <v>5769</v>
      </c>
      <c r="BZ135" s="4">
        <v>24404</v>
      </c>
      <c r="CA135" s="4">
        <v>2727</v>
      </c>
      <c r="CB135" s="4">
        <v>1322</v>
      </c>
      <c r="CC135" s="4">
        <v>7866</v>
      </c>
      <c r="CD135" s="4">
        <v>3873</v>
      </c>
      <c r="CE135" s="4">
        <v>6055</v>
      </c>
      <c r="CF135" s="4">
        <v>8659</v>
      </c>
      <c r="CG135" s="4">
        <v>116830</v>
      </c>
      <c r="CH135" s="4">
        <v>15080</v>
      </c>
      <c r="CI135" s="4">
        <v>31175</v>
      </c>
      <c r="CJ135" s="4">
        <v>6638</v>
      </c>
      <c r="CK135" s="4">
        <v>17017</v>
      </c>
      <c r="CL135" s="4">
        <v>12312</v>
      </c>
      <c r="CM135" s="4">
        <v>16440</v>
      </c>
      <c r="CN135" s="4">
        <v>50844</v>
      </c>
      <c r="CO135" s="4">
        <v>6370</v>
      </c>
      <c r="CP135" s="4">
        <v>4009</v>
      </c>
      <c r="CQ135" s="4">
        <v>4823</v>
      </c>
      <c r="CR135" s="4">
        <v>7814</v>
      </c>
      <c r="CS135" s="4">
        <v>33872</v>
      </c>
      <c r="CT135" s="4">
        <v>20442</v>
      </c>
      <c r="CU135" s="4">
        <v>2216</v>
      </c>
      <c r="CV135" s="4">
        <v>269068</v>
      </c>
      <c r="CW135" s="4">
        <v>6132</v>
      </c>
      <c r="CX135" s="4">
        <v>2023</v>
      </c>
      <c r="CY135" s="4">
        <v>25867</v>
      </c>
      <c r="CZ135" s="4">
        <v>2928</v>
      </c>
      <c r="DA135" s="4">
        <v>7774</v>
      </c>
      <c r="DB135" s="4">
        <v>15173</v>
      </c>
      <c r="DC135" s="4">
        <v>4993</v>
      </c>
      <c r="DD135" s="4">
        <v>3617</v>
      </c>
      <c r="DE135" s="4">
        <v>2410</v>
      </c>
      <c r="DF135" s="4">
        <v>53041</v>
      </c>
      <c r="DG135" s="4">
        <v>17626</v>
      </c>
      <c r="DH135" s="4">
        <v>18909</v>
      </c>
      <c r="DI135" s="4">
        <v>4778</v>
      </c>
      <c r="DJ135" s="4">
        <v>32629</v>
      </c>
      <c r="DK135" s="4">
        <v>21073</v>
      </c>
      <c r="DL135" s="4">
        <v>12739</v>
      </c>
      <c r="DM135" s="4">
        <v>15766</v>
      </c>
      <c r="DN135" s="4">
        <v>21072</v>
      </c>
      <c r="DO135" s="4">
        <v>3529</v>
      </c>
      <c r="DP135" s="4">
        <v>8347</v>
      </c>
      <c r="DQ135" s="4">
        <v>61121</v>
      </c>
      <c r="DR135" s="4">
        <v>3483</v>
      </c>
      <c r="DS135" s="4">
        <v>6266</v>
      </c>
      <c r="DT135" s="4">
        <v>897</v>
      </c>
      <c r="DU135" s="4">
        <v>11065</v>
      </c>
      <c r="DV135" s="4">
        <v>4990</v>
      </c>
      <c r="DW135" s="4">
        <v>5723</v>
      </c>
      <c r="DX135" s="4">
        <v>11958</v>
      </c>
      <c r="DY135" s="4">
        <v>2113</v>
      </c>
      <c r="DZ135" s="4">
        <v>2639</v>
      </c>
      <c r="EA135" s="4">
        <v>11690</v>
      </c>
      <c r="EB135" s="4">
        <v>6155</v>
      </c>
      <c r="EC135" s="4">
        <v>1186</v>
      </c>
      <c r="ED135" s="4">
        <v>1355</v>
      </c>
      <c r="EE135" s="4">
        <v>34792</v>
      </c>
      <c r="EF135" s="4">
        <v>3823</v>
      </c>
      <c r="EG135" s="4">
        <v>11936</v>
      </c>
      <c r="EH135" s="4">
        <v>27333</v>
      </c>
      <c r="EJ135" s="4">
        <f t="shared" si="2"/>
        <v>1649118</v>
      </c>
    </row>
    <row r="136" spans="1:140" x14ac:dyDescent="0.25">
      <c r="A136" s="4" t="s">
        <v>272</v>
      </c>
      <c r="B136" s="4">
        <v>5177</v>
      </c>
      <c r="C136" s="4">
        <v>6634</v>
      </c>
      <c r="D136" s="4">
        <v>218</v>
      </c>
      <c r="E136" s="4">
        <v>2250</v>
      </c>
      <c r="F136" s="4">
        <v>12</v>
      </c>
      <c r="G136" s="4">
        <v>28</v>
      </c>
      <c r="H136" s="4">
        <v>16608</v>
      </c>
      <c r="I136" s="4">
        <v>115</v>
      </c>
      <c r="J136" s="4">
        <v>2101</v>
      </c>
      <c r="K136" s="4">
        <v>101</v>
      </c>
      <c r="L136" s="4">
        <v>1472</v>
      </c>
      <c r="M136" s="4">
        <v>173</v>
      </c>
      <c r="N136" s="4">
        <v>13223</v>
      </c>
      <c r="O136" s="4">
        <v>2421</v>
      </c>
      <c r="P136" s="4">
        <v>3307</v>
      </c>
      <c r="Q136" s="4">
        <v>9287</v>
      </c>
      <c r="R136" s="4">
        <v>21</v>
      </c>
      <c r="S136" s="4">
        <v>2403</v>
      </c>
      <c r="T136" s="4">
        <v>3270</v>
      </c>
      <c r="U136" s="4">
        <v>3719</v>
      </c>
      <c r="V136" s="4">
        <v>10274</v>
      </c>
      <c r="W136" s="4">
        <v>3105</v>
      </c>
      <c r="X136" s="4">
        <v>848</v>
      </c>
      <c r="Y136" s="4">
        <v>1068</v>
      </c>
      <c r="Z136" s="4">
        <v>1122</v>
      </c>
      <c r="AA136" s="4">
        <v>728</v>
      </c>
      <c r="AB136" s="4">
        <v>7510</v>
      </c>
      <c r="AC136" s="4">
        <v>1003</v>
      </c>
      <c r="AD136" s="4">
        <v>504</v>
      </c>
      <c r="AE136" s="4">
        <v>2192</v>
      </c>
      <c r="AF136" s="4">
        <v>1589</v>
      </c>
      <c r="AG136">
        <v>32689</v>
      </c>
      <c r="AH136" s="4">
        <v>644</v>
      </c>
      <c r="AI136" s="4">
        <v>1845</v>
      </c>
      <c r="AJ136" s="4">
        <v>455</v>
      </c>
      <c r="AK136" s="4">
        <v>2644</v>
      </c>
      <c r="AL136" s="4">
        <v>3567</v>
      </c>
      <c r="AM136" s="4">
        <v>1020</v>
      </c>
      <c r="AN136" s="4">
        <v>294</v>
      </c>
      <c r="AO136" s="4">
        <v>10187</v>
      </c>
      <c r="AP136" s="4">
        <v>1155</v>
      </c>
      <c r="AQ136" s="4">
        <v>233</v>
      </c>
      <c r="AR136" s="4">
        <v>3889</v>
      </c>
      <c r="AS136" s="4">
        <v>13125</v>
      </c>
      <c r="AT136" s="4">
        <v>1154</v>
      </c>
      <c r="AU136" s="4">
        <v>3137</v>
      </c>
      <c r="AV136" s="4">
        <v>4696</v>
      </c>
      <c r="AW136" s="4">
        <v>9619</v>
      </c>
      <c r="AX136" s="4">
        <v>34162</v>
      </c>
      <c r="AY136" s="4">
        <v>295</v>
      </c>
      <c r="AZ136" s="4">
        <v>1121</v>
      </c>
      <c r="BA136" s="4">
        <v>9501</v>
      </c>
      <c r="BB136" s="4">
        <v>267</v>
      </c>
      <c r="BC136" s="4">
        <v>966</v>
      </c>
      <c r="BD136" s="4">
        <v>8074</v>
      </c>
      <c r="BE136" s="4">
        <v>3810</v>
      </c>
      <c r="BF136" s="4">
        <v>2199</v>
      </c>
      <c r="BG136" s="4">
        <v>6727</v>
      </c>
      <c r="BH136" s="4">
        <v>1880</v>
      </c>
      <c r="BI136" s="4">
        <v>35972</v>
      </c>
      <c r="BJ136" s="4">
        <v>5621</v>
      </c>
      <c r="BK136" s="4">
        <v>7438</v>
      </c>
      <c r="BL136" s="4">
        <v>3227</v>
      </c>
      <c r="BM136" s="4">
        <v>6210</v>
      </c>
      <c r="BN136" s="4">
        <v>1201</v>
      </c>
      <c r="BO136" s="4">
        <v>1412</v>
      </c>
      <c r="BP136" s="4">
        <v>27038</v>
      </c>
      <c r="BQ136" s="4">
        <v>2641</v>
      </c>
      <c r="BR136" s="4">
        <v>85599</v>
      </c>
      <c r="BS136" s="4">
        <v>10591</v>
      </c>
      <c r="BT136" s="4">
        <v>10214</v>
      </c>
      <c r="BU136" s="4">
        <v>19052</v>
      </c>
      <c r="BV136" s="4">
        <v>3664</v>
      </c>
      <c r="BW136" s="4">
        <v>13789</v>
      </c>
      <c r="BX136" s="4">
        <v>2781</v>
      </c>
      <c r="BY136" s="4">
        <v>7477</v>
      </c>
      <c r="BZ136" s="4">
        <v>24340</v>
      </c>
      <c r="CA136" s="4">
        <v>2894</v>
      </c>
      <c r="CB136" s="4">
        <v>1449</v>
      </c>
      <c r="CC136" s="4">
        <v>8356</v>
      </c>
      <c r="CD136" s="4">
        <v>4190</v>
      </c>
      <c r="CE136" s="4">
        <v>6554</v>
      </c>
      <c r="CF136" s="4">
        <v>9165</v>
      </c>
      <c r="CG136" s="4">
        <v>123102</v>
      </c>
      <c r="CH136" s="4">
        <v>14493</v>
      </c>
      <c r="CI136" s="4">
        <v>28716</v>
      </c>
      <c r="CJ136" s="4">
        <v>7419</v>
      </c>
      <c r="CK136" s="4">
        <v>16230</v>
      </c>
      <c r="CL136" s="4">
        <v>10037</v>
      </c>
      <c r="CM136" s="4">
        <v>16955</v>
      </c>
      <c r="CN136" s="4">
        <v>48687</v>
      </c>
      <c r="CO136" s="4">
        <v>6404</v>
      </c>
      <c r="CP136" s="4">
        <v>3907</v>
      </c>
      <c r="CQ136" s="4">
        <v>4830</v>
      </c>
      <c r="CR136" s="4">
        <v>7801</v>
      </c>
      <c r="CS136" s="4">
        <v>34193</v>
      </c>
      <c r="CT136" s="4">
        <v>20385</v>
      </c>
      <c r="CU136" s="4">
        <v>2171</v>
      </c>
      <c r="CV136" s="4">
        <v>285789</v>
      </c>
      <c r="CW136" s="4">
        <v>6453</v>
      </c>
      <c r="CX136" s="4">
        <v>2258</v>
      </c>
      <c r="CY136" s="4">
        <v>26652</v>
      </c>
      <c r="CZ136" s="4">
        <v>2898</v>
      </c>
      <c r="DA136" s="4">
        <v>7624</v>
      </c>
      <c r="DB136" s="4">
        <v>15262</v>
      </c>
      <c r="DC136" s="4">
        <v>5300</v>
      </c>
      <c r="DD136" s="4">
        <v>3547</v>
      </c>
      <c r="DE136" s="4">
        <v>2493</v>
      </c>
      <c r="DF136" s="4">
        <v>53102</v>
      </c>
      <c r="DG136" s="4">
        <v>18369</v>
      </c>
      <c r="DH136" s="4">
        <v>18535</v>
      </c>
      <c r="DI136" s="4">
        <v>6213</v>
      </c>
      <c r="DJ136" s="4">
        <v>30121</v>
      </c>
      <c r="DK136" s="4">
        <v>20622</v>
      </c>
      <c r="DL136" s="4">
        <v>12986</v>
      </c>
      <c r="DM136" s="4">
        <v>15949</v>
      </c>
      <c r="DN136" s="4">
        <v>23029</v>
      </c>
      <c r="DO136" s="4">
        <v>3878</v>
      </c>
      <c r="DP136" s="4">
        <v>8567</v>
      </c>
      <c r="DQ136" s="4">
        <v>67148</v>
      </c>
      <c r="DR136" s="4">
        <v>3529</v>
      </c>
      <c r="DS136" s="4">
        <v>6288</v>
      </c>
      <c r="DT136" s="4">
        <v>863</v>
      </c>
      <c r="DU136" s="4">
        <v>12057</v>
      </c>
      <c r="DV136" s="4">
        <v>5336</v>
      </c>
      <c r="DW136" s="4">
        <v>7102</v>
      </c>
      <c r="DX136" s="4">
        <v>15167</v>
      </c>
      <c r="DY136" s="4">
        <v>2447</v>
      </c>
      <c r="DZ136" s="4">
        <v>2747</v>
      </c>
      <c r="EA136" s="4">
        <v>12407</v>
      </c>
      <c r="EB136" s="4">
        <v>6532</v>
      </c>
      <c r="EC136" s="4">
        <v>966</v>
      </c>
      <c r="ED136" s="4">
        <v>1410</v>
      </c>
      <c r="EE136" s="4">
        <v>35070</v>
      </c>
      <c r="EF136" s="4">
        <v>3412</v>
      </c>
      <c r="EG136" s="4">
        <v>13189</v>
      </c>
      <c r="EH136" s="4">
        <v>26577</v>
      </c>
      <c r="EJ136" s="4">
        <f t="shared" si="2"/>
        <v>1699937</v>
      </c>
    </row>
    <row r="137" spans="1:140" x14ac:dyDescent="0.25">
      <c r="A137" s="4" t="s">
        <v>273</v>
      </c>
      <c r="B137" s="4">
        <v>5618</v>
      </c>
      <c r="C137" s="4">
        <v>6131</v>
      </c>
      <c r="D137" s="4">
        <v>163</v>
      </c>
      <c r="E137" s="4">
        <v>2076</v>
      </c>
      <c r="F137" s="4">
        <v>17</v>
      </c>
      <c r="G137" s="4">
        <v>38</v>
      </c>
      <c r="H137" s="4">
        <v>17448</v>
      </c>
      <c r="I137" s="4">
        <v>116</v>
      </c>
      <c r="J137" s="4">
        <v>1989</v>
      </c>
      <c r="K137" s="4">
        <v>69</v>
      </c>
      <c r="L137" s="4">
        <v>1257</v>
      </c>
      <c r="M137" s="4">
        <v>104</v>
      </c>
      <c r="N137" s="4">
        <v>12661</v>
      </c>
      <c r="O137" s="4">
        <v>2285</v>
      </c>
      <c r="P137" s="4">
        <v>4404</v>
      </c>
      <c r="Q137" s="4">
        <v>9137</v>
      </c>
      <c r="R137" s="4">
        <v>37</v>
      </c>
      <c r="S137" s="4">
        <v>2235</v>
      </c>
      <c r="T137" s="4">
        <v>3162</v>
      </c>
      <c r="U137" s="4">
        <v>3682</v>
      </c>
      <c r="V137" s="4">
        <v>9292</v>
      </c>
      <c r="W137" s="4">
        <v>3249</v>
      </c>
      <c r="X137" s="4">
        <v>867</v>
      </c>
      <c r="Y137" s="4">
        <v>796</v>
      </c>
      <c r="Z137" s="4">
        <v>1276</v>
      </c>
      <c r="AA137" s="4">
        <v>713</v>
      </c>
      <c r="AB137" s="4">
        <v>7414</v>
      </c>
      <c r="AC137" s="4">
        <v>826</v>
      </c>
      <c r="AD137" s="4">
        <v>618</v>
      </c>
      <c r="AE137" s="4">
        <v>2002</v>
      </c>
      <c r="AF137" s="4">
        <v>1604</v>
      </c>
      <c r="AG137">
        <v>34392</v>
      </c>
      <c r="AH137" s="4">
        <v>574</v>
      </c>
      <c r="AI137" s="4">
        <v>1569</v>
      </c>
      <c r="AJ137" s="4">
        <v>421</v>
      </c>
      <c r="AK137" s="4">
        <v>2376</v>
      </c>
      <c r="AL137" s="4">
        <v>3160</v>
      </c>
      <c r="AM137" s="4">
        <v>907</v>
      </c>
      <c r="AN137" s="4">
        <v>382</v>
      </c>
      <c r="AO137" s="4">
        <v>10493</v>
      </c>
      <c r="AP137" s="4">
        <v>970</v>
      </c>
      <c r="AQ137" s="4">
        <v>159</v>
      </c>
      <c r="AR137" s="4">
        <v>3804</v>
      </c>
      <c r="AS137" s="4">
        <v>9979</v>
      </c>
      <c r="AT137" s="4">
        <v>1287</v>
      </c>
      <c r="AU137" s="4">
        <v>3073</v>
      </c>
      <c r="AV137" s="4">
        <v>6320</v>
      </c>
      <c r="AW137" s="4">
        <v>11184</v>
      </c>
      <c r="AX137" s="4">
        <v>37488</v>
      </c>
      <c r="AY137" s="4">
        <v>260</v>
      </c>
      <c r="AZ137" s="4">
        <v>1048</v>
      </c>
      <c r="BA137" s="4">
        <v>20465</v>
      </c>
      <c r="BB137" s="4">
        <v>224</v>
      </c>
      <c r="BC137" s="4">
        <v>900</v>
      </c>
      <c r="BD137" s="4">
        <v>9880</v>
      </c>
      <c r="BE137" s="4">
        <v>4146</v>
      </c>
      <c r="BF137" s="4">
        <v>2136</v>
      </c>
      <c r="BG137" s="4">
        <v>6338</v>
      </c>
      <c r="BH137" s="4">
        <v>2099</v>
      </c>
      <c r="BI137" s="4">
        <v>34654</v>
      </c>
      <c r="BJ137" s="4">
        <v>4764</v>
      </c>
      <c r="BK137" s="4">
        <v>7689</v>
      </c>
      <c r="BL137" s="4">
        <v>2969</v>
      </c>
      <c r="BM137" s="4">
        <v>6079</v>
      </c>
      <c r="BN137" s="4">
        <v>1214</v>
      </c>
      <c r="BO137" s="4">
        <v>1256</v>
      </c>
      <c r="BP137" s="4">
        <v>26962</v>
      </c>
      <c r="BQ137" s="4">
        <v>2571</v>
      </c>
      <c r="BR137" s="4">
        <v>78484</v>
      </c>
      <c r="BS137" s="4">
        <v>9063</v>
      </c>
      <c r="BT137" s="4">
        <v>9368</v>
      </c>
      <c r="BU137" s="4">
        <v>17517</v>
      </c>
      <c r="BV137" s="4">
        <v>3049</v>
      </c>
      <c r="BW137" s="4">
        <v>12627</v>
      </c>
      <c r="BX137" s="4">
        <v>2679</v>
      </c>
      <c r="BY137" s="4">
        <v>6474</v>
      </c>
      <c r="BZ137" s="4">
        <v>23182</v>
      </c>
      <c r="CA137" s="4">
        <v>2415</v>
      </c>
      <c r="CB137" s="4">
        <v>1228</v>
      </c>
      <c r="CC137" s="4">
        <v>7449</v>
      </c>
      <c r="CD137" s="4">
        <v>3237</v>
      </c>
      <c r="CE137" s="4">
        <v>5080</v>
      </c>
      <c r="CF137" s="4">
        <v>7889</v>
      </c>
      <c r="CG137" s="4">
        <v>115705</v>
      </c>
      <c r="CH137" s="4">
        <v>14731</v>
      </c>
      <c r="CI137" s="4">
        <v>28116</v>
      </c>
      <c r="CJ137" s="4">
        <v>7373</v>
      </c>
      <c r="CK137" s="4">
        <v>15484</v>
      </c>
      <c r="CL137" s="4">
        <v>9318</v>
      </c>
      <c r="CM137" s="4">
        <v>16323</v>
      </c>
      <c r="CN137" s="4">
        <v>47632</v>
      </c>
      <c r="CO137" s="4">
        <v>5727</v>
      </c>
      <c r="CP137" s="4">
        <v>3619</v>
      </c>
      <c r="CQ137" s="4">
        <v>4872</v>
      </c>
      <c r="CR137" s="4">
        <v>7214</v>
      </c>
      <c r="CS137" s="4">
        <v>32296</v>
      </c>
      <c r="CT137" s="4">
        <v>19842</v>
      </c>
      <c r="CU137" s="4">
        <v>1886</v>
      </c>
      <c r="CV137" s="4">
        <v>272675</v>
      </c>
      <c r="CW137" s="4">
        <v>6568</v>
      </c>
      <c r="CX137" s="4">
        <v>2446</v>
      </c>
      <c r="CY137" s="4">
        <v>26211</v>
      </c>
      <c r="CZ137" s="4">
        <v>2821</v>
      </c>
      <c r="DA137" s="4">
        <v>6422</v>
      </c>
      <c r="DB137" s="4">
        <v>13819</v>
      </c>
      <c r="DC137" s="4">
        <v>4797</v>
      </c>
      <c r="DD137" s="4">
        <v>3229</v>
      </c>
      <c r="DE137" s="4">
        <v>2309</v>
      </c>
      <c r="DF137" s="4">
        <v>48700</v>
      </c>
      <c r="DG137" s="4">
        <v>15054</v>
      </c>
      <c r="DH137" s="4">
        <v>18205</v>
      </c>
      <c r="DI137" s="4">
        <v>5101</v>
      </c>
      <c r="DJ137" s="4">
        <v>27748</v>
      </c>
      <c r="DK137" s="4">
        <v>18618</v>
      </c>
      <c r="DL137" s="4">
        <v>10306</v>
      </c>
      <c r="DM137" s="4">
        <v>15363</v>
      </c>
      <c r="DN137" s="4">
        <v>17516</v>
      </c>
      <c r="DO137" s="4">
        <v>3610</v>
      </c>
      <c r="DP137" s="4">
        <v>7616</v>
      </c>
      <c r="DQ137" s="4">
        <v>62402</v>
      </c>
      <c r="DR137" s="4">
        <v>3848</v>
      </c>
      <c r="DS137" s="4">
        <v>6113</v>
      </c>
      <c r="DT137" s="4">
        <v>842</v>
      </c>
      <c r="DU137" s="4">
        <v>11124</v>
      </c>
      <c r="DV137" s="4">
        <v>4775</v>
      </c>
      <c r="DW137" s="4">
        <v>5653</v>
      </c>
      <c r="DX137" s="4">
        <v>14071</v>
      </c>
      <c r="DY137" s="4">
        <v>2659</v>
      </c>
      <c r="DZ137" s="4">
        <v>2977</v>
      </c>
      <c r="EA137" s="4">
        <v>11842</v>
      </c>
      <c r="EB137" s="4">
        <v>6525</v>
      </c>
      <c r="EC137" s="4">
        <v>1003</v>
      </c>
      <c r="ED137" s="4">
        <v>1251</v>
      </c>
      <c r="EE137" s="4">
        <v>35534</v>
      </c>
      <c r="EF137" s="4">
        <v>3627</v>
      </c>
      <c r="EG137" s="4">
        <v>13215</v>
      </c>
      <c r="EH137" s="4">
        <v>23557</v>
      </c>
      <c r="EJ137" s="4">
        <f t="shared" si="2"/>
        <v>1625509</v>
      </c>
    </row>
    <row r="138" spans="1:140" x14ac:dyDescent="0.25">
      <c r="A138" s="4" t="s">
        <v>274</v>
      </c>
      <c r="B138" s="4">
        <v>5473</v>
      </c>
      <c r="C138" s="4">
        <v>6071</v>
      </c>
      <c r="D138" s="4">
        <v>206</v>
      </c>
      <c r="E138" s="4">
        <v>1898</v>
      </c>
      <c r="F138" s="4">
        <v>11</v>
      </c>
      <c r="G138" s="4">
        <v>35</v>
      </c>
      <c r="H138" s="4">
        <v>16196</v>
      </c>
      <c r="I138" s="4">
        <v>68</v>
      </c>
      <c r="J138" s="4">
        <v>1913</v>
      </c>
      <c r="K138" s="4">
        <v>91</v>
      </c>
      <c r="L138" s="4">
        <v>1628</v>
      </c>
      <c r="M138" s="4">
        <v>128</v>
      </c>
      <c r="N138" s="4">
        <v>12151</v>
      </c>
      <c r="O138" s="4">
        <v>2152</v>
      </c>
      <c r="P138" s="4">
        <v>3283</v>
      </c>
      <c r="Q138" s="4">
        <v>8370</v>
      </c>
      <c r="R138" s="4">
        <v>33</v>
      </c>
      <c r="S138" s="4">
        <v>2690</v>
      </c>
      <c r="T138" s="4">
        <v>3389</v>
      </c>
      <c r="U138" s="4">
        <v>3272</v>
      </c>
      <c r="V138" s="4">
        <v>9137</v>
      </c>
      <c r="W138" s="4">
        <v>6593</v>
      </c>
      <c r="X138" s="4">
        <v>796</v>
      </c>
      <c r="Y138" s="4">
        <v>889</v>
      </c>
      <c r="Z138" s="4">
        <v>1416</v>
      </c>
      <c r="AA138" s="4">
        <v>596</v>
      </c>
      <c r="AB138" s="4">
        <v>7292</v>
      </c>
      <c r="AC138" s="4">
        <v>971</v>
      </c>
      <c r="AD138" s="4">
        <v>665</v>
      </c>
      <c r="AE138" s="4">
        <v>1920</v>
      </c>
      <c r="AF138" s="4">
        <v>1907</v>
      </c>
      <c r="AG138" s="4">
        <v>33626</v>
      </c>
      <c r="AH138" s="4">
        <v>565</v>
      </c>
      <c r="AI138" s="4">
        <v>1472</v>
      </c>
      <c r="AJ138" s="4">
        <v>785</v>
      </c>
      <c r="AK138" s="4">
        <v>2462</v>
      </c>
      <c r="AL138" s="4">
        <v>3045</v>
      </c>
      <c r="AM138" s="4">
        <v>954</v>
      </c>
      <c r="AN138" s="4">
        <v>367</v>
      </c>
      <c r="AO138" s="4">
        <v>10711</v>
      </c>
      <c r="AP138" s="4">
        <v>1111</v>
      </c>
      <c r="AQ138" s="4">
        <v>365</v>
      </c>
      <c r="AR138" s="4">
        <v>3553</v>
      </c>
      <c r="AS138" s="4">
        <v>8395</v>
      </c>
      <c r="AT138" s="4">
        <v>1312</v>
      </c>
      <c r="AU138" s="4">
        <v>3024</v>
      </c>
      <c r="AV138" s="4">
        <v>4798</v>
      </c>
      <c r="AW138" s="4">
        <v>4128</v>
      </c>
      <c r="AX138" s="4">
        <v>31538</v>
      </c>
      <c r="AY138" s="4">
        <v>838</v>
      </c>
      <c r="AZ138" s="4">
        <v>972</v>
      </c>
      <c r="BA138" s="4">
        <v>16556</v>
      </c>
      <c r="BB138" s="4">
        <v>262</v>
      </c>
      <c r="BC138" s="4">
        <v>2288</v>
      </c>
      <c r="BD138" s="4">
        <v>9862</v>
      </c>
      <c r="BE138" s="4">
        <v>4400</v>
      </c>
      <c r="BF138" s="4">
        <v>1987</v>
      </c>
      <c r="BG138" s="4">
        <v>6607</v>
      </c>
      <c r="BH138" s="4">
        <v>1972</v>
      </c>
      <c r="BI138" s="4">
        <v>35737</v>
      </c>
      <c r="BJ138" s="4">
        <v>5027</v>
      </c>
      <c r="BK138" s="4">
        <v>7484</v>
      </c>
      <c r="BL138" s="4">
        <v>2966</v>
      </c>
      <c r="BM138" s="4">
        <v>5990</v>
      </c>
      <c r="BN138" s="4">
        <v>1108</v>
      </c>
      <c r="BO138" s="4">
        <v>1162</v>
      </c>
      <c r="BP138" s="4">
        <v>27697</v>
      </c>
      <c r="BQ138" s="4">
        <v>2544</v>
      </c>
      <c r="BR138" s="4">
        <v>77954</v>
      </c>
      <c r="BS138" s="4">
        <v>8619</v>
      </c>
      <c r="BT138" s="4">
        <v>9085</v>
      </c>
      <c r="BU138" s="4">
        <v>17822</v>
      </c>
      <c r="BV138" s="4">
        <v>2922</v>
      </c>
      <c r="BW138" s="4">
        <v>13258</v>
      </c>
      <c r="BX138" s="4">
        <v>3028</v>
      </c>
      <c r="BY138" s="4">
        <v>9083</v>
      </c>
      <c r="BZ138" s="4">
        <v>22304</v>
      </c>
      <c r="CA138" s="4">
        <v>2611</v>
      </c>
      <c r="CB138" s="4">
        <v>1320</v>
      </c>
      <c r="CC138" s="4">
        <v>7338</v>
      </c>
      <c r="CD138" s="4">
        <v>3595</v>
      </c>
      <c r="CE138" s="4">
        <v>5295</v>
      </c>
      <c r="CF138" s="4">
        <v>8066</v>
      </c>
      <c r="CG138" s="4">
        <v>113785</v>
      </c>
      <c r="CH138" s="4">
        <v>15403</v>
      </c>
      <c r="CI138" s="4">
        <v>26062</v>
      </c>
      <c r="CJ138" s="4">
        <v>7064</v>
      </c>
      <c r="CK138" s="4">
        <v>15509</v>
      </c>
      <c r="CL138" s="4">
        <v>9406</v>
      </c>
      <c r="CM138" s="4">
        <v>15159</v>
      </c>
      <c r="CN138" s="4">
        <v>45201</v>
      </c>
      <c r="CO138" s="4">
        <v>5571</v>
      </c>
      <c r="CP138" s="4">
        <v>3887</v>
      </c>
      <c r="CQ138" s="4">
        <v>4386</v>
      </c>
      <c r="CR138" s="4">
        <v>7043</v>
      </c>
      <c r="CS138" s="4">
        <v>31045</v>
      </c>
      <c r="CT138" s="4">
        <v>19311</v>
      </c>
      <c r="CU138" s="4">
        <v>1916</v>
      </c>
      <c r="CV138" s="4">
        <v>266664</v>
      </c>
      <c r="CW138" s="4">
        <v>5585</v>
      </c>
      <c r="CX138" s="4">
        <v>1799</v>
      </c>
      <c r="CY138" s="4">
        <v>23607</v>
      </c>
      <c r="CZ138" s="4">
        <v>2680</v>
      </c>
      <c r="DA138" s="4">
        <v>7953</v>
      </c>
      <c r="DB138" s="4">
        <v>12891</v>
      </c>
      <c r="DC138" s="4">
        <v>4403</v>
      </c>
      <c r="DD138" s="4">
        <v>3039</v>
      </c>
      <c r="DE138" s="4">
        <v>2278</v>
      </c>
      <c r="DF138" s="4">
        <v>46018</v>
      </c>
      <c r="DG138" s="4">
        <v>14226</v>
      </c>
      <c r="DH138" s="4">
        <v>17366</v>
      </c>
      <c r="DI138" s="4">
        <v>3904</v>
      </c>
      <c r="DJ138" s="4">
        <v>26169</v>
      </c>
      <c r="DK138" s="4">
        <v>17324</v>
      </c>
      <c r="DL138" s="4">
        <v>10577</v>
      </c>
      <c r="DM138" s="4">
        <v>14716</v>
      </c>
      <c r="DN138" s="4">
        <v>16223</v>
      </c>
      <c r="DO138" s="4">
        <v>3989</v>
      </c>
      <c r="DP138" s="4">
        <v>8003</v>
      </c>
      <c r="DQ138" s="4">
        <v>60449</v>
      </c>
      <c r="DR138" s="4">
        <v>4108</v>
      </c>
      <c r="DS138" s="4">
        <v>5901</v>
      </c>
      <c r="DT138" s="4">
        <v>761</v>
      </c>
      <c r="DU138" s="4">
        <v>10282</v>
      </c>
      <c r="DV138" s="4">
        <v>4387</v>
      </c>
      <c r="DW138" s="4">
        <v>5291</v>
      </c>
      <c r="DX138" s="4">
        <v>12404</v>
      </c>
      <c r="DY138" s="4">
        <v>2392</v>
      </c>
      <c r="DZ138" s="4">
        <v>3380</v>
      </c>
      <c r="EA138" s="4">
        <v>11520</v>
      </c>
      <c r="EB138" s="4">
        <v>6543</v>
      </c>
      <c r="EC138" s="4">
        <v>915</v>
      </c>
      <c r="ED138" s="4">
        <v>1128</v>
      </c>
      <c r="EE138" s="4">
        <v>35885</v>
      </c>
      <c r="EF138" s="4">
        <v>4441</v>
      </c>
      <c r="EG138" s="4">
        <v>12384</v>
      </c>
      <c r="EH138" s="4">
        <v>26701</v>
      </c>
      <c r="EJ138" s="4">
        <f t="shared" si="2"/>
        <v>1580244</v>
      </c>
    </row>
    <row r="139" spans="1:140" x14ac:dyDescent="0.25">
      <c r="A139" s="4" t="s">
        <v>275</v>
      </c>
      <c r="B139" s="4">
        <v>5563</v>
      </c>
      <c r="C139" s="4">
        <v>6678</v>
      </c>
      <c r="D139" s="4">
        <v>205</v>
      </c>
      <c r="E139" s="4">
        <v>2018</v>
      </c>
      <c r="F139" s="4">
        <v>14</v>
      </c>
      <c r="G139" s="4">
        <v>38</v>
      </c>
      <c r="H139" s="4">
        <v>15987</v>
      </c>
      <c r="I139" s="4">
        <v>137</v>
      </c>
      <c r="J139" s="4">
        <v>2038</v>
      </c>
      <c r="K139" s="4">
        <v>90</v>
      </c>
      <c r="L139" s="4">
        <v>1383</v>
      </c>
      <c r="M139" s="4">
        <v>107</v>
      </c>
      <c r="N139" s="4">
        <v>13804</v>
      </c>
      <c r="O139" s="4">
        <v>2272</v>
      </c>
      <c r="P139" s="4">
        <v>3416</v>
      </c>
      <c r="Q139" s="4">
        <v>9975</v>
      </c>
      <c r="R139" s="4">
        <v>38</v>
      </c>
      <c r="S139" s="4">
        <v>2288</v>
      </c>
      <c r="T139" s="4">
        <v>3214</v>
      </c>
      <c r="U139" s="4">
        <v>3664</v>
      </c>
      <c r="V139" s="4">
        <v>9331</v>
      </c>
      <c r="W139" s="4">
        <v>3003</v>
      </c>
      <c r="X139" s="4">
        <v>775</v>
      </c>
      <c r="Y139" s="4">
        <v>938</v>
      </c>
      <c r="Z139" s="4">
        <v>1095</v>
      </c>
      <c r="AA139" s="4">
        <v>849</v>
      </c>
      <c r="AB139" s="4">
        <v>8098</v>
      </c>
      <c r="AC139" s="4">
        <v>1069</v>
      </c>
      <c r="AD139" s="4">
        <v>633</v>
      </c>
      <c r="AE139" s="4">
        <v>1984</v>
      </c>
      <c r="AF139" s="4">
        <v>1842</v>
      </c>
      <c r="AG139" s="4">
        <v>32113</v>
      </c>
      <c r="AH139" s="4">
        <v>558</v>
      </c>
      <c r="AI139" s="4">
        <v>1390</v>
      </c>
      <c r="AJ139" s="4">
        <v>433</v>
      </c>
      <c r="AK139" s="4">
        <v>2994</v>
      </c>
      <c r="AL139" s="4">
        <v>3965</v>
      </c>
      <c r="AM139" s="4">
        <v>915</v>
      </c>
      <c r="AN139" s="4">
        <v>332</v>
      </c>
      <c r="AO139" s="4">
        <v>10917</v>
      </c>
      <c r="AP139" s="4">
        <v>1143</v>
      </c>
      <c r="AQ139" s="4">
        <v>133</v>
      </c>
      <c r="AR139" s="4">
        <v>3592</v>
      </c>
      <c r="AS139" s="4">
        <v>6855</v>
      </c>
      <c r="AT139" s="4">
        <v>1094</v>
      </c>
      <c r="AU139" s="4">
        <v>2962</v>
      </c>
      <c r="AV139" s="4">
        <v>4755</v>
      </c>
      <c r="AW139" s="4">
        <v>2519</v>
      </c>
      <c r="AX139" s="4">
        <v>30623</v>
      </c>
      <c r="AY139" s="4">
        <v>296</v>
      </c>
      <c r="AZ139" s="4">
        <v>1148</v>
      </c>
      <c r="BA139" s="4">
        <v>8063</v>
      </c>
      <c r="BB139" s="4">
        <v>195</v>
      </c>
      <c r="BC139" s="4">
        <v>864</v>
      </c>
      <c r="BD139" s="4">
        <v>7567</v>
      </c>
      <c r="BE139" s="4">
        <v>3988</v>
      </c>
      <c r="BF139" s="4">
        <v>2693</v>
      </c>
      <c r="BG139" s="4">
        <v>6295</v>
      </c>
      <c r="BH139" s="4">
        <v>1714</v>
      </c>
      <c r="BI139" s="4">
        <v>32068</v>
      </c>
      <c r="BJ139" s="4">
        <v>5030</v>
      </c>
      <c r="BK139" s="4">
        <v>9203</v>
      </c>
      <c r="BL139" s="4">
        <v>3250</v>
      </c>
      <c r="BM139" s="4">
        <v>6024</v>
      </c>
      <c r="BN139" s="4">
        <v>1194</v>
      </c>
      <c r="BO139" s="4">
        <v>1069</v>
      </c>
      <c r="BP139" s="4">
        <v>26701</v>
      </c>
      <c r="BQ139" s="4">
        <v>2500</v>
      </c>
      <c r="BR139" s="4">
        <v>75954</v>
      </c>
      <c r="BS139" s="4">
        <v>8369</v>
      </c>
      <c r="BT139" s="4">
        <v>9166</v>
      </c>
      <c r="BU139" s="4">
        <v>18099</v>
      </c>
      <c r="BV139" s="4">
        <v>2905</v>
      </c>
      <c r="BW139" s="4">
        <v>12915</v>
      </c>
      <c r="BX139" s="4">
        <v>3125</v>
      </c>
      <c r="BY139" s="4">
        <v>9357</v>
      </c>
      <c r="BZ139" s="4">
        <v>21207</v>
      </c>
      <c r="CA139" s="4">
        <v>2499</v>
      </c>
      <c r="CB139" s="4">
        <v>1219</v>
      </c>
      <c r="CC139" s="4">
        <v>7262</v>
      </c>
      <c r="CD139" s="4">
        <v>3523</v>
      </c>
      <c r="CE139" s="4">
        <v>4503</v>
      </c>
      <c r="CF139" s="4">
        <v>8169</v>
      </c>
      <c r="CG139" s="4">
        <v>112764</v>
      </c>
      <c r="CH139" s="4">
        <v>15245</v>
      </c>
      <c r="CI139" s="4">
        <v>25545</v>
      </c>
      <c r="CJ139" s="4">
        <v>6450</v>
      </c>
      <c r="CK139" s="4">
        <v>16140</v>
      </c>
      <c r="CL139" s="4">
        <v>9919</v>
      </c>
      <c r="CM139" s="4">
        <v>15976</v>
      </c>
      <c r="CN139" s="4">
        <v>49048</v>
      </c>
      <c r="CO139" s="4">
        <v>5763</v>
      </c>
      <c r="CP139" s="4">
        <v>3805</v>
      </c>
      <c r="CQ139" s="4">
        <v>4118</v>
      </c>
      <c r="CR139" s="4">
        <v>7312</v>
      </c>
      <c r="CS139" s="4">
        <v>33081</v>
      </c>
      <c r="CT139" s="4">
        <v>19672</v>
      </c>
      <c r="CU139" s="4">
        <v>1989</v>
      </c>
      <c r="CV139" s="4">
        <v>272190</v>
      </c>
      <c r="CW139" s="4">
        <v>5859</v>
      </c>
      <c r="CX139" s="4">
        <v>1993</v>
      </c>
      <c r="CY139" s="4">
        <v>23892</v>
      </c>
      <c r="CZ139" s="4">
        <v>2726</v>
      </c>
      <c r="DA139" s="4">
        <v>7783</v>
      </c>
      <c r="DB139" s="4">
        <v>13805</v>
      </c>
      <c r="DC139" s="4">
        <v>4596</v>
      </c>
      <c r="DD139" s="4">
        <v>3624</v>
      </c>
      <c r="DE139" s="4">
        <v>2125</v>
      </c>
      <c r="DF139" s="4">
        <v>47229</v>
      </c>
      <c r="DG139" s="4">
        <v>13830</v>
      </c>
      <c r="DH139" s="4">
        <v>17093</v>
      </c>
      <c r="DI139" s="4">
        <v>3634</v>
      </c>
      <c r="DJ139" s="4">
        <v>25324</v>
      </c>
      <c r="DK139" s="4">
        <v>17316</v>
      </c>
      <c r="DL139" s="4">
        <v>10519</v>
      </c>
      <c r="DM139" s="4">
        <v>13595</v>
      </c>
      <c r="DN139" s="4">
        <v>14985</v>
      </c>
      <c r="DO139" s="4">
        <v>3131</v>
      </c>
      <c r="DP139" s="4">
        <v>8308</v>
      </c>
      <c r="DQ139" s="4">
        <v>59213</v>
      </c>
      <c r="DR139" s="4">
        <v>3262</v>
      </c>
      <c r="DS139" s="4">
        <v>5392</v>
      </c>
      <c r="DT139" s="4">
        <v>807</v>
      </c>
      <c r="DU139" s="4">
        <v>10721</v>
      </c>
      <c r="DV139" s="4">
        <v>4272</v>
      </c>
      <c r="DW139" s="4">
        <v>5573</v>
      </c>
      <c r="DX139" s="4">
        <v>11731</v>
      </c>
      <c r="DY139" s="4">
        <v>2260</v>
      </c>
      <c r="DZ139" s="4">
        <v>2813</v>
      </c>
      <c r="EA139" s="4">
        <v>12020</v>
      </c>
      <c r="EB139" s="4">
        <v>5751</v>
      </c>
      <c r="EC139" s="4">
        <v>900</v>
      </c>
      <c r="ED139" s="4">
        <v>1149</v>
      </c>
      <c r="EE139" s="4">
        <v>36178</v>
      </c>
      <c r="EF139" s="4">
        <v>4547</v>
      </c>
      <c r="EG139" s="4">
        <v>12127</v>
      </c>
      <c r="EH139" s="4">
        <v>27461</v>
      </c>
      <c r="EJ139" s="4">
        <f t="shared" si="2"/>
        <v>1564534</v>
      </c>
    </row>
    <row r="140" spans="1:140" x14ac:dyDescent="0.25">
      <c r="A140" s="4" t="s">
        <v>276</v>
      </c>
      <c r="B140" s="4">
        <v>5246</v>
      </c>
      <c r="C140" s="4">
        <v>6688</v>
      </c>
      <c r="D140" s="4">
        <v>279</v>
      </c>
      <c r="E140" s="4">
        <v>2040</v>
      </c>
      <c r="F140" s="4">
        <v>11</v>
      </c>
      <c r="G140" s="4">
        <v>51</v>
      </c>
      <c r="H140" s="4">
        <v>15450</v>
      </c>
      <c r="I140" s="4">
        <v>150</v>
      </c>
      <c r="J140" s="4">
        <v>2100</v>
      </c>
      <c r="K140" s="4">
        <v>101</v>
      </c>
      <c r="L140" s="4">
        <v>1283</v>
      </c>
      <c r="M140" s="4">
        <v>158</v>
      </c>
      <c r="N140" s="4">
        <v>10918</v>
      </c>
      <c r="O140" s="4">
        <v>1954</v>
      </c>
      <c r="P140" s="4">
        <v>2808</v>
      </c>
      <c r="Q140" s="4">
        <v>9136</v>
      </c>
      <c r="R140" s="4">
        <v>34</v>
      </c>
      <c r="S140" s="4">
        <v>2261</v>
      </c>
      <c r="T140" s="4">
        <v>3216</v>
      </c>
      <c r="U140" s="4">
        <v>3710</v>
      </c>
      <c r="V140" s="4">
        <v>9303</v>
      </c>
      <c r="W140" s="4">
        <v>3048</v>
      </c>
      <c r="X140" s="4">
        <v>807</v>
      </c>
      <c r="Y140" s="4">
        <v>997</v>
      </c>
      <c r="Z140" s="4">
        <v>1067</v>
      </c>
      <c r="AA140" s="4">
        <v>717</v>
      </c>
      <c r="AB140" s="4">
        <v>7633</v>
      </c>
      <c r="AC140" s="4">
        <v>816</v>
      </c>
      <c r="AD140" s="4">
        <v>638</v>
      </c>
      <c r="AE140" s="4">
        <v>2188</v>
      </c>
      <c r="AF140" s="4">
        <v>2015</v>
      </c>
      <c r="AG140" s="4">
        <v>33629</v>
      </c>
      <c r="AH140" s="4">
        <v>587</v>
      </c>
      <c r="AI140" s="4">
        <v>1513</v>
      </c>
      <c r="AJ140" s="4">
        <v>690</v>
      </c>
      <c r="AK140" s="4">
        <v>2673</v>
      </c>
      <c r="AL140" s="4">
        <v>3049</v>
      </c>
      <c r="AM140" s="4">
        <v>995</v>
      </c>
      <c r="AN140" s="4">
        <v>368</v>
      </c>
      <c r="AO140" s="4">
        <v>10561</v>
      </c>
      <c r="AP140" s="4">
        <v>1165</v>
      </c>
      <c r="AQ140" s="4">
        <v>193</v>
      </c>
      <c r="AR140" s="4">
        <v>3732</v>
      </c>
      <c r="AS140" s="4">
        <v>8456</v>
      </c>
      <c r="AT140" s="4">
        <v>1168</v>
      </c>
      <c r="AU140" s="4">
        <v>3488</v>
      </c>
      <c r="AV140" s="4">
        <v>5395</v>
      </c>
      <c r="AW140" s="4">
        <v>3023</v>
      </c>
      <c r="AX140" s="4">
        <v>31678</v>
      </c>
      <c r="AY140" s="4">
        <v>416</v>
      </c>
      <c r="AZ140" s="4">
        <v>1112</v>
      </c>
      <c r="BA140" s="4">
        <v>7585</v>
      </c>
      <c r="BB140" s="4">
        <v>219</v>
      </c>
      <c r="BC140" s="4">
        <v>958</v>
      </c>
      <c r="BD140" s="4">
        <v>7815</v>
      </c>
      <c r="BE140" s="4">
        <v>3665</v>
      </c>
      <c r="BF140" s="4">
        <v>2344</v>
      </c>
      <c r="BG140" s="4">
        <v>6497</v>
      </c>
      <c r="BH140" s="4">
        <v>1967</v>
      </c>
      <c r="BI140" s="4">
        <v>32983</v>
      </c>
      <c r="BJ140" s="4">
        <v>6147</v>
      </c>
      <c r="BK140" s="4">
        <v>8885</v>
      </c>
      <c r="BL140" s="4">
        <v>3127</v>
      </c>
      <c r="BM140" s="4">
        <v>6205</v>
      </c>
      <c r="BN140" s="4">
        <v>1663</v>
      </c>
      <c r="BO140" s="4">
        <v>1244</v>
      </c>
      <c r="BP140" s="4">
        <v>27979</v>
      </c>
      <c r="BQ140" s="4">
        <v>2734</v>
      </c>
      <c r="BR140" s="4">
        <v>78659</v>
      </c>
      <c r="BS140" s="4">
        <v>8956</v>
      </c>
      <c r="BT140" s="4">
        <v>10152</v>
      </c>
      <c r="BU140" s="4">
        <v>22463</v>
      </c>
      <c r="BV140" s="4">
        <v>3199</v>
      </c>
      <c r="BW140" s="4">
        <v>14187</v>
      </c>
      <c r="BX140" s="4">
        <v>3177</v>
      </c>
      <c r="BY140" s="4">
        <v>7261</v>
      </c>
      <c r="BZ140" s="4">
        <v>22079</v>
      </c>
      <c r="CA140" s="4">
        <v>2876</v>
      </c>
      <c r="CB140" s="4">
        <v>1130</v>
      </c>
      <c r="CC140" s="4">
        <v>8759</v>
      </c>
      <c r="CD140" s="4">
        <v>3616</v>
      </c>
      <c r="CE140" s="4">
        <v>4737</v>
      </c>
      <c r="CF140" s="4">
        <v>7914</v>
      </c>
      <c r="CG140" s="4">
        <v>115653</v>
      </c>
      <c r="CH140" s="4">
        <v>14205</v>
      </c>
      <c r="CI140" s="4">
        <v>25506</v>
      </c>
      <c r="CJ140" s="4">
        <v>7220</v>
      </c>
      <c r="CK140" s="4">
        <v>14124</v>
      </c>
      <c r="CL140" s="4">
        <v>9478</v>
      </c>
      <c r="CM140" s="4">
        <v>14204</v>
      </c>
      <c r="CN140" s="4">
        <v>43488</v>
      </c>
      <c r="CO140" s="4">
        <v>5812</v>
      </c>
      <c r="CP140" s="4">
        <v>3878</v>
      </c>
      <c r="CQ140" s="4">
        <v>4095</v>
      </c>
      <c r="CR140" s="4">
        <v>6842</v>
      </c>
      <c r="CS140" s="4">
        <v>29900</v>
      </c>
      <c r="CT140" s="4">
        <v>18598</v>
      </c>
      <c r="CU140" s="4">
        <v>1801</v>
      </c>
      <c r="CV140" s="4">
        <v>253791</v>
      </c>
      <c r="CW140" s="4">
        <v>5644</v>
      </c>
      <c r="CX140" s="4">
        <v>1803</v>
      </c>
      <c r="CY140" s="4">
        <v>24051</v>
      </c>
      <c r="CZ140" s="4">
        <v>2756</v>
      </c>
      <c r="DA140" s="4">
        <v>7268</v>
      </c>
      <c r="DB140" s="4">
        <v>14424</v>
      </c>
      <c r="DC140" s="4">
        <v>5411</v>
      </c>
      <c r="DD140" s="4">
        <v>2945</v>
      </c>
      <c r="DE140" s="4">
        <v>2365</v>
      </c>
      <c r="DF140" s="4">
        <v>49529</v>
      </c>
      <c r="DG140" s="4">
        <v>14450</v>
      </c>
      <c r="DH140" s="4">
        <v>16626</v>
      </c>
      <c r="DI140" s="4">
        <v>3470</v>
      </c>
      <c r="DJ140" s="4">
        <v>26797</v>
      </c>
      <c r="DK140" s="4">
        <v>18275</v>
      </c>
      <c r="DL140" s="4">
        <v>10943</v>
      </c>
      <c r="DM140" s="4">
        <v>13824</v>
      </c>
      <c r="DN140" s="4">
        <v>15911</v>
      </c>
      <c r="DO140" s="4">
        <v>3422</v>
      </c>
      <c r="DP140" s="4">
        <v>9253</v>
      </c>
      <c r="DQ140" s="4">
        <v>55671</v>
      </c>
      <c r="DR140" s="4">
        <v>3000</v>
      </c>
      <c r="DS140" s="4">
        <v>5298</v>
      </c>
      <c r="DT140" s="4">
        <v>863</v>
      </c>
      <c r="DU140" s="4">
        <v>10906</v>
      </c>
      <c r="DV140" s="4">
        <v>5394</v>
      </c>
      <c r="DW140" s="4">
        <v>5538</v>
      </c>
      <c r="DX140" s="4">
        <v>12598</v>
      </c>
      <c r="DY140" s="4">
        <v>2159</v>
      </c>
      <c r="DZ140" s="4">
        <v>3317</v>
      </c>
      <c r="EA140" s="4">
        <v>12511</v>
      </c>
      <c r="EB140" s="4">
        <v>5619</v>
      </c>
      <c r="EC140" s="4">
        <v>852</v>
      </c>
      <c r="ED140" s="4">
        <v>1401</v>
      </c>
      <c r="EE140" s="4">
        <v>35327</v>
      </c>
      <c r="EF140" s="4">
        <v>5147</v>
      </c>
      <c r="EG140" s="4">
        <v>11926</v>
      </c>
      <c r="EH140" s="4">
        <v>28113</v>
      </c>
      <c r="EJ140" s="4">
        <f t="shared" si="2"/>
        <v>1555298</v>
      </c>
    </row>
    <row r="141" spans="1:140" x14ac:dyDescent="0.25">
      <c r="A141" s="4" t="s">
        <v>277</v>
      </c>
      <c r="B141" s="4">
        <v>4968</v>
      </c>
      <c r="C141" s="4">
        <v>6954</v>
      </c>
      <c r="D141" s="4">
        <v>213</v>
      </c>
      <c r="E141" s="4">
        <v>2077</v>
      </c>
      <c r="F141" s="4">
        <v>14</v>
      </c>
      <c r="G141" s="4">
        <v>22</v>
      </c>
      <c r="H141" s="4">
        <v>14886</v>
      </c>
      <c r="I141" s="4">
        <v>131</v>
      </c>
      <c r="J141" s="4">
        <v>1853</v>
      </c>
      <c r="K141" s="4">
        <v>82</v>
      </c>
      <c r="L141" s="4">
        <v>1341</v>
      </c>
      <c r="M141" s="4">
        <v>153</v>
      </c>
      <c r="N141" s="4">
        <v>13612</v>
      </c>
      <c r="O141" s="4">
        <v>1888</v>
      </c>
      <c r="P141" s="4">
        <v>4722</v>
      </c>
      <c r="Q141" s="4">
        <v>8778</v>
      </c>
      <c r="R141" s="4">
        <v>35</v>
      </c>
      <c r="S141" s="4">
        <v>2157</v>
      </c>
      <c r="T141" s="4">
        <v>3171</v>
      </c>
      <c r="U141" s="4">
        <v>3438</v>
      </c>
      <c r="V141" s="4">
        <v>9755</v>
      </c>
      <c r="W141" s="4">
        <v>3098</v>
      </c>
      <c r="X141" s="4">
        <v>773</v>
      </c>
      <c r="Y141" s="4">
        <v>887</v>
      </c>
      <c r="Z141" s="4">
        <v>1223</v>
      </c>
      <c r="AA141" s="4">
        <v>684</v>
      </c>
      <c r="AB141" s="4">
        <v>8162</v>
      </c>
      <c r="AC141" s="4">
        <v>908</v>
      </c>
      <c r="AD141" s="4">
        <v>612</v>
      </c>
      <c r="AE141" s="4">
        <v>1941</v>
      </c>
      <c r="AF141" s="4">
        <v>2088</v>
      </c>
      <c r="AG141" s="4">
        <v>32789</v>
      </c>
      <c r="AH141" s="4">
        <v>560</v>
      </c>
      <c r="AI141" s="4">
        <v>1485</v>
      </c>
      <c r="AJ141" s="4">
        <v>426</v>
      </c>
      <c r="AK141" s="4">
        <v>2451</v>
      </c>
      <c r="AL141" s="4">
        <v>2792</v>
      </c>
      <c r="AM141" s="4">
        <v>938</v>
      </c>
      <c r="AN141" s="4">
        <v>304</v>
      </c>
      <c r="AO141" s="4">
        <v>10734</v>
      </c>
      <c r="AP141" s="4">
        <v>869</v>
      </c>
      <c r="AQ141" s="4">
        <v>176</v>
      </c>
      <c r="AR141" s="4">
        <v>3477</v>
      </c>
      <c r="AS141" s="4">
        <v>7509</v>
      </c>
      <c r="AT141" s="4">
        <v>1127</v>
      </c>
      <c r="AU141" s="4">
        <v>2955</v>
      </c>
      <c r="AV141" s="4">
        <v>4556</v>
      </c>
      <c r="AW141" s="4">
        <v>3216</v>
      </c>
      <c r="AX141" s="4">
        <v>29065</v>
      </c>
      <c r="AY141" s="4">
        <v>334</v>
      </c>
      <c r="AZ141" s="4">
        <v>1237</v>
      </c>
      <c r="BA141" s="4">
        <v>7139</v>
      </c>
      <c r="BB141" s="4">
        <v>282</v>
      </c>
      <c r="BC141" s="4">
        <v>853</v>
      </c>
      <c r="BD141" s="4">
        <v>7452</v>
      </c>
      <c r="BE141" s="4">
        <v>3901</v>
      </c>
      <c r="BF141" s="4">
        <v>2263</v>
      </c>
      <c r="BG141" s="4">
        <v>5805</v>
      </c>
      <c r="BH141" s="4">
        <v>1780</v>
      </c>
      <c r="BI141" s="4">
        <v>32257</v>
      </c>
      <c r="BJ141" s="4">
        <v>5327</v>
      </c>
      <c r="BK141" s="4">
        <v>7251</v>
      </c>
      <c r="BL141" s="4">
        <v>3434</v>
      </c>
      <c r="BM141" s="4">
        <v>5614</v>
      </c>
      <c r="BN141" s="4">
        <v>1635</v>
      </c>
      <c r="BO141" s="4">
        <v>1083</v>
      </c>
      <c r="BP141" s="4">
        <v>26444</v>
      </c>
      <c r="BQ141" s="4">
        <v>2597</v>
      </c>
      <c r="BR141" s="4">
        <v>71045</v>
      </c>
      <c r="BS141" s="4">
        <v>9085</v>
      </c>
      <c r="BT141" s="4">
        <v>9497</v>
      </c>
      <c r="BU141" s="4">
        <v>24177</v>
      </c>
      <c r="BV141" s="4">
        <v>3051</v>
      </c>
      <c r="BW141" s="4">
        <v>12866</v>
      </c>
      <c r="BX141" s="4">
        <v>2358</v>
      </c>
      <c r="BY141" s="4">
        <v>7143</v>
      </c>
      <c r="BZ141" s="4">
        <v>20286</v>
      </c>
      <c r="CA141" s="4">
        <v>2485</v>
      </c>
      <c r="CB141" s="4">
        <v>1119</v>
      </c>
      <c r="CC141" s="4">
        <v>6897</v>
      </c>
      <c r="CD141" s="4">
        <v>3121</v>
      </c>
      <c r="CE141" s="4">
        <v>4307</v>
      </c>
      <c r="CF141" s="4">
        <v>7615</v>
      </c>
      <c r="CG141" s="4">
        <v>110031</v>
      </c>
      <c r="CH141" s="4">
        <v>13259</v>
      </c>
      <c r="CI141" s="4">
        <v>24375</v>
      </c>
      <c r="CJ141" s="4">
        <v>6320</v>
      </c>
      <c r="CK141" s="4">
        <v>13504</v>
      </c>
      <c r="CL141" s="4">
        <v>8598</v>
      </c>
      <c r="CM141" s="4">
        <v>14098</v>
      </c>
      <c r="CN141" s="4">
        <v>42145</v>
      </c>
      <c r="CO141" s="4">
        <v>4771</v>
      </c>
      <c r="CP141" s="4">
        <v>3843</v>
      </c>
      <c r="CQ141" s="4">
        <v>3693</v>
      </c>
      <c r="CR141" s="4">
        <v>6390</v>
      </c>
      <c r="CS141" s="4">
        <v>29701</v>
      </c>
      <c r="CT141" s="4">
        <v>16930</v>
      </c>
      <c r="CU141" s="4">
        <v>1620</v>
      </c>
      <c r="CV141" s="4">
        <v>242545</v>
      </c>
      <c r="CW141" s="4">
        <v>5391</v>
      </c>
      <c r="CX141" s="4">
        <v>1863</v>
      </c>
      <c r="CY141" s="4">
        <v>22050</v>
      </c>
      <c r="CZ141" s="4">
        <v>2792</v>
      </c>
      <c r="DA141" s="4">
        <v>6327</v>
      </c>
      <c r="DB141" s="4">
        <v>12857</v>
      </c>
      <c r="DC141" s="4">
        <v>4544</v>
      </c>
      <c r="DD141" s="4">
        <v>2718</v>
      </c>
      <c r="DE141" s="4">
        <v>2039</v>
      </c>
      <c r="DF141" s="4">
        <v>45359</v>
      </c>
      <c r="DG141" s="4">
        <v>12834</v>
      </c>
      <c r="DH141" s="4">
        <v>15681</v>
      </c>
      <c r="DI141" s="4">
        <v>3452</v>
      </c>
      <c r="DJ141" s="4">
        <v>24949</v>
      </c>
      <c r="DK141" s="4">
        <v>16875</v>
      </c>
      <c r="DL141" s="4">
        <v>10765</v>
      </c>
      <c r="DM141" s="4">
        <v>12095</v>
      </c>
      <c r="DN141" s="4">
        <v>14066</v>
      </c>
      <c r="DO141" s="4">
        <v>3045</v>
      </c>
      <c r="DP141" s="4">
        <v>10586</v>
      </c>
      <c r="DQ141" s="4">
        <v>55715</v>
      </c>
      <c r="DR141" s="4">
        <v>2635</v>
      </c>
      <c r="DS141" s="4">
        <v>5261</v>
      </c>
      <c r="DT141" s="4">
        <v>787</v>
      </c>
      <c r="DU141" s="4">
        <v>10583</v>
      </c>
      <c r="DV141" s="4">
        <v>4378</v>
      </c>
      <c r="DW141" s="4">
        <v>6026</v>
      </c>
      <c r="DX141" s="4">
        <v>12028</v>
      </c>
      <c r="DY141" s="4">
        <v>2305</v>
      </c>
      <c r="DZ141" s="4">
        <v>2506</v>
      </c>
      <c r="EA141" s="4">
        <v>11156</v>
      </c>
      <c r="EB141" s="4">
        <v>6119</v>
      </c>
      <c r="EC141" s="4">
        <v>959</v>
      </c>
      <c r="ED141" s="4">
        <v>1197</v>
      </c>
      <c r="EE141" s="4">
        <v>34522</v>
      </c>
      <c r="EF141" s="4">
        <v>3982</v>
      </c>
      <c r="EG141" s="4">
        <v>11832</v>
      </c>
      <c r="EH141" s="4">
        <v>26989</v>
      </c>
      <c r="EJ141" s="4">
        <f t="shared" si="2"/>
        <v>1478886</v>
      </c>
    </row>
    <row r="142" spans="1:140" x14ac:dyDescent="0.25">
      <c r="A142" s="4" t="s">
        <v>278</v>
      </c>
      <c r="B142" s="4">
        <v>4762</v>
      </c>
      <c r="C142" s="4">
        <v>6357</v>
      </c>
      <c r="D142" s="4">
        <v>283</v>
      </c>
      <c r="E142" s="4">
        <v>2475</v>
      </c>
      <c r="F142" s="4">
        <v>16</v>
      </c>
      <c r="G142" s="4">
        <v>139</v>
      </c>
      <c r="H142" s="4">
        <v>14314</v>
      </c>
      <c r="I142" s="4">
        <v>100</v>
      </c>
      <c r="J142" s="4">
        <v>1423</v>
      </c>
      <c r="K142" s="4">
        <v>57</v>
      </c>
      <c r="L142" s="4">
        <v>1367</v>
      </c>
      <c r="M142" s="4">
        <v>122</v>
      </c>
      <c r="N142" s="4">
        <v>13864</v>
      </c>
      <c r="O142" s="4">
        <v>1875</v>
      </c>
      <c r="P142" s="4">
        <v>2294</v>
      </c>
      <c r="Q142" s="4">
        <v>8230</v>
      </c>
      <c r="R142" s="4">
        <v>20</v>
      </c>
      <c r="S142" s="4">
        <v>1912</v>
      </c>
      <c r="T142" s="4">
        <v>2737</v>
      </c>
      <c r="U142" s="4">
        <v>3491</v>
      </c>
      <c r="V142" s="4">
        <v>8046</v>
      </c>
      <c r="W142" s="4">
        <v>3247</v>
      </c>
      <c r="X142" s="4">
        <v>795</v>
      </c>
      <c r="Y142" s="4">
        <v>885</v>
      </c>
      <c r="Z142" s="4">
        <v>959</v>
      </c>
      <c r="AA142" s="4">
        <v>706</v>
      </c>
      <c r="AB142" s="4">
        <v>7389</v>
      </c>
      <c r="AC142" s="4">
        <v>1247</v>
      </c>
      <c r="AD142" s="4">
        <v>746</v>
      </c>
      <c r="AE142" s="4">
        <v>1980</v>
      </c>
      <c r="AF142" s="4">
        <v>2025</v>
      </c>
      <c r="AG142" s="4">
        <v>30798</v>
      </c>
      <c r="AH142" s="4">
        <v>567</v>
      </c>
      <c r="AI142" s="4">
        <v>1784</v>
      </c>
      <c r="AJ142" s="4">
        <v>423</v>
      </c>
      <c r="AK142" s="4">
        <v>2518</v>
      </c>
      <c r="AL142" s="4">
        <v>2849</v>
      </c>
      <c r="AM142" s="4">
        <v>916</v>
      </c>
      <c r="AN142" s="4">
        <v>347</v>
      </c>
      <c r="AO142" s="4">
        <v>8209</v>
      </c>
      <c r="AP142" s="4">
        <v>829</v>
      </c>
      <c r="AQ142" s="4">
        <v>156</v>
      </c>
      <c r="AR142" s="4">
        <v>3342</v>
      </c>
      <c r="AS142" s="4">
        <v>7055</v>
      </c>
      <c r="AT142" s="4">
        <v>1353</v>
      </c>
      <c r="AU142" s="4">
        <v>3225</v>
      </c>
      <c r="AV142" s="4">
        <v>4547</v>
      </c>
      <c r="AW142" s="4">
        <v>2434</v>
      </c>
      <c r="AX142" s="4">
        <v>25776</v>
      </c>
      <c r="AY142" s="4">
        <v>582</v>
      </c>
      <c r="AZ142" s="4">
        <v>1295</v>
      </c>
      <c r="BA142" s="4">
        <v>6574</v>
      </c>
      <c r="BB142" s="4">
        <v>242</v>
      </c>
      <c r="BC142" s="4">
        <v>921</v>
      </c>
      <c r="BD142" s="4">
        <v>7458</v>
      </c>
      <c r="BE142" s="4">
        <v>3671</v>
      </c>
      <c r="BF142" s="4">
        <v>2305</v>
      </c>
      <c r="BG142" s="4">
        <v>5799</v>
      </c>
      <c r="BH142" s="4">
        <v>1550</v>
      </c>
      <c r="BI142" s="4">
        <v>29306</v>
      </c>
      <c r="BJ142" s="4">
        <v>5171</v>
      </c>
      <c r="BK142" s="4">
        <v>7388</v>
      </c>
      <c r="BL142" s="4">
        <v>2802</v>
      </c>
      <c r="BM142" s="4">
        <v>5217</v>
      </c>
      <c r="BN142" s="4">
        <v>1320</v>
      </c>
      <c r="BO142" s="4">
        <v>1135</v>
      </c>
      <c r="BP142" s="4">
        <v>26978</v>
      </c>
      <c r="BQ142" s="4">
        <v>2581</v>
      </c>
      <c r="BR142" s="4">
        <v>69791</v>
      </c>
      <c r="BS142" s="4">
        <v>8348</v>
      </c>
      <c r="BT142" s="4">
        <v>10227</v>
      </c>
      <c r="BU142" s="4">
        <v>24724</v>
      </c>
      <c r="BV142" s="4">
        <v>3261</v>
      </c>
      <c r="BW142" s="4">
        <v>12941</v>
      </c>
      <c r="BX142" s="4">
        <v>2137</v>
      </c>
      <c r="BY142" s="4">
        <v>4693</v>
      </c>
      <c r="BZ142" s="4">
        <v>18760</v>
      </c>
      <c r="CA142" s="4">
        <v>2480</v>
      </c>
      <c r="CB142" s="4">
        <v>1117</v>
      </c>
      <c r="CC142" s="4">
        <v>6360</v>
      </c>
      <c r="CD142" s="4">
        <v>3445</v>
      </c>
      <c r="CE142" s="4">
        <v>4382</v>
      </c>
      <c r="CF142" s="4">
        <v>7169</v>
      </c>
      <c r="CG142" s="4">
        <v>105187</v>
      </c>
      <c r="CH142" s="4">
        <v>12921</v>
      </c>
      <c r="CI142" s="4">
        <v>23295</v>
      </c>
      <c r="CJ142" s="4">
        <v>5880</v>
      </c>
      <c r="CK142" s="4">
        <v>14614</v>
      </c>
      <c r="CL142" s="4">
        <v>8606</v>
      </c>
      <c r="CM142" s="4">
        <v>13241</v>
      </c>
      <c r="CN142" s="4">
        <v>41737</v>
      </c>
      <c r="CO142" s="4">
        <v>4971</v>
      </c>
      <c r="CP142" s="4">
        <v>3674</v>
      </c>
      <c r="CQ142" s="4">
        <v>3815</v>
      </c>
      <c r="CR142" s="4">
        <v>5947</v>
      </c>
      <c r="CS142" s="4">
        <v>28477</v>
      </c>
      <c r="CT142" s="4">
        <v>17902</v>
      </c>
      <c r="CU142" s="4">
        <v>1603</v>
      </c>
      <c r="CV142" s="4">
        <v>239787</v>
      </c>
      <c r="CW142" s="4">
        <v>5199</v>
      </c>
      <c r="CX142" s="4">
        <v>1901</v>
      </c>
      <c r="CY142" s="4">
        <v>21798</v>
      </c>
      <c r="CZ142" s="4">
        <v>2880</v>
      </c>
      <c r="DA142" s="4">
        <v>6004</v>
      </c>
      <c r="DB142" s="4">
        <v>12520</v>
      </c>
      <c r="DC142" s="4">
        <v>4156</v>
      </c>
      <c r="DD142" s="4">
        <v>2698</v>
      </c>
      <c r="DE142" s="4">
        <v>1980</v>
      </c>
      <c r="DF142" s="4">
        <v>42299</v>
      </c>
      <c r="DG142" s="4">
        <v>12590</v>
      </c>
      <c r="DH142" s="4">
        <v>14499</v>
      </c>
      <c r="DI142" s="4">
        <v>3374</v>
      </c>
      <c r="DJ142" s="4">
        <v>22600</v>
      </c>
      <c r="DK142" s="4">
        <v>16364</v>
      </c>
      <c r="DL142" s="4">
        <v>9837</v>
      </c>
      <c r="DM142" s="4">
        <v>11988</v>
      </c>
      <c r="DN142" s="4">
        <v>12797</v>
      </c>
      <c r="DO142" s="4">
        <v>2845</v>
      </c>
      <c r="DP142" s="4">
        <v>8010</v>
      </c>
      <c r="DQ142" s="4">
        <v>50442</v>
      </c>
      <c r="DR142" s="4">
        <v>2757</v>
      </c>
      <c r="DS142" s="4">
        <v>5003</v>
      </c>
      <c r="DT142" s="4">
        <v>885</v>
      </c>
      <c r="DU142" s="4">
        <v>10728</v>
      </c>
      <c r="DV142" s="4">
        <v>4511</v>
      </c>
      <c r="DW142" s="4">
        <v>6461</v>
      </c>
      <c r="DX142" s="4">
        <v>11589</v>
      </c>
      <c r="DY142" s="4">
        <v>2172</v>
      </c>
      <c r="DZ142" s="4">
        <v>2398</v>
      </c>
      <c r="EA142" s="4">
        <v>11655</v>
      </c>
      <c r="EB142" s="4">
        <v>5905</v>
      </c>
      <c r="EC142" s="4">
        <v>896</v>
      </c>
      <c r="ED142" s="4">
        <v>999</v>
      </c>
      <c r="EE142" s="4">
        <v>34476</v>
      </c>
      <c r="EF142" s="4">
        <v>4340</v>
      </c>
      <c r="EG142" s="4">
        <v>11616</v>
      </c>
      <c r="EH142" s="4">
        <v>24387</v>
      </c>
      <c r="EJ142" s="4">
        <f t="shared" si="2"/>
        <v>1422337</v>
      </c>
    </row>
    <row r="143" spans="1:140" x14ac:dyDescent="0.25">
      <c r="A143" s="4" t="s">
        <v>279</v>
      </c>
      <c r="B143" s="4">
        <v>5048</v>
      </c>
      <c r="C143" s="4">
        <v>6230</v>
      </c>
      <c r="D143" s="4">
        <v>227</v>
      </c>
      <c r="E143" s="4">
        <v>2269</v>
      </c>
      <c r="F143" s="4">
        <v>10</v>
      </c>
      <c r="G143" s="4">
        <v>23</v>
      </c>
      <c r="H143" s="4">
        <v>14060</v>
      </c>
      <c r="I143" s="4">
        <v>139</v>
      </c>
      <c r="J143" s="4">
        <v>1871</v>
      </c>
      <c r="K143" s="4">
        <v>115</v>
      </c>
      <c r="L143" s="4">
        <v>1327</v>
      </c>
      <c r="M143" s="4">
        <v>103</v>
      </c>
      <c r="N143" s="4">
        <v>11979</v>
      </c>
      <c r="O143" s="4">
        <v>2511</v>
      </c>
      <c r="P143" s="4">
        <v>8470</v>
      </c>
      <c r="Q143" s="4">
        <v>8634</v>
      </c>
      <c r="R143" s="4">
        <v>16</v>
      </c>
      <c r="S143" s="4">
        <v>1857</v>
      </c>
      <c r="T143" s="4">
        <v>2627</v>
      </c>
      <c r="U143" s="4">
        <v>2921</v>
      </c>
      <c r="V143" s="4">
        <v>8820</v>
      </c>
      <c r="W143" s="4">
        <v>2683</v>
      </c>
      <c r="X143" s="4">
        <v>774</v>
      </c>
      <c r="Y143" s="4">
        <v>2333</v>
      </c>
      <c r="Z143" s="4">
        <v>856</v>
      </c>
      <c r="AA143" s="4">
        <v>620</v>
      </c>
      <c r="AB143" s="4">
        <v>6246</v>
      </c>
      <c r="AC143" s="4">
        <v>841</v>
      </c>
      <c r="AD143" s="4">
        <v>765</v>
      </c>
      <c r="AE143" s="4">
        <v>2141</v>
      </c>
      <c r="AF143" s="4">
        <v>1939</v>
      </c>
      <c r="AG143" s="4">
        <v>31186</v>
      </c>
      <c r="AH143" s="4">
        <v>543</v>
      </c>
      <c r="AI143" s="4">
        <v>1480</v>
      </c>
      <c r="AJ143" s="4">
        <v>433</v>
      </c>
      <c r="AK143" s="4">
        <v>2268</v>
      </c>
      <c r="AL143" s="4">
        <v>2930</v>
      </c>
      <c r="AM143" s="4">
        <v>746</v>
      </c>
      <c r="AN143" s="4">
        <v>361</v>
      </c>
      <c r="AO143" s="4">
        <v>8606</v>
      </c>
      <c r="AP143" s="4">
        <v>795</v>
      </c>
      <c r="AQ143" s="4">
        <v>151</v>
      </c>
      <c r="AR143" s="4">
        <v>3099</v>
      </c>
      <c r="AS143" s="4">
        <v>7109</v>
      </c>
      <c r="AT143" s="4">
        <v>1413</v>
      </c>
      <c r="AU143" s="4">
        <v>4245</v>
      </c>
      <c r="AV143" s="4">
        <v>4699</v>
      </c>
      <c r="AW143" s="4">
        <v>2244</v>
      </c>
      <c r="AX143" s="4">
        <v>28513</v>
      </c>
      <c r="AY143" s="4">
        <v>468</v>
      </c>
      <c r="AZ143" s="4">
        <v>948</v>
      </c>
      <c r="BA143" s="4">
        <v>7410</v>
      </c>
      <c r="BB143" s="4">
        <v>236</v>
      </c>
      <c r="BC143" s="4">
        <v>1025</v>
      </c>
      <c r="BD143" s="4">
        <v>7348</v>
      </c>
      <c r="BE143" s="4">
        <v>3828</v>
      </c>
      <c r="BF143" s="4">
        <v>3449</v>
      </c>
      <c r="BG143" s="4">
        <v>5786</v>
      </c>
      <c r="BH143" s="4">
        <v>1785</v>
      </c>
      <c r="BI143" s="4">
        <v>31745</v>
      </c>
      <c r="BJ143" s="4">
        <v>4598</v>
      </c>
      <c r="BK143" s="4">
        <v>7106</v>
      </c>
      <c r="BL143" s="4">
        <v>3321</v>
      </c>
      <c r="BM143" s="4">
        <v>5601</v>
      </c>
      <c r="BN143" s="4">
        <v>1099</v>
      </c>
      <c r="BO143" s="4">
        <v>948</v>
      </c>
      <c r="BP143" s="4">
        <v>25936</v>
      </c>
      <c r="BQ143" s="4">
        <v>2433</v>
      </c>
      <c r="BR143" s="4">
        <v>64514</v>
      </c>
      <c r="BS143" s="4">
        <v>7695</v>
      </c>
      <c r="BT143" s="4">
        <v>8553</v>
      </c>
      <c r="BU143" s="4">
        <v>23054</v>
      </c>
      <c r="BV143" s="4">
        <v>3496</v>
      </c>
      <c r="BW143" s="4">
        <v>12275</v>
      </c>
      <c r="BX143" s="4">
        <v>2050</v>
      </c>
      <c r="BY143" s="4">
        <v>4680</v>
      </c>
      <c r="BZ143" s="4">
        <v>18370</v>
      </c>
      <c r="CA143" s="4">
        <v>2927</v>
      </c>
      <c r="CB143" s="4">
        <v>1095</v>
      </c>
      <c r="CC143" s="4">
        <v>7319</v>
      </c>
      <c r="CD143" s="4">
        <v>3351</v>
      </c>
      <c r="CE143" s="4">
        <v>4398</v>
      </c>
      <c r="CF143" s="4">
        <v>8172</v>
      </c>
      <c r="CG143" s="4">
        <v>104250</v>
      </c>
      <c r="CH143" s="4">
        <v>12361</v>
      </c>
      <c r="CI143" s="4">
        <v>22468</v>
      </c>
      <c r="CJ143" s="4">
        <v>5848</v>
      </c>
      <c r="CK143" s="4">
        <v>13491</v>
      </c>
      <c r="CL143" s="4">
        <v>7934</v>
      </c>
      <c r="CM143" s="4">
        <v>12741</v>
      </c>
      <c r="CN143" s="4">
        <v>42990</v>
      </c>
      <c r="CO143" s="4">
        <v>4864</v>
      </c>
      <c r="CP143" s="4">
        <v>3571</v>
      </c>
      <c r="CQ143" s="4">
        <v>4139</v>
      </c>
      <c r="CR143" s="4">
        <v>5873</v>
      </c>
      <c r="CS143" s="4">
        <v>28839</v>
      </c>
      <c r="CT143" s="4">
        <v>16829</v>
      </c>
      <c r="CU143" s="4">
        <v>1507</v>
      </c>
      <c r="CV143" s="4">
        <v>235822</v>
      </c>
      <c r="CW143" s="4">
        <v>5056</v>
      </c>
      <c r="CX143" s="4">
        <v>1931</v>
      </c>
      <c r="CY143" s="4">
        <v>21001</v>
      </c>
      <c r="CZ143" s="4">
        <v>2378</v>
      </c>
      <c r="DA143" s="4">
        <v>6339</v>
      </c>
      <c r="DB143" s="4">
        <v>12072</v>
      </c>
      <c r="DC143" s="4">
        <v>4077</v>
      </c>
      <c r="DD143" s="4">
        <v>2804</v>
      </c>
      <c r="DE143" s="4">
        <v>2113</v>
      </c>
      <c r="DF143" s="4">
        <v>41087</v>
      </c>
      <c r="DG143" s="4">
        <v>12099</v>
      </c>
      <c r="DH143" s="4">
        <v>13806</v>
      </c>
      <c r="DI143" s="4">
        <v>3116</v>
      </c>
      <c r="DJ143" s="4">
        <v>23408</v>
      </c>
      <c r="DK143" s="4">
        <v>17138</v>
      </c>
      <c r="DL143" s="4">
        <v>9354</v>
      </c>
      <c r="DM143" s="4">
        <v>12082</v>
      </c>
      <c r="DN143" s="4">
        <v>12317</v>
      </c>
      <c r="DO143" s="4">
        <v>2765</v>
      </c>
      <c r="DP143" s="4">
        <v>7326</v>
      </c>
      <c r="DQ143" s="4">
        <v>48917</v>
      </c>
      <c r="DR143" s="4">
        <v>2847</v>
      </c>
      <c r="DS143" s="4">
        <v>4685</v>
      </c>
      <c r="DT143" s="4">
        <v>888</v>
      </c>
      <c r="DU143" s="4">
        <v>9254</v>
      </c>
      <c r="DV143" s="4">
        <v>3771</v>
      </c>
      <c r="DW143" s="4">
        <v>4800</v>
      </c>
      <c r="DX143" s="4">
        <v>12305</v>
      </c>
      <c r="DY143" s="4">
        <v>2072</v>
      </c>
      <c r="DZ143" s="4">
        <v>2586</v>
      </c>
      <c r="EA143" s="4">
        <v>11084</v>
      </c>
      <c r="EB143" s="4">
        <v>5885</v>
      </c>
      <c r="EC143" s="4">
        <v>863</v>
      </c>
      <c r="ED143" s="4">
        <v>1258</v>
      </c>
      <c r="EE143" s="4">
        <v>34640</v>
      </c>
      <c r="EF143" s="4">
        <v>4736</v>
      </c>
      <c r="EG143" s="4">
        <v>11083</v>
      </c>
      <c r="EH143" s="4">
        <v>22820</v>
      </c>
      <c r="EJ143" s="4">
        <f t="shared" si="2"/>
        <v>1406585</v>
      </c>
    </row>
    <row r="144" spans="1:140" x14ac:dyDescent="0.25">
      <c r="A144" s="4" t="s">
        <v>280</v>
      </c>
      <c r="B144" s="4">
        <v>5400</v>
      </c>
      <c r="C144" s="4">
        <v>6098</v>
      </c>
      <c r="D144" s="4">
        <v>332</v>
      </c>
      <c r="E144" s="4">
        <v>2247</v>
      </c>
      <c r="F144" s="4">
        <v>15</v>
      </c>
      <c r="G144" s="4">
        <v>22</v>
      </c>
      <c r="H144" s="4">
        <v>12896</v>
      </c>
      <c r="I144" s="4">
        <v>108</v>
      </c>
      <c r="J144" s="4">
        <v>1666</v>
      </c>
      <c r="K144" s="4">
        <v>74</v>
      </c>
      <c r="L144" s="4">
        <v>1249</v>
      </c>
      <c r="M144" s="4">
        <v>183</v>
      </c>
      <c r="N144" s="4">
        <v>11364</v>
      </c>
      <c r="O144" s="4">
        <v>1763</v>
      </c>
      <c r="P144" s="4">
        <v>7225</v>
      </c>
      <c r="Q144" s="4">
        <v>8670</v>
      </c>
      <c r="R144" s="4">
        <v>24</v>
      </c>
      <c r="S144" s="4">
        <v>1783</v>
      </c>
      <c r="T144" s="4">
        <v>3256</v>
      </c>
      <c r="U144" s="4">
        <v>3098</v>
      </c>
      <c r="V144" s="4">
        <v>9170</v>
      </c>
      <c r="W144" s="4">
        <v>2808</v>
      </c>
      <c r="X144" s="4">
        <v>811</v>
      </c>
      <c r="Y144" s="4">
        <v>948</v>
      </c>
      <c r="Z144" s="4">
        <v>955</v>
      </c>
      <c r="AA144" s="4">
        <v>662</v>
      </c>
      <c r="AB144" s="4">
        <v>7049</v>
      </c>
      <c r="AC144" s="4">
        <v>861</v>
      </c>
      <c r="AD144" s="4">
        <v>1065</v>
      </c>
      <c r="AE144" s="4">
        <v>2158</v>
      </c>
      <c r="AF144" s="4">
        <v>2223</v>
      </c>
      <c r="AG144" s="4">
        <v>29451</v>
      </c>
      <c r="AH144" s="4">
        <v>457</v>
      </c>
      <c r="AI144" s="4">
        <v>1385</v>
      </c>
      <c r="AJ144" s="4">
        <v>582</v>
      </c>
      <c r="AK144" s="4">
        <v>2580</v>
      </c>
      <c r="AL144" s="4">
        <v>2683</v>
      </c>
      <c r="AM144" s="4">
        <v>1043</v>
      </c>
      <c r="AN144" s="4">
        <v>314</v>
      </c>
      <c r="AO144" s="4">
        <v>8482</v>
      </c>
      <c r="AP144" s="4">
        <v>1014</v>
      </c>
      <c r="AQ144" s="4">
        <v>157</v>
      </c>
      <c r="AR144" s="4">
        <v>2938</v>
      </c>
      <c r="AS144" s="4">
        <v>6150</v>
      </c>
      <c r="AT144" s="4">
        <v>1226</v>
      </c>
      <c r="AU144" s="4">
        <v>6179</v>
      </c>
      <c r="AV144" s="4">
        <v>4488</v>
      </c>
      <c r="AW144" s="4">
        <v>2454</v>
      </c>
      <c r="AX144" s="4">
        <v>22491</v>
      </c>
      <c r="AY144" s="4">
        <v>253</v>
      </c>
      <c r="AZ144" s="4">
        <v>964</v>
      </c>
      <c r="BA144" s="4">
        <v>6335</v>
      </c>
      <c r="BB144" s="4">
        <v>162</v>
      </c>
      <c r="BC144" s="4">
        <v>684</v>
      </c>
      <c r="BD144" s="4">
        <v>6807</v>
      </c>
      <c r="BE144" s="4">
        <v>3351</v>
      </c>
      <c r="BF144" s="4">
        <v>5255</v>
      </c>
      <c r="BG144" s="4">
        <v>4492</v>
      </c>
      <c r="BH144" s="4">
        <v>2081</v>
      </c>
      <c r="BI144" s="4">
        <v>25848</v>
      </c>
      <c r="BJ144" s="4">
        <v>3998</v>
      </c>
      <c r="BK144" s="4">
        <v>6777</v>
      </c>
      <c r="BL144" s="4">
        <v>3392</v>
      </c>
      <c r="BM144" s="4">
        <v>5168</v>
      </c>
      <c r="BN144" s="4">
        <v>1352</v>
      </c>
      <c r="BO144" s="4">
        <v>1638</v>
      </c>
      <c r="BP144" s="4">
        <v>23983</v>
      </c>
      <c r="BQ144" s="4">
        <v>2348</v>
      </c>
      <c r="BR144" s="4">
        <v>61564</v>
      </c>
      <c r="BS144" s="4">
        <v>6738</v>
      </c>
      <c r="BT144" s="4">
        <v>8154</v>
      </c>
      <c r="BU144" s="4">
        <v>17366</v>
      </c>
      <c r="BV144" s="4">
        <v>2577</v>
      </c>
      <c r="BW144" s="4">
        <v>10991</v>
      </c>
      <c r="BX144" s="4">
        <v>2262</v>
      </c>
      <c r="BY144" s="4">
        <v>5074</v>
      </c>
      <c r="BZ144" s="4">
        <v>17131</v>
      </c>
      <c r="CA144" s="4">
        <v>2399</v>
      </c>
      <c r="CB144" s="4">
        <v>919</v>
      </c>
      <c r="CC144" s="4">
        <v>6505</v>
      </c>
      <c r="CD144" s="4">
        <v>2969</v>
      </c>
      <c r="CE144" s="4">
        <v>4145</v>
      </c>
      <c r="CF144" s="4">
        <v>7274</v>
      </c>
      <c r="CG144" s="4">
        <v>93976</v>
      </c>
      <c r="CH144" s="4">
        <v>13366</v>
      </c>
      <c r="CI144" s="4">
        <v>24148</v>
      </c>
      <c r="CJ144" s="4">
        <v>5793</v>
      </c>
      <c r="CK144" s="4">
        <v>12141</v>
      </c>
      <c r="CL144" s="4">
        <v>7498</v>
      </c>
      <c r="CM144" s="4">
        <v>11864</v>
      </c>
      <c r="CN144" s="4">
        <v>36565</v>
      </c>
      <c r="CO144" s="4">
        <v>4991</v>
      </c>
      <c r="CP144" s="4">
        <v>2993</v>
      </c>
      <c r="CQ144" s="4">
        <v>3457</v>
      </c>
      <c r="CR144" s="4">
        <v>5894</v>
      </c>
      <c r="CS144" s="4">
        <v>24345</v>
      </c>
      <c r="CT144" s="4">
        <v>16219</v>
      </c>
      <c r="CU144" s="4">
        <v>1533</v>
      </c>
      <c r="CV144" s="4">
        <v>212812</v>
      </c>
      <c r="CW144" s="4">
        <v>4949</v>
      </c>
      <c r="CX144" s="4">
        <v>1551</v>
      </c>
      <c r="CY144" s="4">
        <v>18932</v>
      </c>
      <c r="CZ144" s="4">
        <v>2770</v>
      </c>
      <c r="DA144" s="4">
        <v>5913</v>
      </c>
      <c r="DB144" s="4">
        <v>11399</v>
      </c>
      <c r="DC144" s="4">
        <v>3851</v>
      </c>
      <c r="DD144" s="4">
        <v>2559</v>
      </c>
      <c r="DE144" s="4">
        <v>2011</v>
      </c>
      <c r="DF144" s="4">
        <v>37809</v>
      </c>
      <c r="DG144" s="4">
        <v>11529</v>
      </c>
      <c r="DH144" s="4">
        <v>12324</v>
      </c>
      <c r="DI144" s="4">
        <v>3077</v>
      </c>
      <c r="DJ144" s="4">
        <v>21267</v>
      </c>
      <c r="DK144" s="4">
        <v>16333</v>
      </c>
      <c r="DL144" s="4">
        <v>8993</v>
      </c>
      <c r="DM144" s="4">
        <v>11510</v>
      </c>
      <c r="DN144" s="4">
        <v>11264</v>
      </c>
      <c r="DO144" s="4">
        <v>2743</v>
      </c>
      <c r="DP144" s="4">
        <v>6072</v>
      </c>
      <c r="DQ144" s="4">
        <v>49627</v>
      </c>
      <c r="DR144" s="4">
        <v>2334</v>
      </c>
      <c r="DS144" s="4">
        <v>4605</v>
      </c>
      <c r="DT144" s="4">
        <v>847</v>
      </c>
      <c r="DU144" s="4">
        <v>9324</v>
      </c>
      <c r="DV144" s="4">
        <v>4159</v>
      </c>
      <c r="DW144" s="4">
        <v>5004</v>
      </c>
      <c r="DX144" s="4">
        <v>11532</v>
      </c>
      <c r="DY144" s="4">
        <v>1909</v>
      </c>
      <c r="DZ144" s="4">
        <v>3605</v>
      </c>
      <c r="EA144" s="4">
        <v>9689</v>
      </c>
      <c r="EB144" s="4">
        <v>6327</v>
      </c>
      <c r="EC144" s="4">
        <v>908</v>
      </c>
      <c r="ED144" s="4">
        <v>1409</v>
      </c>
      <c r="EE144" s="4">
        <v>33634</v>
      </c>
      <c r="EF144" s="4">
        <v>4965</v>
      </c>
      <c r="EG144" s="4">
        <v>12634</v>
      </c>
      <c r="EH144" s="4">
        <v>21532</v>
      </c>
      <c r="EJ144" s="4">
        <f t="shared" si="2"/>
        <v>1309708</v>
      </c>
    </row>
    <row r="145" spans="1:140" x14ac:dyDescent="0.25">
      <c r="A145" s="4" t="s">
        <v>281</v>
      </c>
      <c r="B145" s="4">
        <v>4687</v>
      </c>
      <c r="C145" s="4">
        <v>4788</v>
      </c>
      <c r="D145" s="4">
        <v>275</v>
      </c>
      <c r="E145" s="4">
        <v>2020</v>
      </c>
      <c r="F145" s="4">
        <v>31</v>
      </c>
      <c r="G145" s="4">
        <v>39</v>
      </c>
      <c r="H145" s="4">
        <v>16052</v>
      </c>
      <c r="I145" s="4">
        <v>124</v>
      </c>
      <c r="J145" s="4">
        <v>1862</v>
      </c>
      <c r="K145" s="4">
        <v>97</v>
      </c>
      <c r="L145" s="4">
        <v>1333</v>
      </c>
      <c r="M145" s="4">
        <v>201</v>
      </c>
      <c r="N145" s="4">
        <v>13135</v>
      </c>
      <c r="O145" s="4">
        <v>1939</v>
      </c>
      <c r="P145" s="4">
        <v>5681</v>
      </c>
      <c r="Q145" s="4">
        <v>8642</v>
      </c>
      <c r="R145" s="4">
        <v>32</v>
      </c>
      <c r="S145" s="4">
        <v>2077</v>
      </c>
      <c r="T145" s="4">
        <v>2715</v>
      </c>
      <c r="U145" s="4">
        <v>3101</v>
      </c>
      <c r="V145" s="4">
        <v>9867</v>
      </c>
      <c r="W145" s="4">
        <v>3183</v>
      </c>
      <c r="X145" s="4">
        <v>938</v>
      </c>
      <c r="Y145" s="4">
        <v>997</v>
      </c>
      <c r="Z145" s="4">
        <v>1117</v>
      </c>
      <c r="AA145" s="4">
        <v>481</v>
      </c>
      <c r="AB145" s="4">
        <v>7579</v>
      </c>
      <c r="AC145" s="4">
        <v>900</v>
      </c>
      <c r="AD145" s="4">
        <v>586</v>
      </c>
      <c r="AE145" s="4">
        <v>2569</v>
      </c>
      <c r="AF145" s="4">
        <v>1890</v>
      </c>
      <c r="AG145" s="4">
        <v>25048</v>
      </c>
      <c r="AH145" s="4">
        <v>725</v>
      </c>
      <c r="AI145" s="4">
        <v>2010</v>
      </c>
      <c r="AJ145" s="4">
        <v>345</v>
      </c>
      <c r="AK145" s="4">
        <v>2356</v>
      </c>
      <c r="AL145" s="4">
        <v>3110</v>
      </c>
      <c r="AM145" s="4">
        <v>781</v>
      </c>
      <c r="AN145" s="4">
        <v>340</v>
      </c>
      <c r="AO145" s="4">
        <v>9145</v>
      </c>
      <c r="AP145" s="4">
        <v>938</v>
      </c>
      <c r="AQ145" s="4">
        <v>140</v>
      </c>
      <c r="AR145" s="4">
        <v>4018</v>
      </c>
      <c r="AS145" s="4">
        <v>6571</v>
      </c>
      <c r="AT145" s="4">
        <v>1102</v>
      </c>
      <c r="AU145" s="4">
        <v>4361</v>
      </c>
      <c r="AV145" s="4">
        <v>4791</v>
      </c>
      <c r="AW145" s="4">
        <v>6891</v>
      </c>
      <c r="AX145" s="4">
        <v>22932</v>
      </c>
      <c r="AY145" s="4">
        <v>232</v>
      </c>
      <c r="AZ145" s="4">
        <v>780</v>
      </c>
      <c r="BA145" s="4">
        <v>7883</v>
      </c>
      <c r="BB145" s="4">
        <v>183</v>
      </c>
      <c r="BC145" s="4">
        <v>777</v>
      </c>
      <c r="BD145" s="4">
        <v>7513</v>
      </c>
      <c r="BE145" s="4">
        <v>4226</v>
      </c>
      <c r="BF145" s="4">
        <v>4257</v>
      </c>
      <c r="BG145" s="4">
        <v>5331</v>
      </c>
      <c r="BH145" s="4">
        <v>1894</v>
      </c>
      <c r="BI145" s="4">
        <v>30264</v>
      </c>
      <c r="BJ145" s="4">
        <v>5069</v>
      </c>
      <c r="BK145" s="4">
        <v>7351</v>
      </c>
      <c r="BL145" s="4">
        <v>3236</v>
      </c>
      <c r="BM145" s="4">
        <v>4936</v>
      </c>
      <c r="BN145" s="4">
        <v>975</v>
      </c>
      <c r="BO145" s="4">
        <v>1386</v>
      </c>
      <c r="BP145" s="4">
        <v>28045</v>
      </c>
      <c r="BQ145" s="4">
        <v>2720</v>
      </c>
      <c r="BR145" s="4">
        <v>68408</v>
      </c>
      <c r="BS145" s="4">
        <v>7837</v>
      </c>
      <c r="BT145" s="4">
        <v>12208</v>
      </c>
      <c r="BU145" s="4">
        <v>18317</v>
      </c>
      <c r="BV145" s="4">
        <v>2824</v>
      </c>
      <c r="BW145" s="4">
        <v>12776</v>
      </c>
      <c r="BX145" s="4">
        <v>2763</v>
      </c>
      <c r="BY145" s="4">
        <v>5235</v>
      </c>
      <c r="BZ145" s="4">
        <v>20280</v>
      </c>
      <c r="CA145" s="4">
        <v>2893</v>
      </c>
      <c r="CB145" s="4">
        <v>1712</v>
      </c>
      <c r="CC145" s="4">
        <v>9271</v>
      </c>
      <c r="CD145" s="4">
        <v>3576</v>
      </c>
      <c r="CE145" s="4">
        <v>4874</v>
      </c>
      <c r="CF145" s="4">
        <v>7413</v>
      </c>
      <c r="CG145" s="4">
        <v>108954</v>
      </c>
      <c r="CH145" s="4">
        <v>19637</v>
      </c>
      <c r="CI145" s="4">
        <v>42654</v>
      </c>
      <c r="CJ145" s="4">
        <v>10137</v>
      </c>
      <c r="CK145" s="4">
        <v>18720</v>
      </c>
      <c r="CL145" s="4">
        <v>10038</v>
      </c>
      <c r="CM145" s="4">
        <v>18819</v>
      </c>
      <c r="CN145" s="4">
        <v>46981</v>
      </c>
      <c r="CO145" s="4">
        <v>7057</v>
      </c>
      <c r="CP145" s="4">
        <v>3792</v>
      </c>
      <c r="CQ145" s="4">
        <v>6299</v>
      </c>
      <c r="CR145" s="4">
        <v>9088</v>
      </c>
      <c r="CS145" s="4">
        <v>31377</v>
      </c>
      <c r="CT145" s="4">
        <v>21267</v>
      </c>
      <c r="CU145" s="4">
        <v>2003</v>
      </c>
      <c r="CV145" s="4">
        <v>233255</v>
      </c>
      <c r="CW145" s="4">
        <v>7929</v>
      </c>
      <c r="CX145" s="4">
        <v>2244</v>
      </c>
      <c r="CY145" s="4">
        <v>22989</v>
      </c>
      <c r="CZ145" s="4">
        <v>3200</v>
      </c>
      <c r="DA145" s="4">
        <v>6603</v>
      </c>
      <c r="DB145" s="4">
        <v>12534</v>
      </c>
      <c r="DC145" s="4">
        <v>4330</v>
      </c>
      <c r="DD145" s="4">
        <v>2986</v>
      </c>
      <c r="DE145" s="4">
        <v>1741</v>
      </c>
      <c r="DF145" s="4">
        <v>42948</v>
      </c>
      <c r="DG145" s="4">
        <v>14643</v>
      </c>
      <c r="DH145" s="4">
        <v>14877</v>
      </c>
      <c r="DI145" s="4">
        <v>4048</v>
      </c>
      <c r="DJ145" s="4">
        <v>27050</v>
      </c>
      <c r="DK145" s="4">
        <v>17416</v>
      </c>
      <c r="DL145" s="4">
        <v>9996</v>
      </c>
      <c r="DM145" s="4">
        <v>13493</v>
      </c>
      <c r="DN145" s="4">
        <v>14829</v>
      </c>
      <c r="DO145" s="4">
        <v>3094</v>
      </c>
      <c r="DP145" s="4">
        <v>6841</v>
      </c>
      <c r="DQ145" s="4">
        <v>51192</v>
      </c>
      <c r="DR145" s="4">
        <v>2960</v>
      </c>
      <c r="DS145" s="4">
        <v>8451</v>
      </c>
      <c r="DT145" s="4">
        <v>927</v>
      </c>
      <c r="DU145" s="4">
        <v>9746</v>
      </c>
      <c r="DV145" s="4">
        <v>4343</v>
      </c>
      <c r="DW145" s="4">
        <v>5341</v>
      </c>
      <c r="DX145" s="4">
        <v>12241</v>
      </c>
      <c r="DY145" s="4">
        <v>2343</v>
      </c>
      <c r="DZ145" s="4">
        <v>3642</v>
      </c>
      <c r="EA145" s="4">
        <v>9670</v>
      </c>
      <c r="EB145" s="4">
        <v>5636</v>
      </c>
      <c r="EC145" s="4">
        <v>917</v>
      </c>
      <c r="ED145" s="4">
        <v>1121</v>
      </c>
      <c r="EE145" s="4">
        <v>32782</v>
      </c>
      <c r="EF145" s="4">
        <v>4693</v>
      </c>
      <c r="EG145" s="4">
        <v>15946</v>
      </c>
      <c r="EH145" s="4">
        <v>25432</v>
      </c>
      <c r="EJ145" s="4">
        <f t="shared" si="2"/>
        <v>1513239</v>
      </c>
    </row>
    <row r="146" spans="1:140" x14ac:dyDescent="0.25">
      <c r="A146" s="4" t="s">
        <v>282</v>
      </c>
      <c r="B146" s="4">
        <v>4360</v>
      </c>
      <c r="C146" s="4">
        <v>5628</v>
      </c>
      <c r="D146" s="4">
        <v>256</v>
      </c>
      <c r="E146" s="4">
        <v>1919</v>
      </c>
      <c r="F146" s="4">
        <v>17</v>
      </c>
      <c r="G146" s="4">
        <v>22</v>
      </c>
      <c r="H146" s="4">
        <v>13857</v>
      </c>
      <c r="I146" s="4">
        <v>119</v>
      </c>
      <c r="J146" s="4">
        <v>1665</v>
      </c>
      <c r="K146" s="4">
        <v>76</v>
      </c>
      <c r="L146" s="4">
        <v>1294</v>
      </c>
      <c r="M146" s="4">
        <v>515</v>
      </c>
      <c r="N146" s="4">
        <v>11134</v>
      </c>
      <c r="O146" s="4">
        <v>2172</v>
      </c>
      <c r="P146" s="4">
        <v>2409</v>
      </c>
      <c r="Q146" s="4">
        <v>8222</v>
      </c>
      <c r="R146" s="4">
        <v>21</v>
      </c>
      <c r="S146" s="4">
        <v>1824</v>
      </c>
      <c r="T146" s="4">
        <v>2571</v>
      </c>
      <c r="U146" s="4">
        <v>2661</v>
      </c>
      <c r="V146" s="4">
        <v>8205</v>
      </c>
      <c r="W146" s="4">
        <v>3154</v>
      </c>
      <c r="X146" s="4">
        <v>951</v>
      </c>
      <c r="Y146" s="4">
        <v>901</v>
      </c>
      <c r="Z146" s="4">
        <v>948</v>
      </c>
      <c r="AA146" s="4">
        <v>640</v>
      </c>
      <c r="AB146" s="4">
        <v>7384</v>
      </c>
      <c r="AC146" s="4">
        <v>1191</v>
      </c>
      <c r="AD146" s="4">
        <v>570</v>
      </c>
      <c r="AE146" s="4">
        <v>2517</v>
      </c>
      <c r="AF146" s="4">
        <v>2094</v>
      </c>
      <c r="AG146" s="4">
        <v>30670</v>
      </c>
      <c r="AH146" s="4">
        <v>531</v>
      </c>
      <c r="AI146" s="4">
        <v>1817</v>
      </c>
      <c r="AJ146" s="4">
        <v>376</v>
      </c>
      <c r="AK146" s="4">
        <v>2765</v>
      </c>
      <c r="AL146" s="4">
        <v>3192</v>
      </c>
      <c r="AM146" s="4">
        <v>836</v>
      </c>
      <c r="AN146" s="4">
        <v>398</v>
      </c>
      <c r="AO146" s="4">
        <v>9615</v>
      </c>
      <c r="AP146" s="4">
        <v>712</v>
      </c>
      <c r="AQ146" s="4">
        <v>166</v>
      </c>
      <c r="AR146" s="4">
        <v>3171</v>
      </c>
      <c r="AS146" s="4">
        <v>7302</v>
      </c>
      <c r="AT146" s="4">
        <v>1302</v>
      </c>
      <c r="AU146" s="4">
        <v>2965</v>
      </c>
      <c r="AV146" s="4">
        <v>4080</v>
      </c>
      <c r="AW146" s="4">
        <v>4470</v>
      </c>
      <c r="AX146" s="4">
        <v>29241</v>
      </c>
      <c r="AY146" s="4">
        <v>180</v>
      </c>
      <c r="AZ146" s="4">
        <v>895</v>
      </c>
      <c r="BA146" s="4">
        <v>9152</v>
      </c>
      <c r="BB146" s="4">
        <v>161</v>
      </c>
      <c r="BC146" s="4">
        <v>898</v>
      </c>
      <c r="BD146" s="4">
        <v>6211</v>
      </c>
      <c r="BE146" s="4">
        <v>3013</v>
      </c>
      <c r="BF146" s="4">
        <v>1889</v>
      </c>
      <c r="BG146" s="4">
        <v>5487</v>
      </c>
      <c r="BH146" s="4">
        <v>1445</v>
      </c>
      <c r="BI146" s="4">
        <v>26212</v>
      </c>
      <c r="BJ146" s="4">
        <v>3746</v>
      </c>
      <c r="BK146" s="4">
        <v>5494</v>
      </c>
      <c r="BL146" s="4">
        <v>2694</v>
      </c>
      <c r="BM146" s="4">
        <v>4693</v>
      </c>
      <c r="BN146" s="4">
        <v>1102</v>
      </c>
      <c r="BO146" s="4">
        <v>1023</v>
      </c>
      <c r="BP146" s="4">
        <v>22291</v>
      </c>
      <c r="BQ146" s="4">
        <v>2471</v>
      </c>
      <c r="BR146" s="4">
        <v>60162</v>
      </c>
      <c r="BS146" s="4">
        <v>7453</v>
      </c>
      <c r="BT146" s="4">
        <v>7298</v>
      </c>
      <c r="BU146" s="4">
        <v>15829</v>
      </c>
      <c r="BV146" s="4">
        <v>2694</v>
      </c>
      <c r="BW146" s="4">
        <v>11351</v>
      </c>
      <c r="BX146" s="4">
        <v>2130</v>
      </c>
      <c r="BY146" s="4">
        <v>4402</v>
      </c>
      <c r="BZ146" s="4">
        <v>17820</v>
      </c>
      <c r="CA146" s="4">
        <v>2189</v>
      </c>
      <c r="CB146" s="4">
        <v>1079</v>
      </c>
      <c r="CC146" s="4">
        <v>6523</v>
      </c>
      <c r="CD146" s="4">
        <v>3560</v>
      </c>
      <c r="CE146" s="4">
        <v>4753</v>
      </c>
      <c r="CF146" s="4">
        <v>7301</v>
      </c>
      <c r="CG146" s="4">
        <v>100011</v>
      </c>
      <c r="CH146" s="4">
        <v>13023</v>
      </c>
      <c r="CI146" s="4">
        <v>22431</v>
      </c>
      <c r="CJ146" s="4">
        <v>6032</v>
      </c>
      <c r="CK146" s="4">
        <v>13378</v>
      </c>
      <c r="CL146" s="4">
        <v>8940</v>
      </c>
      <c r="CM146" s="4">
        <v>13155</v>
      </c>
      <c r="CN146" s="4">
        <v>38713</v>
      </c>
      <c r="CO146" s="4">
        <v>5360</v>
      </c>
      <c r="CP146" s="4">
        <v>2957</v>
      </c>
      <c r="CQ146" s="4">
        <v>3991</v>
      </c>
      <c r="CR146" s="4">
        <v>6705</v>
      </c>
      <c r="CS146" s="4">
        <v>25379</v>
      </c>
      <c r="CT146" s="4">
        <v>17073</v>
      </c>
      <c r="CU146" s="4">
        <v>1888</v>
      </c>
      <c r="CV146" s="4">
        <v>213647</v>
      </c>
      <c r="CW146" s="4">
        <v>4826</v>
      </c>
      <c r="CX146" s="4">
        <v>1639</v>
      </c>
      <c r="CY146" s="4">
        <v>18815</v>
      </c>
      <c r="CZ146" s="4">
        <v>2400</v>
      </c>
      <c r="DA146" s="4">
        <v>6834</v>
      </c>
      <c r="DB146" s="4">
        <v>11475</v>
      </c>
      <c r="DC146" s="4">
        <v>3970</v>
      </c>
      <c r="DD146" s="4">
        <v>2932</v>
      </c>
      <c r="DE146" s="4">
        <v>1937</v>
      </c>
      <c r="DF146" s="4">
        <v>36219</v>
      </c>
      <c r="DG146" s="4">
        <v>12338</v>
      </c>
      <c r="DH146" s="4">
        <v>12929</v>
      </c>
      <c r="DI146" s="4">
        <v>3158</v>
      </c>
      <c r="DJ146" s="4">
        <v>22140</v>
      </c>
      <c r="DK146" s="4">
        <v>15715</v>
      </c>
      <c r="DL146" s="4">
        <v>8592</v>
      </c>
      <c r="DM146" s="4">
        <v>11847</v>
      </c>
      <c r="DN146" s="4">
        <v>10709</v>
      </c>
      <c r="DO146" s="4">
        <v>2795</v>
      </c>
      <c r="DP146" s="4">
        <v>5891</v>
      </c>
      <c r="DQ146" s="4">
        <v>45665</v>
      </c>
      <c r="DR146" s="4">
        <v>3020</v>
      </c>
      <c r="DS146" s="4">
        <v>5362</v>
      </c>
      <c r="DT146" s="4">
        <v>860</v>
      </c>
      <c r="DU146" s="4">
        <v>9081</v>
      </c>
      <c r="DV146" s="4">
        <v>3727</v>
      </c>
      <c r="DW146" s="4">
        <v>5180</v>
      </c>
      <c r="DX146" s="4">
        <v>9480</v>
      </c>
      <c r="DY146" s="4">
        <v>1791</v>
      </c>
      <c r="DZ146" s="4">
        <v>2162</v>
      </c>
      <c r="EA146" s="4">
        <v>9104</v>
      </c>
      <c r="EB146" s="4">
        <v>5121</v>
      </c>
      <c r="EC146" s="4">
        <v>864</v>
      </c>
      <c r="ED146" s="4">
        <v>1035</v>
      </c>
      <c r="EE146" s="4">
        <v>29347</v>
      </c>
      <c r="EF146" s="4">
        <v>3688</v>
      </c>
      <c r="EG146" s="4">
        <v>10196</v>
      </c>
      <c r="EH146" s="4">
        <v>22700</v>
      </c>
      <c r="EJ146" s="4">
        <f t="shared" si="2"/>
        <v>1304734</v>
      </c>
    </row>
    <row r="147" spans="1:140" x14ac:dyDescent="0.25">
      <c r="A147" s="4" t="s">
        <v>283</v>
      </c>
      <c r="B147" s="4">
        <v>4636</v>
      </c>
      <c r="C147" s="4">
        <v>5732</v>
      </c>
      <c r="D147" s="4">
        <v>248</v>
      </c>
      <c r="E147" s="4">
        <v>1957</v>
      </c>
      <c r="F147" s="4">
        <v>13</v>
      </c>
      <c r="G147" s="4">
        <v>21</v>
      </c>
      <c r="H147" s="4">
        <v>11899</v>
      </c>
      <c r="I147" s="4">
        <v>111</v>
      </c>
      <c r="J147" s="4">
        <v>1490</v>
      </c>
      <c r="K147" s="4">
        <v>70</v>
      </c>
      <c r="L147" s="4">
        <v>1097</v>
      </c>
      <c r="M147" s="4">
        <v>104</v>
      </c>
      <c r="N147" s="4">
        <v>10566</v>
      </c>
      <c r="O147" s="4">
        <v>1947</v>
      </c>
      <c r="P147" s="4">
        <v>3176</v>
      </c>
      <c r="Q147" s="4">
        <v>7167</v>
      </c>
      <c r="R147" s="4">
        <v>15</v>
      </c>
      <c r="S147" s="4">
        <v>2377</v>
      </c>
      <c r="T147" s="4">
        <v>2552</v>
      </c>
      <c r="U147" s="4">
        <v>2592</v>
      </c>
      <c r="V147" s="4">
        <v>8714</v>
      </c>
      <c r="W147" s="4">
        <v>3891</v>
      </c>
      <c r="X147" s="4">
        <v>995</v>
      </c>
      <c r="Y147" s="4">
        <v>906</v>
      </c>
      <c r="Z147" s="4">
        <v>870</v>
      </c>
      <c r="AA147" s="4">
        <v>681</v>
      </c>
      <c r="AB147" s="4">
        <v>8033</v>
      </c>
      <c r="AC147" s="4">
        <v>1292</v>
      </c>
      <c r="AD147" s="4">
        <v>528</v>
      </c>
      <c r="AE147" s="4">
        <v>2523</v>
      </c>
      <c r="AF147" s="4">
        <v>1613</v>
      </c>
      <c r="AG147" s="4">
        <v>26534</v>
      </c>
      <c r="AH147" s="4">
        <v>655</v>
      </c>
      <c r="AI147" s="4">
        <v>2557</v>
      </c>
      <c r="AJ147" s="4">
        <v>529</v>
      </c>
      <c r="AK147" s="4">
        <v>2037</v>
      </c>
      <c r="AL147" s="4">
        <v>3549</v>
      </c>
      <c r="AM147" s="4">
        <v>887</v>
      </c>
      <c r="AN147" s="4">
        <v>341</v>
      </c>
      <c r="AO147" s="4">
        <v>9951</v>
      </c>
      <c r="AP147" s="4">
        <v>785</v>
      </c>
      <c r="AQ147" s="4">
        <v>131</v>
      </c>
      <c r="AR147" s="4">
        <v>3317</v>
      </c>
      <c r="AS147" s="4">
        <v>11151</v>
      </c>
      <c r="AT147" s="4">
        <v>1045</v>
      </c>
      <c r="AU147" s="4">
        <v>2812</v>
      </c>
      <c r="AV147" s="4">
        <v>4830</v>
      </c>
      <c r="AW147" s="4">
        <v>8363</v>
      </c>
      <c r="AX147" s="4">
        <v>25408</v>
      </c>
      <c r="AY147" s="4">
        <v>291</v>
      </c>
      <c r="AZ147" s="4">
        <v>943</v>
      </c>
      <c r="BA147" s="4">
        <v>15238</v>
      </c>
      <c r="BB147" s="4">
        <v>153</v>
      </c>
      <c r="BC147" s="4">
        <v>1835</v>
      </c>
      <c r="BD147" s="4">
        <v>6378</v>
      </c>
      <c r="BE147" s="4">
        <v>2704</v>
      </c>
      <c r="BF147" s="4">
        <v>1754</v>
      </c>
      <c r="BG147" s="4">
        <v>5171</v>
      </c>
      <c r="BH147" s="4">
        <v>1774</v>
      </c>
      <c r="BI147" s="4">
        <v>27480</v>
      </c>
      <c r="BJ147" s="4">
        <v>4266</v>
      </c>
      <c r="BK147" s="4">
        <v>6200</v>
      </c>
      <c r="BL147" s="4">
        <v>2754</v>
      </c>
      <c r="BM147" s="4">
        <v>5320</v>
      </c>
      <c r="BN147" s="4">
        <v>1115</v>
      </c>
      <c r="BO147" s="4">
        <v>1106</v>
      </c>
      <c r="BP147" s="4">
        <v>22624</v>
      </c>
      <c r="BQ147" s="4">
        <v>2216</v>
      </c>
      <c r="BR147" s="4">
        <v>60340</v>
      </c>
      <c r="BS147" s="4">
        <v>7309</v>
      </c>
      <c r="BT147" s="4">
        <v>7139</v>
      </c>
      <c r="BU147" s="4">
        <v>16395</v>
      </c>
      <c r="BV147" s="4">
        <v>2716</v>
      </c>
      <c r="BW147" s="4">
        <v>11472</v>
      </c>
      <c r="BX147" s="4">
        <v>2129</v>
      </c>
      <c r="BY147" s="4">
        <v>5095</v>
      </c>
      <c r="BZ147" s="4">
        <v>19189</v>
      </c>
      <c r="CA147" s="4">
        <v>2573</v>
      </c>
      <c r="CB147" s="4">
        <v>1131</v>
      </c>
      <c r="CC147" s="4">
        <v>7017</v>
      </c>
      <c r="CD147" s="4">
        <v>3141</v>
      </c>
      <c r="CE147" s="4">
        <v>4992</v>
      </c>
      <c r="CF147" s="4">
        <v>7476</v>
      </c>
      <c r="CG147" s="4">
        <v>98058</v>
      </c>
      <c r="CH147" s="4">
        <v>12662</v>
      </c>
      <c r="CI147" s="4">
        <v>22835</v>
      </c>
      <c r="CJ147" s="4">
        <v>5217</v>
      </c>
      <c r="CK147" s="4">
        <v>14046</v>
      </c>
      <c r="CL147" s="4">
        <v>10408</v>
      </c>
      <c r="CM147" s="4">
        <v>13262</v>
      </c>
      <c r="CN147" s="4">
        <v>40668</v>
      </c>
      <c r="CO147" s="4">
        <v>5195</v>
      </c>
      <c r="CP147" s="4">
        <v>3277</v>
      </c>
      <c r="CQ147" s="4">
        <v>3977</v>
      </c>
      <c r="CR147" s="4">
        <v>6039</v>
      </c>
      <c r="CS147" s="4">
        <v>27324</v>
      </c>
      <c r="CT147" s="4">
        <v>18494</v>
      </c>
      <c r="CU147" s="4">
        <v>2230</v>
      </c>
      <c r="CV147" s="4">
        <v>231114</v>
      </c>
      <c r="CW147" s="4">
        <v>5377</v>
      </c>
      <c r="CX147" s="4">
        <v>1864</v>
      </c>
      <c r="CY147" s="4">
        <v>21355</v>
      </c>
      <c r="CZ147" s="4">
        <v>2456</v>
      </c>
      <c r="DA147" s="4">
        <v>7127</v>
      </c>
      <c r="DB147" s="4">
        <v>13307</v>
      </c>
      <c r="DC147" s="4">
        <v>4706</v>
      </c>
      <c r="DD147" s="4">
        <v>3134</v>
      </c>
      <c r="DE147" s="4">
        <v>1894</v>
      </c>
      <c r="DF147" s="4">
        <v>43057</v>
      </c>
      <c r="DG147" s="4">
        <v>14787</v>
      </c>
      <c r="DH147" s="4">
        <v>15592</v>
      </c>
      <c r="DI147" s="4">
        <v>4426</v>
      </c>
      <c r="DJ147" s="4">
        <v>26289</v>
      </c>
      <c r="DK147" s="4">
        <v>17729</v>
      </c>
      <c r="DL147" s="4">
        <v>10593</v>
      </c>
      <c r="DM147" s="4">
        <v>12449</v>
      </c>
      <c r="DN147" s="4">
        <v>18089</v>
      </c>
      <c r="DO147" s="4">
        <v>2791</v>
      </c>
      <c r="DP147" s="4">
        <v>5847</v>
      </c>
      <c r="DQ147" s="4">
        <v>49777</v>
      </c>
      <c r="DR147" s="4">
        <v>2701</v>
      </c>
      <c r="DS147" s="4">
        <v>5027</v>
      </c>
      <c r="DT147" s="4">
        <v>842</v>
      </c>
      <c r="DU147" s="4">
        <v>9246</v>
      </c>
      <c r="DV147" s="4">
        <v>4145</v>
      </c>
      <c r="DW147" s="4">
        <v>5027</v>
      </c>
      <c r="DX147" s="4">
        <v>10102</v>
      </c>
      <c r="DY147" s="4">
        <v>1821</v>
      </c>
      <c r="DZ147" s="4">
        <v>2281</v>
      </c>
      <c r="EA147" s="4">
        <v>10056</v>
      </c>
      <c r="EB147" s="4">
        <v>5163</v>
      </c>
      <c r="EC147" s="4">
        <v>880</v>
      </c>
      <c r="ED147" s="4">
        <v>1394</v>
      </c>
      <c r="EE147" s="4">
        <v>28759</v>
      </c>
      <c r="EF147" s="4">
        <v>3524</v>
      </c>
      <c r="EG147" s="4">
        <v>10062</v>
      </c>
      <c r="EH147" s="4">
        <v>22586</v>
      </c>
      <c r="EJ147" s="4">
        <f t="shared" si="2"/>
        <v>1381202</v>
      </c>
    </row>
    <row r="148" spans="1:140" x14ac:dyDescent="0.25">
      <c r="A148" s="4" t="s">
        <v>284</v>
      </c>
      <c r="B148" s="4">
        <v>3884</v>
      </c>
      <c r="C148" s="4">
        <v>6077</v>
      </c>
      <c r="D148" s="4">
        <v>255</v>
      </c>
      <c r="E148" s="4">
        <v>2208</v>
      </c>
      <c r="F148" s="4">
        <v>28</v>
      </c>
      <c r="G148" s="4">
        <v>39</v>
      </c>
      <c r="H148" s="4">
        <v>13376</v>
      </c>
      <c r="I148" s="4">
        <v>154</v>
      </c>
      <c r="J148" s="4">
        <v>1773</v>
      </c>
      <c r="K148" s="4">
        <v>76</v>
      </c>
      <c r="L148" s="4">
        <v>1704</v>
      </c>
      <c r="M148" s="4">
        <v>196</v>
      </c>
      <c r="N148" s="4">
        <v>12379</v>
      </c>
      <c r="O148" s="4">
        <v>2197</v>
      </c>
      <c r="P148" s="4">
        <v>2675</v>
      </c>
      <c r="Q148" s="4">
        <v>7889</v>
      </c>
      <c r="R148" s="4">
        <v>8</v>
      </c>
      <c r="S148" s="4">
        <v>1923</v>
      </c>
      <c r="T148" s="4">
        <v>3040</v>
      </c>
      <c r="U148" s="4">
        <v>2907</v>
      </c>
      <c r="V148" s="4">
        <v>9086</v>
      </c>
      <c r="W148" s="4">
        <v>2947</v>
      </c>
      <c r="X148" s="4">
        <v>729</v>
      </c>
      <c r="Y148" s="4">
        <v>714</v>
      </c>
      <c r="Z148" s="4">
        <v>1017</v>
      </c>
      <c r="AA148" s="4">
        <v>639</v>
      </c>
      <c r="AB148" s="4">
        <v>6581</v>
      </c>
      <c r="AC148" s="4">
        <v>921</v>
      </c>
      <c r="AD148" s="4">
        <v>577</v>
      </c>
      <c r="AE148" s="4">
        <v>2359</v>
      </c>
      <c r="AF148" s="4">
        <v>2026</v>
      </c>
      <c r="AG148" s="4">
        <v>31217</v>
      </c>
      <c r="AH148" s="4">
        <v>651</v>
      </c>
      <c r="AI148" s="4">
        <v>1919</v>
      </c>
      <c r="AJ148" s="4">
        <v>436</v>
      </c>
      <c r="AK148" s="4">
        <v>2333</v>
      </c>
      <c r="AL148" s="4">
        <v>3422</v>
      </c>
      <c r="AM148" s="4">
        <v>991</v>
      </c>
      <c r="AN148" s="4">
        <v>331</v>
      </c>
      <c r="AO148" s="4">
        <v>9586</v>
      </c>
      <c r="AP148" s="4">
        <v>910</v>
      </c>
      <c r="AQ148" s="4">
        <v>170</v>
      </c>
      <c r="AR148" s="4">
        <v>3641</v>
      </c>
      <c r="AS148" s="4">
        <v>9584</v>
      </c>
      <c r="AT148" s="4">
        <v>991</v>
      </c>
      <c r="AU148" s="4">
        <v>3004</v>
      </c>
      <c r="AV148" s="4">
        <v>6013</v>
      </c>
      <c r="AW148" s="4">
        <v>6516</v>
      </c>
      <c r="AX148" s="4">
        <v>25220</v>
      </c>
      <c r="AY148" s="4">
        <v>179</v>
      </c>
      <c r="AZ148" s="4">
        <v>1021</v>
      </c>
      <c r="BA148" s="4">
        <v>15406</v>
      </c>
      <c r="BB148" s="4">
        <v>217</v>
      </c>
      <c r="BC148" s="4">
        <v>1829</v>
      </c>
      <c r="BD148" s="4">
        <v>11044</v>
      </c>
      <c r="BE148" s="4">
        <v>2677</v>
      </c>
      <c r="BF148" s="4">
        <v>1921</v>
      </c>
      <c r="BG148" s="4">
        <v>5813</v>
      </c>
      <c r="BH148" s="4">
        <v>1861</v>
      </c>
      <c r="BI148" s="4">
        <v>31462</v>
      </c>
      <c r="BJ148" s="4">
        <v>4976</v>
      </c>
      <c r="BK148" s="4">
        <v>6681</v>
      </c>
      <c r="BL148" s="4">
        <v>2811</v>
      </c>
      <c r="BM148" s="4">
        <v>5720</v>
      </c>
      <c r="BN148" s="4">
        <v>1293</v>
      </c>
      <c r="BO148" s="4">
        <v>1269</v>
      </c>
      <c r="BP148" s="4">
        <v>24805</v>
      </c>
      <c r="BQ148" s="4">
        <v>2552</v>
      </c>
      <c r="BR148" s="4">
        <v>67330</v>
      </c>
      <c r="BS148" s="4">
        <v>8300</v>
      </c>
      <c r="BT148" s="4">
        <v>8889</v>
      </c>
      <c r="BU148" s="4">
        <v>17491</v>
      </c>
      <c r="BV148" s="4">
        <v>3205</v>
      </c>
      <c r="BW148" s="4">
        <v>12322</v>
      </c>
      <c r="BX148" s="4">
        <v>2141</v>
      </c>
      <c r="BY148" s="4">
        <v>6335</v>
      </c>
      <c r="BZ148" s="4">
        <v>20185</v>
      </c>
      <c r="CA148" s="4">
        <v>2467</v>
      </c>
      <c r="CB148" s="4">
        <v>1294</v>
      </c>
      <c r="CC148" s="4">
        <v>7592</v>
      </c>
      <c r="CD148" s="4">
        <v>3572</v>
      </c>
      <c r="CE148" s="4">
        <v>4981</v>
      </c>
      <c r="CF148" s="4">
        <v>7960</v>
      </c>
      <c r="CG148" s="4">
        <v>107840</v>
      </c>
      <c r="CH148" s="4">
        <v>13969</v>
      </c>
      <c r="CI148" s="4">
        <v>28303</v>
      </c>
      <c r="CJ148" s="4">
        <v>6268</v>
      </c>
      <c r="CK148" s="4">
        <v>15284</v>
      </c>
      <c r="CL148" s="4">
        <v>12936</v>
      </c>
      <c r="CM148" s="4">
        <v>14716</v>
      </c>
      <c r="CN148" s="4">
        <v>43925</v>
      </c>
      <c r="CO148" s="4">
        <v>6048</v>
      </c>
      <c r="CP148" s="4">
        <v>3503</v>
      </c>
      <c r="CQ148" s="4">
        <v>5031</v>
      </c>
      <c r="CR148" s="4">
        <v>7080</v>
      </c>
      <c r="CS148" s="4">
        <v>28375</v>
      </c>
      <c r="CT148" s="4">
        <v>17504</v>
      </c>
      <c r="CU148" s="4">
        <v>2198</v>
      </c>
      <c r="CV148" s="4">
        <v>252223</v>
      </c>
      <c r="CW148" s="4">
        <v>5859</v>
      </c>
      <c r="CX148" s="4">
        <v>1993</v>
      </c>
      <c r="CY148" s="4">
        <v>23164</v>
      </c>
      <c r="CZ148" s="4">
        <v>2685</v>
      </c>
      <c r="DA148" s="4">
        <v>7908</v>
      </c>
      <c r="DB148" s="4">
        <v>13592</v>
      </c>
      <c r="DC148" s="4">
        <v>4915</v>
      </c>
      <c r="DD148" s="4">
        <v>3105</v>
      </c>
      <c r="DE148" s="4">
        <v>2373</v>
      </c>
      <c r="DF148" s="4">
        <v>43424</v>
      </c>
      <c r="DG148" s="4">
        <v>14972</v>
      </c>
      <c r="DH148" s="4">
        <v>14317</v>
      </c>
      <c r="DI148" s="4">
        <v>4999</v>
      </c>
      <c r="DJ148" s="4">
        <v>25047</v>
      </c>
      <c r="DK148" s="4">
        <v>19079</v>
      </c>
      <c r="DL148" s="4">
        <v>11219</v>
      </c>
      <c r="DM148" s="4">
        <v>13573</v>
      </c>
      <c r="DN148" s="4">
        <v>20157</v>
      </c>
      <c r="DO148" s="4">
        <v>3310</v>
      </c>
      <c r="DP148" s="4">
        <v>6386</v>
      </c>
      <c r="DQ148" s="4">
        <v>53795</v>
      </c>
      <c r="DR148" s="4">
        <v>3421</v>
      </c>
      <c r="DS148" s="4">
        <v>5336</v>
      </c>
      <c r="DT148" s="4">
        <v>813</v>
      </c>
      <c r="DU148" s="4">
        <v>10180</v>
      </c>
      <c r="DV148" s="4">
        <v>4289</v>
      </c>
      <c r="DW148" s="4">
        <v>5601</v>
      </c>
      <c r="DX148" s="4">
        <v>14086</v>
      </c>
      <c r="DY148" s="4">
        <v>2280</v>
      </c>
      <c r="DZ148" s="4">
        <v>2534</v>
      </c>
      <c r="EA148" s="4">
        <v>11080</v>
      </c>
      <c r="EB148" s="4">
        <v>5626</v>
      </c>
      <c r="EC148" s="4">
        <v>1066</v>
      </c>
      <c r="ED148" s="4">
        <v>1171</v>
      </c>
      <c r="EE148" s="4">
        <v>31253</v>
      </c>
      <c r="EF148" s="4">
        <v>3663</v>
      </c>
      <c r="EG148" s="4">
        <v>10845</v>
      </c>
      <c r="EH148" s="4">
        <v>24022</v>
      </c>
      <c r="EJ148" s="4">
        <f t="shared" si="2"/>
        <v>1493261</v>
      </c>
    </row>
    <row r="149" spans="1:140" x14ac:dyDescent="0.25">
      <c r="A149" s="4" t="s">
        <v>285</v>
      </c>
      <c r="B149" s="4">
        <v>3763</v>
      </c>
      <c r="C149" s="4">
        <v>5656</v>
      </c>
      <c r="D149" s="4">
        <v>155</v>
      </c>
      <c r="E149" s="4">
        <v>1951</v>
      </c>
      <c r="F149" s="4">
        <v>21</v>
      </c>
      <c r="G149" s="4">
        <v>26</v>
      </c>
      <c r="H149" s="4">
        <v>11504</v>
      </c>
      <c r="I149" s="4">
        <v>97</v>
      </c>
      <c r="J149" s="4">
        <v>1572</v>
      </c>
      <c r="K149" s="4">
        <v>111</v>
      </c>
      <c r="L149" s="4">
        <v>1081</v>
      </c>
      <c r="M149" s="4">
        <v>87</v>
      </c>
      <c r="N149" s="4">
        <v>10521</v>
      </c>
      <c r="O149" s="4">
        <v>1715</v>
      </c>
      <c r="P149" s="4">
        <v>1973</v>
      </c>
      <c r="Q149" s="4">
        <v>7188</v>
      </c>
      <c r="R149" s="4">
        <v>8</v>
      </c>
      <c r="S149" s="4">
        <v>1190</v>
      </c>
      <c r="T149" s="4">
        <v>2843</v>
      </c>
      <c r="U149" s="4">
        <v>2810</v>
      </c>
      <c r="V149" s="4">
        <v>7222</v>
      </c>
      <c r="W149" s="4">
        <v>2880</v>
      </c>
      <c r="X149" s="4">
        <v>751</v>
      </c>
      <c r="Y149" s="4">
        <v>819</v>
      </c>
      <c r="Z149" s="4">
        <v>1194</v>
      </c>
      <c r="AA149" s="4">
        <v>611</v>
      </c>
      <c r="AB149" s="4">
        <v>5853</v>
      </c>
      <c r="AC149" s="4">
        <v>989</v>
      </c>
      <c r="AD149" s="4">
        <v>697</v>
      </c>
      <c r="AE149" s="4">
        <v>1947</v>
      </c>
      <c r="AF149" s="4">
        <v>2010</v>
      </c>
      <c r="AG149" s="4">
        <v>27644</v>
      </c>
      <c r="AH149" s="4">
        <v>532</v>
      </c>
      <c r="AI149" s="4">
        <v>1421</v>
      </c>
      <c r="AJ149" s="4">
        <v>386</v>
      </c>
      <c r="AK149" s="4">
        <v>2199</v>
      </c>
      <c r="AL149" s="4">
        <v>2704</v>
      </c>
      <c r="AM149" s="4">
        <v>850</v>
      </c>
      <c r="AN149" s="4">
        <v>385</v>
      </c>
      <c r="AO149" s="4">
        <v>9483</v>
      </c>
      <c r="AP149" s="4">
        <v>845</v>
      </c>
      <c r="AQ149" s="4">
        <v>164</v>
      </c>
      <c r="AR149" s="4">
        <v>3118</v>
      </c>
      <c r="AS149" s="4">
        <v>6187</v>
      </c>
      <c r="AT149" s="4">
        <v>1085</v>
      </c>
      <c r="AU149" s="4">
        <v>2681</v>
      </c>
      <c r="AV149" s="4">
        <v>4797</v>
      </c>
      <c r="AW149" s="4">
        <v>4473</v>
      </c>
      <c r="AX149" s="4">
        <v>23994</v>
      </c>
      <c r="AY149" s="4">
        <v>165</v>
      </c>
      <c r="AZ149" s="4">
        <v>950</v>
      </c>
      <c r="BA149" s="4">
        <v>13207</v>
      </c>
      <c r="BB149" s="4">
        <v>141</v>
      </c>
      <c r="BC149" s="4">
        <v>683</v>
      </c>
      <c r="BD149" s="4">
        <v>7062</v>
      </c>
      <c r="BE149" s="4">
        <v>3593</v>
      </c>
      <c r="BF149" s="4">
        <v>1676</v>
      </c>
      <c r="BG149" s="4">
        <v>4883</v>
      </c>
      <c r="BH149" s="4">
        <v>1725</v>
      </c>
      <c r="BI149" s="4">
        <v>28919</v>
      </c>
      <c r="BJ149" s="4">
        <v>4015</v>
      </c>
      <c r="BK149" s="4">
        <v>6347</v>
      </c>
      <c r="BL149" s="4">
        <v>2784</v>
      </c>
      <c r="BM149" s="4">
        <v>4927</v>
      </c>
      <c r="BN149" s="4">
        <v>1022</v>
      </c>
      <c r="BO149" s="4">
        <v>1133</v>
      </c>
      <c r="BP149" s="4">
        <v>23552</v>
      </c>
      <c r="BQ149" s="4">
        <v>2342</v>
      </c>
      <c r="BR149" s="4">
        <v>60547</v>
      </c>
      <c r="BS149" s="4">
        <v>6994</v>
      </c>
      <c r="BT149" s="4">
        <v>7980</v>
      </c>
      <c r="BU149" s="4">
        <v>15485</v>
      </c>
      <c r="BV149" s="4">
        <v>2539</v>
      </c>
      <c r="BW149" s="4">
        <v>11241</v>
      </c>
      <c r="BX149" s="4">
        <v>2060</v>
      </c>
      <c r="BY149" s="4">
        <v>4710</v>
      </c>
      <c r="BZ149" s="4">
        <v>16743</v>
      </c>
      <c r="CA149" s="4">
        <v>1990</v>
      </c>
      <c r="CB149" s="4">
        <v>1044</v>
      </c>
      <c r="CC149" s="4">
        <v>6932</v>
      </c>
      <c r="CD149" s="4">
        <v>2955</v>
      </c>
      <c r="CE149" s="4">
        <v>4440</v>
      </c>
      <c r="CF149" s="4">
        <v>6312</v>
      </c>
      <c r="CG149" s="4">
        <v>100603</v>
      </c>
      <c r="CH149" s="4">
        <v>11888</v>
      </c>
      <c r="CI149" s="4">
        <v>24808</v>
      </c>
      <c r="CJ149" s="4">
        <v>5415</v>
      </c>
      <c r="CK149" s="4">
        <v>13778</v>
      </c>
      <c r="CL149" s="4">
        <v>7852</v>
      </c>
      <c r="CM149" s="4">
        <v>12366</v>
      </c>
      <c r="CN149" s="4">
        <v>39210</v>
      </c>
      <c r="CO149" s="4">
        <v>5148</v>
      </c>
      <c r="CP149" s="4">
        <v>2949</v>
      </c>
      <c r="CQ149" s="4">
        <v>4150</v>
      </c>
      <c r="CR149" s="4">
        <v>6611</v>
      </c>
      <c r="CS149" s="4">
        <v>26998</v>
      </c>
      <c r="CT149" s="4">
        <v>15727</v>
      </c>
      <c r="CU149" s="4">
        <v>1662</v>
      </c>
      <c r="CV149" s="4">
        <v>223674</v>
      </c>
      <c r="CW149" s="4">
        <v>4987</v>
      </c>
      <c r="CX149" s="4">
        <v>1742</v>
      </c>
      <c r="CY149" s="4">
        <v>20065</v>
      </c>
      <c r="CZ149" s="4">
        <v>2363</v>
      </c>
      <c r="DA149" s="4">
        <v>5732</v>
      </c>
      <c r="DB149" s="4">
        <v>12056</v>
      </c>
      <c r="DC149" s="4">
        <v>4022</v>
      </c>
      <c r="DD149" s="4">
        <v>3015</v>
      </c>
      <c r="DE149" s="4">
        <v>1876</v>
      </c>
      <c r="DF149" s="4">
        <v>38414</v>
      </c>
      <c r="DG149" s="4">
        <v>12685</v>
      </c>
      <c r="DH149" s="4">
        <v>13975</v>
      </c>
      <c r="DI149" s="4">
        <v>3953</v>
      </c>
      <c r="DJ149" s="4">
        <v>21709</v>
      </c>
      <c r="DK149" s="4">
        <v>15528</v>
      </c>
      <c r="DL149" s="4">
        <v>9298</v>
      </c>
      <c r="DM149" s="4">
        <v>13343</v>
      </c>
      <c r="DN149" s="4">
        <v>15509</v>
      </c>
      <c r="DO149" s="4">
        <v>3038</v>
      </c>
      <c r="DP149" s="4">
        <v>6547</v>
      </c>
      <c r="DQ149" s="4">
        <v>49368</v>
      </c>
      <c r="DR149" s="4">
        <v>3177</v>
      </c>
      <c r="DS149" s="4">
        <v>4906</v>
      </c>
      <c r="DT149" s="4">
        <v>829</v>
      </c>
      <c r="DU149" s="4">
        <v>9843</v>
      </c>
      <c r="DV149" s="4">
        <v>3902</v>
      </c>
      <c r="DW149" s="4">
        <v>5005</v>
      </c>
      <c r="DX149" s="4">
        <v>12240</v>
      </c>
      <c r="DY149" s="4">
        <v>2555</v>
      </c>
      <c r="DZ149" s="4">
        <v>2212</v>
      </c>
      <c r="EA149" s="4">
        <v>9300</v>
      </c>
      <c r="EB149" s="4">
        <v>5694</v>
      </c>
      <c r="EC149" s="4">
        <v>919</v>
      </c>
      <c r="ED149" s="4">
        <v>1173</v>
      </c>
      <c r="EE149" s="4">
        <v>29516</v>
      </c>
      <c r="EF149" s="4">
        <v>3702</v>
      </c>
      <c r="EG149" s="4">
        <v>12240</v>
      </c>
      <c r="EH149" s="4">
        <v>19246</v>
      </c>
      <c r="EJ149" s="4">
        <f t="shared" si="2"/>
        <v>1321814</v>
      </c>
    </row>
    <row r="150" spans="1:140" x14ac:dyDescent="0.25">
      <c r="A150" s="4" t="s">
        <v>286</v>
      </c>
      <c r="B150" s="4">
        <v>3797</v>
      </c>
      <c r="C150" s="4">
        <v>5353</v>
      </c>
      <c r="D150" s="4">
        <v>208</v>
      </c>
      <c r="E150" s="4">
        <v>1846</v>
      </c>
      <c r="F150" s="4">
        <v>14</v>
      </c>
      <c r="G150" s="4">
        <v>29</v>
      </c>
      <c r="H150" s="4">
        <v>10653</v>
      </c>
      <c r="I150" s="4">
        <v>125</v>
      </c>
      <c r="J150" s="4">
        <v>1588</v>
      </c>
      <c r="K150" s="4">
        <v>101</v>
      </c>
      <c r="L150" s="4">
        <v>1114</v>
      </c>
      <c r="M150" s="4">
        <v>110</v>
      </c>
      <c r="N150" s="4">
        <v>11413</v>
      </c>
      <c r="O150" s="4">
        <v>2117</v>
      </c>
      <c r="P150" s="4">
        <v>2399</v>
      </c>
      <c r="Q150" s="4">
        <v>7348</v>
      </c>
      <c r="R150" s="4">
        <v>22</v>
      </c>
      <c r="S150" s="4">
        <v>2284</v>
      </c>
      <c r="T150" s="4">
        <v>2626</v>
      </c>
      <c r="U150" s="4">
        <v>2817</v>
      </c>
      <c r="V150" s="4">
        <v>6953</v>
      </c>
      <c r="W150" s="4">
        <v>2784</v>
      </c>
      <c r="X150" s="4">
        <v>734</v>
      </c>
      <c r="Y150" s="4">
        <v>1127</v>
      </c>
      <c r="Z150" s="4">
        <v>922</v>
      </c>
      <c r="AA150" s="4">
        <v>647</v>
      </c>
      <c r="AB150" s="4">
        <v>5677</v>
      </c>
      <c r="AC150" s="4">
        <v>1330</v>
      </c>
      <c r="AD150" s="4">
        <v>468</v>
      </c>
      <c r="AE150" s="4">
        <v>1663</v>
      </c>
      <c r="AF150" s="4">
        <v>1853</v>
      </c>
      <c r="AG150" s="4">
        <v>29321</v>
      </c>
      <c r="AH150" s="4">
        <v>558</v>
      </c>
      <c r="AI150" s="4">
        <v>1284</v>
      </c>
      <c r="AJ150" s="4">
        <v>584</v>
      </c>
      <c r="AK150" s="4">
        <v>2292</v>
      </c>
      <c r="AL150" s="4">
        <v>2853</v>
      </c>
      <c r="AM150" s="4">
        <v>895</v>
      </c>
      <c r="AN150" s="4">
        <v>351</v>
      </c>
      <c r="AO150" s="4">
        <v>8749</v>
      </c>
      <c r="AP150" s="4">
        <v>969</v>
      </c>
      <c r="AQ150" s="4">
        <v>106</v>
      </c>
      <c r="AR150" s="4">
        <v>3475</v>
      </c>
      <c r="AS150" s="4">
        <v>6254</v>
      </c>
      <c r="AT150" s="4">
        <v>1109</v>
      </c>
      <c r="AU150" s="4">
        <v>2433</v>
      </c>
      <c r="AV150" s="4">
        <v>3811</v>
      </c>
      <c r="AW150" s="4">
        <v>2685</v>
      </c>
      <c r="AX150" s="4">
        <v>22174</v>
      </c>
      <c r="AY150" s="4">
        <v>218</v>
      </c>
      <c r="AZ150" s="4">
        <v>1165</v>
      </c>
      <c r="BA150" s="4">
        <v>6846</v>
      </c>
      <c r="BB150" s="4">
        <v>408</v>
      </c>
      <c r="BC150" s="4">
        <v>860</v>
      </c>
      <c r="BD150" s="4">
        <v>6801</v>
      </c>
      <c r="BE150" s="4">
        <v>3403</v>
      </c>
      <c r="BF150" s="4">
        <v>1643</v>
      </c>
      <c r="BG150" s="4">
        <v>4916</v>
      </c>
      <c r="BH150" s="4">
        <v>2084</v>
      </c>
      <c r="BI150" s="4">
        <v>27383</v>
      </c>
      <c r="BJ150" s="4">
        <v>4440</v>
      </c>
      <c r="BK150" s="4">
        <v>6885</v>
      </c>
      <c r="BL150" s="4">
        <v>2472</v>
      </c>
      <c r="BM150" s="4">
        <v>4873</v>
      </c>
      <c r="BN150" s="4">
        <v>1134</v>
      </c>
      <c r="BO150" s="4">
        <v>1049</v>
      </c>
      <c r="BP150" s="4">
        <v>25370</v>
      </c>
      <c r="BQ150" s="4">
        <v>2234</v>
      </c>
      <c r="BR150" s="4">
        <v>59493</v>
      </c>
      <c r="BS150" s="4">
        <v>6366</v>
      </c>
      <c r="BT150" s="4">
        <v>7988</v>
      </c>
      <c r="BU150" s="4">
        <v>16210</v>
      </c>
      <c r="BV150" s="4">
        <v>2770</v>
      </c>
      <c r="BW150" s="4">
        <v>11129</v>
      </c>
      <c r="BX150" s="4">
        <v>2609</v>
      </c>
      <c r="BY150" s="4">
        <v>7915</v>
      </c>
      <c r="BZ150" s="4">
        <v>16839</v>
      </c>
      <c r="CA150" s="4">
        <v>2233</v>
      </c>
      <c r="CB150" s="4">
        <v>1001</v>
      </c>
      <c r="CC150" s="4">
        <v>7520</v>
      </c>
      <c r="CD150" s="4">
        <v>2741</v>
      </c>
      <c r="CE150" s="4">
        <v>4220</v>
      </c>
      <c r="CF150" s="4">
        <v>6226</v>
      </c>
      <c r="CG150" s="4">
        <v>96282</v>
      </c>
      <c r="CH150" s="4">
        <v>12299</v>
      </c>
      <c r="CI150" s="4">
        <v>22579</v>
      </c>
      <c r="CJ150" s="4">
        <v>5956</v>
      </c>
      <c r="CK150" s="4">
        <v>11537</v>
      </c>
      <c r="CL150" s="4">
        <v>7588</v>
      </c>
      <c r="CM150" s="4">
        <v>11815</v>
      </c>
      <c r="CN150" s="4">
        <v>35250</v>
      </c>
      <c r="CO150" s="4">
        <v>4753</v>
      </c>
      <c r="CP150" s="4">
        <v>3145</v>
      </c>
      <c r="CQ150" s="4">
        <v>3337</v>
      </c>
      <c r="CR150" s="4">
        <v>5942</v>
      </c>
      <c r="CS150" s="4">
        <v>23968</v>
      </c>
      <c r="CT150" s="4">
        <v>15543</v>
      </c>
      <c r="CU150" s="4">
        <v>1613</v>
      </c>
      <c r="CV150" s="4">
        <v>216607</v>
      </c>
      <c r="CW150" s="4">
        <v>4965</v>
      </c>
      <c r="CX150" s="4">
        <v>1537</v>
      </c>
      <c r="CY150" s="4">
        <v>18421</v>
      </c>
      <c r="CZ150" s="4">
        <v>2325</v>
      </c>
      <c r="DA150" s="4">
        <v>6389</v>
      </c>
      <c r="DB150" s="4">
        <v>11158</v>
      </c>
      <c r="DC150" s="4">
        <v>3611</v>
      </c>
      <c r="DD150" s="4">
        <v>2903</v>
      </c>
      <c r="DE150" s="4">
        <v>1767</v>
      </c>
      <c r="DF150" s="4">
        <v>38479</v>
      </c>
      <c r="DG150" s="4">
        <v>11698</v>
      </c>
      <c r="DH150" s="4">
        <v>13678</v>
      </c>
      <c r="DI150" s="4">
        <v>3509</v>
      </c>
      <c r="DJ150" s="4">
        <v>20814</v>
      </c>
      <c r="DK150" s="4">
        <v>14900</v>
      </c>
      <c r="DL150" s="4">
        <v>9267</v>
      </c>
      <c r="DM150" s="4">
        <v>13027</v>
      </c>
      <c r="DN150" s="4">
        <v>13324</v>
      </c>
      <c r="DO150" s="4">
        <v>3521</v>
      </c>
      <c r="DP150" s="4">
        <v>6664</v>
      </c>
      <c r="DQ150" s="4">
        <v>47143</v>
      </c>
      <c r="DR150" s="4">
        <v>3859</v>
      </c>
      <c r="DS150" s="4">
        <v>5531</v>
      </c>
      <c r="DT150" s="4">
        <v>683</v>
      </c>
      <c r="DU150" s="4">
        <v>8949</v>
      </c>
      <c r="DV150" s="4">
        <v>3742</v>
      </c>
      <c r="DW150" s="4">
        <v>4641</v>
      </c>
      <c r="DX150" s="4">
        <v>10397</v>
      </c>
      <c r="DY150" s="4">
        <v>2169</v>
      </c>
      <c r="DZ150" s="4">
        <v>1981</v>
      </c>
      <c r="EA150" s="4">
        <v>9805</v>
      </c>
      <c r="EB150" s="4">
        <v>5241</v>
      </c>
      <c r="EC150" s="4">
        <v>803</v>
      </c>
      <c r="ED150" s="4">
        <v>1536</v>
      </c>
      <c r="EE150" s="4">
        <v>27886</v>
      </c>
      <c r="EF150" s="4">
        <v>3901</v>
      </c>
      <c r="EG150" s="4">
        <v>10081</v>
      </c>
      <c r="EH150" s="4">
        <v>24618</v>
      </c>
      <c r="EJ150" s="4">
        <f t="shared" si="2"/>
        <v>1282606</v>
      </c>
    </row>
    <row r="151" spans="1:140" x14ac:dyDescent="0.25">
      <c r="A151" s="4" t="s">
        <v>287</v>
      </c>
      <c r="B151" s="4">
        <v>4244</v>
      </c>
      <c r="C151" s="4">
        <v>5537</v>
      </c>
      <c r="D151" s="4">
        <v>172</v>
      </c>
      <c r="E151" s="4">
        <v>1653</v>
      </c>
      <c r="F151" s="4">
        <v>18</v>
      </c>
      <c r="G151" s="4">
        <v>18</v>
      </c>
      <c r="H151" s="4">
        <v>10837</v>
      </c>
      <c r="I151" s="4">
        <v>143</v>
      </c>
      <c r="J151" s="4">
        <v>1794</v>
      </c>
      <c r="K151" s="4">
        <v>78</v>
      </c>
      <c r="L151" s="4">
        <v>1092</v>
      </c>
      <c r="M151" s="4">
        <v>107</v>
      </c>
      <c r="N151" s="4">
        <v>11283</v>
      </c>
      <c r="O151" s="4">
        <v>1805</v>
      </c>
      <c r="P151" s="4">
        <v>2354</v>
      </c>
      <c r="Q151" s="4">
        <v>7776</v>
      </c>
      <c r="R151" s="4">
        <v>28</v>
      </c>
      <c r="S151" s="4">
        <v>1791</v>
      </c>
      <c r="T151" s="4">
        <v>2839</v>
      </c>
      <c r="U151" s="4">
        <v>2947</v>
      </c>
      <c r="V151" s="4">
        <v>7212</v>
      </c>
      <c r="W151" s="4">
        <v>2947</v>
      </c>
      <c r="X151" s="4">
        <v>665</v>
      </c>
      <c r="Y151" s="4">
        <v>945</v>
      </c>
      <c r="Z151" s="4">
        <v>770</v>
      </c>
      <c r="AA151" s="4">
        <v>768</v>
      </c>
      <c r="AB151" s="4">
        <v>6406</v>
      </c>
      <c r="AC151" s="4">
        <v>1220</v>
      </c>
      <c r="AD151" s="4">
        <v>529</v>
      </c>
      <c r="AE151" s="4">
        <v>1746</v>
      </c>
      <c r="AF151" s="4">
        <v>2449</v>
      </c>
      <c r="AG151" s="4">
        <v>27326</v>
      </c>
      <c r="AH151" s="4">
        <v>516</v>
      </c>
      <c r="AI151" s="4">
        <v>1143</v>
      </c>
      <c r="AJ151" s="4">
        <v>396</v>
      </c>
      <c r="AK151" s="4">
        <v>2265</v>
      </c>
      <c r="AL151" s="4">
        <v>2664</v>
      </c>
      <c r="AM151" s="4">
        <v>866</v>
      </c>
      <c r="AN151" s="4">
        <v>314</v>
      </c>
      <c r="AO151" s="4">
        <v>8616</v>
      </c>
      <c r="AP151" s="4">
        <v>741</v>
      </c>
      <c r="AQ151" s="4">
        <v>185</v>
      </c>
      <c r="AR151" s="4">
        <v>3199</v>
      </c>
      <c r="AS151" s="4">
        <v>5846</v>
      </c>
      <c r="AT151" s="4">
        <v>983</v>
      </c>
      <c r="AU151" s="4">
        <v>2515</v>
      </c>
      <c r="AV151" s="4">
        <v>3876</v>
      </c>
      <c r="AW151" s="4">
        <v>2483</v>
      </c>
      <c r="AX151" s="4">
        <v>21953</v>
      </c>
      <c r="AY151" s="4">
        <v>214</v>
      </c>
      <c r="AZ151" s="4">
        <v>980</v>
      </c>
      <c r="BA151" s="4">
        <v>6382</v>
      </c>
      <c r="BB151" s="4">
        <v>238</v>
      </c>
      <c r="BC151" s="4">
        <v>826</v>
      </c>
      <c r="BD151" s="4">
        <v>6583</v>
      </c>
      <c r="BE151" s="4">
        <v>3111</v>
      </c>
      <c r="BF151" s="4">
        <v>1770</v>
      </c>
      <c r="BG151" s="4">
        <v>5030</v>
      </c>
      <c r="BH151" s="4">
        <v>1740</v>
      </c>
      <c r="BI151" s="4">
        <v>27351</v>
      </c>
      <c r="BJ151" s="4">
        <v>4134</v>
      </c>
      <c r="BK151" s="4">
        <v>8172</v>
      </c>
      <c r="BL151" s="4">
        <v>2790</v>
      </c>
      <c r="BM151" s="4">
        <v>4966</v>
      </c>
      <c r="BN151" s="4">
        <v>1136</v>
      </c>
      <c r="BO151" s="4">
        <v>1171</v>
      </c>
      <c r="BP151" s="4">
        <v>23087</v>
      </c>
      <c r="BQ151" s="4">
        <v>2088</v>
      </c>
      <c r="BR151" s="4">
        <v>59745</v>
      </c>
      <c r="BS151" s="4">
        <v>7715</v>
      </c>
      <c r="BT151" s="4">
        <v>8462</v>
      </c>
      <c r="BU151" s="4">
        <v>16876</v>
      </c>
      <c r="BV151" s="4">
        <v>2765</v>
      </c>
      <c r="BW151" s="4">
        <v>11390</v>
      </c>
      <c r="BX151" s="4">
        <v>2567</v>
      </c>
      <c r="BY151" s="4">
        <v>7897</v>
      </c>
      <c r="BZ151" s="4">
        <v>17260</v>
      </c>
      <c r="CA151" s="4">
        <v>2318</v>
      </c>
      <c r="CB151" s="4">
        <v>1081</v>
      </c>
      <c r="CC151" s="4">
        <v>7454</v>
      </c>
      <c r="CD151" s="4">
        <v>3229</v>
      </c>
      <c r="CE151" s="4">
        <v>4484</v>
      </c>
      <c r="CF151" s="4">
        <v>5982</v>
      </c>
      <c r="CG151" s="4">
        <v>99044</v>
      </c>
      <c r="CH151" s="4">
        <v>12267</v>
      </c>
      <c r="CI151" s="4">
        <v>22442</v>
      </c>
      <c r="CJ151" s="4">
        <v>5194</v>
      </c>
      <c r="CK151" s="4">
        <v>12155</v>
      </c>
      <c r="CL151" s="4">
        <v>8458</v>
      </c>
      <c r="CM151" s="4">
        <v>12926</v>
      </c>
      <c r="CN151" s="4">
        <v>40178</v>
      </c>
      <c r="CO151" s="4">
        <v>4769</v>
      </c>
      <c r="CP151" s="4">
        <v>3164</v>
      </c>
      <c r="CQ151" s="4">
        <v>3381</v>
      </c>
      <c r="CR151" s="4">
        <v>6359</v>
      </c>
      <c r="CS151" s="4">
        <v>26488</v>
      </c>
      <c r="CT151" s="4">
        <v>16633</v>
      </c>
      <c r="CU151" s="4">
        <v>1614</v>
      </c>
      <c r="CV151" s="4">
        <v>219652</v>
      </c>
      <c r="CW151" s="4">
        <v>5280</v>
      </c>
      <c r="CX151" s="4">
        <v>1699</v>
      </c>
      <c r="CY151" s="4">
        <v>19076</v>
      </c>
      <c r="CZ151" s="4">
        <v>2253</v>
      </c>
      <c r="DA151" s="4">
        <v>6030</v>
      </c>
      <c r="DB151" s="4">
        <v>12039</v>
      </c>
      <c r="DC151" s="4">
        <v>3947</v>
      </c>
      <c r="DD151" s="4">
        <v>3141</v>
      </c>
      <c r="DE151" s="4">
        <v>1971</v>
      </c>
      <c r="DF151" s="4">
        <v>39068</v>
      </c>
      <c r="DG151" s="4">
        <v>11234</v>
      </c>
      <c r="DH151" s="4">
        <v>12659</v>
      </c>
      <c r="DI151" s="4">
        <v>3307</v>
      </c>
      <c r="DJ151" s="4">
        <v>21382</v>
      </c>
      <c r="DK151" s="4">
        <v>14972</v>
      </c>
      <c r="DL151" s="4">
        <v>9471</v>
      </c>
      <c r="DM151" s="4">
        <v>11622</v>
      </c>
      <c r="DN151" s="4">
        <v>12147</v>
      </c>
      <c r="DO151" s="4">
        <v>2878</v>
      </c>
      <c r="DP151" s="4">
        <v>7379</v>
      </c>
      <c r="DQ151" s="4">
        <v>44944</v>
      </c>
      <c r="DR151" s="4">
        <v>3220</v>
      </c>
      <c r="DS151" s="4">
        <v>5210</v>
      </c>
      <c r="DT151" s="4">
        <v>778</v>
      </c>
      <c r="DU151" s="4">
        <v>8821</v>
      </c>
      <c r="DV151" s="4">
        <v>4054</v>
      </c>
      <c r="DW151" s="4">
        <v>4615</v>
      </c>
      <c r="DX151" s="4">
        <v>9478</v>
      </c>
      <c r="DY151" s="4">
        <v>1815</v>
      </c>
      <c r="DZ151" s="4">
        <v>2041</v>
      </c>
      <c r="EA151" s="4">
        <v>9467</v>
      </c>
      <c r="EB151" s="4">
        <v>4959</v>
      </c>
      <c r="EC151" s="4">
        <v>828</v>
      </c>
      <c r="ED151" s="4">
        <v>1008</v>
      </c>
      <c r="EE151" s="4">
        <v>29289</v>
      </c>
      <c r="EF151" s="4">
        <v>4561</v>
      </c>
      <c r="EG151" s="4">
        <v>10991</v>
      </c>
      <c r="EH151" s="4">
        <v>24383</v>
      </c>
      <c r="EJ151" s="4">
        <f t="shared" si="2"/>
        <v>1295795</v>
      </c>
    </row>
    <row r="152" spans="1:140" x14ac:dyDescent="0.25">
      <c r="A152" s="4" t="s">
        <v>288</v>
      </c>
      <c r="B152" s="4">
        <v>4344</v>
      </c>
      <c r="C152" s="4">
        <v>5077</v>
      </c>
      <c r="D152" s="4">
        <v>201</v>
      </c>
      <c r="E152" s="4">
        <v>1912</v>
      </c>
      <c r="F152" s="4">
        <v>10</v>
      </c>
      <c r="G152" s="4">
        <v>29</v>
      </c>
      <c r="H152" s="4">
        <v>10508</v>
      </c>
      <c r="I152" s="4">
        <v>132</v>
      </c>
      <c r="J152" s="4">
        <v>1624</v>
      </c>
      <c r="K152" s="4">
        <v>120</v>
      </c>
      <c r="L152" s="4">
        <v>1117</v>
      </c>
      <c r="M152" s="4">
        <v>71</v>
      </c>
      <c r="N152" s="4">
        <v>9952</v>
      </c>
      <c r="O152" s="4">
        <v>1654</v>
      </c>
      <c r="P152" s="4">
        <v>2194</v>
      </c>
      <c r="Q152" s="4">
        <v>7762</v>
      </c>
      <c r="R152" s="4">
        <v>21</v>
      </c>
      <c r="S152" s="4">
        <v>1637</v>
      </c>
      <c r="T152" s="4">
        <v>2621</v>
      </c>
      <c r="U152" s="4">
        <v>3221</v>
      </c>
      <c r="V152" s="4">
        <v>7126</v>
      </c>
      <c r="W152" s="4">
        <v>3027</v>
      </c>
      <c r="X152" s="4">
        <v>558</v>
      </c>
      <c r="Y152" s="4">
        <v>839</v>
      </c>
      <c r="Z152" s="4">
        <v>833</v>
      </c>
      <c r="AA152" s="4">
        <v>623</v>
      </c>
      <c r="AB152" s="4">
        <v>5849</v>
      </c>
      <c r="AC152" s="4">
        <v>937</v>
      </c>
      <c r="AD152" s="4">
        <v>637</v>
      </c>
      <c r="AE152" s="4">
        <v>1665</v>
      </c>
      <c r="AF152" s="4">
        <v>2162</v>
      </c>
      <c r="AG152" s="4">
        <v>27908</v>
      </c>
      <c r="AH152" s="4">
        <v>577</v>
      </c>
      <c r="AI152" s="4">
        <v>1499</v>
      </c>
      <c r="AJ152" s="4">
        <v>409</v>
      </c>
      <c r="AK152" s="4">
        <v>1940</v>
      </c>
      <c r="AL152" s="4">
        <v>2595</v>
      </c>
      <c r="AM152" s="4">
        <v>705</v>
      </c>
      <c r="AN152" s="4">
        <v>275</v>
      </c>
      <c r="AO152" s="4">
        <v>8148</v>
      </c>
      <c r="AP152" s="4">
        <v>776</v>
      </c>
      <c r="AQ152" s="4">
        <v>132</v>
      </c>
      <c r="AR152" s="4">
        <v>2887</v>
      </c>
      <c r="AS152" s="4">
        <v>6329</v>
      </c>
      <c r="AT152" s="4">
        <v>1085</v>
      </c>
      <c r="AU152" s="4">
        <v>2835</v>
      </c>
      <c r="AV152" s="4">
        <v>4153</v>
      </c>
      <c r="AW152" s="4">
        <v>2297</v>
      </c>
      <c r="AX152" s="4">
        <v>24549</v>
      </c>
      <c r="AY152" s="4">
        <v>431</v>
      </c>
      <c r="AZ152" s="4">
        <v>989</v>
      </c>
      <c r="BA152" s="4">
        <v>6426</v>
      </c>
      <c r="BB152" s="4">
        <v>261</v>
      </c>
      <c r="BC152" s="4">
        <v>926</v>
      </c>
      <c r="BD152" s="4">
        <v>6182</v>
      </c>
      <c r="BE152" s="4">
        <v>2902</v>
      </c>
      <c r="BF152" s="4">
        <v>1934</v>
      </c>
      <c r="BG152" s="4">
        <v>5394</v>
      </c>
      <c r="BH152" s="4">
        <v>1650</v>
      </c>
      <c r="BI152" s="4">
        <v>28645</v>
      </c>
      <c r="BJ152" s="4">
        <v>4084</v>
      </c>
      <c r="BK152" s="4">
        <v>8655</v>
      </c>
      <c r="BL152" s="4">
        <v>2929</v>
      </c>
      <c r="BM152" s="4">
        <v>5152</v>
      </c>
      <c r="BN152" s="4">
        <v>1243</v>
      </c>
      <c r="BO152" s="4">
        <v>1189</v>
      </c>
      <c r="BP152" s="4">
        <v>23702</v>
      </c>
      <c r="BQ152" s="4">
        <v>2017</v>
      </c>
      <c r="BR152" s="4">
        <v>61233</v>
      </c>
      <c r="BS152" s="4">
        <v>7925</v>
      </c>
      <c r="BT152" s="4">
        <v>8953</v>
      </c>
      <c r="BU152" s="4">
        <v>21357</v>
      </c>
      <c r="BV152" s="4">
        <v>2615</v>
      </c>
      <c r="BW152" s="4">
        <v>11922</v>
      </c>
      <c r="BX152" s="4">
        <v>2343</v>
      </c>
      <c r="BY152" s="4">
        <v>6309</v>
      </c>
      <c r="BZ152" s="4">
        <v>16538</v>
      </c>
      <c r="CA152" s="4">
        <v>2271</v>
      </c>
      <c r="CB152" s="4">
        <v>1030</v>
      </c>
      <c r="CC152" s="4">
        <v>6154</v>
      </c>
      <c r="CD152" s="4">
        <v>2877</v>
      </c>
      <c r="CE152" s="4">
        <v>4627</v>
      </c>
      <c r="CF152" s="4">
        <v>6393</v>
      </c>
      <c r="CG152" s="4">
        <v>101603</v>
      </c>
      <c r="CH152" s="4">
        <v>12110</v>
      </c>
      <c r="CI152" s="4">
        <v>21563</v>
      </c>
      <c r="CJ152" s="4">
        <v>5229</v>
      </c>
      <c r="CK152" s="4">
        <v>12173</v>
      </c>
      <c r="CL152" s="4">
        <v>7795</v>
      </c>
      <c r="CM152" s="4">
        <v>10851</v>
      </c>
      <c r="CN152" s="4">
        <v>34826</v>
      </c>
      <c r="CO152" s="4">
        <v>4563</v>
      </c>
      <c r="CP152" s="4">
        <v>3167</v>
      </c>
      <c r="CQ152" s="4">
        <v>3204</v>
      </c>
      <c r="CR152" s="4">
        <v>5494</v>
      </c>
      <c r="CS152" s="4">
        <v>22791</v>
      </c>
      <c r="CT152" s="4">
        <v>14365</v>
      </c>
      <c r="CU152" s="4">
        <v>1519</v>
      </c>
      <c r="CV152" s="4">
        <v>201725</v>
      </c>
      <c r="CW152" s="4">
        <v>4426</v>
      </c>
      <c r="CX152" s="4">
        <v>1718</v>
      </c>
      <c r="CY152" s="4">
        <v>18934</v>
      </c>
      <c r="CZ152" s="4">
        <v>2280</v>
      </c>
      <c r="DA152" s="4">
        <v>5755</v>
      </c>
      <c r="DB152" s="4">
        <v>11224</v>
      </c>
      <c r="DC152" s="4">
        <v>4085</v>
      </c>
      <c r="DD152" s="4">
        <v>2453</v>
      </c>
      <c r="DE152" s="4">
        <v>1807</v>
      </c>
      <c r="DF152" s="4">
        <v>38393</v>
      </c>
      <c r="DG152" s="4">
        <v>11037</v>
      </c>
      <c r="DH152" s="4">
        <v>12749</v>
      </c>
      <c r="DI152" s="4">
        <v>2806</v>
      </c>
      <c r="DJ152" s="4">
        <v>20334</v>
      </c>
      <c r="DK152" s="4">
        <v>14453</v>
      </c>
      <c r="DL152" s="4">
        <v>9167</v>
      </c>
      <c r="DM152" s="4">
        <v>10975</v>
      </c>
      <c r="DN152" s="4">
        <v>12756</v>
      </c>
      <c r="DO152" s="4">
        <v>2639</v>
      </c>
      <c r="DP152" s="4">
        <v>7925</v>
      </c>
      <c r="DQ152" s="4">
        <v>45655</v>
      </c>
      <c r="DR152" s="4">
        <v>2663</v>
      </c>
      <c r="DS152" s="4">
        <v>4635</v>
      </c>
      <c r="DT152" s="4">
        <v>718</v>
      </c>
      <c r="DU152" s="4">
        <v>8930</v>
      </c>
      <c r="DV152" s="4">
        <v>3711</v>
      </c>
      <c r="DW152" s="4">
        <v>4621</v>
      </c>
      <c r="DX152" s="4">
        <v>9959</v>
      </c>
      <c r="DY152" s="4">
        <v>1820</v>
      </c>
      <c r="DZ152" s="4">
        <v>1957</v>
      </c>
      <c r="EA152" s="4">
        <v>9367</v>
      </c>
      <c r="EB152" s="4">
        <v>4849</v>
      </c>
      <c r="EC152" s="4">
        <v>736</v>
      </c>
      <c r="ED152" s="4">
        <v>1122</v>
      </c>
      <c r="EE152" s="4">
        <v>28720</v>
      </c>
      <c r="EF152" s="4">
        <v>4072</v>
      </c>
      <c r="EG152" s="4">
        <v>11274</v>
      </c>
      <c r="EH152" s="4">
        <v>24212</v>
      </c>
      <c r="EJ152" s="4">
        <f t="shared" si="2"/>
        <v>1262735</v>
      </c>
    </row>
    <row r="153" spans="1:140" x14ac:dyDescent="0.25">
      <c r="A153" s="4" t="s">
        <v>289</v>
      </c>
      <c r="B153" s="4">
        <v>4120</v>
      </c>
      <c r="C153" s="4">
        <v>5142</v>
      </c>
      <c r="D153" s="4">
        <v>149</v>
      </c>
      <c r="E153" s="4">
        <v>1807</v>
      </c>
      <c r="F153" s="4">
        <v>17</v>
      </c>
      <c r="G153" s="4">
        <v>27</v>
      </c>
      <c r="H153" s="4">
        <v>10749</v>
      </c>
      <c r="I153" s="4">
        <v>97</v>
      </c>
      <c r="J153" s="4">
        <v>1535</v>
      </c>
      <c r="K153" s="4">
        <v>76</v>
      </c>
      <c r="L153" s="4">
        <v>1154</v>
      </c>
      <c r="M153" s="4">
        <v>87</v>
      </c>
      <c r="N153" s="4">
        <v>11006</v>
      </c>
      <c r="O153" s="4">
        <v>1472</v>
      </c>
      <c r="P153" s="4">
        <v>3407</v>
      </c>
      <c r="Q153" s="4">
        <v>8053</v>
      </c>
      <c r="R153" s="4">
        <v>9</v>
      </c>
      <c r="S153" s="4">
        <v>1634</v>
      </c>
      <c r="T153" s="4">
        <v>2882</v>
      </c>
      <c r="U153" s="4">
        <v>2769</v>
      </c>
      <c r="V153" s="4">
        <v>7382</v>
      </c>
      <c r="W153" s="4">
        <v>3035</v>
      </c>
      <c r="X153" s="4">
        <v>632</v>
      </c>
      <c r="Y153" s="4">
        <v>793</v>
      </c>
      <c r="Z153" s="4">
        <v>1009</v>
      </c>
      <c r="AA153" s="4">
        <v>772</v>
      </c>
      <c r="AB153" s="4">
        <v>6089</v>
      </c>
      <c r="AC153" s="4">
        <v>755</v>
      </c>
      <c r="AD153" s="4">
        <v>559</v>
      </c>
      <c r="AE153" s="4">
        <v>1800</v>
      </c>
      <c r="AF153" s="4">
        <v>1740</v>
      </c>
      <c r="AG153" s="4">
        <v>26718</v>
      </c>
      <c r="AH153" s="4">
        <v>543</v>
      </c>
      <c r="AI153" s="4">
        <v>1679</v>
      </c>
      <c r="AJ153" s="4">
        <v>447</v>
      </c>
      <c r="AK153" s="4">
        <v>2157</v>
      </c>
      <c r="AL153" s="4">
        <v>2210</v>
      </c>
      <c r="AM153" s="4">
        <v>802</v>
      </c>
      <c r="AN153" s="4">
        <v>286</v>
      </c>
      <c r="AO153" s="4">
        <v>8821</v>
      </c>
      <c r="AP153" s="4">
        <v>780</v>
      </c>
      <c r="AQ153" s="4">
        <v>119</v>
      </c>
      <c r="AR153" s="4">
        <v>2931</v>
      </c>
      <c r="AS153" s="4">
        <v>6057</v>
      </c>
      <c r="AT153" s="4">
        <v>1075</v>
      </c>
      <c r="AU153" s="4">
        <v>2897</v>
      </c>
      <c r="AV153" s="4">
        <v>4636</v>
      </c>
      <c r="AW153" s="4">
        <v>2826</v>
      </c>
      <c r="AX153" s="4">
        <v>20812</v>
      </c>
      <c r="AY153" s="4">
        <v>167</v>
      </c>
      <c r="AZ153" s="4">
        <v>1177</v>
      </c>
      <c r="BA153" s="4">
        <v>6415</v>
      </c>
      <c r="BB153" s="4">
        <v>134</v>
      </c>
      <c r="BC153" s="4">
        <v>991</v>
      </c>
      <c r="BD153" s="4">
        <v>7679</v>
      </c>
      <c r="BE153" s="4">
        <v>3035</v>
      </c>
      <c r="BF153" s="4">
        <v>2305</v>
      </c>
      <c r="BG153" s="4">
        <v>4957</v>
      </c>
      <c r="BH153" s="4">
        <v>1578</v>
      </c>
      <c r="BI153" s="4">
        <v>29089</v>
      </c>
      <c r="BJ153" s="4">
        <v>4766</v>
      </c>
      <c r="BK153" s="4">
        <v>7519</v>
      </c>
      <c r="BL153" s="4">
        <v>3219</v>
      </c>
      <c r="BM153" s="4">
        <v>5188</v>
      </c>
      <c r="BN153" s="4">
        <v>1541</v>
      </c>
      <c r="BO153" s="4">
        <v>1213</v>
      </c>
      <c r="BP153" s="4">
        <v>24837</v>
      </c>
      <c r="BQ153" s="4">
        <v>2115</v>
      </c>
      <c r="BR153" s="4">
        <v>57884</v>
      </c>
      <c r="BS153" s="4">
        <v>7774</v>
      </c>
      <c r="BT153" s="4">
        <v>9518</v>
      </c>
      <c r="BU153" s="4">
        <v>24706</v>
      </c>
      <c r="BV153" s="4">
        <v>3157</v>
      </c>
      <c r="BW153" s="4">
        <v>11863</v>
      </c>
      <c r="BX153" s="4">
        <v>2396</v>
      </c>
      <c r="BY153" s="4">
        <v>4960</v>
      </c>
      <c r="BZ153" s="4">
        <v>17027</v>
      </c>
      <c r="CA153" s="4">
        <v>2791</v>
      </c>
      <c r="CB153" s="4">
        <v>1018</v>
      </c>
      <c r="CC153" s="4">
        <v>6781</v>
      </c>
      <c r="CD153" s="4">
        <v>3000</v>
      </c>
      <c r="CE153" s="4">
        <v>4327</v>
      </c>
      <c r="CF153" s="4">
        <v>5973</v>
      </c>
      <c r="CG153" s="4">
        <v>109132</v>
      </c>
      <c r="CH153" s="4">
        <v>12008</v>
      </c>
      <c r="CI153" s="4">
        <v>21959</v>
      </c>
      <c r="CJ153" s="4">
        <v>5202</v>
      </c>
      <c r="CK153" s="4">
        <v>11352</v>
      </c>
      <c r="CL153" s="4">
        <v>7401</v>
      </c>
      <c r="CM153" s="4">
        <v>11675</v>
      </c>
      <c r="CN153" s="4">
        <v>37340</v>
      </c>
      <c r="CO153" s="4">
        <v>5185</v>
      </c>
      <c r="CP153" s="4">
        <v>3416</v>
      </c>
      <c r="CQ153" s="4">
        <v>3549</v>
      </c>
      <c r="CR153" s="4">
        <v>5109</v>
      </c>
      <c r="CS153" s="4">
        <v>23275</v>
      </c>
      <c r="CT153" s="4">
        <v>15468</v>
      </c>
      <c r="CU153" s="4">
        <v>1395</v>
      </c>
      <c r="CV153" s="4">
        <v>211729</v>
      </c>
      <c r="CW153" s="4">
        <v>4736</v>
      </c>
      <c r="CX153" s="4">
        <v>1655</v>
      </c>
      <c r="CY153" s="4">
        <v>19280</v>
      </c>
      <c r="CZ153" s="4">
        <v>2340</v>
      </c>
      <c r="DA153" s="4">
        <v>5338</v>
      </c>
      <c r="DB153" s="4">
        <v>11897</v>
      </c>
      <c r="DC153" s="4">
        <v>4271</v>
      </c>
      <c r="DD153" s="4">
        <v>2528</v>
      </c>
      <c r="DE153" s="4">
        <v>1707</v>
      </c>
      <c r="DF153" s="4">
        <v>37588</v>
      </c>
      <c r="DG153" s="4">
        <v>10985</v>
      </c>
      <c r="DH153" s="4">
        <v>12401</v>
      </c>
      <c r="DI153" s="4">
        <v>3394</v>
      </c>
      <c r="DJ153" s="4">
        <v>20442</v>
      </c>
      <c r="DK153" s="4">
        <v>13919</v>
      </c>
      <c r="DL153" s="4">
        <v>8967</v>
      </c>
      <c r="DM153" s="4">
        <v>11142</v>
      </c>
      <c r="DN153" s="4">
        <v>11668</v>
      </c>
      <c r="DO153" s="4">
        <v>3138</v>
      </c>
      <c r="DP153" s="4">
        <v>8791</v>
      </c>
      <c r="DQ153" s="4">
        <v>44603</v>
      </c>
      <c r="DR153" s="4">
        <v>2641</v>
      </c>
      <c r="DS153" s="4">
        <v>4497</v>
      </c>
      <c r="DT153" s="4">
        <v>734</v>
      </c>
      <c r="DU153" s="4">
        <v>9152</v>
      </c>
      <c r="DV153" s="4">
        <v>3832</v>
      </c>
      <c r="DW153" s="4">
        <v>4828</v>
      </c>
      <c r="DX153" s="4">
        <v>11256</v>
      </c>
      <c r="DY153" s="4">
        <v>2119</v>
      </c>
      <c r="DZ153" s="4">
        <v>2152</v>
      </c>
      <c r="EA153" s="4">
        <v>10349</v>
      </c>
      <c r="EB153" s="4">
        <v>5066</v>
      </c>
      <c r="EC153" s="4">
        <v>887</v>
      </c>
      <c r="ED153" s="4">
        <v>1018</v>
      </c>
      <c r="EE153" s="4">
        <v>28535</v>
      </c>
      <c r="EF153" s="4">
        <v>4008</v>
      </c>
      <c r="EG153" s="4">
        <v>10443</v>
      </c>
      <c r="EH153" s="4">
        <v>22525</v>
      </c>
      <c r="EJ153" s="4">
        <f t="shared" si="2"/>
        <v>1287681</v>
      </c>
    </row>
    <row r="154" spans="1:140" x14ac:dyDescent="0.25">
      <c r="A154" s="4" t="s">
        <v>290</v>
      </c>
      <c r="B154" s="4">
        <v>3568</v>
      </c>
      <c r="C154" s="4">
        <v>4518</v>
      </c>
      <c r="D154" s="4">
        <v>147</v>
      </c>
      <c r="E154" s="4">
        <v>1755</v>
      </c>
      <c r="F154" s="4">
        <v>7</v>
      </c>
      <c r="G154" s="4">
        <v>29</v>
      </c>
      <c r="H154" s="4">
        <v>9766</v>
      </c>
      <c r="I154" s="4">
        <v>92</v>
      </c>
      <c r="J154" s="4">
        <v>1255</v>
      </c>
      <c r="K154" s="4">
        <v>67</v>
      </c>
      <c r="L154" s="4">
        <v>1124</v>
      </c>
      <c r="M154" s="4">
        <v>76</v>
      </c>
      <c r="N154" s="4">
        <v>10498</v>
      </c>
      <c r="O154" s="4">
        <v>1471</v>
      </c>
      <c r="P154" s="4">
        <v>1494</v>
      </c>
      <c r="Q154" s="4">
        <v>6990</v>
      </c>
      <c r="R154" s="4">
        <v>15</v>
      </c>
      <c r="S154" s="4">
        <v>1526</v>
      </c>
      <c r="T154" s="4">
        <v>2511</v>
      </c>
      <c r="U154" s="4">
        <v>2248</v>
      </c>
      <c r="V154" s="4">
        <v>6396</v>
      </c>
      <c r="W154" s="4">
        <v>2475</v>
      </c>
      <c r="X154" s="4">
        <v>570</v>
      </c>
      <c r="Y154" s="4">
        <v>807</v>
      </c>
      <c r="Z154" s="4">
        <v>2034</v>
      </c>
      <c r="AA154" s="4">
        <v>618</v>
      </c>
      <c r="AB154" s="4">
        <v>5601</v>
      </c>
      <c r="AC154" s="4">
        <v>965</v>
      </c>
      <c r="AD154" s="4">
        <v>450</v>
      </c>
      <c r="AE154" s="4">
        <v>1548</v>
      </c>
      <c r="AF154" s="4">
        <v>1820</v>
      </c>
      <c r="AG154" s="4">
        <v>23405</v>
      </c>
      <c r="AH154" s="4">
        <v>448</v>
      </c>
      <c r="AI154" s="4">
        <v>1309</v>
      </c>
      <c r="AJ154" s="4">
        <v>342</v>
      </c>
      <c r="AK154" s="4">
        <v>1769</v>
      </c>
      <c r="AL154" s="4">
        <v>2168</v>
      </c>
      <c r="AM154" s="4">
        <v>651</v>
      </c>
      <c r="AN154" s="4">
        <v>254</v>
      </c>
      <c r="AO154" s="4">
        <v>7211</v>
      </c>
      <c r="AP154" s="4">
        <v>644</v>
      </c>
      <c r="AQ154" s="4">
        <v>102</v>
      </c>
      <c r="AR154" s="4">
        <v>2324</v>
      </c>
      <c r="AS154" s="4">
        <v>5369</v>
      </c>
      <c r="AT154" s="4">
        <v>794</v>
      </c>
      <c r="AU154" s="4">
        <v>2858</v>
      </c>
      <c r="AV154" s="4">
        <v>3385</v>
      </c>
      <c r="AW154" s="4">
        <v>2125</v>
      </c>
      <c r="AX154" s="4">
        <v>19440</v>
      </c>
      <c r="AY154" s="4">
        <v>161</v>
      </c>
      <c r="AZ154" s="4">
        <v>807</v>
      </c>
      <c r="BA154" s="4">
        <v>5615</v>
      </c>
      <c r="BB154" s="4">
        <v>271</v>
      </c>
      <c r="BC154" s="4">
        <v>763</v>
      </c>
      <c r="BD154" s="4">
        <v>5554</v>
      </c>
      <c r="BE154" s="4">
        <v>2890</v>
      </c>
      <c r="BF154" s="4">
        <v>1905</v>
      </c>
      <c r="BG154" s="4">
        <v>4485</v>
      </c>
      <c r="BH154" s="4">
        <v>1525</v>
      </c>
      <c r="BI154" s="4">
        <v>24123</v>
      </c>
      <c r="BJ154" s="4">
        <v>4221</v>
      </c>
      <c r="BK154" s="4">
        <v>5032</v>
      </c>
      <c r="BL154" s="4">
        <v>3007</v>
      </c>
      <c r="BM154" s="4">
        <v>4251</v>
      </c>
      <c r="BN154" s="4">
        <v>1549</v>
      </c>
      <c r="BO154" s="4">
        <v>1066</v>
      </c>
      <c r="BP154" s="4">
        <v>24451</v>
      </c>
      <c r="BQ154" s="4">
        <v>2161</v>
      </c>
      <c r="BR154" s="4">
        <v>54330</v>
      </c>
      <c r="BS154" s="4">
        <v>6171</v>
      </c>
      <c r="BT154" s="4">
        <v>8262</v>
      </c>
      <c r="BU154" s="4">
        <v>22522</v>
      </c>
      <c r="BV154" s="4">
        <v>3127</v>
      </c>
      <c r="BW154" s="4">
        <v>11520</v>
      </c>
      <c r="BX154" s="4">
        <v>1543</v>
      </c>
      <c r="BY154" s="4">
        <v>4306</v>
      </c>
      <c r="BZ154" s="4">
        <v>15040</v>
      </c>
      <c r="CA154" s="4">
        <v>2235</v>
      </c>
      <c r="CB154" s="4">
        <v>935</v>
      </c>
      <c r="CC154" s="4">
        <v>7228</v>
      </c>
      <c r="CD154" s="4">
        <v>2437</v>
      </c>
      <c r="CE154" s="4">
        <v>3589</v>
      </c>
      <c r="CF154" s="4">
        <v>4771</v>
      </c>
      <c r="CG154" s="4">
        <v>103959</v>
      </c>
      <c r="CH154" s="4">
        <v>10889</v>
      </c>
      <c r="CI154" s="4">
        <v>20615</v>
      </c>
      <c r="CJ154" s="4">
        <v>4750</v>
      </c>
      <c r="CK154" s="4">
        <v>11098</v>
      </c>
      <c r="CL154" s="4">
        <v>7527</v>
      </c>
      <c r="CM154" s="4">
        <v>11125</v>
      </c>
      <c r="CN154" s="4">
        <v>34282</v>
      </c>
      <c r="CO154" s="4">
        <v>4229</v>
      </c>
      <c r="CP154" s="4">
        <v>2789</v>
      </c>
      <c r="CQ154" s="4">
        <v>3326</v>
      </c>
      <c r="CR154" s="4">
        <v>5909</v>
      </c>
      <c r="CS154" s="4">
        <v>22669</v>
      </c>
      <c r="CT154" s="4">
        <v>15016</v>
      </c>
      <c r="CU154" s="4">
        <v>1276</v>
      </c>
      <c r="CV154" s="4">
        <v>199100</v>
      </c>
      <c r="CW154" s="4">
        <v>4305</v>
      </c>
      <c r="CX154" s="4">
        <v>1349</v>
      </c>
      <c r="CY154" s="4">
        <v>17325</v>
      </c>
      <c r="CZ154" s="4">
        <v>1997</v>
      </c>
      <c r="DA154" s="4">
        <v>4628</v>
      </c>
      <c r="DB154" s="4">
        <v>10273</v>
      </c>
      <c r="DC154" s="4">
        <v>3488</v>
      </c>
      <c r="DD154" s="4">
        <v>2402</v>
      </c>
      <c r="DE154" s="4">
        <v>1566</v>
      </c>
      <c r="DF154" s="4">
        <v>34370</v>
      </c>
      <c r="DG154" s="4">
        <v>10398</v>
      </c>
      <c r="DH154" s="4">
        <v>11817</v>
      </c>
      <c r="DI154" s="4">
        <v>2623</v>
      </c>
      <c r="DJ154" s="4">
        <v>18665</v>
      </c>
      <c r="DK154" s="4">
        <v>12934</v>
      </c>
      <c r="DL154" s="4">
        <v>7897</v>
      </c>
      <c r="DM154" s="4">
        <v>10557</v>
      </c>
      <c r="DN154" s="4">
        <v>10490</v>
      </c>
      <c r="DO154" s="4">
        <v>2363</v>
      </c>
      <c r="DP154" s="4">
        <v>6465</v>
      </c>
      <c r="DQ154" s="4">
        <v>39598</v>
      </c>
      <c r="DR154" s="4">
        <v>2412</v>
      </c>
      <c r="DS154" s="4">
        <v>4417</v>
      </c>
      <c r="DT154" s="4">
        <v>728</v>
      </c>
      <c r="DU154" s="4">
        <v>8273</v>
      </c>
      <c r="DV154" s="4">
        <v>3741</v>
      </c>
      <c r="DW154" s="4">
        <v>4397</v>
      </c>
      <c r="DX154" s="4">
        <v>9951</v>
      </c>
      <c r="DY154" s="4">
        <v>1697</v>
      </c>
      <c r="DZ154" s="4">
        <v>1881</v>
      </c>
      <c r="EA154" s="4">
        <v>8472</v>
      </c>
      <c r="EB154" s="4">
        <v>5525</v>
      </c>
      <c r="EC154" s="4">
        <v>856</v>
      </c>
      <c r="ED154" s="4">
        <v>981</v>
      </c>
      <c r="EE154" s="4">
        <v>29928</v>
      </c>
      <c r="EF154" s="4">
        <v>4787</v>
      </c>
      <c r="EG154" s="4">
        <v>9749</v>
      </c>
      <c r="EH154" s="4">
        <v>21323</v>
      </c>
      <c r="EJ154" s="4">
        <f t="shared" si="2"/>
        <v>1182079</v>
      </c>
    </row>
    <row r="155" spans="1:140" x14ac:dyDescent="0.25">
      <c r="A155" s="4" t="s">
        <v>291</v>
      </c>
      <c r="B155" s="4">
        <v>3669</v>
      </c>
      <c r="C155" s="4">
        <v>5086</v>
      </c>
      <c r="D155" s="4">
        <v>179</v>
      </c>
      <c r="E155" s="4">
        <v>1857</v>
      </c>
      <c r="F155" s="4">
        <v>2</v>
      </c>
      <c r="G155" s="4">
        <v>25</v>
      </c>
      <c r="H155" s="4">
        <v>10198</v>
      </c>
      <c r="I155" s="4">
        <v>165</v>
      </c>
      <c r="J155" s="4">
        <v>1653</v>
      </c>
      <c r="K155" s="4">
        <v>157</v>
      </c>
      <c r="L155" s="4">
        <v>976</v>
      </c>
      <c r="M155" s="4">
        <v>195</v>
      </c>
      <c r="N155" s="4">
        <v>10328</v>
      </c>
      <c r="O155" s="4">
        <v>1693</v>
      </c>
      <c r="P155" s="4">
        <v>2561</v>
      </c>
      <c r="Q155" s="4">
        <v>7977</v>
      </c>
      <c r="R155" s="4">
        <v>20</v>
      </c>
      <c r="S155" s="4">
        <v>1364</v>
      </c>
      <c r="T155" s="4">
        <v>2302</v>
      </c>
      <c r="U155" s="4">
        <v>2410</v>
      </c>
      <c r="V155" s="4">
        <v>5845</v>
      </c>
      <c r="W155" s="4">
        <v>2213</v>
      </c>
      <c r="X155" s="4">
        <v>493</v>
      </c>
      <c r="Y155" s="4">
        <v>2029</v>
      </c>
      <c r="Z155" s="4">
        <v>718</v>
      </c>
      <c r="AA155" s="4">
        <v>651</v>
      </c>
      <c r="AB155" s="4">
        <v>6677</v>
      </c>
      <c r="AC155" s="4">
        <v>881</v>
      </c>
      <c r="AD155" s="4">
        <v>582</v>
      </c>
      <c r="AE155" s="4">
        <v>1780</v>
      </c>
      <c r="AF155" s="4">
        <v>1554</v>
      </c>
      <c r="AG155" s="4">
        <v>24598</v>
      </c>
      <c r="AH155" s="4">
        <v>518</v>
      </c>
      <c r="AI155" s="4">
        <v>1338</v>
      </c>
      <c r="AJ155" s="4">
        <v>357</v>
      </c>
      <c r="AK155" s="4">
        <v>1955</v>
      </c>
      <c r="AL155" s="4">
        <v>2284</v>
      </c>
      <c r="AM155" s="4">
        <v>756</v>
      </c>
      <c r="AN155" s="4">
        <v>298</v>
      </c>
      <c r="AO155" s="4">
        <v>8193</v>
      </c>
      <c r="AP155" s="4">
        <v>947</v>
      </c>
      <c r="AQ155" s="4">
        <v>100</v>
      </c>
      <c r="AR155" s="4">
        <v>2889</v>
      </c>
      <c r="AS155" s="4">
        <v>5746</v>
      </c>
      <c r="AT155" s="4">
        <v>1314</v>
      </c>
      <c r="AU155" s="4">
        <v>4282</v>
      </c>
      <c r="AV155" s="4">
        <v>3585</v>
      </c>
      <c r="AW155" s="4">
        <v>2199</v>
      </c>
      <c r="AX155" s="4">
        <v>21371</v>
      </c>
      <c r="AY155" s="4">
        <v>135</v>
      </c>
      <c r="AZ155" s="4">
        <v>687</v>
      </c>
      <c r="BA155" s="4">
        <v>5825</v>
      </c>
      <c r="BB155" s="4">
        <v>172</v>
      </c>
      <c r="BC155" s="4">
        <v>868</v>
      </c>
      <c r="BD155" s="4">
        <v>6185</v>
      </c>
      <c r="BE155" s="4">
        <v>2910</v>
      </c>
      <c r="BF155" s="4">
        <v>3324</v>
      </c>
      <c r="BG155" s="4">
        <v>4905</v>
      </c>
      <c r="BH155" s="4">
        <v>1693</v>
      </c>
      <c r="BI155" s="4">
        <v>26215</v>
      </c>
      <c r="BJ155" s="4">
        <v>4248</v>
      </c>
      <c r="BK155" s="4">
        <v>5546</v>
      </c>
      <c r="BL155" s="4">
        <v>3003</v>
      </c>
      <c r="BM155" s="4">
        <v>4344</v>
      </c>
      <c r="BN155" s="4">
        <v>1027</v>
      </c>
      <c r="BO155" s="4">
        <v>1221</v>
      </c>
      <c r="BP155" s="4">
        <v>22156</v>
      </c>
      <c r="BQ155" s="4">
        <v>2320</v>
      </c>
      <c r="BR155" s="4">
        <v>53930</v>
      </c>
      <c r="BS155" s="4">
        <v>6115</v>
      </c>
      <c r="BT155" s="4">
        <v>6866</v>
      </c>
      <c r="BU155" s="4">
        <v>17262</v>
      </c>
      <c r="BV155" s="4">
        <v>2500</v>
      </c>
      <c r="BW155" s="4">
        <v>10274</v>
      </c>
      <c r="BX155" s="4">
        <v>1638</v>
      </c>
      <c r="BY155" s="4">
        <v>4006</v>
      </c>
      <c r="BZ155" s="4">
        <v>14239</v>
      </c>
      <c r="CA155" s="4">
        <v>2021</v>
      </c>
      <c r="CB155" s="4">
        <v>1069</v>
      </c>
      <c r="CC155" s="4">
        <v>6106</v>
      </c>
      <c r="CD155" s="4">
        <v>2619</v>
      </c>
      <c r="CE155" s="4">
        <v>3805</v>
      </c>
      <c r="CF155" s="4">
        <v>5860</v>
      </c>
      <c r="CG155" s="4">
        <v>89718</v>
      </c>
      <c r="CH155" s="4">
        <v>11526</v>
      </c>
      <c r="CI155" s="4">
        <v>20840</v>
      </c>
      <c r="CJ155" s="4">
        <v>4994</v>
      </c>
      <c r="CK155" s="4">
        <v>12194</v>
      </c>
      <c r="CL155" s="4">
        <v>7353</v>
      </c>
      <c r="CM155" s="4">
        <v>11381</v>
      </c>
      <c r="CN155" s="4">
        <v>36096</v>
      </c>
      <c r="CO155" s="4">
        <v>4560</v>
      </c>
      <c r="CP155" s="4">
        <v>2753</v>
      </c>
      <c r="CQ155" s="4">
        <v>3456</v>
      </c>
      <c r="CR155" s="4">
        <v>4875</v>
      </c>
      <c r="CS155" s="4">
        <v>21832</v>
      </c>
      <c r="CT155" s="4">
        <v>15205</v>
      </c>
      <c r="CU155" s="4">
        <v>1510</v>
      </c>
      <c r="CV155" s="4">
        <v>193294</v>
      </c>
      <c r="CW155" s="4">
        <v>3694</v>
      </c>
      <c r="CX155" s="4">
        <v>1346</v>
      </c>
      <c r="CY155" s="4">
        <v>17515</v>
      </c>
      <c r="CZ155" s="4">
        <v>2334</v>
      </c>
      <c r="DA155" s="4">
        <v>4696</v>
      </c>
      <c r="DB155" s="4">
        <v>10546</v>
      </c>
      <c r="DC155" s="4">
        <v>3701</v>
      </c>
      <c r="DD155" s="4">
        <v>2438</v>
      </c>
      <c r="DE155" s="4">
        <v>1641</v>
      </c>
      <c r="DF155" s="4">
        <v>35515</v>
      </c>
      <c r="DG155" s="4">
        <v>10581</v>
      </c>
      <c r="DH155" s="4">
        <v>11404</v>
      </c>
      <c r="DI155" s="4">
        <v>2702</v>
      </c>
      <c r="DJ155" s="4">
        <v>20721</v>
      </c>
      <c r="DK155" s="4">
        <v>14238</v>
      </c>
      <c r="DL155" s="4">
        <v>8592</v>
      </c>
      <c r="DM155" s="4">
        <v>10409</v>
      </c>
      <c r="DN155" s="4">
        <v>10814</v>
      </c>
      <c r="DO155" s="4">
        <v>2503</v>
      </c>
      <c r="DP155" s="4">
        <v>5423</v>
      </c>
      <c r="DQ155" s="4">
        <v>40542</v>
      </c>
      <c r="DR155" s="4">
        <v>2482</v>
      </c>
      <c r="DS155" s="4">
        <v>4510</v>
      </c>
      <c r="DT155" s="4">
        <v>785</v>
      </c>
      <c r="DU155" s="4">
        <v>7728</v>
      </c>
      <c r="DV155" s="4">
        <v>3556</v>
      </c>
      <c r="DW155" s="4">
        <v>4574</v>
      </c>
      <c r="DX155" s="4">
        <v>9774</v>
      </c>
      <c r="DY155" s="4">
        <v>1954</v>
      </c>
      <c r="DZ155" s="4">
        <v>2383</v>
      </c>
      <c r="EA155" s="4">
        <v>8675</v>
      </c>
      <c r="EB155" s="4">
        <v>5313</v>
      </c>
      <c r="EC155" s="4">
        <v>863</v>
      </c>
      <c r="ED155" s="4">
        <v>1232</v>
      </c>
      <c r="EE155" s="4">
        <v>30681</v>
      </c>
      <c r="EF155" s="4">
        <v>5062</v>
      </c>
      <c r="EG155" s="4">
        <v>12323</v>
      </c>
      <c r="EH155" s="4">
        <v>20278</v>
      </c>
      <c r="EJ155" s="4">
        <f t="shared" si="2"/>
        <v>1179179</v>
      </c>
    </row>
    <row r="156" spans="1:140" x14ac:dyDescent="0.25">
      <c r="A156" s="4" t="s">
        <v>292</v>
      </c>
      <c r="B156" s="4">
        <v>3529</v>
      </c>
      <c r="C156" s="4">
        <v>5769</v>
      </c>
      <c r="D156" s="4">
        <v>282</v>
      </c>
      <c r="E156" s="4">
        <v>2111</v>
      </c>
      <c r="F156" s="4">
        <v>18</v>
      </c>
      <c r="G156" s="4">
        <v>40</v>
      </c>
      <c r="H156" s="4">
        <v>11331</v>
      </c>
      <c r="I156" s="4">
        <v>121</v>
      </c>
      <c r="J156" s="4">
        <v>1621</v>
      </c>
      <c r="K156" s="4">
        <v>72</v>
      </c>
      <c r="L156" s="4">
        <v>1080</v>
      </c>
      <c r="M156" s="4">
        <v>112</v>
      </c>
      <c r="N156" s="4">
        <v>11479</v>
      </c>
      <c r="O156" s="4">
        <v>1506</v>
      </c>
      <c r="P156" s="4">
        <v>1746</v>
      </c>
      <c r="Q156" s="4">
        <v>7546</v>
      </c>
      <c r="R156" s="4">
        <v>7</v>
      </c>
      <c r="S156" s="4">
        <v>1473</v>
      </c>
      <c r="T156" s="4">
        <v>2990</v>
      </c>
      <c r="U156" s="4">
        <v>3175</v>
      </c>
      <c r="V156" s="4">
        <v>7718</v>
      </c>
      <c r="W156" s="4">
        <v>2839</v>
      </c>
      <c r="X156" s="4">
        <v>694</v>
      </c>
      <c r="Y156" s="4">
        <v>1124</v>
      </c>
      <c r="Z156" s="4">
        <v>945</v>
      </c>
      <c r="AA156" s="4">
        <v>678</v>
      </c>
      <c r="AB156" s="4">
        <v>5247</v>
      </c>
      <c r="AC156" s="4">
        <v>787</v>
      </c>
      <c r="AD156" s="4">
        <v>873</v>
      </c>
      <c r="AE156" s="4">
        <v>2591</v>
      </c>
      <c r="AF156" s="4">
        <v>1425</v>
      </c>
      <c r="AG156" s="4">
        <v>23042</v>
      </c>
      <c r="AH156" s="4">
        <v>773</v>
      </c>
      <c r="AI156" s="4">
        <v>1335</v>
      </c>
      <c r="AJ156" s="4">
        <v>458</v>
      </c>
      <c r="AK156" s="4">
        <v>2032</v>
      </c>
      <c r="AL156" s="4">
        <v>2837</v>
      </c>
      <c r="AM156" s="4">
        <v>815</v>
      </c>
      <c r="AN156" s="4">
        <v>302</v>
      </c>
      <c r="AO156" s="4">
        <v>7483</v>
      </c>
      <c r="AP156" s="4">
        <v>842</v>
      </c>
      <c r="AQ156" s="4">
        <v>122</v>
      </c>
      <c r="AR156" s="4">
        <v>2905</v>
      </c>
      <c r="AS156" s="4">
        <v>5496</v>
      </c>
      <c r="AT156" s="4">
        <v>1147</v>
      </c>
      <c r="AU156" s="4">
        <v>5777</v>
      </c>
      <c r="AV156" s="4">
        <v>3978</v>
      </c>
      <c r="AW156" s="4">
        <v>2701</v>
      </c>
      <c r="AX156" s="4">
        <v>19373</v>
      </c>
      <c r="AY156" s="4">
        <v>274</v>
      </c>
      <c r="AZ156" s="4">
        <v>829</v>
      </c>
      <c r="BA156" s="4">
        <v>7173</v>
      </c>
      <c r="BB156" s="4">
        <v>175</v>
      </c>
      <c r="BC156" s="4">
        <v>760</v>
      </c>
      <c r="BD156" s="4">
        <v>6182</v>
      </c>
      <c r="BE156" s="4">
        <v>3177</v>
      </c>
      <c r="BF156" s="4">
        <v>5894</v>
      </c>
      <c r="BG156" s="4">
        <v>4703</v>
      </c>
      <c r="BH156" s="4">
        <v>1574</v>
      </c>
      <c r="BI156" s="4">
        <v>26552</v>
      </c>
      <c r="BJ156" s="4">
        <v>4287</v>
      </c>
      <c r="BK156" s="4">
        <v>5367</v>
      </c>
      <c r="BL156" s="4">
        <v>3011</v>
      </c>
      <c r="BM156" s="4">
        <v>5020</v>
      </c>
      <c r="BN156" s="4">
        <v>1121</v>
      </c>
      <c r="BO156" s="4">
        <v>1069</v>
      </c>
      <c r="BP156" s="4">
        <v>22859</v>
      </c>
      <c r="BQ156" s="4">
        <v>2061</v>
      </c>
      <c r="BR156" s="4">
        <v>53952</v>
      </c>
      <c r="BS156" s="4">
        <v>7241</v>
      </c>
      <c r="BT156" s="4">
        <v>7244</v>
      </c>
      <c r="BU156" s="4">
        <v>15972</v>
      </c>
      <c r="BV156" s="4">
        <v>2753</v>
      </c>
      <c r="BW156" s="4">
        <v>10198</v>
      </c>
      <c r="BX156" s="4">
        <v>1713</v>
      </c>
      <c r="BY156" s="4">
        <v>5165</v>
      </c>
      <c r="BZ156" s="4">
        <v>15491</v>
      </c>
      <c r="CA156" s="4">
        <v>2083</v>
      </c>
      <c r="CB156" s="4">
        <v>1103</v>
      </c>
      <c r="CC156" s="4">
        <v>7171</v>
      </c>
      <c r="CD156" s="4">
        <v>2530</v>
      </c>
      <c r="CE156" s="4">
        <v>4110</v>
      </c>
      <c r="CF156" s="4">
        <v>5529</v>
      </c>
      <c r="CG156" s="4">
        <v>88145</v>
      </c>
      <c r="CH156" s="4">
        <v>13198</v>
      </c>
      <c r="CI156" s="4">
        <v>27778</v>
      </c>
      <c r="CJ156" s="4">
        <v>6468</v>
      </c>
      <c r="CK156" s="4">
        <v>14833</v>
      </c>
      <c r="CL156" s="4">
        <v>7922</v>
      </c>
      <c r="CM156" s="4">
        <v>12527</v>
      </c>
      <c r="CN156" s="4">
        <v>36577</v>
      </c>
      <c r="CO156" s="4">
        <v>5682</v>
      </c>
      <c r="CP156" s="4">
        <v>2916</v>
      </c>
      <c r="CQ156" s="4">
        <v>4424</v>
      </c>
      <c r="CR156" s="4">
        <v>5852</v>
      </c>
      <c r="CS156" s="4">
        <v>22740</v>
      </c>
      <c r="CT156" s="4">
        <v>14309</v>
      </c>
      <c r="CU156" s="4">
        <v>1441</v>
      </c>
      <c r="CV156" s="4">
        <v>193135</v>
      </c>
      <c r="CW156" s="4">
        <v>5046</v>
      </c>
      <c r="CX156" s="4">
        <v>1551</v>
      </c>
      <c r="CY156" s="4">
        <v>19236</v>
      </c>
      <c r="CZ156" s="4">
        <v>2817</v>
      </c>
      <c r="DA156" s="4">
        <v>4652</v>
      </c>
      <c r="DB156" s="4">
        <v>10439</v>
      </c>
      <c r="DC156" s="4">
        <v>5229</v>
      </c>
      <c r="DD156" s="4">
        <v>2475</v>
      </c>
      <c r="DE156" s="4">
        <v>1870</v>
      </c>
      <c r="DF156" s="4">
        <v>35457</v>
      </c>
      <c r="DG156" s="4">
        <v>10744</v>
      </c>
      <c r="DH156" s="4">
        <v>11806</v>
      </c>
      <c r="DI156" s="4">
        <v>2953</v>
      </c>
      <c r="DJ156" s="4">
        <v>19625</v>
      </c>
      <c r="DK156" s="4">
        <v>14582</v>
      </c>
      <c r="DL156" s="4">
        <v>9114</v>
      </c>
      <c r="DM156" s="4">
        <v>11076</v>
      </c>
      <c r="DN156" s="4">
        <v>11059</v>
      </c>
      <c r="DO156" s="4">
        <v>2465</v>
      </c>
      <c r="DP156" s="4">
        <v>5394</v>
      </c>
      <c r="DQ156" s="4">
        <v>41665</v>
      </c>
      <c r="DR156" s="4">
        <v>2642</v>
      </c>
      <c r="DS156" s="4">
        <v>4955</v>
      </c>
      <c r="DT156" s="4">
        <v>968</v>
      </c>
      <c r="DU156" s="4">
        <v>8854</v>
      </c>
      <c r="DV156" s="4">
        <v>4368</v>
      </c>
      <c r="DW156" s="4">
        <v>5036</v>
      </c>
      <c r="DX156" s="4">
        <v>12364</v>
      </c>
      <c r="DY156" s="4">
        <v>2086</v>
      </c>
      <c r="DZ156" s="4">
        <v>3039</v>
      </c>
      <c r="EA156" s="4">
        <v>8472</v>
      </c>
      <c r="EB156" s="4">
        <v>5874</v>
      </c>
      <c r="EC156" s="4">
        <v>1095</v>
      </c>
      <c r="ED156" s="4">
        <v>1141</v>
      </c>
      <c r="EE156" s="4">
        <v>28923</v>
      </c>
      <c r="EF156" s="4">
        <v>4467</v>
      </c>
      <c r="EG156" s="4">
        <v>12883</v>
      </c>
      <c r="EH156" s="4">
        <v>19455</v>
      </c>
      <c r="EJ156" s="4">
        <f t="shared" si="2"/>
        <v>1220514</v>
      </c>
    </row>
    <row r="157" spans="1:140" x14ac:dyDescent="0.25">
      <c r="A157" s="4" t="s">
        <v>293</v>
      </c>
      <c r="B157" s="4">
        <v>3147</v>
      </c>
      <c r="C157" s="4">
        <v>4445</v>
      </c>
      <c r="D157" s="4">
        <v>254</v>
      </c>
      <c r="E157" s="4">
        <v>1708</v>
      </c>
      <c r="F157" s="4">
        <v>26</v>
      </c>
      <c r="G157" s="4">
        <v>46</v>
      </c>
      <c r="H157" s="4">
        <v>12437</v>
      </c>
      <c r="I157" s="4">
        <v>129</v>
      </c>
      <c r="J157" s="4">
        <v>1630</v>
      </c>
      <c r="K157" s="4">
        <v>117</v>
      </c>
      <c r="L157" s="4">
        <v>1264</v>
      </c>
      <c r="M157" s="4">
        <v>90</v>
      </c>
      <c r="N157" s="4">
        <v>10999</v>
      </c>
      <c r="O157" s="4">
        <v>1777</v>
      </c>
      <c r="P157" s="4">
        <v>2435</v>
      </c>
      <c r="Q157" s="4">
        <v>8610</v>
      </c>
      <c r="R157" s="4">
        <v>19</v>
      </c>
      <c r="S157" s="4">
        <v>1658</v>
      </c>
      <c r="T157" s="4">
        <v>2786</v>
      </c>
      <c r="U157" s="4">
        <v>2465</v>
      </c>
      <c r="V157" s="4">
        <v>7584</v>
      </c>
      <c r="W157" s="4">
        <v>2600</v>
      </c>
      <c r="X157" s="4">
        <v>631</v>
      </c>
      <c r="Y157" s="4">
        <v>1243</v>
      </c>
      <c r="Z157" s="4">
        <v>1055</v>
      </c>
      <c r="AA157" s="4">
        <v>572</v>
      </c>
      <c r="AB157" s="4">
        <v>5061</v>
      </c>
      <c r="AC157" s="4">
        <v>1010</v>
      </c>
      <c r="AD157" s="4">
        <v>529</v>
      </c>
      <c r="AE157" s="4">
        <v>2800</v>
      </c>
      <c r="AF157" s="4">
        <v>1524</v>
      </c>
      <c r="AG157" s="4">
        <v>21510</v>
      </c>
      <c r="AH157" s="4">
        <v>375</v>
      </c>
      <c r="AI157" s="4">
        <v>1603</v>
      </c>
      <c r="AJ157" s="4">
        <v>250</v>
      </c>
      <c r="AK157" s="4">
        <v>1998</v>
      </c>
      <c r="AL157" s="4">
        <v>3383</v>
      </c>
      <c r="AM157" s="4">
        <v>732</v>
      </c>
      <c r="AN157" s="4">
        <v>308</v>
      </c>
      <c r="AO157" s="4">
        <v>7890</v>
      </c>
      <c r="AP157" s="4">
        <v>975</v>
      </c>
      <c r="AQ157" s="4">
        <v>116</v>
      </c>
      <c r="AR157" s="4">
        <v>3333</v>
      </c>
      <c r="AS157" s="4">
        <v>6260</v>
      </c>
      <c r="AT157" s="4">
        <v>1041</v>
      </c>
      <c r="AU157" s="4">
        <v>4683</v>
      </c>
      <c r="AV157" s="4">
        <v>4112</v>
      </c>
      <c r="AW157" s="4">
        <v>7115</v>
      </c>
      <c r="AX157" s="4">
        <v>21916</v>
      </c>
      <c r="AY157" s="4">
        <v>169</v>
      </c>
      <c r="AZ157" s="4">
        <v>871</v>
      </c>
      <c r="BA157" s="4">
        <v>6394</v>
      </c>
      <c r="BB157" s="4">
        <v>303</v>
      </c>
      <c r="BC157" s="4">
        <v>886</v>
      </c>
      <c r="BD157" s="4">
        <v>6433</v>
      </c>
      <c r="BE157" s="4">
        <v>3531</v>
      </c>
      <c r="BF157" s="4">
        <v>3509</v>
      </c>
      <c r="BG157" s="4">
        <v>5507</v>
      </c>
      <c r="BH157" s="4">
        <v>1643</v>
      </c>
      <c r="BI157" s="4">
        <v>27554</v>
      </c>
      <c r="BJ157" s="4">
        <v>4309</v>
      </c>
      <c r="BK157" s="4">
        <v>5749</v>
      </c>
      <c r="BL157" s="4">
        <v>3228</v>
      </c>
      <c r="BM157" s="4">
        <v>4906</v>
      </c>
      <c r="BN157" s="4">
        <v>1188</v>
      </c>
      <c r="BO157" s="4">
        <v>1312</v>
      </c>
      <c r="BP157" s="4">
        <v>25852</v>
      </c>
      <c r="BQ157" s="4">
        <v>2301</v>
      </c>
      <c r="BR157" s="4">
        <v>57561</v>
      </c>
      <c r="BS157" s="4">
        <v>7043</v>
      </c>
      <c r="BT157" s="4">
        <v>11381</v>
      </c>
      <c r="BU157" s="4">
        <v>17489</v>
      </c>
      <c r="BV157" s="4">
        <v>2692</v>
      </c>
      <c r="BW157" s="4">
        <v>11346</v>
      </c>
      <c r="BX157" s="4">
        <v>2436</v>
      </c>
      <c r="BY157" s="4">
        <v>5119</v>
      </c>
      <c r="BZ157" s="4">
        <v>16588</v>
      </c>
      <c r="CA157" s="4">
        <v>2627</v>
      </c>
      <c r="CB157" s="4">
        <v>1542</v>
      </c>
      <c r="CC157" s="4">
        <v>6047</v>
      </c>
      <c r="CD157" s="4">
        <v>2937</v>
      </c>
      <c r="CE157" s="4">
        <v>4540</v>
      </c>
      <c r="CF157" s="4">
        <v>6078</v>
      </c>
      <c r="CG157" s="4">
        <v>102430</v>
      </c>
      <c r="CH157" s="4">
        <v>15066</v>
      </c>
      <c r="CI157" s="4">
        <v>36964</v>
      </c>
      <c r="CJ157" s="4">
        <v>8270</v>
      </c>
      <c r="CK157" s="4">
        <v>15088</v>
      </c>
      <c r="CL157" s="4">
        <v>8937</v>
      </c>
      <c r="CM157" s="4">
        <v>14955</v>
      </c>
      <c r="CN157" s="4">
        <v>41587</v>
      </c>
      <c r="CO157" s="4">
        <v>6690</v>
      </c>
      <c r="CP157" s="4">
        <v>3390</v>
      </c>
      <c r="CQ157" s="4">
        <v>4850</v>
      </c>
      <c r="CR157" s="4">
        <v>7357</v>
      </c>
      <c r="CS157" s="4">
        <v>26409</v>
      </c>
      <c r="CT157" s="4">
        <v>17819</v>
      </c>
      <c r="CU157" s="4">
        <v>1817</v>
      </c>
      <c r="CV157" s="4">
        <v>207097</v>
      </c>
      <c r="CW157" s="4">
        <v>6751</v>
      </c>
      <c r="CX157" s="4">
        <v>1598</v>
      </c>
      <c r="CY157" s="4">
        <v>19057</v>
      </c>
      <c r="CZ157" s="4">
        <v>2882</v>
      </c>
      <c r="DA157" s="4">
        <v>5285</v>
      </c>
      <c r="DB157" s="4">
        <v>11544</v>
      </c>
      <c r="DC157" s="4">
        <v>4008</v>
      </c>
      <c r="DD157" s="4">
        <v>2568</v>
      </c>
      <c r="DE157" s="4">
        <v>1801</v>
      </c>
      <c r="DF157" s="4">
        <v>38028</v>
      </c>
      <c r="DG157" s="4">
        <v>13516</v>
      </c>
      <c r="DH157" s="4">
        <v>13858</v>
      </c>
      <c r="DI157" s="4">
        <v>3611</v>
      </c>
      <c r="DJ157" s="4">
        <v>23036</v>
      </c>
      <c r="DK157" s="4">
        <v>14933</v>
      </c>
      <c r="DL157" s="4">
        <v>9859</v>
      </c>
      <c r="DM157" s="4">
        <v>12156</v>
      </c>
      <c r="DN157" s="4">
        <v>13387</v>
      </c>
      <c r="DO157" s="4">
        <v>3032</v>
      </c>
      <c r="DP157" s="4">
        <v>6282</v>
      </c>
      <c r="DQ157" s="4">
        <v>43865</v>
      </c>
      <c r="DR157" s="4">
        <v>2797</v>
      </c>
      <c r="DS157" s="4">
        <v>9565</v>
      </c>
      <c r="DT157" s="4">
        <v>966</v>
      </c>
      <c r="DU157" s="4">
        <v>9298</v>
      </c>
      <c r="DV157" s="4">
        <v>4717</v>
      </c>
      <c r="DW157" s="4">
        <v>5198</v>
      </c>
      <c r="DX157" s="4">
        <v>12360</v>
      </c>
      <c r="DY157" s="4">
        <v>1872</v>
      </c>
      <c r="DZ157" s="4">
        <v>2984</v>
      </c>
      <c r="EA157" s="4">
        <v>7851</v>
      </c>
      <c r="EB157" s="4">
        <v>4704</v>
      </c>
      <c r="EC157" s="4">
        <v>976</v>
      </c>
      <c r="ED157" s="4">
        <v>1217</v>
      </c>
      <c r="EE157" s="4">
        <v>28080</v>
      </c>
      <c r="EF157" s="4">
        <v>5746</v>
      </c>
      <c r="EG157" s="4">
        <v>10274</v>
      </c>
      <c r="EH157" s="4">
        <v>24095</v>
      </c>
      <c r="EJ157" s="4">
        <f t="shared" si="2"/>
        <v>1331805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57"/>
  <sheetViews>
    <sheetView zoomScale="80" zoomScaleNormal="80" workbookViewId="0">
      <pane xSplit="1" ySplit="1" topLeftCell="DN2" activePane="bottomRight" state="frozen"/>
      <selection pane="topRight" activeCell="B1" sqref="B1"/>
      <selection pane="bottomLeft" activeCell="A2" sqref="A2"/>
      <selection pane="bottomRight" activeCell="EJ2" sqref="EJ2"/>
    </sheetView>
  </sheetViews>
  <sheetFormatPr defaultRowHeight="15" x14ac:dyDescent="0.25"/>
  <cols>
    <col min="1" max="16384" width="9.140625" style="1"/>
  </cols>
  <sheetData>
    <row r="1" spans="1:1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40" x14ac:dyDescent="0.25">
      <c r="A2" s="1" t="s">
        <v>138</v>
      </c>
      <c r="B2" s="1">
        <v>1712</v>
      </c>
      <c r="C2" s="1">
        <v>3156</v>
      </c>
      <c r="D2" s="1">
        <v>91</v>
      </c>
      <c r="E2" s="1">
        <v>711</v>
      </c>
      <c r="F2" s="1">
        <v>2</v>
      </c>
      <c r="G2" s="1">
        <v>27</v>
      </c>
      <c r="H2" s="1">
        <v>9037</v>
      </c>
      <c r="I2" s="1">
        <v>36</v>
      </c>
      <c r="J2" s="1">
        <v>634</v>
      </c>
      <c r="K2" s="1">
        <v>29</v>
      </c>
      <c r="L2" s="1">
        <v>883</v>
      </c>
      <c r="M2" s="1">
        <v>173</v>
      </c>
      <c r="N2" s="1">
        <v>7424</v>
      </c>
      <c r="O2" s="1">
        <v>775</v>
      </c>
      <c r="P2" s="1">
        <v>723</v>
      </c>
      <c r="Q2" s="1">
        <v>4079</v>
      </c>
      <c r="R2" s="1">
        <v>26</v>
      </c>
      <c r="S2" s="1">
        <v>1504</v>
      </c>
      <c r="T2" s="1">
        <v>1753</v>
      </c>
      <c r="U2" s="1">
        <v>1037</v>
      </c>
      <c r="V2" s="1">
        <v>2335</v>
      </c>
      <c r="W2" s="1">
        <v>1562</v>
      </c>
      <c r="X2" s="1">
        <v>165</v>
      </c>
      <c r="Y2" s="1">
        <v>456</v>
      </c>
      <c r="Z2" s="1">
        <v>226</v>
      </c>
      <c r="AA2" s="1">
        <v>251</v>
      </c>
      <c r="AB2" s="1">
        <v>3002</v>
      </c>
      <c r="AC2" s="1">
        <v>155</v>
      </c>
      <c r="AD2" s="1">
        <v>174</v>
      </c>
      <c r="AE2" s="1">
        <v>781</v>
      </c>
      <c r="AF2" s="1">
        <v>1048</v>
      </c>
      <c r="AG2">
        <v>14045</v>
      </c>
      <c r="AH2" s="1">
        <v>191</v>
      </c>
      <c r="AI2" s="1">
        <v>781</v>
      </c>
      <c r="AJ2" s="1">
        <v>150</v>
      </c>
      <c r="AK2" s="1">
        <v>1066</v>
      </c>
      <c r="AL2" s="1">
        <v>1600</v>
      </c>
      <c r="AM2" s="1">
        <v>470</v>
      </c>
      <c r="AN2" s="1">
        <v>200</v>
      </c>
      <c r="AO2" s="1">
        <v>6112</v>
      </c>
      <c r="AP2" s="1">
        <v>272</v>
      </c>
      <c r="AQ2" s="1">
        <v>105</v>
      </c>
      <c r="AR2" s="1">
        <v>1151</v>
      </c>
      <c r="AS2" s="1">
        <v>3128</v>
      </c>
      <c r="AT2" s="1">
        <v>480</v>
      </c>
      <c r="AU2" s="1">
        <v>1516</v>
      </c>
      <c r="AV2" s="1">
        <v>1787</v>
      </c>
      <c r="AW2" s="1">
        <v>2329</v>
      </c>
      <c r="AX2" s="1">
        <v>12314</v>
      </c>
      <c r="AY2" s="1">
        <v>59</v>
      </c>
      <c r="AZ2" s="1">
        <v>475</v>
      </c>
      <c r="BA2" s="1">
        <v>4501</v>
      </c>
      <c r="BB2" s="1">
        <v>42</v>
      </c>
      <c r="BC2" s="1">
        <v>345</v>
      </c>
      <c r="BD2" s="1">
        <v>4351</v>
      </c>
      <c r="BE2" s="1">
        <v>2214</v>
      </c>
      <c r="BF2" s="1">
        <v>1543</v>
      </c>
      <c r="BG2" s="1">
        <v>2330</v>
      </c>
      <c r="BH2" s="1">
        <v>1261</v>
      </c>
      <c r="BI2" s="1">
        <v>20251</v>
      </c>
      <c r="BJ2" s="1">
        <v>2801</v>
      </c>
      <c r="BK2" s="1">
        <v>5161</v>
      </c>
      <c r="BL2" s="1">
        <v>4909</v>
      </c>
      <c r="BM2" s="1">
        <v>3047</v>
      </c>
      <c r="BN2" s="1">
        <v>928</v>
      </c>
      <c r="BO2" s="1">
        <v>653</v>
      </c>
      <c r="BP2" s="1">
        <v>14125</v>
      </c>
      <c r="BQ2" s="1">
        <v>1725</v>
      </c>
      <c r="BR2" s="1">
        <v>39731</v>
      </c>
      <c r="BS2" s="1">
        <v>5840</v>
      </c>
      <c r="BT2" s="1">
        <v>4851</v>
      </c>
      <c r="BU2" s="1">
        <v>11384</v>
      </c>
      <c r="BV2" s="1">
        <v>1566</v>
      </c>
      <c r="BW2" s="1">
        <v>6932</v>
      </c>
      <c r="BX2" s="1">
        <v>1127</v>
      </c>
      <c r="BY2" s="1">
        <v>3865</v>
      </c>
      <c r="BZ2" s="1">
        <v>11228</v>
      </c>
      <c r="CA2" s="1">
        <v>1386</v>
      </c>
      <c r="CB2" s="1">
        <v>692</v>
      </c>
      <c r="CC2" s="1">
        <v>4206</v>
      </c>
      <c r="CD2" s="1">
        <v>2579</v>
      </c>
      <c r="CE2" s="1">
        <v>2339</v>
      </c>
      <c r="CF2" s="1">
        <v>4105</v>
      </c>
      <c r="CG2" s="1">
        <v>60021</v>
      </c>
      <c r="CH2" s="1">
        <v>12869</v>
      </c>
      <c r="CI2" s="1">
        <v>23476</v>
      </c>
      <c r="CJ2" s="1">
        <v>3548</v>
      </c>
      <c r="CK2" s="1">
        <v>9354</v>
      </c>
      <c r="CL2" s="1">
        <v>6196</v>
      </c>
      <c r="CM2" s="1">
        <v>10427</v>
      </c>
      <c r="CN2" s="1">
        <v>27456</v>
      </c>
      <c r="CO2" s="1">
        <v>4691</v>
      </c>
      <c r="CP2" s="1">
        <v>1961</v>
      </c>
      <c r="CQ2" s="1">
        <v>2743</v>
      </c>
      <c r="CR2" s="1">
        <v>4961</v>
      </c>
      <c r="CS2" s="1">
        <v>16212</v>
      </c>
      <c r="CT2" s="1">
        <v>10985</v>
      </c>
      <c r="CU2" s="1">
        <v>1315</v>
      </c>
      <c r="CV2" s="1">
        <v>123728</v>
      </c>
      <c r="CW2" s="1">
        <v>2755</v>
      </c>
      <c r="CX2" s="1">
        <v>903</v>
      </c>
      <c r="CY2" s="1">
        <v>13408</v>
      </c>
      <c r="CZ2" s="1">
        <v>1804</v>
      </c>
      <c r="DA2" s="1">
        <v>4480</v>
      </c>
      <c r="DB2" s="1">
        <v>7144</v>
      </c>
      <c r="DC2" s="1">
        <v>2346</v>
      </c>
      <c r="DD2" s="1">
        <v>2877</v>
      </c>
      <c r="DE2" s="1">
        <v>1606</v>
      </c>
      <c r="DF2" s="1">
        <v>25313</v>
      </c>
      <c r="DG2" s="1">
        <v>12156</v>
      </c>
      <c r="DH2" s="1">
        <v>9148</v>
      </c>
      <c r="DI2" s="1">
        <v>3983</v>
      </c>
      <c r="DJ2" s="1">
        <v>13985</v>
      </c>
      <c r="DK2" s="1">
        <v>9379</v>
      </c>
      <c r="DL2" s="1">
        <v>6494</v>
      </c>
      <c r="DM2" s="1">
        <v>8522</v>
      </c>
      <c r="DN2" s="1">
        <v>12936</v>
      </c>
      <c r="DO2" s="1">
        <v>1828</v>
      </c>
      <c r="DP2" s="1">
        <v>7195</v>
      </c>
      <c r="DQ2" s="1">
        <v>38832</v>
      </c>
      <c r="DR2" s="1">
        <v>2074</v>
      </c>
      <c r="DS2" s="1">
        <v>2694</v>
      </c>
      <c r="DT2" s="1">
        <v>551</v>
      </c>
      <c r="DU2" s="1">
        <v>5565</v>
      </c>
      <c r="DV2" s="1">
        <v>3128</v>
      </c>
      <c r="DW2" s="1">
        <v>4325</v>
      </c>
      <c r="DX2" s="1">
        <v>6819</v>
      </c>
      <c r="DY2" s="1">
        <v>1789</v>
      </c>
      <c r="DZ2" s="1">
        <v>1422</v>
      </c>
      <c r="EA2" s="1">
        <v>5321</v>
      </c>
      <c r="EB2" s="1">
        <v>5655</v>
      </c>
      <c r="EC2" s="1">
        <v>476</v>
      </c>
      <c r="ED2" s="1">
        <v>517</v>
      </c>
      <c r="EE2" s="1">
        <v>16358</v>
      </c>
      <c r="EF2" s="1">
        <v>1416</v>
      </c>
      <c r="EG2" s="1">
        <v>6825</v>
      </c>
      <c r="EH2" s="1">
        <v>14010</v>
      </c>
      <c r="EJ2" s="1">
        <f>SUM(B2:EH2)</f>
        <v>850198</v>
      </c>
    </row>
    <row r="3" spans="1:140" x14ac:dyDescent="0.25">
      <c r="A3" s="1" t="s">
        <v>139</v>
      </c>
      <c r="B3" s="1">
        <v>1680</v>
      </c>
      <c r="C3" s="1">
        <v>3012</v>
      </c>
      <c r="D3" s="1">
        <v>44</v>
      </c>
      <c r="E3" s="1">
        <v>765</v>
      </c>
      <c r="F3" s="1">
        <v>14</v>
      </c>
      <c r="G3" s="1">
        <v>8</v>
      </c>
      <c r="H3" s="1">
        <v>7905</v>
      </c>
      <c r="I3" s="1">
        <v>21</v>
      </c>
      <c r="J3" s="1">
        <v>526</v>
      </c>
      <c r="K3" s="1">
        <v>33</v>
      </c>
      <c r="L3" s="1">
        <v>633</v>
      </c>
      <c r="M3" s="1">
        <v>163</v>
      </c>
      <c r="N3" s="1">
        <v>7017</v>
      </c>
      <c r="O3" s="1">
        <v>912</v>
      </c>
      <c r="P3" s="1">
        <v>434</v>
      </c>
      <c r="Q3" s="1">
        <v>4714</v>
      </c>
      <c r="R3" s="1">
        <v>35</v>
      </c>
      <c r="S3" s="1">
        <v>911</v>
      </c>
      <c r="T3" s="1">
        <v>2261</v>
      </c>
      <c r="U3" s="1">
        <v>1097</v>
      </c>
      <c r="V3" s="1">
        <v>2196</v>
      </c>
      <c r="W3" s="1">
        <v>1455</v>
      </c>
      <c r="X3" s="1">
        <v>171</v>
      </c>
      <c r="Y3" s="1">
        <v>315</v>
      </c>
      <c r="Z3" s="1">
        <v>439</v>
      </c>
      <c r="AA3" s="1">
        <v>219</v>
      </c>
      <c r="AB3" s="1">
        <v>2740</v>
      </c>
      <c r="AC3" s="1">
        <v>217</v>
      </c>
      <c r="AD3" s="1">
        <v>197</v>
      </c>
      <c r="AE3" s="1">
        <v>687</v>
      </c>
      <c r="AF3" s="1">
        <v>991</v>
      </c>
      <c r="AG3">
        <v>11797</v>
      </c>
      <c r="AH3" s="1">
        <v>119</v>
      </c>
      <c r="AI3" s="1">
        <v>722</v>
      </c>
      <c r="AJ3" s="1">
        <v>126</v>
      </c>
      <c r="AK3" s="1">
        <v>923</v>
      </c>
      <c r="AL3" s="1">
        <v>1230</v>
      </c>
      <c r="AM3" s="1">
        <v>445</v>
      </c>
      <c r="AN3" s="1">
        <v>154</v>
      </c>
      <c r="AO3" s="1">
        <v>6889</v>
      </c>
      <c r="AP3" s="1">
        <v>375</v>
      </c>
      <c r="AQ3" s="1">
        <v>82</v>
      </c>
      <c r="AR3" s="1">
        <v>959</v>
      </c>
      <c r="AS3" s="1">
        <v>3005</v>
      </c>
      <c r="AT3" s="1">
        <v>506</v>
      </c>
      <c r="AU3" s="1">
        <v>1268</v>
      </c>
      <c r="AV3" s="1">
        <v>1614</v>
      </c>
      <c r="AW3" s="1">
        <v>1714</v>
      </c>
      <c r="AX3" s="1">
        <v>11984</v>
      </c>
      <c r="AY3" s="1">
        <v>64</v>
      </c>
      <c r="AZ3" s="1">
        <v>216</v>
      </c>
      <c r="BA3" s="1">
        <v>3615</v>
      </c>
      <c r="BB3" s="1">
        <v>24</v>
      </c>
      <c r="BC3" s="1">
        <v>301</v>
      </c>
      <c r="BD3" s="1">
        <v>4268</v>
      </c>
      <c r="BE3" s="1">
        <v>2993</v>
      </c>
      <c r="BF3" s="1">
        <v>987</v>
      </c>
      <c r="BG3" s="1">
        <v>2573</v>
      </c>
      <c r="BH3" s="1">
        <v>950</v>
      </c>
      <c r="BI3" s="1">
        <v>14472</v>
      </c>
      <c r="BJ3" s="1">
        <v>2384</v>
      </c>
      <c r="BK3" s="1">
        <v>4456</v>
      </c>
      <c r="BL3" s="1">
        <v>4297</v>
      </c>
      <c r="BM3" s="1">
        <v>3038</v>
      </c>
      <c r="BN3" s="1">
        <v>830</v>
      </c>
      <c r="BO3" s="1">
        <v>899</v>
      </c>
      <c r="BP3" s="1">
        <v>15245</v>
      </c>
      <c r="BQ3" s="1">
        <v>1867</v>
      </c>
      <c r="BR3" s="1">
        <v>42576</v>
      </c>
      <c r="BS3" s="1">
        <v>6539</v>
      </c>
      <c r="BT3" s="1">
        <v>6012</v>
      </c>
      <c r="BU3" s="1">
        <v>11898</v>
      </c>
      <c r="BV3" s="1">
        <v>1911</v>
      </c>
      <c r="BW3" s="1">
        <v>7368</v>
      </c>
      <c r="BX3" s="1">
        <v>1453</v>
      </c>
      <c r="BY3" s="1">
        <v>3311</v>
      </c>
      <c r="BZ3" s="1">
        <v>10475</v>
      </c>
      <c r="CA3" s="1">
        <v>1555</v>
      </c>
      <c r="CB3" s="1">
        <v>699</v>
      </c>
      <c r="CC3" s="1">
        <v>3562</v>
      </c>
      <c r="CD3" s="1">
        <v>2379</v>
      </c>
      <c r="CE3" s="1">
        <v>1727</v>
      </c>
      <c r="CF3" s="1">
        <v>3911</v>
      </c>
      <c r="CG3" s="1">
        <v>58880</v>
      </c>
      <c r="CH3" s="1">
        <v>14106</v>
      </c>
      <c r="CI3" s="1">
        <v>23357</v>
      </c>
      <c r="CJ3" s="1">
        <v>5177</v>
      </c>
      <c r="CK3" s="1">
        <v>10437</v>
      </c>
      <c r="CL3" s="1">
        <v>6348</v>
      </c>
      <c r="CM3" s="1">
        <v>10069</v>
      </c>
      <c r="CN3" s="1">
        <v>27332</v>
      </c>
      <c r="CO3" s="1">
        <v>4786</v>
      </c>
      <c r="CP3" s="1">
        <v>2606</v>
      </c>
      <c r="CQ3" s="1">
        <v>3346</v>
      </c>
      <c r="CR3" s="1">
        <v>4920</v>
      </c>
      <c r="CS3" s="1">
        <v>18080</v>
      </c>
      <c r="CT3" s="1">
        <v>10802</v>
      </c>
      <c r="CU3" s="1">
        <v>1557</v>
      </c>
      <c r="CV3" s="1">
        <v>131624</v>
      </c>
      <c r="CW3" s="1">
        <v>3444</v>
      </c>
      <c r="CX3" s="1">
        <v>1446</v>
      </c>
      <c r="CY3" s="1">
        <v>14305</v>
      </c>
      <c r="CZ3" s="1">
        <v>2060</v>
      </c>
      <c r="DA3" s="1">
        <v>5132</v>
      </c>
      <c r="DB3" s="1">
        <v>8450</v>
      </c>
      <c r="DC3" s="1">
        <v>2721</v>
      </c>
      <c r="DD3" s="1">
        <v>2751</v>
      </c>
      <c r="DE3" s="1">
        <v>1640</v>
      </c>
      <c r="DF3" s="1">
        <v>27422</v>
      </c>
      <c r="DG3" s="1">
        <v>15733</v>
      </c>
      <c r="DH3" s="1">
        <v>10662</v>
      </c>
      <c r="DI3" s="1">
        <v>5945</v>
      </c>
      <c r="DJ3" s="1">
        <v>16424</v>
      </c>
      <c r="DK3" s="1">
        <v>8085</v>
      </c>
      <c r="DL3" s="1">
        <v>5997</v>
      </c>
      <c r="DM3" s="1">
        <v>8574</v>
      </c>
      <c r="DN3" s="1">
        <v>19003</v>
      </c>
      <c r="DO3" s="1">
        <v>1552</v>
      </c>
      <c r="DP3" s="1">
        <v>11406</v>
      </c>
      <c r="DQ3" s="1">
        <v>33395</v>
      </c>
      <c r="DR3" s="1">
        <v>2164</v>
      </c>
      <c r="DS3" s="1">
        <v>2334</v>
      </c>
      <c r="DT3" s="1">
        <v>447</v>
      </c>
      <c r="DU3" s="1">
        <v>5764</v>
      </c>
      <c r="DV3" s="1">
        <v>2996</v>
      </c>
      <c r="DW3" s="1">
        <v>3309</v>
      </c>
      <c r="DX3" s="1">
        <v>6957</v>
      </c>
      <c r="DY3" s="1">
        <v>1221</v>
      </c>
      <c r="DZ3" s="1">
        <v>1305</v>
      </c>
      <c r="EA3" s="1">
        <v>5647</v>
      </c>
      <c r="EB3" s="1">
        <v>4726</v>
      </c>
      <c r="EC3" s="1">
        <v>665</v>
      </c>
      <c r="ED3" s="1">
        <v>510</v>
      </c>
      <c r="EE3" s="1">
        <v>16698</v>
      </c>
      <c r="EF3" s="1">
        <v>1552</v>
      </c>
      <c r="EG3" s="1">
        <v>7615</v>
      </c>
      <c r="EH3" s="1">
        <v>13983</v>
      </c>
      <c r="EJ3" s="1">
        <f t="shared" ref="EJ3:EJ66" si="0">SUM(B3:EH3)</f>
        <v>872046</v>
      </c>
    </row>
    <row r="4" spans="1:140" x14ac:dyDescent="0.25">
      <c r="A4" s="1" t="s">
        <v>140</v>
      </c>
      <c r="B4" s="1">
        <v>2348</v>
      </c>
      <c r="C4" s="1">
        <v>3972</v>
      </c>
      <c r="D4" s="1">
        <v>89</v>
      </c>
      <c r="E4" s="1">
        <v>946</v>
      </c>
      <c r="F4" s="1">
        <v>7</v>
      </c>
      <c r="G4" s="1">
        <v>11</v>
      </c>
      <c r="H4" s="1">
        <v>10185</v>
      </c>
      <c r="I4" s="1">
        <v>25</v>
      </c>
      <c r="J4" s="1">
        <v>686</v>
      </c>
      <c r="K4" s="1">
        <v>15</v>
      </c>
      <c r="L4" s="1">
        <v>980</v>
      </c>
      <c r="M4" s="1">
        <v>317</v>
      </c>
      <c r="N4" s="1">
        <v>7720</v>
      </c>
      <c r="O4" s="1">
        <v>901</v>
      </c>
      <c r="P4" s="1">
        <v>549</v>
      </c>
      <c r="Q4" s="1">
        <v>5001</v>
      </c>
      <c r="R4" s="1">
        <v>16</v>
      </c>
      <c r="S4" s="1">
        <v>1038</v>
      </c>
      <c r="T4" s="1">
        <v>2440</v>
      </c>
      <c r="U4" s="1">
        <v>1236</v>
      </c>
      <c r="V4" s="1">
        <v>2835</v>
      </c>
      <c r="W4" s="1">
        <v>1696</v>
      </c>
      <c r="X4" s="1">
        <v>185</v>
      </c>
      <c r="Y4" s="1">
        <v>528</v>
      </c>
      <c r="Z4" s="1">
        <v>440</v>
      </c>
      <c r="AA4" s="1">
        <v>342</v>
      </c>
      <c r="AB4" s="1">
        <v>3261</v>
      </c>
      <c r="AC4" s="1">
        <v>290</v>
      </c>
      <c r="AD4" s="1">
        <v>273</v>
      </c>
      <c r="AE4" s="1">
        <v>1028</v>
      </c>
      <c r="AF4" s="1">
        <v>751</v>
      </c>
      <c r="AG4">
        <v>13321</v>
      </c>
      <c r="AH4" s="1">
        <v>177</v>
      </c>
      <c r="AI4" s="1">
        <v>950</v>
      </c>
      <c r="AJ4" s="1">
        <v>286</v>
      </c>
      <c r="AK4" s="1">
        <v>1156</v>
      </c>
      <c r="AL4" s="1">
        <v>2130</v>
      </c>
      <c r="AM4" s="1">
        <v>627</v>
      </c>
      <c r="AN4" s="1">
        <v>336</v>
      </c>
      <c r="AO4" s="1">
        <v>7257</v>
      </c>
      <c r="AP4" s="1">
        <v>366</v>
      </c>
      <c r="AQ4" s="1">
        <v>86</v>
      </c>
      <c r="AR4" s="1">
        <v>1143</v>
      </c>
      <c r="AS4" s="1">
        <v>3420</v>
      </c>
      <c r="AT4" s="1">
        <v>731</v>
      </c>
      <c r="AU4" s="1">
        <v>1286</v>
      </c>
      <c r="AV4" s="1">
        <v>1851</v>
      </c>
      <c r="AW4" s="1">
        <v>1557</v>
      </c>
      <c r="AX4" s="1">
        <v>13542</v>
      </c>
      <c r="AY4" s="1">
        <v>94</v>
      </c>
      <c r="AZ4" s="1">
        <v>369</v>
      </c>
      <c r="BA4" s="1">
        <v>3881</v>
      </c>
      <c r="BB4" s="1">
        <v>79</v>
      </c>
      <c r="BC4" s="1">
        <v>407</v>
      </c>
      <c r="BD4" s="1">
        <v>4921</v>
      </c>
      <c r="BE4" s="1">
        <v>2852</v>
      </c>
      <c r="BF4" s="1">
        <v>1075</v>
      </c>
      <c r="BG4" s="1">
        <v>2999</v>
      </c>
      <c r="BH4" s="1">
        <v>960</v>
      </c>
      <c r="BI4" s="1">
        <v>18897</v>
      </c>
      <c r="BJ4" s="1">
        <v>2137</v>
      </c>
      <c r="BK4" s="1">
        <v>4409</v>
      </c>
      <c r="BL4" s="1">
        <v>2493</v>
      </c>
      <c r="BM4" s="1">
        <v>3785</v>
      </c>
      <c r="BN4" s="1">
        <v>1016</v>
      </c>
      <c r="BO4" s="1">
        <v>1044</v>
      </c>
      <c r="BP4" s="1">
        <v>19356</v>
      </c>
      <c r="BQ4" s="1">
        <v>2115</v>
      </c>
      <c r="BR4" s="1">
        <v>49057</v>
      </c>
      <c r="BS4" s="1">
        <v>6788</v>
      </c>
      <c r="BT4" s="1">
        <v>6399</v>
      </c>
      <c r="BU4" s="1">
        <v>13313</v>
      </c>
      <c r="BV4" s="1">
        <v>2073</v>
      </c>
      <c r="BW4" s="1">
        <v>9052</v>
      </c>
      <c r="BX4" s="1">
        <v>2027</v>
      </c>
      <c r="BY4" s="1">
        <v>6138</v>
      </c>
      <c r="BZ4" s="1">
        <v>12776</v>
      </c>
      <c r="CA4" s="1">
        <v>1591</v>
      </c>
      <c r="CB4" s="1">
        <v>1006</v>
      </c>
      <c r="CC4" s="1">
        <v>5354</v>
      </c>
      <c r="CD4" s="1">
        <v>2614</v>
      </c>
      <c r="CE4" s="1">
        <v>2125</v>
      </c>
      <c r="CF4" s="1">
        <v>5423</v>
      </c>
      <c r="CG4" s="1">
        <v>66560</v>
      </c>
      <c r="CH4" s="1">
        <v>13209</v>
      </c>
      <c r="CI4" s="1">
        <v>26799</v>
      </c>
      <c r="CJ4" s="1">
        <v>7500</v>
      </c>
      <c r="CK4" s="1">
        <v>10191</v>
      </c>
      <c r="CL4" s="1">
        <v>7491</v>
      </c>
      <c r="CM4" s="1">
        <v>10423</v>
      </c>
      <c r="CN4" s="1">
        <v>28252</v>
      </c>
      <c r="CO4" s="1">
        <v>4583</v>
      </c>
      <c r="CP4" s="1">
        <v>2637</v>
      </c>
      <c r="CQ4" s="1">
        <v>3173</v>
      </c>
      <c r="CR4" s="1">
        <v>5094</v>
      </c>
      <c r="CS4" s="1">
        <v>19627</v>
      </c>
      <c r="CT4" s="1">
        <v>12202</v>
      </c>
      <c r="CU4" s="1">
        <v>1230</v>
      </c>
      <c r="CV4" s="1">
        <v>148671</v>
      </c>
      <c r="CW4" s="1">
        <v>6703</v>
      </c>
      <c r="CX4" s="1">
        <v>1801</v>
      </c>
      <c r="CY4" s="1">
        <v>18570</v>
      </c>
      <c r="CZ4" s="1">
        <v>2450</v>
      </c>
      <c r="DA4" s="1">
        <v>5351</v>
      </c>
      <c r="DB4" s="1">
        <v>8986</v>
      </c>
      <c r="DC4" s="1">
        <v>3150</v>
      </c>
      <c r="DD4" s="1">
        <v>3172</v>
      </c>
      <c r="DE4" s="1">
        <v>2319</v>
      </c>
      <c r="DF4" s="1">
        <v>29624</v>
      </c>
      <c r="DG4" s="1">
        <v>12129</v>
      </c>
      <c r="DH4" s="1">
        <v>11311</v>
      </c>
      <c r="DI4" s="1">
        <v>4085</v>
      </c>
      <c r="DJ4" s="1">
        <v>16599</v>
      </c>
      <c r="DK4" s="1">
        <v>9341</v>
      </c>
      <c r="DL4" s="1">
        <v>7738</v>
      </c>
      <c r="DM4" s="1">
        <v>11690</v>
      </c>
      <c r="DN4" s="1">
        <v>15842</v>
      </c>
      <c r="DO4" s="1">
        <v>2690</v>
      </c>
      <c r="DP4" s="1">
        <v>15552</v>
      </c>
      <c r="DQ4" s="1">
        <v>45393</v>
      </c>
      <c r="DR4" s="1">
        <v>3260</v>
      </c>
      <c r="DS4" s="1">
        <v>4126</v>
      </c>
      <c r="DT4" s="1">
        <v>576</v>
      </c>
      <c r="DU4" s="1">
        <v>7113</v>
      </c>
      <c r="DV4" s="1">
        <v>4043</v>
      </c>
      <c r="DW4" s="1">
        <v>4862</v>
      </c>
      <c r="DX4" s="1">
        <v>8949</v>
      </c>
      <c r="DY4" s="1">
        <v>1110</v>
      </c>
      <c r="DZ4" s="1">
        <v>1509</v>
      </c>
      <c r="EA4" s="1">
        <v>6501</v>
      </c>
      <c r="EB4" s="1">
        <v>5143</v>
      </c>
      <c r="EC4" s="1">
        <v>492</v>
      </c>
      <c r="ED4" s="1">
        <v>556</v>
      </c>
      <c r="EE4" s="1">
        <v>20762</v>
      </c>
      <c r="EF4" s="1">
        <v>2376</v>
      </c>
      <c r="EG4" s="1">
        <v>8472</v>
      </c>
      <c r="EH4" s="1">
        <v>17146</v>
      </c>
      <c r="EJ4" s="1">
        <f t="shared" si="0"/>
        <v>998092</v>
      </c>
    </row>
    <row r="5" spans="1:140" x14ac:dyDescent="0.25">
      <c r="A5" s="1" t="s">
        <v>141</v>
      </c>
      <c r="B5" s="1">
        <v>2122</v>
      </c>
      <c r="C5" s="1">
        <v>3567</v>
      </c>
      <c r="D5" s="1">
        <v>31</v>
      </c>
      <c r="E5" s="1">
        <v>967</v>
      </c>
      <c r="F5" s="1">
        <v>7</v>
      </c>
      <c r="G5" s="1">
        <v>7</v>
      </c>
      <c r="H5" s="1">
        <v>8957</v>
      </c>
      <c r="I5" s="1">
        <v>31</v>
      </c>
      <c r="J5" s="1">
        <v>494</v>
      </c>
      <c r="K5" s="1">
        <v>14</v>
      </c>
      <c r="L5" s="1">
        <v>880</v>
      </c>
      <c r="M5" s="1">
        <v>151</v>
      </c>
      <c r="N5" s="1">
        <v>8401</v>
      </c>
      <c r="O5" s="1">
        <v>573</v>
      </c>
      <c r="P5" s="1">
        <v>490</v>
      </c>
      <c r="Q5" s="1">
        <v>5042</v>
      </c>
      <c r="R5" s="1">
        <v>7</v>
      </c>
      <c r="S5" s="1">
        <v>896</v>
      </c>
      <c r="T5" s="1">
        <v>2109</v>
      </c>
      <c r="U5" s="1">
        <v>1482</v>
      </c>
      <c r="V5" s="1">
        <v>2741</v>
      </c>
      <c r="W5" s="1">
        <v>1644</v>
      </c>
      <c r="X5" s="1">
        <v>213</v>
      </c>
      <c r="Y5" s="1">
        <v>546</v>
      </c>
      <c r="Z5" s="1">
        <v>709</v>
      </c>
      <c r="AA5" s="1">
        <v>265</v>
      </c>
      <c r="AB5" s="1">
        <v>3652</v>
      </c>
      <c r="AC5" s="1">
        <v>242</v>
      </c>
      <c r="AD5" s="1">
        <v>226</v>
      </c>
      <c r="AE5" s="1">
        <v>712</v>
      </c>
      <c r="AF5" s="1">
        <v>802</v>
      </c>
      <c r="AG5">
        <v>12807</v>
      </c>
      <c r="AH5" s="1">
        <v>181</v>
      </c>
      <c r="AI5" s="1">
        <v>960</v>
      </c>
      <c r="AJ5" s="1">
        <v>176</v>
      </c>
      <c r="AK5" s="1">
        <v>949</v>
      </c>
      <c r="AL5" s="1">
        <v>1804</v>
      </c>
      <c r="AM5" s="1">
        <v>496</v>
      </c>
      <c r="AN5" s="1">
        <v>180</v>
      </c>
      <c r="AO5" s="1">
        <v>10450</v>
      </c>
      <c r="AP5" s="1">
        <v>406</v>
      </c>
      <c r="AQ5" s="1">
        <v>142</v>
      </c>
      <c r="AR5" s="1">
        <v>1543</v>
      </c>
      <c r="AS5" s="1">
        <v>3543</v>
      </c>
      <c r="AT5" s="1">
        <v>508</v>
      </c>
      <c r="AU5" s="1">
        <v>1148</v>
      </c>
      <c r="AV5" s="1">
        <v>2166</v>
      </c>
      <c r="AW5" s="1">
        <v>2223</v>
      </c>
      <c r="AX5" s="1">
        <v>12872</v>
      </c>
      <c r="AY5" s="1">
        <v>48</v>
      </c>
      <c r="AZ5" s="1">
        <v>308</v>
      </c>
      <c r="BA5" s="1">
        <v>3301</v>
      </c>
      <c r="BB5" s="1">
        <v>85</v>
      </c>
      <c r="BC5" s="1">
        <v>346</v>
      </c>
      <c r="BD5" s="1">
        <v>4887</v>
      </c>
      <c r="BE5" s="1">
        <v>2069</v>
      </c>
      <c r="BF5" s="1">
        <v>2202</v>
      </c>
      <c r="BG5" s="1">
        <v>2681</v>
      </c>
      <c r="BH5" s="1">
        <v>1022</v>
      </c>
      <c r="BI5" s="1">
        <v>16876</v>
      </c>
      <c r="BJ5" s="1">
        <v>2412</v>
      </c>
      <c r="BK5" s="1">
        <v>6746</v>
      </c>
      <c r="BL5" s="1">
        <v>2655</v>
      </c>
      <c r="BM5" s="1">
        <v>3881</v>
      </c>
      <c r="BN5" s="1">
        <v>855</v>
      </c>
      <c r="BO5" s="1">
        <v>804</v>
      </c>
      <c r="BP5" s="1">
        <v>18997</v>
      </c>
      <c r="BQ5" s="1">
        <v>2095</v>
      </c>
      <c r="BR5" s="1">
        <v>45287</v>
      </c>
      <c r="BS5" s="1">
        <v>7914</v>
      </c>
      <c r="BT5" s="1">
        <v>6951</v>
      </c>
      <c r="BU5" s="1">
        <v>17577</v>
      </c>
      <c r="BV5" s="1">
        <v>1989</v>
      </c>
      <c r="BW5" s="1">
        <v>8418</v>
      </c>
      <c r="BX5" s="1">
        <v>2209</v>
      </c>
      <c r="BY5" s="1">
        <v>7843</v>
      </c>
      <c r="BZ5" s="1">
        <v>10648</v>
      </c>
      <c r="CA5" s="1">
        <v>2115</v>
      </c>
      <c r="CB5" s="1">
        <v>769</v>
      </c>
      <c r="CC5" s="1">
        <v>5878</v>
      </c>
      <c r="CD5" s="1">
        <v>2845</v>
      </c>
      <c r="CE5" s="1">
        <v>1899</v>
      </c>
      <c r="CF5" s="1">
        <v>5464</v>
      </c>
      <c r="CG5" s="1">
        <v>61132</v>
      </c>
      <c r="CH5" s="1">
        <v>13356</v>
      </c>
      <c r="CI5" s="1">
        <v>33568</v>
      </c>
      <c r="CJ5" s="1">
        <v>9946</v>
      </c>
      <c r="CK5" s="1">
        <v>16582</v>
      </c>
      <c r="CL5" s="1">
        <v>9829</v>
      </c>
      <c r="CM5" s="1">
        <v>11894</v>
      </c>
      <c r="CN5" s="1">
        <v>29288</v>
      </c>
      <c r="CO5" s="1">
        <v>4465</v>
      </c>
      <c r="CP5" s="1">
        <v>2602</v>
      </c>
      <c r="CQ5" s="1">
        <v>8106</v>
      </c>
      <c r="CR5" s="1">
        <v>4713</v>
      </c>
      <c r="CS5" s="1">
        <v>16631</v>
      </c>
      <c r="CT5" s="1">
        <v>11567</v>
      </c>
      <c r="CU5" s="1">
        <v>1706</v>
      </c>
      <c r="CV5" s="1">
        <v>134126</v>
      </c>
      <c r="CW5" s="1">
        <v>6375</v>
      </c>
      <c r="CX5" s="1">
        <v>2953</v>
      </c>
      <c r="CY5" s="1">
        <v>19428</v>
      </c>
      <c r="CZ5" s="1">
        <v>4786</v>
      </c>
      <c r="DA5" s="1">
        <v>4279</v>
      </c>
      <c r="DB5" s="1">
        <v>7743</v>
      </c>
      <c r="DC5" s="1">
        <v>2450</v>
      </c>
      <c r="DD5" s="1">
        <v>2631</v>
      </c>
      <c r="DE5" s="1">
        <v>1901</v>
      </c>
      <c r="DF5" s="1">
        <v>27550</v>
      </c>
      <c r="DG5" s="1">
        <v>10041</v>
      </c>
      <c r="DH5" s="1">
        <v>9667</v>
      </c>
      <c r="DI5" s="1">
        <v>3712</v>
      </c>
      <c r="DJ5" s="1">
        <v>13595</v>
      </c>
      <c r="DK5" s="1">
        <v>8196</v>
      </c>
      <c r="DL5" s="1">
        <v>6647</v>
      </c>
      <c r="DM5" s="1">
        <v>9304</v>
      </c>
      <c r="DN5" s="1">
        <v>14785</v>
      </c>
      <c r="DO5" s="1">
        <v>2100</v>
      </c>
      <c r="DP5" s="1">
        <v>6915</v>
      </c>
      <c r="DQ5" s="1">
        <v>40471</v>
      </c>
      <c r="DR5" s="1">
        <v>1885</v>
      </c>
      <c r="DS5" s="1">
        <v>2285</v>
      </c>
      <c r="DT5" s="1">
        <v>613</v>
      </c>
      <c r="DU5" s="1">
        <v>6758</v>
      </c>
      <c r="DV5" s="1">
        <v>3304</v>
      </c>
      <c r="DW5" s="1">
        <v>4024</v>
      </c>
      <c r="DX5" s="1">
        <v>7309</v>
      </c>
      <c r="DY5" s="1">
        <v>1038</v>
      </c>
      <c r="DZ5" s="1">
        <v>2352</v>
      </c>
      <c r="EA5" s="1">
        <v>5671</v>
      </c>
      <c r="EB5" s="1">
        <v>4590</v>
      </c>
      <c r="EC5" s="1">
        <v>460</v>
      </c>
      <c r="ED5" s="1">
        <v>563</v>
      </c>
      <c r="EE5" s="1">
        <v>19701</v>
      </c>
      <c r="EF5" s="1">
        <v>2045</v>
      </c>
      <c r="EG5" s="1">
        <v>8922</v>
      </c>
      <c r="EH5" s="1">
        <v>14305</v>
      </c>
      <c r="EJ5" s="1">
        <f t="shared" si="0"/>
        <v>961475</v>
      </c>
    </row>
    <row r="6" spans="1:140" x14ac:dyDescent="0.25">
      <c r="A6" s="1" t="s">
        <v>142</v>
      </c>
      <c r="B6" s="1">
        <v>1695</v>
      </c>
      <c r="C6" s="1">
        <v>3935</v>
      </c>
      <c r="D6" s="1">
        <v>87</v>
      </c>
      <c r="E6" s="1">
        <v>881</v>
      </c>
      <c r="F6" s="1">
        <v>8</v>
      </c>
      <c r="G6" s="1">
        <v>14</v>
      </c>
      <c r="H6" s="1">
        <v>9917</v>
      </c>
      <c r="I6" s="1">
        <v>74</v>
      </c>
      <c r="J6" s="1">
        <v>630</v>
      </c>
      <c r="K6" s="1">
        <v>18</v>
      </c>
      <c r="L6" s="1">
        <v>773</v>
      </c>
      <c r="M6" s="1">
        <v>165</v>
      </c>
      <c r="N6" s="1">
        <v>7590</v>
      </c>
      <c r="O6" s="1">
        <v>1027</v>
      </c>
      <c r="P6" s="1">
        <v>674</v>
      </c>
      <c r="Q6" s="1">
        <v>5572</v>
      </c>
      <c r="R6" s="1">
        <v>23</v>
      </c>
      <c r="S6" s="1">
        <v>890</v>
      </c>
      <c r="T6" s="1">
        <v>2805</v>
      </c>
      <c r="U6" s="1">
        <v>1665</v>
      </c>
      <c r="V6" s="1">
        <v>2277</v>
      </c>
      <c r="W6" s="1">
        <v>2393</v>
      </c>
      <c r="X6" s="1">
        <v>242</v>
      </c>
      <c r="Y6" s="1">
        <v>421</v>
      </c>
      <c r="Z6" s="1">
        <v>673</v>
      </c>
      <c r="AA6" s="1">
        <v>410</v>
      </c>
      <c r="AB6" s="1">
        <v>3648</v>
      </c>
      <c r="AC6" s="1">
        <v>431</v>
      </c>
      <c r="AD6" s="1">
        <v>243</v>
      </c>
      <c r="AE6" s="1">
        <v>831</v>
      </c>
      <c r="AF6" s="1">
        <v>819</v>
      </c>
      <c r="AG6">
        <v>14175</v>
      </c>
      <c r="AH6" s="1">
        <v>228</v>
      </c>
      <c r="AI6" s="1">
        <v>1113</v>
      </c>
      <c r="AJ6" s="1">
        <v>257</v>
      </c>
      <c r="AK6" s="1">
        <v>1110</v>
      </c>
      <c r="AL6" s="1">
        <v>1924</v>
      </c>
      <c r="AM6" s="1">
        <v>665</v>
      </c>
      <c r="AN6" s="1">
        <v>227</v>
      </c>
      <c r="AO6" s="1">
        <v>9154</v>
      </c>
      <c r="AP6" s="1">
        <v>325</v>
      </c>
      <c r="AQ6" s="1">
        <v>76</v>
      </c>
      <c r="AR6" s="1">
        <v>1262</v>
      </c>
      <c r="AS6" s="1">
        <v>3539</v>
      </c>
      <c r="AT6" s="1">
        <v>635</v>
      </c>
      <c r="AU6" s="1">
        <v>1255</v>
      </c>
      <c r="AV6" s="1">
        <v>2247</v>
      </c>
      <c r="AW6" s="1">
        <v>4171</v>
      </c>
      <c r="AX6" s="1">
        <v>13501</v>
      </c>
      <c r="AY6" s="1">
        <v>61</v>
      </c>
      <c r="AZ6" s="1">
        <v>468</v>
      </c>
      <c r="BA6" s="1">
        <v>4644</v>
      </c>
      <c r="BB6" s="1">
        <v>62</v>
      </c>
      <c r="BC6" s="1">
        <v>364</v>
      </c>
      <c r="BD6" s="1">
        <v>4739</v>
      </c>
      <c r="BE6" s="1">
        <v>3163</v>
      </c>
      <c r="BF6" s="1">
        <v>1595</v>
      </c>
      <c r="BG6" s="1">
        <v>3009</v>
      </c>
      <c r="BH6" s="1">
        <v>1043</v>
      </c>
      <c r="BI6" s="1">
        <v>18382</v>
      </c>
      <c r="BJ6" s="1">
        <v>2515</v>
      </c>
      <c r="BK6" s="1">
        <v>8075</v>
      </c>
      <c r="BL6" s="1">
        <v>3618</v>
      </c>
      <c r="BM6" s="1">
        <v>4169</v>
      </c>
      <c r="BN6" s="1">
        <v>1059</v>
      </c>
      <c r="BO6" s="1">
        <v>1839</v>
      </c>
      <c r="BP6" s="1">
        <v>25953</v>
      </c>
      <c r="BQ6" s="1">
        <v>3663</v>
      </c>
      <c r="BR6" s="1">
        <v>46646</v>
      </c>
      <c r="BS6" s="1">
        <v>8381</v>
      </c>
      <c r="BT6" s="1">
        <v>8898</v>
      </c>
      <c r="BU6" s="1">
        <v>26251</v>
      </c>
      <c r="BV6" s="1">
        <v>2475</v>
      </c>
      <c r="BW6" s="1">
        <v>12839</v>
      </c>
      <c r="BX6" s="1">
        <v>3442</v>
      </c>
      <c r="BY6" s="1">
        <v>9157</v>
      </c>
      <c r="BZ6" s="1">
        <v>11427</v>
      </c>
      <c r="CA6" s="1">
        <v>2134</v>
      </c>
      <c r="CB6" s="1">
        <v>654</v>
      </c>
      <c r="CC6" s="1">
        <v>8770</v>
      </c>
      <c r="CD6" s="1">
        <v>2799</v>
      </c>
      <c r="CE6" s="1">
        <v>2088</v>
      </c>
      <c r="CF6" s="1">
        <v>4990</v>
      </c>
      <c r="CG6" s="1">
        <v>64252</v>
      </c>
      <c r="CH6" s="1">
        <v>16526</v>
      </c>
      <c r="CI6" s="1">
        <v>35476</v>
      </c>
      <c r="CJ6" s="1">
        <v>9246</v>
      </c>
      <c r="CK6" s="1">
        <v>19536</v>
      </c>
      <c r="CL6" s="1">
        <v>9341</v>
      </c>
      <c r="CM6" s="1">
        <v>19088</v>
      </c>
      <c r="CN6" s="1">
        <v>33983</v>
      </c>
      <c r="CO6" s="1">
        <v>5902</v>
      </c>
      <c r="CP6" s="1">
        <v>4466</v>
      </c>
      <c r="CQ6" s="1">
        <v>5496</v>
      </c>
      <c r="CR6" s="1">
        <v>5912</v>
      </c>
      <c r="CS6" s="1">
        <v>17148</v>
      </c>
      <c r="CT6" s="1">
        <v>11060</v>
      </c>
      <c r="CU6" s="1">
        <v>1235</v>
      </c>
      <c r="CV6" s="1">
        <v>138013</v>
      </c>
      <c r="CW6" s="1">
        <v>4864</v>
      </c>
      <c r="CX6" s="1">
        <v>1296</v>
      </c>
      <c r="CY6" s="1">
        <v>18072</v>
      </c>
      <c r="CZ6" s="1">
        <v>7451</v>
      </c>
      <c r="DA6" s="1">
        <v>4833</v>
      </c>
      <c r="DB6" s="1">
        <v>7742</v>
      </c>
      <c r="DC6" s="1">
        <v>2563</v>
      </c>
      <c r="DD6" s="1">
        <v>2496</v>
      </c>
      <c r="DE6" s="1">
        <v>1814</v>
      </c>
      <c r="DF6" s="1">
        <v>29652</v>
      </c>
      <c r="DG6" s="1">
        <v>9216</v>
      </c>
      <c r="DH6" s="1">
        <v>9473</v>
      </c>
      <c r="DI6" s="1">
        <v>2711</v>
      </c>
      <c r="DJ6" s="1">
        <v>13922</v>
      </c>
      <c r="DK6" s="1">
        <v>7578</v>
      </c>
      <c r="DL6" s="1">
        <v>6423</v>
      </c>
      <c r="DM6" s="1">
        <v>8483</v>
      </c>
      <c r="DN6" s="1">
        <v>11999</v>
      </c>
      <c r="DO6" s="1">
        <v>1922</v>
      </c>
      <c r="DP6" s="1">
        <v>7042</v>
      </c>
      <c r="DQ6" s="1">
        <v>38479</v>
      </c>
      <c r="DR6" s="1">
        <v>1867</v>
      </c>
      <c r="DS6" s="1">
        <v>2636</v>
      </c>
      <c r="DT6" s="1">
        <v>627</v>
      </c>
      <c r="DU6" s="1">
        <v>5513</v>
      </c>
      <c r="DV6" s="1">
        <v>4101</v>
      </c>
      <c r="DW6" s="1">
        <v>3837</v>
      </c>
      <c r="DX6" s="1">
        <v>8357</v>
      </c>
      <c r="DY6" s="1">
        <v>1416</v>
      </c>
      <c r="DZ6" s="1">
        <v>4247</v>
      </c>
      <c r="EA6" s="1">
        <v>6110</v>
      </c>
      <c r="EB6" s="1">
        <v>5078</v>
      </c>
      <c r="EC6" s="1">
        <v>523</v>
      </c>
      <c r="ED6" s="1">
        <v>577</v>
      </c>
      <c r="EE6" s="1">
        <v>20400</v>
      </c>
      <c r="EF6" s="1">
        <v>1871</v>
      </c>
      <c r="EG6" s="1">
        <v>8249</v>
      </c>
      <c r="EH6" s="1">
        <v>15040</v>
      </c>
      <c r="EJ6" s="1">
        <f t="shared" si="0"/>
        <v>1031227</v>
      </c>
    </row>
    <row r="7" spans="1:140" x14ac:dyDescent="0.25">
      <c r="A7" s="1" t="s">
        <v>143</v>
      </c>
      <c r="B7" s="1">
        <v>1768</v>
      </c>
      <c r="C7" s="1">
        <v>3899</v>
      </c>
      <c r="D7" s="1">
        <v>47</v>
      </c>
      <c r="E7" s="1">
        <v>784</v>
      </c>
      <c r="F7" s="1">
        <v>97</v>
      </c>
      <c r="G7" s="1">
        <v>35</v>
      </c>
      <c r="H7" s="1">
        <v>9517</v>
      </c>
      <c r="I7" s="1">
        <v>50</v>
      </c>
      <c r="J7" s="1">
        <v>620</v>
      </c>
      <c r="K7" s="1">
        <v>8</v>
      </c>
      <c r="L7" s="1">
        <v>881</v>
      </c>
      <c r="M7" s="1">
        <v>238</v>
      </c>
      <c r="N7" s="1">
        <v>8549</v>
      </c>
      <c r="O7" s="1">
        <v>1024</v>
      </c>
      <c r="P7" s="1">
        <v>1004</v>
      </c>
      <c r="Q7" s="1">
        <v>7041</v>
      </c>
      <c r="R7" s="1">
        <v>13</v>
      </c>
      <c r="S7" s="1">
        <v>1079</v>
      </c>
      <c r="T7" s="1">
        <v>2963</v>
      </c>
      <c r="U7" s="1">
        <v>1385</v>
      </c>
      <c r="V7" s="1">
        <v>2779</v>
      </c>
      <c r="W7" s="1">
        <v>1950</v>
      </c>
      <c r="X7" s="1">
        <v>315</v>
      </c>
      <c r="Y7" s="1">
        <v>475</v>
      </c>
      <c r="Z7" s="1">
        <v>537</v>
      </c>
      <c r="AA7" s="1">
        <v>297</v>
      </c>
      <c r="AB7" s="1">
        <v>4437</v>
      </c>
      <c r="AC7" s="1">
        <v>242</v>
      </c>
      <c r="AD7" s="1">
        <v>199</v>
      </c>
      <c r="AE7" s="1">
        <v>1884</v>
      </c>
      <c r="AF7" s="1">
        <v>1007</v>
      </c>
      <c r="AG7">
        <v>14916</v>
      </c>
      <c r="AH7" s="1">
        <v>329</v>
      </c>
      <c r="AI7" s="1">
        <v>1128</v>
      </c>
      <c r="AJ7" s="1">
        <v>240</v>
      </c>
      <c r="AK7" s="1">
        <v>1200</v>
      </c>
      <c r="AL7" s="1">
        <v>2283</v>
      </c>
      <c r="AM7" s="1">
        <v>614</v>
      </c>
      <c r="AN7" s="1">
        <v>212</v>
      </c>
      <c r="AO7" s="1">
        <v>8144</v>
      </c>
      <c r="AP7" s="1">
        <v>387</v>
      </c>
      <c r="AQ7" s="1">
        <v>97</v>
      </c>
      <c r="AR7" s="1">
        <v>1194</v>
      </c>
      <c r="AS7" s="1">
        <v>4503</v>
      </c>
      <c r="AT7" s="1">
        <v>608</v>
      </c>
      <c r="AU7" s="1">
        <v>1812</v>
      </c>
      <c r="AV7" s="1">
        <v>2242</v>
      </c>
      <c r="AW7" s="1">
        <v>1466</v>
      </c>
      <c r="AX7" s="1">
        <v>12383</v>
      </c>
      <c r="AY7" s="1">
        <v>36</v>
      </c>
      <c r="AZ7" s="1">
        <v>681</v>
      </c>
      <c r="BA7" s="1">
        <v>3588</v>
      </c>
      <c r="BB7" s="1">
        <v>90</v>
      </c>
      <c r="BC7" s="1">
        <v>308</v>
      </c>
      <c r="BD7" s="1">
        <v>4212</v>
      </c>
      <c r="BE7" s="1">
        <v>4129</v>
      </c>
      <c r="BF7" s="1">
        <v>2157</v>
      </c>
      <c r="BG7" s="1">
        <v>2477</v>
      </c>
      <c r="BH7" s="1">
        <v>1019</v>
      </c>
      <c r="BI7" s="1">
        <v>16175</v>
      </c>
      <c r="BJ7" s="1">
        <v>2949</v>
      </c>
      <c r="BK7" s="1">
        <v>4906</v>
      </c>
      <c r="BL7" s="1">
        <v>4120</v>
      </c>
      <c r="BM7" s="1">
        <v>4584</v>
      </c>
      <c r="BN7" s="1">
        <v>1953</v>
      </c>
      <c r="BO7" s="1">
        <v>1030</v>
      </c>
      <c r="BP7" s="1">
        <v>28612</v>
      </c>
      <c r="BQ7" s="1">
        <v>2722</v>
      </c>
      <c r="BR7" s="1">
        <v>46140</v>
      </c>
      <c r="BS7" s="1">
        <v>9589</v>
      </c>
      <c r="BT7" s="1">
        <v>9261</v>
      </c>
      <c r="BU7" s="1">
        <v>32436</v>
      </c>
      <c r="BV7" s="1">
        <v>3259</v>
      </c>
      <c r="BW7" s="1">
        <v>10646</v>
      </c>
      <c r="BX7" s="1">
        <v>2301</v>
      </c>
      <c r="BY7" s="1">
        <v>5230</v>
      </c>
      <c r="BZ7" s="1">
        <v>12828</v>
      </c>
      <c r="CA7" s="1">
        <v>1881</v>
      </c>
      <c r="CB7" s="1">
        <v>785</v>
      </c>
      <c r="CC7" s="1">
        <v>5940</v>
      </c>
      <c r="CD7" s="1">
        <v>2704</v>
      </c>
      <c r="CE7" s="1">
        <v>1919</v>
      </c>
      <c r="CF7" s="1">
        <v>5218</v>
      </c>
      <c r="CG7" s="1">
        <v>61439</v>
      </c>
      <c r="CH7" s="1">
        <v>11036</v>
      </c>
      <c r="CI7" s="1">
        <v>30922</v>
      </c>
      <c r="CJ7" s="1">
        <v>4489</v>
      </c>
      <c r="CK7" s="1">
        <v>13785</v>
      </c>
      <c r="CL7" s="1">
        <v>11124</v>
      </c>
      <c r="CM7" s="1">
        <v>14333</v>
      </c>
      <c r="CN7" s="1">
        <v>31260</v>
      </c>
      <c r="CO7" s="1">
        <v>5162</v>
      </c>
      <c r="CP7" s="1">
        <v>3157</v>
      </c>
      <c r="CQ7" s="1">
        <v>3521</v>
      </c>
      <c r="CR7" s="1">
        <v>5542</v>
      </c>
      <c r="CS7" s="1">
        <v>16333</v>
      </c>
      <c r="CT7" s="1">
        <v>11156</v>
      </c>
      <c r="CU7" s="1">
        <v>934</v>
      </c>
      <c r="CV7" s="1">
        <v>137828</v>
      </c>
      <c r="CW7" s="1">
        <v>4105</v>
      </c>
      <c r="CX7" s="1">
        <v>1326</v>
      </c>
      <c r="CY7" s="1">
        <v>15267</v>
      </c>
      <c r="CZ7" s="1">
        <v>3363</v>
      </c>
      <c r="DA7" s="1">
        <v>4625</v>
      </c>
      <c r="DB7" s="1">
        <v>7518</v>
      </c>
      <c r="DC7" s="1">
        <v>2447</v>
      </c>
      <c r="DD7" s="1">
        <v>2530</v>
      </c>
      <c r="DE7" s="1">
        <v>1699</v>
      </c>
      <c r="DF7" s="1">
        <v>28333</v>
      </c>
      <c r="DG7" s="1">
        <v>8901</v>
      </c>
      <c r="DH7" s="1">
        <v>9958</v>
      </c>
      <c r="DI7" s="1">
        <v>3146</v>
      </c>
      <c r="DJ7" s="1">
        <v>14117</v>
      </c>
      <c r="DK7" s="1">
        <v>8321</v>
      </c>
      <c r="DL7" s="1">
        <v>6361</v>
      </c>
      <c r="DM7" s="1">
        <v>9083</v>
      </c>
      <c r="DN7" s="1">
        <v>10865</v>
      </c>
      <c r="DO7" s="1">
        <v>1974</v>
      </c>
      <c r="DP7" s="1">
        <v>6072</v>
      </c>
      <c r="DQ7" s="1">
        <v>38548</v>
      </c>
      <c r="DR7" s="1">
        <v>1897</v>
      </c>
      <c r="DS7" s="1">
        <v>2712</v>
      </c>
      <c r="DT7" s="1">
        <v>499</v>
      </c>
      <c r="DU7" s="1">
        <v>5940</v>
      </c>
      <c r="DV7" s="1">
        <v>3649</v>
      </c>
      <c r="DW7" s="1">
        <v>4670</v>
      </c>
      <c r="DX7" s="1">
        <v>9487</v>
      </c>
      <c r="DY7" s="1">
        <v>1905</v>
      </c>
      <c r="DZ7" s="1">
        <v>2064</v>
      </c>
      <c r="EA7" s="1">
        <v>6315</v>
      </c>
      <c r="EB7" s="1">
        <v>5120</v>
      </c>
      <c r="EC7" s="1">
        <v>551</v>
      </c>
      <c r="ED7" s="1">
        <v>804</v>
      </c>
      <c r="EE7" s="1">
        <v>18958</v>
      </c>
      <c r="EF7" s="1">
        <v>2122</v>
      </c>
      <c r="EG7" s="1">
        <v>7472</v>
      </c>
      <c r="EH7" s="1">
        <v>16982</v>
      </c>
      <c r="EJ7" s="1">
        <f t="shared" si="0"/>
        <v>986494</v>
      </c>
    </row>
    <row r="8" spans="1:140" x14ac:dyDescent="0.25">
      <c r="A8" s="1" t="s">
        <v>144</v>
      </c>
      <c r="B8" s="1">
        <v>1994</v>
      </c>
      <c r="C8" s="1">
        <v>4329</v>
      </c>
      <c r="D8" s="1">
        <v>73</v>
      </c>
      <c r="E8" s="1">
        <v>1205</v>
      </c>
      <c r="F8" s="1">
        <v>22</v>
      </c>
      <c r="G8" s="1">
        <v>14</v>
      </c>
      <c r="H8" s="1">
        <v>11300</v>
      </c>
      <c r="I8" s="1">
        <v>25</v>
      </c>
      <c r="J8" s="1">
        <v>554</v>
      </c>
      <c r="K8" s="1">
        <v>35</v>
      </c>
      <c r="L8" s="1">
        <v>948</v>
      </c>
      <c r="M8" s="1">
        <v>208</v>
      </c>
      <c r="N8" s="1">
        <v>8207</v>
      </c>
      <c r="O8" s="1">
        <v>1324</v>
      </c>
      <c r="P8" s="1">
        <v>932</v>
      </c>
      <c r="Q8" s="1">
        <v>7035</v>
      </c>
      <c r="R8" s="1">
        <v>33</v>
      </c>
      <c r="S8" s="1">
        <v>918</v>
      </c>
      <c r="T8" s="1">
        <v>2307</v>
      </c>
      <c r="U8" s="1">
        <v>1887</v>
      </c>
      <c r="V8" s="1">
        <v>2620</v>
      </c>
      <c r="W8" s="1">
        <v>1971</v>
      </c>
      <c r="X8" s="1">
        <v>238</v>
      </c>
      <c r="Y8" s="1">
        <v>1538</v>
      </c>
      <c r="Z8" s="1">
        <v>590</v>
      </c>
      <c r="AA8" s="1">
        <v>360</v>
      </c>
      <c r="AB8" s="1">
        <v>3394</v>
      </c>
      <c r="AC8" s="1">
        <v>443</v>
      </c>
      <c r="AD8" s="1">
        <v>301</v>
      </c>
      <c r="AE8" s="1">
        <v>1564</v>
      </c>
      <c r="AF8" s="1">
        <v>1243</v>
      </c>
      <c r="AG8">
        <v>13694</v>
      </c>
      <c r="AH8" s="1">
        <v>341</v>
      </c>
      <c r="AI8" s="1">
        <v>1331</v>
      </c>
      <c r="AJ8" s="1">
        <v>161</v>
      </c>
      <c r="AK8" s="1">
        <v>1434</v>
      </c>
      <c r="AL8" s="1">
        <v>2734</v>
      </c>
      <c r="AM8" s="1">
        <v>1042</v>
      </c>
      <c r="AN8" s="1">
        <v>193</v>
      </c>
      <c r="AO8" s="1">
        <v>8999</v>
      </c>
      <c r="AP8" s="1">
        <v>349</v>
      </c>
      <c r="AQ8" s="1">
        <v>81</v>
      </c>
      <c r="AR8" s="1">
        <v>1181</v>
      </c>
      <c r="AS8" s="1">
        <v>8413</v>
      </c>
      <c r="AT8" s="1">
        <v>614</v>
      </c>
      <c r="AU8" s="1">
        <v>2838</v>
      </c>
      <c r="AV8" s="1">
        <v>2058</v>
      </c>
      <c r="AW8" s="1">
        <v>3521</v>
      </c>
      <c r="AX8" s="1">
        <v>12500</v>
      </c>
      <c r="AY8" s="1">
        <v>40</v>
      </c>
      <c r="AZ8" s="1">
        <v>1366</v>
      </c>
      <c r="BA8" s="1">
        <v>3638</v>
      </c>
      <c r="BB8" s="1">
        <v>83</v>
      </c>
      <c r="BC8" s="1">
        <v>342</v>
      </c>
      <c r="BD8" s="1">
        <v>4237</v>
      </c>
      <c r="BE8" s="1">
        <v>3236</v>
      </c>
      <c r="BF8" s="1">
        <v>2771</v>
      </c>
      <c r="BG8" s="1">
        <v>2861</v>
      </c>
      <c r="BH8" s="1">
        <v>1405</v>
      </c>
      <c r="BI8" s="1">
        <v>17393</v>
      </c>
      <c r="BJ8" s="1">
        <v>4982</v>
      </c>
      <c r="BK8" s="1">
        <v>4846</v>
      </c>
      <c r="BL8" s="1">
        <v>4339</v>
      </c>
      <c r="BM8" s="1">
        <v>4497</v>
      </c>
      <c r="BN8" s="1">
        <v>2076</v>
      </c>
      <c r="BO8" s="1">
        <v>1069</v>
      </c>
      <c r="BP8" s="1">
        <v>24304</v>
      </c>
      <c r="BQ8" s="1">
        <v>2282</v>
      </c>
      <c r="BR8" s="1">
        <v>47332</v>
      </c>
      <c r="BS8" s="1">
        <v>7903</v>
      </c>
      <c r="BT8" s="1">
        <v>7336</v>
      </c>
      <c r="BU8" s="1">
        <v>23167</v>
      </c>
      <c r="BV8" s="1">
        <v>2717</v>
      </c>
      <c r="BW8" s="1">
        <v>10192</v>
      </c>
      <c r="BX8" s="1">
        <v>2068</v>
      </c>
      <c r="BY8" s="1">
        <v>4873</v>
      </c>
      <c r="BZ8" s="1">
        <v>12918</v>
      </c>
      <c r="CA8" s="1">
        <v>1957</v>
      </c>
      <c r="CB8" s="1">
        <v>829</v>
      </c>
      <c r="CC8" s="1">
        <v>4755</v>
      </c>
      <c r="CD8" s="1">
        <v>2764</v>
      </c>
      <c r="CE8" s="1">
        <v>2806</v>
      </c>
      <c r="CF8" s="1">
        <v>4914</v>
      </c>
      <c r="CG8" s="1">
        <v>65616</v>
      </c>
      <c r="CH8" s="1">
        <v>13707</v>
      </c>
      <c r="CI8" s="1">
        <v>25930</v>
      </c>
      <c r="CJ8" s="1">
        <v>4886</v>
      </c>
      <c r="CK8" s="1">
        <v>12872</v>
      </c>
      <c r="CL8" s="1">
        <v>16459</v>
      </c>
      <c r="CM8" s="1">
        <v>11798</v>
      </c>
      <c r="CN8" s="1">
        <v>31414</v>
      </c>
      <c r="CO8" s="1">
        <v>4240</v>
      </c>
      <c r="CP8" s="1">
        <v>2707</v>
      </c>
      <c r="CQ8" s="1">
        <v>2881</v>
      </c>
      <c r="CR8" s="1">
        <v>4762</v>
      </c>
      <c r="CS8" s="1">
        <v>17627</v>
      </c>
      <c r="CT8" s="1">
        <v>10820</v>
      </c>
      <c r="CU8" s="1">
        <v>1119</v>
      </c>
      <c r="CV8" s="1">
        <v>137293</v>
      </c>
      <c r="CW8" s="1">
        <v>4126</v>
      </c>
      <c r="CX8" s="1">
        <v>1267</v>
      </c>
      <c r="CY8" s="1">
        <v>16557</v>
      </c>
      <c r="CZ8" s="1">
        <v>2454</v>
      </c>
      <c r="DA8" s="1">
        <v>4519</v>
      </c>
      <c r="DB8" s="1">
        <v>7605</v>
      </c>
      <c r="DC8" s="1">
        <v>2612</v>
      </c>
      <c r="DD8" s="1">
        <v>2247</v>
      </c>
      <c r="DE8" s="1">
        <v>1446</v>
      </c>
      <c r="DF8" s="1">
        <v>29035</v>
      </c>
      <c r="DG8" s="1">
        <v>8871</v>
      </c>
      <c r="DH8" s="1">
        <v>10643</v>
      </c>
      <c r="DI8" s="1">
        <v>3223</v>
      </c>
      <c r="DJ8" s="1">
        <v>14463</v>
      </c>
      <c r="DK8" s="1">
        <v>7846</v>
      </c>
      <c r="DL8" s="1">
        <v>6342</v>
      </c>
      <c r="DM8" s="1">
        <v>8804</v>
      </c>
      <c r="DN8" s="1">
        <v>11282</v>
      </c>
      <c r="DO8" s="1">
        <v>2046</v>
      </c>
      <c r="DP8" s="1">
        <v>6224</v>
      </c>
      <c r="DQ8" s="1">
        <v>38772</v>
      </c>
      <c r="DR8" s="1">
        <v>2084</v>
      </c>
      <c r="DS8" s="1">
        <v>2434</v>
      </c>
      <c r="DT8" s="1">
        <v>501</v>
      </c>
      <c r="DU8" s="1">
        <v>6213</v>
      </c>
      <c r="DV8" s="1">
        <v>3244</v>
      </c>
      <c r="DW8" s="1">
        <v>3224</v>
      </c>
      <c r="DX8" s="1">
        <v>8538</v>
      </c>
      <c r="DY8" s="1">
        <v>1449</v>
      </c>
      <c r="DZ8" s="1">
        <v>1832</v>
      </c>
      <c r="EA8" s="1">
        <v>6649</v>
      </c>
      <c r="EB8" s="1">
        <v>5005</v>
      </c>
      <c r="EC8" s="1">
        <v>446</v>
      </c>
      <c r="ED8" s="1">
        <v>837</v>
      </c>
      <c r="EE8" s="1">
        <v>18300</v>
      </c>
      <c r="EF8" s="1">
        <v>2543</v>
      </c>
      <c r="EG8" s="1">
        <v>8226</v>
      </c>
      <c r="EH8" s="1">
        <v>15194</v>
      </c>
      <c r="EJ8" s="1">
        <f t="shared" si="0"/>
        <v>982628</v>
      </c>
    </row>
    <row r="9" spans="1:140" x14ac:dyDescent="0.25">
      <c r="A9" s="1" t="s">
        <v>145</v>
      </c>
      <c r="B9" s="1">
        <v>1938</v>
      </c>
      <c r="C9" s="1">
        <v>4485</v>
      </c>
      <c r="D9" s="1">
        <v>62</v>
      </c>
      <c r="E9" s="1">
        <v>1183</v>
      </c>
      <c r="F9" s="1">
        <v>15</v>
      </c>
      <c r="G9" s="1">
        <v>17</v>
      </c>
      <c r="H9" s="1">
        <v>11555</v>
      </c>
      <c r="I9" s="1">
        <v>60</v>
      </c>
      <c r="J9" s="1">
        <v>606</v>
      </c>
      <c r="K9" s="1">
        <v>27</v>
      </c>
      <c r="L9" s="1">
        <v>1179</v>
      </c>
      <c r="M9" s="1">
        <v>231</v>
      </c>
      <c r="N9" s="1">
        <v>9048</v>
      </c>
      <c r="O9" s="1">
        <v>1291</v>
      </c>
      <c r="P9" s="1">
        <v>1025</v>
      </c>
      <c r="Q9" s="1">
        <v>7385</v>
      </c>
      <c r="R9" s="1">
        <v>67</v>
      </c>
      <c r="S9" s="1">
        <v>1139</v>
      </c>
      <c r="T9" s="1">
        <v>2098</v>
      </c>
      <c r="U9" s="1">
        <v>1418</v>
      </c>
      <c r="V9" s="1">
        <v>3126</v>
      </c>
      <c r="W9" s="1">
        <v>2145</v>
      </c>
      <c r="X9" s="1">
        <v>368</v>
      </c>
      <c r="Y9" s="1">
        <v>780</v>
      </c>
      <c r="Z9" s="1">
        <v>577</v>
      </c>
      <c r="AA9" s="1">
        <v>475</v>
      </c>
      <c r="AB9" s="1">
        <v>3369</v>
      </c>
      <c r="AC9" s="1">
        <v>437</v>
      </c>
      <c r="AD9" s="1">
        <v>246</v>
      </c>
      <c r="AE9" s="1">
        <v>2110</v>
      </c>
      <c r="AF9" s="1">
        <v>1150</v>
      </c>
      <c r="AG9">
        <v>15956</v>
      </c>
      <c r="AH9" s="1">
        <v>176</v>
      </c>
      <c r="AI9" s="1">
        <v>2692</v>
      </c>
      <c r="AJ9" s="1">
        <v>231</v>
      </c>
      <c r="AK9" s="1">
        <v>1260</v>
      </c>
      <c r="AL9" s="1">
        <v>2846</v>
      </c>
      <c r="AM9" s="1">
        <v>737</v>
      </c>
      <c r="AN9" s="1">
        <v>248</v>
      </c>
      <c r="AO9" s="1">
        <v>11054</v>
      </c>
      <c r="AP9" s="1">
        <v>462</v>
      </c>
      <c r="AQ9" s="1">
        <v>88</v>
      </c>
      <c r="AR9" s="1">
        <v>2421</v>
      </c>
      <c r="AS9" s="1">
        <v>6918</v>
      </c>
      <c r="AT9" s="1">
        <v>635</v>
      </c>
      <c r="AU9" s="1">
        <v>3202</v>
      </c>
      <c r="AV9" s="1">
        <v>2424</v>
      </c>
      <c r="AW9" s="1">
        <v>11920</v>
      </c>
      <c r="AX9" s="1">
        <v>17770</v>
      </c>
      <c r="AY9" s="1">
        <v>49</v>
      </c>
      <c r="AZ9" s="1">
        <v>517</v>
      </c>
      <c r="BA9" s="1">
        <v>9381</v>
      </c>
      <c r="BB9" s="1">
        <v>97</v>
      </c>
      <c r="BC9" s="1">
        <v>401</v>
      </c>
      <c r="BD9" s="1">
        <v>4953</v>
      </c>
      <c r="BE9" s="1">
        <v>2797</v>
      </c>
      <c r="BF9" s="1">
        <v>2905</v>
      </c>
      <c r="BG9" s="1">
        <v>3336</v>
      </c>
      <c r="BH9" s="1">
        <v>1255</v>
      </c>
      <c r="BI9" s="1">
        <v>18698</v>
      </c>
      <c r="BJ9" s="1">
        <v>5570</v>
      </c>
      <c r="BK9" s="1">
        <v>5005</v>
      </c>
      <c r="BL9" s="1">
        <v>3687</v>
      </c>
      <c r="BM9" s="1">
        <v>4472</v>
      </c>
      <c r="BN9" s="1">
        <v>2112</v>
      </c>
      <c r="BO9" s="1">
        <v>1067</v>
      </c>
      <c r="BP9" s="1">
        <v>22333</v>
      </c>
      <c r="BQ9" s="1">
        <v>2249</v>
      </c>
      <c r="BR9" s="1">
        <v>51690</v>
      </c>
      <c r="BS9" s="1">
        <v>8240</v>
      </c>
      <c r="BT9" s="1">
        <v>7606</v>
      </c>
      <c r="BU9" s="1">
        <v>19799</v>
      </c>
      <c r="BV9" s="1">
        <v>2754</v>
      </c>
      <c r="BW9" s="1">
        <v>10556</v>
      </c>
      <c r="BX9" s="1">
        <v>2063</v>
      </c>
      <c r="BY9" s="1">
        <v>4891</v>
      </c>
      <c r="BZ9" s="1">
        <v>13774</v>
      </c>
      <c r="CA9" s="1">
        <v>2158</v>
      </c>
      <c r="CB9" s="1">
        <v>754</v>
      </c>
      <c r="CC9" s="1">
        <v>4408</v>
      </c>
      <c r="CD9" s="1">
        <v>3047</v>
      </c>
      <c r="CE9" s="1">
        <v>2288</v>
      </c>
      <c r="CF9" s="1">
        <v>5136</v>
      </c>
      <c r="CG9" s="1">
        <v>68513</v>
      </c>
      <c r="CH9" s="1">
        <v>11688</v>
      </c>
      <c r="CI9" s="1">
        <v>21545</v>
      </c>
      <c r="CJ9" s="1">
        <v>6211</v>
      </c>
      <c r="CK9" s="1">
        <v>12493</v>
      </c>
      <c r="CL9" s="1">
        <v>11090</v>
      </c>
      <c r="CM9" s="1">
        <v>12966</v>
      </c>
      <c r="CN9" s="1">
        <v>32240</v>
      </c>
      <c r="CO9" s="1">
        <v>4639</v>
      </c>
      <c r="CP9" s="1">
        <v>2861</v>
      </c>
      <c r="CQ9" s="1">
        <v>3742</v>
      </c>
      <c r="CR9" s="1">
        <v>4849</v>
      </c>
      <c r="CS9" s="1">
        <v>19320</v>
      </c>
      <c r="CT9" s="1">
        <v>12154</v>
      </c>
      <c r="CU9" s="1">
        <v>1279</v>
      </c>
      <c r="CV9" s="1">
        <v>149483</v>
      </c>
      <c r="CW9" s="1">
        <v>4496</v>
      </c>
      <c r="CX9" s="1">
        <v>1355</v>
      </c>
      <c r="CY9" s="1">
        <v>18555</v>
      </c>
      <c r="CZ9" s="1">
        <v>2692</v>
      </c>
      <c r="DA9" s="1">
        <v>5770</v>
      </c>
      <c r="DB9" s="1">
        <v>7998</v>
      </c>
      <c r="DC9" s="1">
        <v>3069</v>
      </c>
      <c r="DD9" s="1">
        <v>2741</v>
      </c>
      <c r="DE9" s="1">
        <v>1549</v>
      </c>
      <c r="DF9" s="1">
        <v>32118</v>
      </c>
      <c r="DG9" s="1">
        <v>10036</v>
      </c>
      <c r="DH9" s="1">
        <v>10876</v>
      </c>
      <c r="DI9" s="1">
        <v>3494</v>
      </c>
      <c r="DJ9" s="1">
        <v>15578</v>
      </c>
      <c r="DK9" s="1">
        <v>9475</v>
      </c>
      <c r="DL9" s="1">
        <v>7161</v>
      </c>
      <c r="DM9" s="1">
        <v>10420</v>
      </c>
      <c r="DN9" s="1">
        <v>11752</v>
      </c>
      <c r="DO9" s="1">
        <v>2001</v>
      </c>
      <c r="DP9" s="1">
        <v>5960</v>
      </c>
      <c r="DQ9" s="1">
        <v>43863</v>
      </c>
      <c r="DR9" s="1">
        <v>2284</v>
      </c>
      <c r="DS9" s="1">
        <v>3199</v>
      </c>
      <c r="DT9" s="1">
        <v>518</v>
      </c>
      <c r="DU9" s="1">
        <v>6513</v>
      </c>
      <c r="DV9" s="1">
        <v>3982</v>
      </c>
      <c r="DW9" s="1">
        <v>3596</v>
      </c>
      <c r="DX9" s="1">
        <v>8180</v>
      </c>
      <c r="DY9" s="1">
        <v>2050</v>
      </c>
      <c r="DZ9" s="1">
        <v>1920</v>
      </c>
      <c r="EA9" s="1">
        <v>6934</v>
      </c>
      <c r="EB9" s="1">
        <v>4259</v>
      </c>
      <c r="EC9" s="1">
        <v>635</v>
      </c>
      <c r="ED9" s="1">
        <v>829</v>
      </c>
      <c r="EE9" s="1">
        <v>20919</v>
      </c>
      <c r="EF9" s="1">
        <v>2342</v>
      </c>
      <c r="EG9" s="1">
        <v>7382</v>
      </c>
      <c r="EH9" s="1">
        <v>16323</v>
      </c>
      <c r="EJ9" s="1">
        <f t="shared" si="0"/>
        <v>1048597</v>
      </c>
    </row>
    <row r="10" spans="1:140" x14ac:dyDescent="0.25">
      <c r="A10" s="1" t="s">
        <v>146</v>
      </c>
      <c r="B10" s="1">
        <v>1954</v>
      </c>
      <c r="C10" s="1">
        <v>3760</v>
      </c>
      <c r="D10" s="1">
        <v>131</v>
      </c>
      <c r="E10" s="1">
        <v>909</v>
      </c>
      <c r="F10" s="1">
        <v>8</v>
      </c>
      <c r="G10" s="1">
        <v>9</v>
      </c>
      <c r="H10" s="1">
        <v>10842</v>
      </c>
      <c r="I10" s="1">
        <v>24</v>
      </c>
      <c r="J10" s="1">
        <v>653</v>
      </c>
      <c r="K10" s="1">
        <v>19</v>
      </c>
      <c r="L10" s="1">
        <v>1129</v>
      </c>
      <c r="M10" s="1">
        <v>259</v>
      </c>
      <c r="N10" s="1">
        <v>8563</v>
      </c>
      <c r="O10" s="1">
        <v>1800</v>
      </c>
      <c r="P10" s="1">
        <v>807</v>
      </c>
      <c r="Q10" s="1">
        <v>7417</v>
      </c>
      <c r="R10" s="1">
        <v>152</v>
      </c>
      <c r="S10" s="1">
        <v>999</v>
      </c>
      <c r="T10" s="1">
        <v>1530</v>
      </c>
      <c r="U10" s="1">
        <v>1288</v>
      </c>
      <c r="V10" s="1">
        <v>2537</v>
      </c>
      <c r="W10" s="1">
        <v>1637</v>
      </c>
      <c r="X10" s="1">
        <v>244</v>
      </c>
      <c r="Y10" s="1">
        <v>832</v>
      </c>
      <c r="Z10" s="1">
        <v>466</v>
      </c>
      <c r="AA10" s="1">
        <v>246</v>
      </c>
      <c r="AB10" s="1">
        <v>2793</v>
      </c>
      <c r="AC10" s="1">
        <v>409</v>
      </c>
      <c r="AD10" s="1">
        <v>211</v>
      </c>
      <c r="AE10" s="1">
        <v>1138</v>
      </c>
      <c r="AF10" s="1">
        <v>1845</v>
      </c>
      <c r="AG10">
        <v>15275</v>
      </c>
      <c r="AH10" s="1">
        <v>234</v>
      </c>
      <c r="AI10" s="1">
        <v>1444</v>
      </c>
      <c r="AJ10" s="1">
        <v>133</v>
      </c>
      <c r="AK10" s="1">
        <v>1108</v>
      </c>
      <c r="AL10" s="1">
        <v>2648</v>
      </c>
      <c r="AM10" s="1">
        <v>398</v>
      </c>
      <c r="AN10" s="1">
        <v>167</v>
      </c>
      <c r="AO10" s="1">
        <v>7813</v>
      </c>
      <c r="AP10" s="1">
        <v>346</v>
      </c>
      <c r="AQ10" s="1">
        <v>66</v>
      </c>
      <c r="AR10" s="1">
        <v>1361</v>
      </c>
      <c r="AS10" s="1">
        <v>4134</v>
      </c>
      <c r="AT10" s="1">
        <v>432</v>
      </c>
      <c r="AU10" s="1">
        <v>2225</v>
      </c>
      <c r="AV10" s="1">
        <v>2080</v>
      </c>
      <c r="AW10" s="1">
        <v>16751</v>
      </c>
      <c r="AX10" s="1">
        <v>18650</v>
      </c>
      <c r="AY10" s="1">
        <v>105</v>
      </c>
      <c r="AZ10" s="1">
        <v>565</v>
      </c>
      <c r="BA10" s="1">
        <v>35313</v>
      </c>
      <c r="BB10" s="1">
        <v>51</v>
      </c>
      <c r="BC10" s="1">
        <v>389</v>
      </c>
      <c r="BD10" s="1">
        <v>6016</v>
      </c>
      <c r="BE10" s="1">
        <v>1648</v>
      </c>
      <c r="BF10" s="1">
        <v>1688</v>
      </c>
      <c r="BG10" s="1">
        <v>3063</v>
      </c>
      <c r="BH10" s="1">
        <v>989</v>
      </c>
      <c r="BI10" s="1">
        <v>17172</v>
      </c>
      <c r="BJ10" s="1">
        <v>3116</v>
      </c>
      <c r="BK10" s="1">
        <v>3907</v>
      </c>
      <c r="BL10" s="1">
        <v>3299</v>
      </c>
      <c r="BM10" s="1">
        <v>4004</v>
      </c>
      <c r="BN10" s="1">
        <v>1440</v>
      </c>
      <c r="BO10" s="1">
        <v>733</v>
      </c>
      <c r="BP10" s="1">
        <v>19475</v>
      </c>
      <c r="BQ10" s="1">
        <v>2095</v>
      </c>
      <c r="BR10" s="1">
        <v>51518</v>
      </c>
      <c r="BS10" s="1">
        <v>7737</v>
      </c>
      <c r="BT10" s="1">
        <v>6611</v>
      </c>
      <c r="BU10" s="1">
        <v>17480</v>
      </c>
      <c r="BV10" s="1">
        <v>2426</v>
      </c>
      <c r="BW10" s="1">
        <v>9556</v>
      </c>
      <c r="BX10" s="1">
        <v>1897</v>
      </c>
      <c r="BY10" s="1">
        <v>5387</v>
      </c>
      <c r="BZ10" s="1">
        <v>13569</v>
      </c>
      <c r="CA10" s="1">
        <v>1601</v>
      </c>
      <c r="CB10" s="1">
        <v>627</v>
      </c>
      <c r="CC10" s="1">
        <v>4133</v>
      </c>
      <c r="CD10" s="1">
        <v>2763</v>
      </c>
      <c r="CE10" s="1">
        <v>1643</v>
      </c>
      <c r="CF10" s="1">
        <v>4245</v>
      </c>
      <c r="CG10" s="1">
        <v>61201</v>
      </c>
      <c r="CH10" s="1">
        <v>8974</v>
      </c>
      <c r="CI10" s="1">
        <v>19203</v>
      </c>
      <c r="CJ10" s="1">
        <v>5625</v>
      </c>
      <c r="CK10" s="1">
        <v>11618</v>
      </c>
      <c r="CL10" s="1">
        <v>9088</v>
      </c>
      <c r="CM10" s="1">
        <v>11726</v>
      </c>
      <c r="CN10" s="1">
        <v>30263</v>
      </c>
      <c r="CO10" s="1">
        <v>3843</v>
      </c>
      <c r="CP10" s="1">
        <v>2474</v>
      </c>
      <c r="CQ10" s="1">
        <v>2939</v>
      </c>
      <c r="CR10" s="1">
        <v>5048</v>
      </c>
      <c r="CS10" s="1">
        <v>18437</v>
      </c>
      <c r="CT10" s="1">
        <v>11549</v>
      </c>
      <c r="CU10" s="1">
        <v>1200</v>
      </c>
      <c r="CV10" s="1">
        <v>144955</v>
      </c>
      <c r="CW10" s="1">
        <v>4098</v>
      </c>
      <c r="CX10" s="1">
        <v>1252</v>
      </c>
      <c r="CY10" s="1">
        <v>16397</v>
      </c>
      <c r="CZ10" s="1">
        <v>2847</v>
      </c>
      <c r="DA10" s="1">
        <v>5107</v>
      </c>
      <c r="DB10" s="1">
        <v>7587</v>
      </c>
      <c r="DC10" s="1">
        <v>2551</v>
      </c>
      <c r="DD10" s="1">
        <v>2562</v>
      </c>
      <c r="DE10" s="1">
        <v>1619</v>
      </c>
      <c r="DF10" s="1">
        <v>28288</v>
      </c>
      <c r="DG10" s="1">
        <v>10177</v>
      </c>
      <c r="DH10" s="1">
        <v>11634</v>
      </c>
      <c r="DI10" s="1">
        <v>3336</v>
      </c>
      <c r="DJ10" s="1">
        <v>14967</v>
      </c>
      <c r="DK10" s="1">
        <v>8538</v>
      </c>
      <c r="DL10" s="1">
        <v>6870</v>
      </c>
      <c r="DM10" s="1">
        <v>9218</v>
      </c>
      <c r="DN10" s="1">
        <v>11160</v>
      </c>
      <c r="DO10" s="1">
        <v>1868</v>
      </c>
      <c r="DP10" s="1">
        <v>5203</v>
      </c>
      <c r="DQ10" s="1">
        <v>37696</v>
      </c>
      <c r="DR10" s="1">
        <v>2036</v>
      </c>
      <c r="DS10" s="1">
        <v>3103</v>
      </c>
      <c r="DT10" s="1">
        <v>405</v>
      </c>
      <c r="DU10" s="1">
        <v>5948</v>
      </c>
      <c r="DV10" s="1">
        <v>3081</v>
      </c>
      <c r="DW10" s="1">
        <v>3259</v>
      </c>
      <c r="DX10" s="1">
        <v>7567</v>
      </c>
      <c r="DY10" s="1">
        <v>1185</v>
      </c>
      <c r="DZ10" s="1">
        <v>1725</v>
      </c>
      <c r="EA10" s="1">
        <v>5704</v>
      </c>
      <c r="EB10" s="1">
        <v>3583</v>
      </c>
      <c r="EC10" s="1">
        <v>510</v>
      </c>
      <c r="ED10" s="1">
        <v>661</v>
      </c>
      <c r="EE10" s="1">
        <v>17904</v>
      </c>
      <c r="EF10" s="1">
        <v>2063</v>
      </c>
      <c r="EG10" s="1">
        <v>7061</v>
      </c>
      <c r="EH10" s="1">
        <v>14681</v>
      </c>
      <c r="EJ10" s="1">
        <f t="shared" si="0"/>
        <v>987731</v>
      </c>
    </row>
    <row r="11" spans="1:140" x14ac:dyDescent="0.25">
      <c r="A11" s="1" t="s">
        <v>147</v>
      </c>
      <c r="B11" s="1">
        <v>1518</v>
      </c>
      <c r="C11" s="1">
        <v>3554</v>
      </c>
      <c r="D11" s="1">
        <v>56</v>
      </c>
      <c r="E11" s="1">
        <v>849</v>
      </c>
      <c r="F11" s="1">
        <v>12</v>
      </c>
      <c r="G11" s="1">
        <v>17</v>
      </c>
      <c r="H11" s="1">
        <v>10891</v>
      </c>
      <c r="I11" s="1">
        <v>27</v>
      </c>
      <c r="J11" s="1">
        <v>657</v>
      </c>
      <c r="K11" s="1">
        <v>17</v>
      </c>
      <c r="L11" s="1">
        <v>985</v>
      </c>
      <c r="M11" s="1">
        <v>268</v>
      </c>
      <c r="N11" s="1">
        <v>8053</v>
      </c>
      <c r="O11" s="1">
        <v>1108</v>
      </c>
      <c r="P11" s="1">
        <v>650</v>
      </c>
      <c r="Q11" s="1">
        <v>6496</v>
      </c>
      <c r="R11" s="1">
        <v>143</v>
      </c>
      <c r="S11" s="1">
        <v>842</v>
      </c>
      <c r="T11" s="1">
        <v>1710</v>
      </c>
      <c r="U11" s="1">
        <v>1470</v>
      </c>
      <c r="V11" s="1">
        <v>2507</v>
      </c>
      <c r="W11" s="1">
        <v>1827</v>
      </c>
      <c r="X11" s="1">
        <v>197</v>
      </c>
      <c r="Y11" s="1">
        <v>1072</v>
      </c>
      <c r="Z11" s="1">
        <v>717</v>
      </c>
      <c r="AA11" s="1">
        <v>270</v>
      </c>
      <c r="AB11" s="1">
        <v>2684</v>
      </c>
      <c r="AC11" s="1">
        <v>331</v>
      </c>
      <c r="AD11" s="1">
        <v>183</v>
      </c>
      <c r="AE11" s="1">
        <v>1342</v>
      </c>
      <c r="AF11" s="1">
        <v>964</v>
      </c>
      <c r="AG11">
        <v>13881</v>
      </c>
      <c r="AH11" s="1">
        <v>343</v>
      </c>
      <c r="AI11" s="1">
        <v>771</v>
      </c>
      <c r="AJ11" s="1">
        <v>197</v>
      </c>
      <c r="AK11" s="1">
        <v>1669</v>
      </c>
      <c r="AL11" s="1">
        <v>2202</v>
      </c>
      <c r="AM11" s="1">
        <v>665</v>
      </c>
      <c r="AN11" s="1">
        <v>430</v>
      </c>
      <c r="AO11" s="1">
        <v>10843</v>
      </c>
      <c r="AP11" s="1">
        <v>272</v>
      </c>
      <c r="AQ11" s="1">
        <v>97</v>
      </c>
      <c r="AR11" s="1">
        <v>1781</v>
      </c>
      <c r="AS11" s="1">
        <v>3929</v>
      </c>
      <c r="AT11" s="1">
        <v>547</v>
      </c>
      <c r="AU11" s="1">
        <v>1911</v>
      </c>
      <c r="AV11" s="1">
        <v>2157</v>
      </c>
      <c r="AW11" s="1">
        <v>4624</v>
      </c>
      <c r="AX11" s="1">
        <v>14586</v>
      </c>
      <c r="AY11" s="1">
        <v>51</v>
      </c>
      <c r="AZ11" s="1">
        <v>528</v>
      </c>
      <c r="BA11" s="1">
        <v>7719</v>
      </c>
      <c r="BB11" s="1">
        <v>57</v>
      </c>
      <c r="BC11" s="1">
        <v>364</v>
      </c>
      <c r="BD11" s="1">
        <v>5194</v>
      </c>
      <c r="BE11" s="1">
        <v>2299</v>
      </c>
      <c r="BF11" s="1">
        <v>1756</v>
      </c>
      <c r="BG11" s="1">
        <v>2807</v>
      </c>
      <c r="BH11" s="1">
        <v>1167</v>
      </c>
      <c r="BI11" s="1">
        <v>16705</v>
      </c>
      <c r="BJ11" s="1">
        <v>3103</v>
      </c>
      <c r="BK11" s="1">
        <v>4089</v>
      </c>
      <c r="BL11" s="1">
        <v>3277</v>
      </c>
      <c r="BM11" s="1">
        <v>3796</v>
      </c>
      <c r="BN11" s="1">
        <v>974</v>
      </c>
      <c r="BO11" s="1">
        <v>882</v>
      </c>
      <c r="BP11" s="1">
        <v>17402</v>
      </c>
      <c r="BQ11" s="1">
        <v>2066</v>
      </c>
      <c r="BR11" s="1">
        <v>47418</v>
      </c>
      <c r="BS11" s="1">
        <v>7196</v>
      </c>
      <c r="BT11" s="1">
        <v>6704</v>
      </c>
      <c r="BU11" s="1">
        <v>13999</v>
      </c>
      <c r="BV11" s="1">
        <v>2048</v>
      </c>
      <c r="BW11" s="1">
        <v>8180</v>
      </c>
      <c r="BX11" s="1">
        <v>1787</v>
      </c>
      <c r="BY11" s="1">
        <v>4307</v>
      </c>
      <c r="BZ11" s="1">
        <v>11086</v>
      </c>
      <c r="CA11" s="1">
        <v>1680</v>
      </c>
      <c r="CB11" s="1">
        <v>554</v>
      </c>
      <c r="CC11" s="1">
        <v>3824</v>
      </c>
      <c r="CD11" s="1">
        <v>2592</v>
      </c>
      <c r="CE11" s="1">
        <v>1748</v>
      </c>
      <c r="CF11" s="1">
        <v>4598</v>
      </c>
      <c r="CG11" s="1">
        <v>59010</v>
      </c>
      <c r="CH11" s="1">
        <v>8423</v>
      </c>
      <c r="CI11" s="1">
        <v>17782</v>
      </c>
      <c r="CJ11" s="1">
        <v>4760</v>
      </c>
      <c r="CK11" s="1">
        <v>10726</v>
      </c>
      <c r="CL11" s="1">
        <v>7908</v>
      </c>
      <c r="CM11" s="1">
        <v>11355</v>
      </c>
      <c r="CN11" s="1">
        <v>27463</v>
      </c>
      <c r="CO11" s="1">
        <v>3350</v>
      </c>
      <c r="CP11" s="1">
        <v>2138</v>
      </c>
      <c r="CQ11" s="1">
        <v>2367</v>
      </c>
      <c r="CR11" s="1">
        <v>5100</v>
      </c>
      <c r="CS11" s="1">
        <v>16984</v>
      </c>
      <c r="CT11" s="1">
        <v>10830</v>
      </c>
      <c r="CU11" s="1">
        <v>1074</v>
      </c>
      <c r="CV11" s="1">
        <v>143572</v>
      </c>
      <c r="CW11" s="1">
        <v>4105</v>
      </c>
      <c r="CX11" s="1">
        <v>1258</v>
      </c>
      <c r="CY11" s="1">
        <v>14687</v>
      </c>
      <c r="CZ11" s="1">
        <v>2017</v>
      </c>
      <c r="DA11" s="1">
        <v>4899</v>
      </c>
      <c r="DB11" s="1">
        <v>7210</v>
      </c>
      <c r="DC11" s="1">
        <v>2388</v>
      </c>
      <c r="DD11" s="1">
        <v>2397</v>
      </c>
      <c r="DE11" s="1">
        <v>1448</v>
      </c>
      <c r="DF11" s="1">
        <v>30344</v>
      </c>
      <c r="DG11" s="1">
        <v>11806</v>
      </c>
      <c r="DH11" s="1">
        <v>10962</v>
      </c>
      <c r="DI11" s="1">
        <v>4959</v>
      </c>
      <c r="DJ11" s="1">
        <v>14652</v>
      </c>
      <c r="DK11" s="1">
        <v>9704</v>
      </c>
      <c r="DL11" s="1">
        <v>6360</v>
      </c>
      <c r="DM11" s="1">
        <v>9748</v>
      </c>
      <c r="DN11" s="1">
        <v>13842</v>
      </c>
      <c r="DO11" s="1">
        <v>2048</v>
      </c>
      <c r="DP11" s="1">
        <v>5588</v>
      </c>
      <c r="DQ11" s="1">
        <v>41588</v>
      </c>
      <c r="DR11" s="1">
        <v>2319</v>
      </c>
      <c r="DS11" s="1">
        <v>3574</v>
      </c>
      <c r="DT11" s="1">
        <v>480</v>
      </c>
      <c r="DU11" s="1">
        <v>6409</v>
      </c>
      <c r="DV11" s="1">
        <v>2956</v>
      </c>
      <c r="DW11" s="1">
        <v>2947</v>
      </c>
      <c r="DX11" s="1">
        <v>7506</v>
      </c>
      <c r="DY11" s="1">
        <v>1417</v>
      </c>
      <c r="DZ11" s="1">
        <v>1335</v>
      </c>
      <c r="EA11" s="1">
        <v>5860</v>
      </c>
      <c r="EB11" s="1">
        <v>3831</v>
      </c>
      <c r="EC11" s="1">
        <v>529</v>
      </c>
      <c r="ED11" s="1">
        <v>673</v>
      </c>
      <c r="EE11" s="1">
        <v>17354</v>
      </c>
      <c r="EF11" s="1">
        <v>2144</v>
      </c>
      <c r="EG11" s="1">
        <v>7183</v>
      </c>
      <c r="EH11" s="1">
        <v>15415</v>
      </c>
      <c r="EJ11" s="1">
        <f t="shared" si="0"/>
        <v>921063</v>
      </c>
    </row>
    <row r="12" spans="1:140" x14ac:dyDescent="0.25">
      <c r="A12" s="1" t="s">
        <v>148</v>
      </c>
      <c r="B12" s="1">
        <v>1561</v>
      </c>
      <c r="C12" s="1">
        <v>3679</v>
      </c>
      <c r="D12" s="1">
        <v>67</v>
      </c>
      <c r="E12" s="1">
        <v>986</v>
      </c>
      <c r="F12" s="1">
        <v>5</v>
      </c>
      <c r="G12" s="1">
        <v>2</v>
      </c>
      <c r="H12" s="1">
        <v>9700</v>
      </c>
      <c r="I12" s="1">
        <v>37</v>
      </c>
      <c r="J12" s="1">
        <v>616</v>
      </c>
      <c r="K12" s="1">
        <v>14</v>
      </c>
      <c r="L12" s="1">
        <v>943</v>
      </c>
      <c r="M12" s="1">
        <v>219</v>
      </c>
      <c r="N12" s="1">
        <v>8671</v>
      </c>
      <c r="O12" s="1">
        <v>1098</v>
      </c>
      <c r="P12" s="1">
        <v>769</v>
      </c>
      <c r="Q12" s="1">
        <v>6516</v>
      </c>
      <c r="R12" s="1">
        <v>137</v>
      </c>
      <c r="S12" s="1">
        <v>1088</v>
      </c>
      <c r="T12" s="1">
        <v>1818</v>
      </c>
      <c r="U12" s="1">
        <v>1205</v>
      </c>
      <c r="V12" s="1">
        <v>2925</v>
      </c>
      <c r="W12" s="1">
        <v>2272</v>
      </c>
      <c r="X12" s="1">
        <v>350</v>
      </c>
      <c r="Y12" s="1">
        <v>813</v>
      </c>
      <c r="Z12" s="1">
        <v>757</v>
      </c>
      <c r="AA12" s="1">
        <v>295</v>
      </c>
      <c r="AB12" s="1">
        <v>2720</v>
      </c>
      <c r="AC12" s="1">
        <v>534</v>
      </c>
      <c r="AD12" s="1">
        <v>420</v>
      </c>
      <c r="AE12" s="1">
        <v>1452</v>
      </c>
      <c r="AF12" s="1">
        <v>1222</v>
      </c>
      <c r="AG12">
        <v>16338</v>
      </c>
      <c r="AH12" s="1">
        <v>257</v>
      </c>
      <c r="AI12" s="1">
        <v>957</v>
      </c>
      <c r="AJ12" s="1">
        <v>290</v>
      </c>
      <c r="AK12" s="1">
        <v>995</v>
      </c>
      <c r="AL12" s="1">
        <v>2337</v>
      </c>
      <c r="AM12" s="1">
        <v>757</v>
      </c>
      <c r="AN12" s="1">
        <v>182</v>
      </c>
      <c r="AO12" s="1">
        <v>8005</v>
      </c>
      <c r="AP12" s="1">
        <v>350</v>
      </c>
      <c r="AQ12" s="1">
        <v>106</v>
      </c>
      <c r="AR12" s="1">
        <v>1401</v>
      </c>
      <c r="AS12" s="1">
        <v>4105</v>
      </c>
      <c r="AT12" s="1">
        <v>475</v>
      </c>
      <c r="AU12" s="1">
        <v>1903</v>
      </c>
      <c r="AV12" s="1">
        <v>2786</v>
      </c>
      <c r="AW12" s="1">
        <v>3065</v>
      </c>
      <c r="AX12" s="1">
        <v>15836</v>
      </c>
      <c r="AY12" s="1">
        <v>69</v>
      </c>
      <c r="AZ12" s="1">
        <v>481</v>
      </c>
      <c r="BA12" s="1">
        <v>7733</v>
      </c>
      <c r="BB12" s="1">
        <v>42</v>
      </c>
      <c r="BC12" s="1">
        <v>443</v>
      </c>
      <c r="BD12" s="1">
        <v>5300</v>
      </c>
      <c r="BE12" s="1">
        <v>2359</v>
      </c>
      <c r="BF12" s="1">
        <v>1305</v>
      </c>
      <c r="BG12" s="1">
        <v>2936</v>
      </c>
      <c r="BH12" s="1">
        <v>1242</v>
      </c>
      <c r="BI12" s="1">
        <v>18916</v>
      </c>
      <c r="BJ12" s="1">
        <v>2119</v>
      </c>
      <c r="BK12" s="1">
        <v>4487</v>
      </c>
      <c r="BL12" s="1">
        <v>2675</v>
      </c>
      <c r="BM12" s="1">
        <v>4461</v>
      </c>
      <c r="BN12" s="1">
        <v>693</v>
      </c>
      <c r="BO12" s="1">
        <v>708</v>
      </c>
      <c r="BP12" s="1">
        <v>15482</v>
      </c>
      <c r="BQ12" s="1">
        <v>2149</v>
      </c>
      <c r="BR12" s="1">
        <v>49515</v>
      </c>
      <c r="BS12" s="1">
        <v>7534</v>
      </c>
      <c r="BT12" s="1">
        <v>6637</v>
      </c>
      <c r="BU12" s="1">
        <v>14046</v>
      </c>
      <c r="BV12" s="1">
        <v>2013</v>
      </c>
      <c r="BW12" s="1">
        <v>8967</v>
      </c>
      <c r="BX12" s="1">
        <v>1943</v>
      </c>
      <c r="BY12" s="1">
        <v>4648</v>
      </c>
      <c r="BZ12" s="1">
        <v>14116</v>
      </c>
      <c r="CA12" s="1">
        <v>1740</v>
      </c>
      <c r="CB12" s="1">
        <v>725</v>
      </c>
      <c r="CC12" s="1">
        <v>4058</v>
      </c>
      <c r="CD12" s="1">
        <v>2717</v>
      </c>
      <c r="CE12" s="1">
        <v>2386</v>
      </c>
      <c r="CF12" s="1">
        <v>5221</v>
      </c>
      <c r="CG12" s="1">
        <v>64929</v>
      </c>
      <c r="CH12" s="1">
        <v>9173</v>
      </c>
      <c r="CI12" s="1">
        <v>15713</v>
      </c>
      <c r="CJ12" s="1">
        <v>3830</v>
      </c>
      <c r="CK12" s="1">
        <v>10225</v>
      </c>
      <c r="CL12" s="1">
        <v>7376</v>
      </c>
      <c r="CM12" s="1">
        <v>10552</v>
      </c>
      <c r="CN12" s="1">
        <v>28127</v>
      </c>
      <c r="CO12" s="1">
        <v>3589</v>
      </c>
      <c r="CP12" s="1">
        <v>2015</v>
      </c>
      <c r="CQ12" s="1">
        <v>2413</v>
      </c>
      <c r="CR12" s="1">
        <v>4947</v>
      </c>
      <c r="CS12" s="1">
        <v>17771</v>
      </c>
      <c r="CT12" s="1">
        <v>11900</v>
      </c>
      <c r="CU12" s="1">
        <v>1258</v>
      </c>
      <c r="CV12" s="1">
        <v>142247</v>
      </c>
      <c r="CW12" s="1">
        <v>3179</v>
      </c>
      <c r="CX12" s="1">
        <v>1070</v>
      </c>
      <c r="CY12" s="1">
        <v>14684</v>
      </c>
      <c r="CZ12" s="1">
        <v>1864</v>
      </c>
      <c r="DA12" s="1">
        <v>4407</v>
      </c>
      <c r="DB12" s="1">
        <v>7690</v>
      </c>
      <c r="DC12" s="1">
        <v>2446</v>
      </c>
      <c r="DD12" s="1">
        <v>2182</v>
      </c>
      <c r="DE12" s="1">
        <v>1223</v>
      </c>
      <c r="DF12" s="1">
        <v>29804</v>
      </c>
      <c r="DG12" s="1">
        <v>11007</v>
      </c>
      <c r="DH12" s="1">
        <v>9958</v>
      </c>
      <c r="DI12" s="1">
        <v>4909</v>
      </c>
      <c r="DJ12" s="1">
        <v>14328</v>
      </c>
      <c r="DK12" s="1">
        <v>10612</v>
      </c>
      <c r="DL12" s="1">
        <v>6594</v>
      </c>
      <c r="DM12" s="1">
        <v>8862</v>
      </c>
      <c r="DN12" s="1">
        <v>16331</v>
      </c>
      <c r="DO12" s="1">
        <v>2141</v>
      </c>
      <c r="DP12" s="1">
        <v>5769</v>
      </c>
      <c r="DQ12" s="1">
        <v>40377</v>
      </c>
      <c r="DR12" s="1">
        <v>2018</v>
      </c>
      <c r="DS12" s="1">
        <v>6184</v>
      </c>
      <c r="DT12" s="1">
        <v>539</v>
      </c>
      <c r="DU12" s="1">
        <v>6542</v>
      </c>
      <c r="DV12" s="1">
        <v>2724</v>
      </c>
      <c r="DW12" s="1">
        <v>3187</v>
      </c>
      <c r="DX12" s="1">
        <v>6036</v>
      </c>
      <c r="DY12" s="1">
        <v>1095</v>
      </c>
      <c r="DZ12" s="1">
        <v>1543</v>
      </c>
      <c r="EA12" s="1">
        <v>6111</v>
      </c>
      <c r="EB12" s="1">
        <v>3526</v>
      </c>
      <c r="EC12" s="1">
        <v>422</v>
      </c>
      <c r="ED12" s="1">
        <v>472</v>
      </c>
      <c r="EE12" s="1">
        <v>19671</v>
      </c>
      <c r="EF12" s="1">
        <v>1882</v>
      </c>
      <c r="EG12" s="1">
        <v>6124</v>
      </c>
      <c r="EH12" s="1">
        <v>14646</v>
      </c>
      <c r="EJ12" s="1">
        <f t="shared" si="0"/>
        <v>931126</v>
      </c>
    </row>
    <row r="13" spans="1:140" x14ac:dyDescent="0.25">
      <c r="A13" s="1" t="s">
        <v>149</v>
      </c>
      <c r="B13" s="1">
        <v>1415</v>
      </c>
      <c r="C13" s="1">
        <v>2566</v>
      </c>
      <c r="D13" s="1">
        <v>31</v>
      </c>
      <c r="E13" s="1">
        <v>889</v>
      </c>
      <c r="F13" s="1">
        <v>1</v>
      </c>
      <c r="G13" s="1">
        <v>11</v>
      </c>
      <c r="H13" s="1">
        <v>7026</v>
      </c>
      <c r="I13" s="1">
        <v>8</v>
      </c>
      <c r="J13" s="1">
        <v>405</v>
      </c>
      <c r="K13" s="1">
        <v>1</v>
      </c>
      <c r="L13" s="1">
        <v>480</v>
      </c>
      <c r="M13" s="1">
        <v>145</v>
      </c>
      <c r="N13" s="1">
        <v>7307</v>
      </c>
      <c r="O13" s="1">
        <v>887</v>
      </c>
      <c r="P13" s="1">
        <v>516</v>
      </c>
      <c r="Q13" s="1">
        <v>4305</v>
      </c>
      <c r="R13" s="1">
        <v>174</v>
      </c>
      <c r="S13" s="1">
        <v>771</v>
      </c>
      <c r="T13" s="1">
        <v>1682</v>
      </c>
      <c r="U13" s="1">
        <v>990</v>
      </c>
      <c r="V13" s="1">
        <v>2447</v>
      </c>
      <c r="W13" s="1">
        <v>1143</v>
      </c>
      <c r="X13" s="1">
        <v>197</v>
      </c>
      <c r="Y13" s="1">
        <v>416</v>
      </c>
      <c r="Z13" s="1">
        <v>203</v>
      </c>
      <c r="AA13" s="1">
        <v>268</v>
      </c>
      <c r="AB13" s="1">
        <v>2631</v>
      </c>
      <c r="AC13" s="1">
        <v>202</v>
      </c>
      <c r="AD13" s="1">
        <v>204</v>
      </c>
      <c r="AE13" s="1">
        <v>623</v>
      </c>
      <c r="AF13" s="1">
        <v>565</v>
      </c>
      <c r="AG13">
        <v>12270</v>
      </c>
      <c r="AH13" s="1">
        <v>161</v>
      </c>
      <c r="AI13" s="1">
        <v>551</v>
      </c>
      <c r="AJ13" s="1">
        <v>118</v>
      </c>
      <c r="AK13" s="1">
        <v>799</v>
      </c>
      <c r="AL13" s="1">
        <v>1498</v>
      </c>
      <c r="AM13" s="1">
        <v>449</v>
      </c>
      <c r="AN13" s="1">
        <v>128</v>
      </c>
      <c r="AO13" s="1">
        <v>7307</v>
      </c>
      <c r="AP13" s="1">
        <v>282</v>
      </c>
      <c r="AQ13" s="1">
        <v>55</v>
      </c>
      <c r="AR13" s="1">
        <v>1179</v>
      </c>
      <c r="AS13" s="1">
        <v>2985</v>
      </c>
      <c r="AT13" s="1">
        <v>316</v>
      </c>
      <c r="AU13" s="1">
        <v>995</v>
      </c>
      <c r="AV13" s="1">
        <v>1787</v>
      </c>
      <c r="AW13" s="1">
        <v>1435</v>
      </c>
      <c r="AX13" s="1">
        <v>11206</v>
      </c>
      <c r="AY13" s="1">
        <v>115</v>
      </c>
      <c r="AZ13" s="1">
        <v>317</v>
      </c>
      <c r="BA13" s="1">
        <v>5455</v>
      </c>
      <c r="BB13" s="1">
        <v>98</v>
      </c>
      <c r="BC13" s="1">
        <v>281</v>
      </c>
      <c r="BD13" s="1">
        <v>3803</v>
      </c>
      <c r="BE13" s="1">
        <v>1845</v>
      </c>
      <c r="BF13" s="1">
        <v>1393</v>
      </c>
      <c r="BG13" s="1">
        <v>2207</v>
      </c>
      <c r="BH13" s="1">
        <v>1204</v>
      </c>
      <c r="BI13" s="1">
        <v>16843</v>
      </c>
      <c r="BJ13" s="1">
        <v>1859</v>
      </c>
      <c r="BK13" s="1">
        <v>3485</v>
      </c>
      <c r="BL13" s="1">
        <v>1483</v>
      </c>
      <c r="BM13" s="1">
        <v>3605</v>
      </c>
      <c r="BN13" s="1">
        <v>688</v>
      </c>
      <c r="BO13" s="1">
        <v>648</v>
      </c>
      <c r="BP13" s="1">
        <v>13485</v>
      </c>
      <c r="BQ13" s="1">
        <v>1703</v>
      </c>
      <c r="BR13" s="1">
        <v>40187</v>
      </c>
      <c r="BS13" s="1">
        <v>6298</v>
      </c>
      <c r="BT13" s="1">
        <v>4124</v>
      </c>
      <c r="BU13" s="1">
        <v>10483</v>
      </c>
      <c r="BV13" s="1">
        <v>1477</v>
      </c>
      <c r="BW13" s="1">
        <v>7031</v>
      </c>
      <c r="BX13" s="1">
        <v>1325</v>
      </c>
      <c r="BY13" s="1">
        <v>3935</v>
      </c>
      <c r="BZ13" s="1">
        <v>11969</v>
      </c>
      <c r="CA13" s="1">
        <v>1304</v>
      </c>
      <c r="CB13" s="1">
        <v>466</v>
      </c>
      <c r="CC13" s="1">
        <v>3760</v>
      </c>
      <c r="CD13" s="1">
        <v>2050</v>
      </c>
      <c r="CE13" s="1">
        <v>2476</v>
      </c>
      <c r="CF13" s="1">
        <v>4253</v>
      </c>
      <c r="CG13" s="1">
        <v>56900</v>
      </c>
      <c r="CH13" s="1">
        <v>6212</v>
      </c>
      <c r="CI13" s="1">
        <v>11850</v>
      </c>
      <c r="CJ13" s="1">
        <v>2700</v>
      </c>
      <c r="CK13" s="1">
        <v>7634</v>
      </c>
      <c r="CL13" s="1">
        <v>5468</v>
      </c>
      <c r="CM13" s="1">
        <v>8405</v>
      </c>
      <c r="CN13" s="1">
        <v>20559</v>
      </c>
      <c r="CO13" s="1">
        <v>2697</v>
      </c>
      <c r="CP13" s="1">
        <v>1738</v>
      </c>
      <c r="CQ13" s="1">
        <v>1665</v>
      </c>
      <c r="CR13" s="1">
        <v>3939</v>
      </c>
      <c r="CS13" s="1">
        <v>13275</v>
      </c>
      <c r="CT13" s="1">
        <v>10506</v>
      </c>
      <c r="CU13" s="1">
        <v>1051</v>
      </c>
      <c r="CV13" s="1">
        <v>115254</v>
      </c>
      <c r="CW13" s="1">
        <v>2109</v>
      </c>
      <c r="CX13" s="1">
        <v>788</v>
      </c>
      <c r="CY13" s="1">
        <v>10395</v>
      </c>
      <c r="CZ13" s="1">
        <v>1336</v>
      </c>
      <c r="DA13" s="1">
        <v>3488</v>
      </c>
      <c r="DB13" s="1">
        <v>5575</v>
      </c>
      <c r="DC13" s="1">
        <v>1512</v>
      </c>
      <c r="DD13" s="1">
        <v>1453</v>
      </c>
      <c r="DE13" s="1">
        <v>964</v>
      </c>
      <c r="DF13" s="1">
        <v>23162</v>
      </c>
      <c r="DG13" s="1">
        <v>7438</v>
      </c>
      <c r="DH13" s="1">
        <v>6542</v>
      </c>
      <c r="DI13" s="1">
        <v>2329</v>
      </c>
      <c r="DJ13" s="1">
        <v>11384</v>
      </c>
      <c r="DK13" s="1">
        <v>11005</v>
      </c>
      <c r="DL13" s="1">
        <v>5751</v>
      </c>
      <c r="DM13" s="1">
        <v>7041</v>
      </c>
      <c r="DN13" s="1">
        <v>8624</v>
      </c>
      <c r="DO13" s="1">
        <v>1655</v>
      </c>
      <c r="DP13" s="1">
        <v>3905</v>
      </c>
      <c r="DQ13" s="1">
        <v>32329</v>
      </c>
      <c r="DR13" s="1">
        <v>1973</v>
      </c>
      <c r="DS13" s="1">
        <v>4927</v>
      </c>
      <c r="DT13" s="1">
        <v>416</v>
      </c>
      <c r="DU13" s="1">
        <v>4878</v>
      </c>
      <c r="DV13" s="1">
        <v>1740</v>
      </c>
      <c r="DW13" s="1">
        <v>2549</v>
      </c>
      <c r="DX13" s="1">
        <v>3732</v>
      </c>
      <c r="DY13" s="1">
        <v>766</v>
      </c>
      <c r="DZ13" s="1">
        <v>1196</v>
      </c>
      <c r="EA13" s="1">
        <v>5227</v>
      </c>
      <c r="EB13" s="1">
        <v>2557</v>
      </c>
      <c r="EC13" s="1">
        <v>289</v>
      </c>
      <c r="ED13" s="1">
        <v>436</v>
      </c>
      <c r="EE13" s="1">
        <v>14198</v>
      </c>
      <c r="EF13" s="1">
        <v>1293</v>
      </c>
      <c r="EG13" s="1">
        <v>4762</v>
      </c>
      <c r="EH13" s="1">
        <v>12557</v>
      </c>
      <c r="EJ13" s="1">
        <f t="shared" si="0"/>
        <v>725819</v>
      </c>
    </row>
    <row r="14" spans="1:140" x14ac:dyDescent="0.25">
      <c r="A14" s="1" t="s">
        <v>150</v>
      </c>
      <c r="B14" s="1">
        <v>1579</v>
      </c>
      <c r="C14" s="1">
        <v>3728</v>
      </c>
      <c r="D14" s="1">
        <v>103</v>
      </c>
      <c r="E14" s="1">
        <v>1179</v>
      </c>
      <c r="F14" s="1">
        <v>8</v>
      </c>
      <c r="G14" s="1">
        <v>13</v>
      </c>
      <c r="H14" s="1">
        <v>8902</v>
      </c>
      <c r="I14" s="1">
        <v>25</v>
      </c>
      <c r="J14" s="1">
        <v>648</v>
      </c>
      <c r="K14" s="1">
        <v>7</v>
      </c>
      <c r="L14" s="1">
        <v>858</v>
      </c>
      <c r="M14" s="1">
        <v>240</v>
      </c>
      <c r="N14" s="1">
        <v>8257</v>
      </c>
      <c r="O14" s="1">
        <v>904</v>
      </c>
      <c r="P14" s="1">
        <v>976</v>
      </c>
      <c r="Q14" s="1">
        <v>5889</v>
      </c>
      <c r="R14" s="1">
        <v>63</v>
      </c>
      <c r="S14" s="1">
        <v>1120</v>
      </c>
      <c r="T14" s="1">
        <v>1800</v>
      </c>
      <c r="U14" s="1">
        <v>1217</v>
      </c>
      <c r="V14" s="1">
        <v>3395</v>
      </c>
      <c r="W14" s="1">
        <v>2095</v>
      </c>
      <c r="X14" s="1">
        <v>320</v>
      </c>
      <c r="Y14" s="1">
        <v>550</v>
      </c>
      <c r="Z14" s="1">
        <v>373</v>
      </c>
      <c r="AA14" s="1">
        <v>472</v>
      </c>
      <c r="AB14" s="1">
        <v>3126</v>
      </c>
      <c r="AC14" s="1">
        <v>174</v>
      </c>
      <c r="AD14" s="1">
        <v>209</v>
      </c>
      <c r="AE14" s="1">
        <v>647</v>
      </c>
      <c r="AF14" s="1">
        <v>989</v>
      </c>
      <c r="AG14">
        <v>15847</v>
      </c>
      <c r="AH14" s="1">
        <v>242</v>
      </c>
      <c r="AI14" s="1">
        <v>575</v>
      </c>
      <c r="AJ14" s="1">
        <v>201</v>
      </c>
      <c r="AK14" s="1">
        <v>1012</v>
      </c>
      <c r="AL14" s="1">
        <v>1961</v>
      </c>
      <c r="AM14" s="1">
        <v>939</v>
      </c>
      <c r="AN14" s="1">
        <v>215</v>
      </c>
      <c r="AO14" s="1">
        <v>8146</v>
      </c>
      <c r="AP14" s="1">
        <v>432</v>
      </c>
      <c r="AQ14" s="1">
        <v>87</v>
      </c>
      <c r="AR14" s="1">
        <v>1765</v>
      </c>
      <c r="AS14" s="1">
        <v>3401</v>
      </c>
      <c r="AT14" s="1">
        <v>638</v>
      </c>
      <c r="AU14" s="1">
        <v>1891</v>
      </c>
      <c r="AV14" s="1">
        <v>2507</v>
      </c>
      <c r="AW14" s="1">
        <v>2139</v>
      </c>
      <c r="AX14" s="1">
        <v>15184</v>
      </c>
      <c r="AY14" s="1">
        <v>111</v>
      </c>
      <c r="AZ14" s="1">
        <v>385</v>
      </c>
      <c r="BA14" s="1">
        <v>3984</v>
      </c>
      <c r="BB14" s="1">
        <v>187</v>
      </c>
      <c r="BC14" s="1">
        <v>417</v>
      </c>
      <c r="BD14" s="1">
        <v>4747</v>
      </c>
      <c r="BE14" s="1">
        <v>4241</v>
      </c>
      <c r="BF14" s="1">
        <v>2094</v>
      </c>
      <c r="BG14" s="1">
        <v>3192</v>
      </c>
      <c r="BH14" s="1">
        <v>1543</v>
      </c>
      <c r="BI14" s="1">
        <v>19352</v>
      </c>
      <c r="BJ14" s="1">
        <v>2165</v>
      </c>
      <c r="BK14" s="1">
        <v>5394</v>
      </c>
      <c r="BL14" s="1">
        <v>2837</v>
      </c>
      <c r="BM14" s="1">
        <v>3988</v>
      </c>
      <c r="BN14" s="1">
        <v>1111</v>
      </c>
      <c r="BO14" s="1">
        <v>626</v>
      </c>
      <c r="BP14" s="1">
        <v>16497</v>
      </c>
      <c r="BQ14" s="1">
        <v>2206</v>
      </c>
      <c r="BR14" s="1">
        <v>46036</v>
      </c>
      <c r="BS14" s="1">
        <v>7466</v>
      </c>
      <c r="BT14" s="1">
        <v>5830</v>
      </c>
      <c r="BU14" s="1">
        <v>14107</v>
      </c>
      <c r="BV14" s="1">
        <v>1944</v>
      </c>
      <c r="BW14" s="1">
        <v>7289</v>
      </c>
      <c r="BX14" s="1">
        <v>1748</v>
      </c>
      <c r="BY14" s="1">
        <v>4189</v>
      </c>
      <c r="BZ14" s="1">
        <v>12874</v>
      </c>
      <c r="CA14" s="1">
        <v>1572</v>
      </c>
      <c r="CB14" s="1">
        <v>759</v>
      </c>
      <c r="CC14" s="1">
        <v>3999</v>
      </c>
      <c r="CD14" s="1">
        <v>2578</v>
      </c>
      <c r="CE14" s="1">
        <v>2843</v>
      </c>
      <c r="CF14" s="1">
        <v>4981</v>
      </c>
      <c r="CG14" s="1">
        <v>63691</v>
      </c>
      <c r="CH14" s="1">
        <v>16135</v>
      </c>
      <c r="CI14" s="1">
        <v>25058</v>
      </c>
      <c r="CJ14" s="1">
        <v>4521</v>
      </c>
      <c r="CK14" s="1">
        <v>12642</v>
      </c>
      <c r="CL14" s="1">
        <v>8034</v>
      </c>
      <c r="CM14" s="1">
        <v>13094</v>
      </c>
      <c r="CN14" s="1">
        <v>31022</v>
      </c>
      <c r="CO14" s="1">
        <v>5164</v>
      </c>
      <c r="CP14" s="1">
        <v>2477</v>
      </c>
      <c r="CQ14" s="1">
        <v>3357</v>
      </c>
      <c r="CR14" s="1">
        <v>5419</v>
      </c>
      <c r="CS14" s="1">
        <v>19095</v>
      </c>
      <c r="CT14" s="1">
        <v>12664</v>
      </c>
      <c r="CU14" s="1">
        <v>2140</v>
      </c>
      <c r="CV14" s="1">
        <v>153823</v>
      </c>
      <c r="CW14" s="1">
        <v>3377</v>
      </c>
      <c r="CX14" s="1">
        <v>1112</v>
      </c>
      <c r="CY14" s="1">
        <v>14984</v>
      </c>
      <c r="CZ14" s="1">
        <v>2206</v>
      </c>
      <c r="DA14" s="1">
        <v>5382</v>
      </c>
      <c r="DB14" s="1">
        <v>8453</v>
      </c>
      <c r="DC14" s="1">
        <v>2468</v>
      </c>
      <c r="DD14" s="1">
        <v>2760</v>
      </c>
      <c r="DE14" s="1">
        <v>1713</v>
      </c>
      <c r="DF14" s="1">
        <v>29553</v>
      </c>
      <c r="DG14" s="1">
        <v>15477</v>
      </c>
      <c r="DH14" s="1">
        <v>11357</v>
      </c>
      <c r="DI14" s="1">
        <v>5443</v>
      </c>
      <c r="DJ14" s="1">
        <v>17100</v>
      </c>
      <c r="DK14" s="1">
        <v>11148</v>
      </c>
      <c r="DL14" s="1">
        <v>7113</v>
      </c>
      <c r="DM14" s="1">
        <v>8964</v>
      </c>
      <c r="DN14" s="1">
        <v>14789</v>
      </c>
      <c r="DO14" s="1">
        <v>1937</v>
      </c>
      <c r="DP14" s="1">
        <v>7796</v>
      </c>
      <c r="DQ14" s="1">
        <v>42610</v>
      </c>
      <c r="DR14" s="1">
        <v>2172</v>
      </c>
      <c r="DS14" s="1">
        <v>3181</v>
      </c>
      <c r="DT14" s="1">
        <v>549</v>
      </c>
      <c r="DU14" s="1">
        <v>6353</v>
      </c>
      <c r="DV14" s="1">
        <v>2889</v>
      </c>
      <c r="DW14" s="1">
        <v>4961</v>
      </c>
      <c r="DX14" s="1">
        <v>7685</v>
      </c>
      <c r="DY14" s="1">
        <v>1400</v>
      </c>
      <c r="DZ14" s="1">
        <v>1536</v>
      </c>
      <c r="EA14" s="1">
        <v>6633</v>
      </c>
      <c r="EB14" s="1">
        <v>5741</v>
      </c>
      <c r="EC14" s="1">
        <v>511</v>
      </c>
      <c r="ED14" s="1">
        <v>652</v>
      </c>
      <c r="EE14" s="1">
        <v>19173</v>
      </c>
      <c r="EF14" s="1">
        <v>1856</v>
      </c>
      <c r="EG14" s="1">
        <v>6415</v>
      </c>
      <c r="EH14" s="1">
        <v>14491</v>
      </c>
      <c r="EJ14" s="1">
        <f t="shared" si="0"/>
        <v>980616</v>
      </c>
    </row>
    <row r="15" spans="1:140" x14ac:dyDescent="0.25">
      <c r="A15" s="1" t="s">
        <v>151</v>
      </c>
      <c r="B15" s="1">
        <v>1788</v>
      </c>
      <c r="C15" s="1">
        <v>3745</v>
      </c>
      <c r="D15" s="1">
        <v>57</v>
      </c>
      <c r="E15" s="1">
        <v>824</v>
      </c>
      <c r="F15" s="1">
        <v>15</v>
      </c>
      <c r="G15" s="1">
        <v>13</v>
      </c>
      <c r="H15" s="1">
        <v>8895</v>
      </c>
      <c r="I15" s="1">
        <v>28</v>
      </c>
      <c r="J15" s="1">
        <v>523</v>
      </c>
      <c r="K15" s="1">
        <v>28</v>
      </c>
      <c r="L15" s="1">
        <v>687</v>
      </c>
      <c r="M15" s="1">
        <v>235</v>
      </c>
      <c r="N15" s="1">
        <v>8234</v>
      </c>
      <c r="O15" s="1">
        <v>722</v>
      </c>
      <c r="P15" s="1">
        <v>545</v>
      </c>
      <c r="Q15" s="1">
        <v>5276</v>
      </c>
      <c r="R15" s="1">
        <v>21</v>
      </c>
      <c r="S15" s="1">
        <v>836</v>
      </c>
      <c r="T15" s="1">
        <v>2098</v>
      </c>
      <c r="U15" s="1">
        <v>1169</v>
      </c>
      <c r="V15" s="1">
        <v>2686</v>
      </c>
      <c r="W15" s="1">
        <v>2148</v>
      </c>
      <c r="X15" s="1">
        <v>267</v>
      </c>
      <c r="Y15" s="1">
        <v>637</v>
      </c>
      <c r="Z15" s="1">
        <v>321</v>
      </c>
      <c r="AA15" s="1">
        <v>356</v>
      </c>
      <c r="AB15" s="1">
        <v>3266</v>
      </c>
      <c r="AC15" s="1">
        <v>318</v>
      </c>
      <c r="AD15" s="1">
        <v>220</v>
      </c>
      <c r="AE15" s="1">
        <v>606</v>
      </c>
      <c r="AF15" s="1">
        <v>696</v>
      </c>
      <c r="AG15">
        <v>13709</v>
      </c>
      <c r="AH15" s="1">
        <v>144</v>
      </c>
      <c r="AI15" s="1">
        <v>687</v>
      </c>
      <c r="AJ15" s="1">
        <v>170</v>
      </c>
      <c r="AK15" s="1">
        <v>1063</v>
      </c>
      <c r="AL15" s="1">
        <v>1557</v>
      </c>
      <c r="AM15" s="1">
        <v>596</v>
      </c>
      <c r="AN15" s="1">
        <v>211</v>
      </c>
      <c r="AO15" s="1">
        <v>7547</v>
      </c>
      <c r="AP15" s="1">
        <v>319</v>
      </c>
      <c r="AQ15" s="1">
        <v>61</v>
      </c>
      <c r="AR15" s="1">
        <v>1316</v>
      </c>
      <c r="AS15" s="1">
        <v>3246</v>
      </c>
      <c r="AT15" s="1">
        <v>514</v>
      </c>
      <c r="AU15" s="1">
        <v>2014</v>
      </c>
      <c r="AV15" s="1">
        <v>2190</v>
      </c>
      <c r="AW15" s="1">
        <v>1265</v>
      </c>
      <c r="AX15" s="1">
        <v>13570</v>
      </c>
      <c r="AY15" s="1">
        <v>51</v>
      </c>
      <c r="AZ15" s="1">
        <v>281</v>
      </c>
      <c r="BA15" s="1">
        <v>3408</v>
      </c>
      <c r="BB15" s="1">
        <v>127</v>
      </c>
      <c r="BC15" s="1">
        <v>312</v>
      </c>
      <c r="BD15" s="1">
        <v>4468</v>
      </c>
      <c r="BE15" s="1">
        <v>3966</v>
      </c>
      <c r="BF15" s="1">
        <v>2051</v>
      </c>
      <c r="BG15" s="1">
        <v>3317</v>
      </c>
      <c r="BH15" s="1">
        <v>1054</v>
      </c>
      <c r="BI15" s="1">
        <v>17062</v>
      </c>
      <c r="BJ15" s="1">
        <v>2428</v>
      </c>
      <c r="BK15" s="1">
        <v>4188</v>
      </c>
      <c r="BL15" s="1">
        <v>3118</v>
      </c>
      <c r="BM15" s="1">
        <v>4254</v>
      </c>
      <c r="BN15" s="1">
        <v>1099</v>
      </c>
      <c r="BO15" s="1">
        <v>750</v>
      </c>
      <c r="BP15" s="1">
        <v>17044</v>
      </c>
      <c r="BQ15" s="1">
        <v>2288</v>
      </c>
      <c r="BR15" s="1">
        <v>48195</v>
      </c>
      <c r="BS15" s="1">
        <v>6746</v>
      </c>
      <c r="BT15" s="1">
        <v>6716</v>
      </c>
      <c r="BU15" s="1">
        <v>13653</v>
      </c>
      <c r="BV15" s="1">
        <v>2205</v>
      </c>
      <c r="BW15" s="1">
        <v>7695</v>
      </c>
      <c r="BX15" s="1">
        <v>1576</v>
      </c>
      <c r="BY15" s="1">
        <v>3974</v>
      </c>
      <c r="BZ15" s="1">
        <v>12224</v>
      </c>
      <c r="CA15" s="1">
        <v>1581</v>
      </c>
      <c r="CB15" s="1">
        <v>670</v>
      </c>
      <c r="CC15" s="1">
        <v>3723</v>
      </c>
      <c r="CD15" s="1">
        <v>2477</v>
      </c>
      <c r="CE15" s="1">
        <v>2028</v>
      </c>
      <c r="CF15" s="1">
        <v>5003</v>
      </c>
      <c r="CG15" s="1">
        <v>60188</v>
      </c>
      <c r="CH15" s="1">
        <v>18296</v>
      </c>
      <c r="CI15" s="1">
        <v>27090</v>
      </c>
      <c r="CJ15" s="1">
        <v>6309</v>
      </c>
      <c r="CK15" s="1">
        <v>13333</v>
      </c>
      <c r="CL15" s="1">
        <v>8899</v>
      </c>
      <c r="CM15" s="1">
        <v>11257</v>
      </c>
      <c r="CN15" s="1">
        <v>30942</v>
      </c>
      <c r="CO15" s="1">
        <v>6217</v>
      </c>
      <c r="CP15" s="1">
        <v>2711</v>
      </c>
      <c r="CQ15" s="1">
        <v>4392</v>
      </c>
      <c r="CR15" s="1">
        <v>4622</v>
      </c>
      <c r="CS15" s="1">
        <v>19278</v>
      </c>
      <c r="CT15" s="1">
        <v>12087</v>
      </c>
      <c r="CU15" s="1">
        <v>1527</v>
      </c>
      <c r="CV15" s="1">
        <v>149161</v>
      </c>
      <c r="CW15" s="1">
        <v>3759</v>
      </c>
      <c r="CX15" s="1">
        <v>1705</v>
      </c>
      <c r="CY15" s="1">
        <v>17008</v>
      </c>
      <c r="CZ15" s="1">
        <v>2242</v>
      </c>
      <c r="DA15" s="1">
        <v>5037</v>
      </c>
      <c r="DB15" s="1">
        <v>9724</v>
      </c>
      <c r="DC15" s="1">
        <v>2712</v>
      </c>
      <c r="DD15" s="1">
        <v>2670</v>
      </c>
      <c r="DE15" s="1">
        <v>1745</v>
      </c>
      <c r="DF15" s="1">
        <v>30327</v>
      </c>
      <c r="DG15" s="1">
        <v>12861</v>
      </c>
      <c r="DH15" s="1">
        <v>12448</v>
      </c>
      <c r="DI15" s="1">
        <v>5865</v>
      </c>
      <c r="DJ15" s="1">
        <v>18374</v>
      </c>
      <c r="DK15" s="1">
        <v>8957</v>
      </c>
      <c r="DL15" s="1">
        <v>6968</v>
      </c>
      <c r="DM15" s="1">
        <v>7918</v>
      </c>
      <c r="DN15" s="1">
        <v>20452</v>
      </c>
      <c r="DO15" s="1">
        <v>1579</v>
      </c>
      <c r="DP15" s="1">
        <v>9379</v>
      </c>
      <c r="DQ15" s="1">
        <v>36228</v>
      </c>
      <c r="DR15" s="1">
        <v>2372</v>
      </c>
      <c r="DS15" s="1">
        <v>2738</v>
      </c>
      <c r="DT15" s="1">
        <v>535</v>
      </c>
      <c r="DU15" s="1">
        <v>5975</v>
      </c>
      <c r="DV15" s="1">
        <v>4176</v>
      </c>
      <c r="DW15" s="1">
        <v>4269</v>
      </c>
      <c r="DX15" s="1">
        <v>7939</v>
      </c>
      <c r="DY15" s="1">
        <v>1327</v>
      </c>
      <c r="DZ15" s="1">
        <v>1521</v>
      </c>
      <c r="EA15" s="1">
        <v>6787</v>
      </c>
      <c r="EB15" s="1">
        <v>5820</v>
      </c>
      <c r="EC15" s="1">
        <v>536</v>
      </c>
      <c r="ED15" s="1">
        <v>628</v>
      </c>
      <c r="EE15" s="1">
        <v>18322</v>
      </c>
      <c r="EF15" s="1">
        <v>1879</v>
      </c>
      <c r="EG15" s="1">
        <v>9905</v>
      </c>
      <c r="EH15" s="1">
        <v>15119</v>
      </c>
      <c r="EJ15" s="1">
        <f t="shared" si="0"/>
        <v>971286</v>
      </c>
    </row>
    <row r="16" spans="1:140" x14ac:dyDescent="0.25">
      <c r="A16" s="1" t="s">
        <v>152</v>
      </c>
      <c r="B16" s="1">
        <v>2087</v>
      </c>
      <c r="C16" s="1">
        <v>3959</v>
      </c>
      <c r="D16" s="1">
        <v>90</v>
      </c>
      <c r="E16" s="1">
        <v>1184</v>
      </c>
      <c r="F16" s="1">
        <v>12</v>
      </c>
      <c r="G16" s="1">
        <v>5</v>
      </c>
      <c r="H16" s="1">
        <v>9733</v>
      </c>
      <c r="I16" s="1">
        <v>43</v>
      </c>
      <c r="J16" s="1">
        <v>650</v>
      </c>
      <c r="K16" s="1">
        <v>34</v>
      </c>
      <c r="L16" s="1">
        <v>1195</v>
      </c>
      <c r="M16" s="1">
        <v>161</v>
      </c>
      <c r="N16" s="1">
        <v>8325</v>
      </c>
      <c r="O16" s="1">
        <v>1118</v>
      </c>
      <c r="P16" s="1">
        <v>611</v>
      </c>
      <c r="Q16" s="1">
        <v>6790</v>
      </c>
      <c r="R16" s="1">
        <v>15</v>
      </c>
      <c r="S16" s="1">
        <v>1007</v>
      </c>
      <c r="T16" s="1">
        <v>1907</v>
      </c>
      <c r="U16" s="1">
        <v>1547</v>
      </c>
      <c r="V16" s="1">
        <v>3034</v>
      </c>
      <c r="W16" s="1">
        <v>2015</v>
      </c>
      <c r="X16" s="1">
        <v>348</v>
      </c>
      <c r="Y16" s="1">
        <v>738</v>
      </c>
      <c r="Z16" s="1">
        <v>1053</v>
      </c>
      <c r="AA16" s="1">
        <v>469</v>
      </c>
      <c r="AB16" s="1">
        <v>3229</v>
      </c>
      <c r="AC16" s="1">
        <v>348</v>
      </c>
      <c r="AD16" s="1">
        <v>243</v>
      </c>
      <c r="AE16" s="1">
        <v>690</v>
      </c>
      <c r="AF16" s="1">
        <v>1215</v>
      </c>
      <c r="AG16">
        <v>15322</v>
      </c>
      <c r="AH16" s="1">
        <v>278</v>
      </c>
      <c r="AI16" s="1">
        <v>606</v>
      </c>
      <c r="AJ16" s="1">
        <v>488</v>
      </c>
      <c r="AK16" s="1">
        <v>1043</v>
      </c>
      <c r="AL16" s="1">
        <v>1890</v>
      </c>
      <c r="AM16" s="1">
        <v>820</v>
      </c>
      <c r="AN16" s="1">
        <v>267</v>
      </c>
      <c r="AO16" s="1">
        <v>7895</v>
      </c>
      <c r="AP16" s="1">
        <v>476</v>
      </c>
      <c r="AQ16" s="1">
        <v>86</v>
      </c>
      <c r="AR16" s="1">
        <v>1353</v>
      </c>
      <c r="AS16" s="1">
        <v>3912</v>
      </c>
      <c r="AT16" s="1">
        <v>659</v>
      </c>
      <c r="AU16" s="1">
        <v>1670</v>
      </c>
      <c r="AV16" s="1">
        <v>2773</v>
      </c>
      <c r="AW16" s="1">
        <v>1850</v>
      </c>
      <c r="AX16" s="1">
        <v>14885</v>
      </c>
      <c r="AY16" s="1">
        <v>76</v>
      </c>
      <c r="AZ16" s="1">
        <v>406</v>
      </c>
      <c r="BA16" s="1">
        <v>3512</v>
      </c>
      <c r="BB16" s="1">
        <v>109</v>
      </c>
      <c r="BC16" s="1">
        <v>404</v>
      </c>
      <c r="BD16" s="1">
        <v>4561</v>
      </c>
      <c r="BE16" s="1">
        <v>3250</v>
      </c>
      <c r="BF16" s="1">
        <v>1752</v>
      </c>
      <c r="BG16" s="1">
        <v>3533</v>
      </c>
      <c r="BH16" s="1">
        <v>1470</v>
      </c>
      <c r="BI16" s="1">
        <v>20588</v>
      </c>
      <c r="BJ16" s="1">
        <v>2871</v>
      </c>
      <c r="BK16" s="1">
        <v>6993</v>
      </c>
      <c r="BL16" s="1">
        <v>2299</v>
      </c>
      <c r="BM16" s="1">
        <v>4820</v>
      </c>
      <c r="BN16" s="1">
        <v>1085</v>
      </c>
      <c r="BO16" s="1">
        <v>816</v>
      </c>
      <c r="BP16" s="1">
        <v>20688</v>
      </c>
      <c r="BQ16" s="1">
        <v>2368</v>
      </c>
      <c r="BR16" s="1">
        <v>53192</v>
      </c>
      <c r="BS16" s="1">
        <v>8606</v>
      </c>
      <c r="BT16" s="1">
        <v>8200</v>
      </c>
      <c r="BU16" s="1">
        <v>15895</v>
      </c>
      <c r="BV16" s="1">
        <v>2529</v>
      </c>
      <c r="BW16" s="1">
        <v>10419</v>
      </c>
      <c r="BX16" s="1">
        <v>2457</v>
      </c>
      <c r="BY16" s="1">
        <v>6022</v>
      </c>
      <c r="BZ16" s="1">
        <v>16043</v>
      </c>
      <c r="CA16" s="1">
        <v>1950</v>
      </c>
      <c r="CB16" s="1">
        <v>1123</v>
      </c>
      <c r="CC16" s="1">
        <v>4686</v>
      </c>
      <c r="CD16" s="1">
        <v>4257</v>
      </c>
      <c r="CE16" s="1">
        <v>2395</v>
      </c>
      <c r="CF16" s="1">
        <v>5345</v>
      </c>
      <c r="CG16" s="1">
        <v>70394</v>
      </c>
      <c r="CH16" s="1">
        <v>14458</v>
      </c>
      <c r="CI16" s="1">
        <v>27297</v>
      </c>
      <c r="CJ16" s="1">
        <v>8552</v>
      </c>
      <c r="CK16" s="1">
        <v>13890</v>
      </c>
      <c r="CL16" s="1">
        <v>8510</v>
      </c>
      <c r="CM16" s="1">
        <v>13226</v>
      </c>
      <c r="CN16" s="1">
        <v>32111</v>
      </c>
      <c r="CO16" s="1">
        <v>6029</v>
      </c>
      <c r="CP16" s="1">
        <v>2535</v>
      </c>
      <c r="CQ16" s="1">
        <v>4578</v>
      </c>
      <c r="CR16" s="1">
        <v>4818</v>
      </c>
      <c r="CS16" s="1">
        <v>20931</v>
      </c>
      <c r="CT16" s="1">
        <v>13002</v>
      </c>
      <c r="CU16" s="1">
        <v>1366</v>
      </c>
      <c r="CV16" s="1">
        <v>165305</v>
      </c>
      <c r="CW16" s="1">
        <v>5923</v>
      </c>
      <c r="CX16" s="1">
        <v>3286</v>
      </c>
      <c r="CY16" s="1">
        <v>20436</v>
      </c>
      <c r="CZ16" s="1">
        <v>2823</v>
      </c>
      <c r="DA16" s="1">
        <v>5528</v>
      </c>
      <c r="DB16" s="1">
        <v>10163</v>
      </c>
      <c r="DC16" s="1">
        <v>3046</v>
      </c>
      <c r="DD16" s="1">
        <v>2846</v>
      </c>
      <c r="DE16" s="1">
        <v>1940</v>
      </c>
      <c r="DF16" s="1">
        <v>33689</v>
      </c>
      <c r="DG16" s="1">
        <v>11070</v>
      </c>
      <c r="DH16" s="1">
        <v>12124</v>
      </c>
      <c r="DI16" s="1">
        <v>3722</v>
      </c>
      <c r="DJ16" s="1">
        <v>18550</v>
      </c>
      <c r="DK16" s="1">
        <v>10319</v>
      </c>
      <c r="DL16" s="1">
        <v>8298</v>
      </c>
      <c r="DM16" s="1">
        <v>9421</v>
      </c>
      <c r="DN16" s="1">
        <v>14546</v>
      </c>
      <c r="DO16" s="1">
        <v>2457</v>
      </c>
      <c r="DP16" s="1">
        <v>14704</v>
      </c>
      <c r="DQ16" s="1">
        <v>44160</v>
      </c>
      <c r="DR16" s="1">
        <v>3020</v>
      </c>
      <c r="DS16" s="1">
        <v>4643</v>
      </c>
      <c r="DT16" s="1">
        <v>608</v>
      </c>
      <c r="DU16" s="1">
        <v>7040</v>
      </c>
      <c r="DV16" s="1">
        <v>4380</v>
      </c>
      <c r="DW16" s="1">
        <v>5144</v>
      </c>
      <c r="DX16" s="1">
        <v>9038</v>
      </c>
      <c r="DY16" s="1">
        <v>1587</v>
      </c>
      <c r="DZ16" s="1">
        <v>3187</v>
      </c>
      <c r="EA16" s="1">
        <v>7160</v>
      </c>
      <c r="EB16" s="1">
        <v>5624</v>
      </c>
      <c r="EC16" s="1">
        <v>567</v>
      </c>
      <c r="ED16" s="1">
        <v>928</v>
      </c>
      <c r="EE16" s="1">
        <v>19921</v>
      </c>
      <c r="EF16" s="1">
        <v>2782</v>
      </c>
      <c r="EG16" s="1">
        <v>8204</v>
      </c>
      <c r="EH16" s="1">
        <v>17735</v>
      </c>
      <c r="EJ16" s="1">
        <f t="shared" si="0"/>
        <v>1082469</v>
      </c>
    </row>
    <row r="17" spans="1:140" x14ac:dyDescent="0.25">
      <c r="A17" s="1" t="s">
        <v>153</v>
      </c>
      <c r="B17" s="1">
        <v>2061</v>
      </c>
      <c r="C17" s="1">
        <v>3624</v>
      </c>
      <c r="D17" s="1">
        <v>91</v>
      </c>
      <c r="E17" s="1">
        <v>969</v>
      </c>
      <c r="F17" s="1">
        <v>5</v>
      </c>
      <c r="G17" s="1">
        <v>5</v>
      </c>
      <c r="H17" s="1">
        <v>11407</v>
      </c>
      <c r="I17" s="1">
        <v>33</v>
      </c>
      <c r="J17" s="1">
        <v>687</v>
      </c>
      <c r="K17" s="1">
        <v>28</v>
      </c>
      <c r="L17" s="1">
        <v>812</v>
      </c>
      <c r="M17" s="1">
        <v>215</v>
      </c>
      <c r="N17" s="1">
        <v>8402</v>
      </c>
      <c r="O17" s="1">
        <v>1121</v>
      </c>
      <c r="P17" s="1">
        <v>461</v>
      </c>
      <c r="Q17" s="1">
        <v>6590</v>
      </c>
      <c r="R17" s="1">
        <v>34</v>
      </c>
      <c r="S17" s="1">
        <v>792</v>
      </c>
      <c r="T17" s="1">
        <v>2359</v>
      </c>
      <c r="U17" s="1">
        <v>1621</v>
      </c>
      <c r="V17" s="1">
        <v>3405</v>
      </c>
      <c r="W17" s="1">
        <v>2570</v>
      </c>
      <c r="X17" s="1">
        <v>641</v>
      </c>
      <c r="Y17" s="1">
        <v>597</v>
      </c>
      <c r="Z17" s="1">
        <v>2060</v>
      </c>
      <c r="AA17" s="1">
        <v>418</v>
      </c>
      <c r="AB17" s="1">
        <v>3880</v>
      </c>
      <c r="AC17" s="1">
        <v>313</v>
      </c>
      <c r="AD17" s="1">
        <v>237</v>
      </c>
      <c r="AE17" s="1">
        <v>791</v>
      </c>
      <c r="AF17" s="1">
        <v>817</v>
      </c>
      <c r="AG17">
        <v>14195</v>
      </c>
      <c r="AH17" s="1">
        <v>173</v>
      </c>
      <c r="AI17" s="1">
        <v>541</v>
      </c>
      <c r="AJ17" s="1">
        <v>172</v>
      </c>
      <c r="AK17" s="1">
        <v>1025</v>
      </c>
      <c r="AL17" s="1">
        <v>1619</v>
      </c>
      <c r="AM17" s="1">
        <v>753</v>
      </c>
      <c r="AN17" s="1">
        <v>245</v>
      </c>
      <c r="AO17" s="1">
        <v>8586</v>
      </c>
      <c r="AP17" s="1">
        <v>365</v>
      </c>
      <c r="AQ17" s="1">
        <v>126</v>
      </c>
      <c r="AR17" s="1">
        <v>1412</v>
      </c>
      <c r="AS17" s="1">
        <v>3683</v>
      </c>
      <c r="AT17" s="1">
        <v>644</v>
      </c>
      <c r="AU17" s="1">
        <v>1755</v>
      </c>
      <c r="AV17" s="1">
        <v>2702</v>
      </c>
      <c r="AW17" s="1">
        <v>2268</v>
      </c>
      <c r="AX17" s="1">
        <v>15153</v>
      </c>
      <c r="AY17" s="1">
        <v>76</v>
      </c>
      <c r="AZ17" s="1">
        <v>391</v>
      </c>
      <c r="BA17" s="1">
        <v>4109</v>
      </c>
      <c r="BB17" s="1">
        <v>89</v>
      </c>
      <c r="BC17" s="1">
        <v>542</v>
      </c>
      <c r="BD17" s="1">
        <v>4720</v>
      </c>
      <c r="BE17" s="1">
        <v>3320</v>
      </c>
      <c r="BF17" s="1">
        <v>2720</v>
      </c>
      <c r="BG17" s="1">
        <v>3318</v>
      </c>
      <c r="BH17" s="1">
        <v>1656</v>
      </c>
      <c r="BI17" s="1">
        <v>22048</v>
      </c>
      <c r="BJ17" s="1">
        <v>2397</v>
      </c>
      <c r="BK17" s="1">
        <v>6877</v>
      </c>
      <c r="BL17" s="1">
        <v>2795</v>
      </c>
      <c r="BM17" s="1">
        <v>4681</v>
      </c>
      <c r="BN17" s="1">
        <v>1172</v>
      </c>
      <c r="BO17" s="1">
        <v>1218</v>
      </c>
      <c r="BP17" s="1">
        <v>22036</v>
      </c>
      <c r="BQ17" s="1">
        <v>2396</v>
      </c>
      <c r="BR17" s="1">
        <v>52544</v>
      </c>
      <c r="BS17" s="1">
        <v>8427</v>
      </c>
      <c r="BT17" s="1">
        <v>7840</v>
      </c>
      <c r="BU17" s="1">
        <v>18405</v>
      </c>
      <c r="BV17" s="1">
        <v>2497</v>
      </c>
      <c r="BW17" s="1">
        <v>9650</v>
      </c>
      <c r="BX17" s="1">
        <v>2680</v>
      </c>
      <c r="BY17" s="1">
        <v>9457</v>
      </c>
      <c r="BZ17" s="1">
        <v>14695</v>
      </c>
      <c r="CA17" s="1">
        <v>2624</v>
      </c>
      <c r="CB17" s="1">
        <v>848</v>
      </c>
      <c r="CC17" s="1">
        <v>5727</v>
      </c>
      <c r="CD17" s="1">
        <v>3509</v>
      </c>
      <c r="CE17" s="1">
        <v>2213</v>
      </c>
      <c r="CF17" s="1">
        <v>5462</v>
      </c>
      <c r="CG17" s="1">
        <v>69588</v>
      </c>
      <c r="CH17" s="1">
        <v>17580</v>
      </c>
      <c r="CI17" s="1">
        <v>40687</v>
      </c>
      <c r="CJ17" s="1">
        <v>10794</v>
      </c>
      <c r="CK17" s="1">
        <v>22640</v>
      </c>
      <c r="CL17" s="1">
        <v>13171</v>
      </c>
      <c r="CM17" s="1">
        <v>18218</v>
      </c>
      <c r="CN17" s="1">
        <v>37003</v>
      </c>
      <c r="CO17" s="1">
        <v>7367</v>
      </c>
      <c r="CP17" s="1">
        <v>2391</v>
      </c>
      <c r="CQ17" s="1">
        <v>8575</v>
      </c>
      <c r="CR17" s="1">
        <v>5391</v>
      </c>
      <c r="CS17" s="1">
        <v>19767</v>
      </c>
      <c r="CT17" s="1">
        <v>11964</v>
      </c>
      <c r="CU17" s="1">
        <v>1393</v>
      </c>
      <c r="CV17" s="1">
        <v>160197</v>
      </c>
      <c r="CW17" s="1">
        <v>9774</v>
      </c>
      <c r="CX17" s="1">
        <v>1688</v>
      </c>
      <c r="CY17" s="1">
        <v>22304</v>
      </c>
      <c r="CZ17" s="1">
        <v>6216</v>
      </c>
      <c r="DA17" s="1">
        <v>4486</v>
      </c>
      <c r="DB17" s="1">
        <v>8837</v>
      </c>
      <c r="DC17" s="1">
        <v>2660</v>
      </c>
      <c r="DD17" s="1">
        <v>2371</v>
      </c>
      <c r="DE17" s="1">
        <v>1604</v>
      </c>
      <c r="DF17" s="1">
        <v>31473</v>
      </c>
      <c r="DG17" s="1">
        <v>9932</v>
      </c>
      <c r="DH17" s="1">
        <v>10858</v>
      </c>
      <c r="DI17" s="1">
        <v>3933</v>
      </c>
      <c r="DJ17" s="1">
        <v>16613</v>
      </c>
      <c r="DK17" s="1">
        <v>9640</v>
      </c>
      <c r="DL17" s="1">
        <v>7207</v>
      </c>
      <c r="DM17" s="1">
        <v>7621</v>
      </c>
      <c r="DN17" s="1">
        <v>14739</v>
      </c>
      <c r="DO17" s="1">
        <v>1997</v>
      </c>
      <c r="DP17" s="1">
        <v>8026</v>
      </c>
      <c r="DQ17" s="1">
        <v>39718</v>
      </c>
      <c r="DR17" s="1">
        <v>1743</v>
      </c>
      <c r="DS17" s="1">
        <v>2929</v>
      </c>
      <c r="DT17" s="1">
        <v>622</v>
      </c>
      <c r="DU17" s="1">
        <v>7354</v>
      </c>
      <c r="DV17" s="1">
        <v>3691</v>
      </c>
      <c r="DW17" s="1">
        <v>3787</v>
      </c>
      <c r="DX17" s="1">
        <v>6578</v>
      </c>
      <c r="DY17" s="1">
        <v>1058</v>
      </c>
      <c r="DZ17" s="1">
        <v>3838</v>
      </c>
      <c r="EA17" s="1">
        <v>6518</v>
      </c>
      <c r="EB17" s="1">
        <v>4960</v>
      </c>
      <c r="EC17" s="1">
        <v>523</v>
      </c>
      <c r="ED17" s="1">
        <v>870</v>
      </c>
      <c r="EE17" s="1">
        <v>23633</v>
      </c>
      <c r="EF17" s="1">
        <v>2819</v>
      </c>
      <c r="EG17" s="1">
        <v>8752</v>
      </c>
      <c r="EH17" s="1">
        <v>16330</v>
      </c>
      <c r="EJ17" s="1">
        <f t="shared" si="0"/>
        <v>1110030</v>
      </c>
    </row>
    <row r="18" spans="1:140" x14ac:dyDescent="0.25">
      <c r="A18" s="1" t="s">
        <v>154</v>
      </c>
      <c r="B18" s="1">
        <v>2181</v>
      </c>
      <c r="C18" s="1">
        <v>4366</v>
      </c>
      <c r="D18" s="1">
        <v>119</v>
      </c>
      <c r="E18" s="1">
        <v>1288</v>
      </c>
      <c r="F18" s="1">
        <v>0</v>
      </c>
      <c r="G18" s="1">
        <v>18</v>
      </c>
      <c r="H18" s="1">
        <v>11003</v>
      </c>
      <c r="I18" s="1">
        <v>45</v>
      </c>
      <c r="J18" s="1">
        <v>708</v>
      </c>
      <c r="K18" s="1">
        <v>31</v>
      </c>
      <c r="L18" s="1">
        <v>985</v>
      </c>
      <c r="M18" s="1">
        <v>133</v>
      </c>
      <c r="N18" s="1">
        <v>8360</v>
      </c>
      <c r="O18" s="1">
        <v>853</v>
      </c>
      <c r="P18" s="1">
        <v>494</v>
      </c>
      <c r="Q18" s="1">
        <v>7000</v>
      </c>
      <c r="R18" s="1">
        <v>35</v>
      </c>
      <c r="S18" s="1">
        <v>1031</v>
      </c>
      <c r="T18" s="1">
        <v>2376</v>
      </c>
      <c r="U18" s="1">
        <v>1544</v>
      </c>
      <c r="V18" s="1">
        <v>3277</v>
      </c>
      <c r="W18" s="1">
        <v>2695</v>
      </c>
      <c r="X18" s="1">
        <v>367</v>
      </c>
      <c r="Y18" s="1">
        <v>878</v>
      </c>
      <c r="Z18" s="1">
        <v>636</v>
      </c>
      <c r="AA18" s="1">
        <v>586</v>
      </c>
      <c r="AB18" s="1">
        <v>3270</v>
      </c>
      <c r="AC18" s="1">
        <v>426</v>
      </c>
      <c r="AD18" s="1">
        <v>225</v>
      </c>
      <c r="AE18" s="1">
        <v>942</v>
      </c>
      <c r="AF18" s="1">
        <v>904</v>
      </c>
      <c r="AG18">
        <v>14763</v>
      </c>
      <c r="AH18" s="1">
        <v>323</v>
      </c>
      <c r="AI18" s="1">
        <v>963</v>
      </c>
      <c r="AJ18" s="1">
        <v>196</v>
      </c>
      <c r="AK18" s="1">
        <v>1145</v>
      </c>
      <c r="AL18" s="1">
        <v>2253</v>
      </c>
      <c r="AM18" s="1">
        <v>981</v>
      </c>
      <c r="AN18" s="1">
        <v>292</v>
      </c>
      <c r="AO18" s="1">
        <v>8407</v>
      </c>
      <c r="AP18" s="1">
        <v>375</v>
      </c>
      <c r="AQ18" s="1">
        <v>80</v>
      </c>
      <c r="AR18" s="1">
        <v>1774</v>
      </c>
      <c r="AS18" s="1">
        <v>4465</v>
      </c>
      <c r="AT18" s="1">
        <v>979</v>
      </c>
      <c r="AU18" s="1">
        <v>1539</v>
      </c>
      <c r="AV18" s="1">
        <v>2886</v>
      </c>
      <c r="AW18" s="1">
        <v>7029</v>
      </c>
      <c r="AX18" s="1">
        <v>14788</v>
      </c>
      <c r="AY18" s="1">
        <v>66</v>
      </c>
      <c r="AZ18" s="1">
        <v>477</v>
      </c>
      <c r="BA18" s="1">
        <v>5367</v>
      </c>
      <c r="BB18" s="1">
        <v>206</v>
      </c>
      <c r="BC18" s="1">
        <v>622</v>
      </c>
      <c r="BD18" s="1">
        <v>5031</v>
      </c>
      <c r="BE18" s="1">
        <v>4464</v>
      </c>
      <c r="BF18" s="1">
        <v>1921</v>
      </c>
      <c r="BG18" s="1">
        <v>3576</v>
      </c>
      <c r="BH18" s="1">
        <v>1671</v>
      </c>
      <c r="BI18" s="1">
        <v>19734</v>
      </c>
      <c r="BJ18" s="1">
        <v>3629</v>
      </c>
      <c r="BK18" s="1">
        <v>7460</v>
      </c>
      <c r="BL18" s="1">
        <v>2725</v>
      </c>
      <c r="BM18" s="1">
        <v>4885</v>
      </c>
      <c r="BN18" s="1">
        <v>1128</v>
      </c>
      <c r="BO18" s="1">
        <v>2122</v>
      </c>
      <c r="BP18" s="1">
        <v>21791</v>
      </c>
      <c r="BQ18" s="1">
        <v>3880</v>
      </c>
      <c r="BR18" s="1">
        <v>54181</v>
      </c>
      <c r="BS18" s="1">
        <v>9362</v>
      </c>
      <c r="BT18" s="1">
        <v>9431</v>
      </c>
      <c r="BU18" s="1">
        <v>26127</v>
      </c>
      <c r="BV18" s="1">
        <v>2820</v>
      </c>
      <c r="BW18" s="1">
        <v>12837</v>
      </c>
      <c r="BX18" s="1">
        <v>3817</v>
      </c>
      <c r="BY18" s="1">
        <v>9900</v>
      </c>
      <c r="BZ18" s="1">
        <v>13751</v>
      </c>
      <c r="CA18" s="1">
        <v>2255</v>
      </c>
      <c r="CB18" s="1">
        <v>1075</v>
      </c>
      <c r="CC18" s="1">
        <v>9416</v>
      </c>
      <c r="CD18" s="1">
        <v>2741</v>
      </c>
      <c r="CE18" s="1">
        <v>2313</v>
      </c>
      <c r="CF18" s="1">
        <v>5445</v>
      </c>
      <c r="CG18" s="1">
        <v>70947</v>
      </c>
      <c r="CH18" s="1">
        <v>17200</v>
      </c>
      <c r="CI18" s="1">
        <v>32326</v>
      </c>
      <c r="CJ18" s="1">
        <v>8083</v>
      </c>
      <c r="CK18" s="1">
        <v>16988</v>
      </c>
      <c r="CL18" s="1">
        <v>10192</v>
      </c>
      <c r="CM18" s="1">
        <v>17318</v>
      </c>
      <c r="CN18" s="1">
        <v>34386</v>
      </c>
      <c r="CO18" s="1">
        <v>7063</v>
      </c>
      <c r="CP18" s="1">
        <v>3709</v>
      </c>
      <c r="CQ18" s="1">
        <v>5096</v>
      </c>
      <c r="CR18" s="1">
        <v>5285</v>
      </c>
      <c r="CS18" s="1">
        <v>18863</v>
      </c>
      <c r="CT18" s="1">
        <v>12555</v>
      </c>
      <c r="CU18" s="1">
        <v>1385</v>
      </c>
      <c r="CV18" s="1">
        <v>162486</v>
      </c>
      <c r="CW18" s="1">
        <v>5050</v>
      </c>
      <c r="CX18" s="1">
        <v>1501</v>
      </c>
      <c r="CY18" s="1">
        <v>19864</v>
      </c>
      <c r="CZ18" s="1">
        <v>6192</v>
      </c>
      <c r="DA18" s="1">
        <v>4870</v>
      </c>
      <c r="DB18" s="1">
        <v>8284</v>
      </c>
      <c r="DC18" s="1">
        <v>2740</v>
      </c>
      <c r="DD18" s="1">
        <v>2071</v>
      </c>
      <c r="DE18" s="1">
        <v>1430</v>
      </c>
      <c r="DF18" s="1">
        <v>31198</v>
      </c>
      <c r="DG18" s="1">
        <v>9600</v>
      </c>
      <c r="DH18" s="1">
        <v>10840</v>
      </c>
      <c r="DI18" s="1">
        <v>2932</v>
      </c>
      <c r="DJ18" s="1">
        <v>16153</v>
      </c>
      <c r="DK18" s="1">
        <v>10055</v>
      </c>
      <c r="DL18" s="1">
        <v>7103</v>
      </c>
      <c r="DM18" s="1">
        <v>8157</v>
      </c>
      <c r="DN18" s="1">
        <v>11009</v>
      </c>
      <c r="DO18" s="1">
        <v>1863</v>
      </c>
      <c r="DP18" s="1">
        <v>7235</v>
      </c>
      <c r="DQ18" s="1">
        <v>38167</v>
      </c>
      <c r="DR18" s="1">
        <v>1780</v>
      </c>
      <c r="DS18" s="1">
        <v>2953</v>
      </c>
      <c r="DT18" s="1">
        <v>579</v>
      </c>
      <c r="DU18" s="1">
        <v>6863</v>
      </c>
      <c r="DV18" s="1">
        <v>3603</v>
      </c>
      <c r="DW18" s="1">
        <v>4654</v>
      </c>
      <c r="DX18" s="1">
        <v>6941</v>
      </c>
      <c r="DY18" s="1">
        <v>1441</v>
      </c>
      <c r="DZ18" s="1">
        <v>4418</v>
      </c>
      <c r="EA18" s="1">
        <v>6530</v>
      </c>
      <c r="EB18" s="1">
        <v>3905</v>
      </c>
      <c r="EC18" s="1">
        <v>637</v>
      </c>
      <c r="ED18" s="1">
        <v>903</v>
      </c>
      <c r="EE18" s="1">
        <v>22585</v>
      </c>
      <c r="EF18" s="1">
        <v>2227</v>
      </c>
      <c r="EG18" s="1">
        <v>8276</v>
      </c>
      <c r="EH18" s="1">
        <v>16521</v>
      </c>
      <c r="EJ18" s="1">
        <f t="shared" si="0"/>
        <v>1101252</v>
      </c>
    </row>
    <row r="19" spans="1:140" x14ac:dyDescent="0.25">
      <c r="A19" s="1" t="s">
        <v>155</v>
      </c>
      <c r="B19" s="1">
        <v>2196</v>
      </c>
      <c r="C19" s="1">
        <v>5060</v>
      </c>
      <c r="D19" s="1">
        <v>178</v>
      </c>
      <c r="E19" s="1">
        <v>1507</v>
      </c>
      <c r="F19" s="1">
        <v>4</v>
      </c>
      <c r="G19" s="1">
        <v>6</v>
      </c>
      <c r="H19" s="1">
        <v>11802</v>
      </c>
      <c r="I19" s="1">
        <v>56</v>
      </c>
      <c r="J19" s="1">
        <v>743</v>
      </c>
      <c r="K19" s="1">
        <v>55</v>
      </c>
      <c r="L19" s="1">
        <v>944</v>
      </c>
      <c r="M19" s="1">
        <v>216</v>
      </c>
      <c r="N19" s="1">
        <v>9022</v>
      </c>
      <c r="O19" s="1">
        <v>1315</v>
      </c>
      <c r="P19" s="1">
        <v>641</v>
      </c>
      <c r="Q19" s="1">
        <v>7547</v>
      </c>
      <c r="R19" s="1">
        <v>29</v>
      </c>
      <c r="S19" s="1">
        <v>1178</v>
      </c>
      <c r="T19" s="1">
        <v>2669</v>
      </c>
      <c r="U19" s="1">
        <v>2028</v>
      </c>
      <c r="V19" s="1">
        <v>3560</v>
      </c>
      <c r="W19" s="1">
        <v>2382</v>
      </c>
      <c r="X19" s="1">
        <v>529</v>
      </c>
      <c r="Y19" s="1">
        <v>913</v>
      </c>
      <c r="Z19" s="1">
        <v>804</v>
      </c>
      <c r="AA19" s="1">
        <v>412</v>
      </c>
      <c r="AB19" s="1">
        <v>3569</v>
      </c>
      <c r="AC19" s="1">
        <v>362</v>
      </c>
      <c r="AD19" s="1">
        <v>292</v>
      </c>
      <c r="AE19" s="1">
        <v>1226</v>
      </c>
      <c r="AF19" s="1">
        <v>1144</v>
      </c>
      <c r="AG19">
        <v>15823</v>
      </c>
      <c r="AH19" s="1">
        <v>295</v>
      </c>
      <c r="AI19" s="1">
        <v>1169</v>
      </c>
      <c r="AJ19" s="1">
        <v>300</v>
      </c>
      <c r="AK19" s="1">
        <v>1105</v>
      </c>
      <c r="AL19" s="1">
        <v>2137</v>
      </c>
      <c r="AM19" s="1">
        <v>819</v>
      </c>
      <c r="AN19" s="1">
        <v>189</v>
      </c>
      <c r="AO19" s="1">
        <v>7147</v>
      </c>
      <c r="AP19" s="1">
        <v>444</v>
      </c>
      <c r="AQ19" s="1">
        <v>58</v>
      </c>
      <c r="AR19" s="1">
        <v>1360</v>
      </c>
      <c r="AS19" s="1">
        <v>4445</v>
      </c>
      <c r="AT19" s="1">
        <v>607</v>
      </c>
      <c r="AU19" s="1">
        <v>2755</v>
      </c>
      <c r="AV19" s="1">
        <v>2788</v>
      </c>
      <c r="AW19" s="1">
        <v>4187</v>
      </c>
      <c r="AX19" s="1">
        <v>13223</v>
      </c>
      <c r="AY19" s="1">
        <v>80</v>
      </c>
      <c r="AZ19" s="1">
        <v>742</v>
      </c>
      <c r="BA19" s="1">
        <v>6177</v>
      </c>
      <c r="BB19" s="1">
        <v>163</v>
      </c>
      <c r="BC19" s="1">
        <v>405</v>
      </c>
      <c r="BD19" s="1">
        <v>4595</v>
      </c>
      <c r="BE19" s="1">
        <v>5254</v>
      </c>
      <c r="BF19" s="1">
        <v>2749</v>
      </c>
      <c r="BG19" s="1">
        <v>3115</v>
      </c>
      <c r="BH19" s="1">
        <v>1543</v>
      </c>
      <c r="BI19" s="1">
        <v>20098</v>
      </c>
      <c r="BJ19" s="1">
        <v>4779</v>
      </c>
      <c r="BK19" s="1">
        <v>5848</v>
      </c>
      <c r="BL19" s="1">
        <v>4397</v>
      </c>
      <c r="BM19" s="1">
        <v>5223</v>
      </c>
      <c r="BN19" s="1">
        <v>2587</v>
      </c>
      <c r="BO19" s="1">
        <v>1396</v>
      </c>
      <c r="BP19" s="1">
        <v>34315</v>
      </c>
      <c r="BQ19" s="1">
        <v>3053</v>
      </c>
      <c r="BR19" s="1">
        <v>53685</v>
      </c>
      <c r="BS19" s="1">
        <v>10285</v>
      </c>
      <c r="BT19" s="1">
        <v>10287</v>
      </c>
      <c r="BU19" s="1">
        <v>33033</v>
      </c>
      <c r="BV19" s="1">
        <v>3461</v>
      </c>
      <c r="BW19" s="1">
        <v>12658</v>
      </c>
      <c r="BX19" s="1">
        <v>3151</v>
      </c>
      <c r="BY19" s="1">
        <v>6362</v>
      </c>
      <c r="BZ19" s="1">
        <v>14509</v>
      </c>
      <c r="CA19" s="1">
        <v>1963</v>
      </c>
      <c r="CB19" s="1">
        <v>1032</v>
      </c>
      <c r="CC19" s="1">
        <v>5619</v>
      </c>
      <c r="CD19" s="1">
        <v>3463</v>
      </c>
      <c r="CE19" s="1">
        <v>2672</v>
      </c>
      <c r="CF19" s="1">
        <v>5425</v>
      </c>
      <c r="CG19" s="1">
        <v>70534</v>
      </c>
      <c r="CH19" s="1">
        <v>13063</v>
      </c>
      <c r="CI19" s="1">
        <v>32936</v>
      </c>
      <c r="CJ19" s="1">
        <v>5190</v>
      </c>
      <c r="CK19" s="1">
        <v>14286</v>
      </c>
      <c r="CL19" s="1">
        <v>12486</v>
      </c>
      <c r="CM19" s="1">
        <v>13923</v>
      </c>
      <c r="CN19" s="1">
        <v>33717</v>
      </c>
      <c r="CO19" s="1">
        <v>5311</v>
      </c>
      <c r="CP19" s="1">
        <v>3008</v>
      </c>
      <c r="CQ19" s="1">
        <v>4044</v>
      </c>
      <c r="CR19" s="1">
        <v>5944</v>
      </c>
      <c r="CS19" s="1">
        <v>19481</v>
      </c>
      <c r="CT19" s="1">
        <v>11814</v>
      </c>
      <c r="CU19" s="1">
        <v>1194</v>
      </c>
      <c r="CV19" s="1">
        <v>161964</v>
      </c>
      <c r="CW19" s="1">
        <v>4813</v>
      </c>
      <c r="CX19" s="1">
        <v>1394</v>
      </c>
      <c r="CY19" s="1">
        <v>17292</v>
      </c>
      <c r="CZ19" s="1">
        <v>3080</v>
      </c>
      <c r="DA19" s="1">
        <v>4655</v>
      </c>
      <c r="DB19" s="1">
        <v>8127</v>
      </c>
      <c r="DC19" s="1">
        <v>2418</v>
      </c>
      <c r="DD19" s="1">
        <v>2102</v>
      </c>
      <c r="DE19" s="1">
        <v>1490</v>
      </c>
      <c r="DF19" s="1">
        <v>30929</v>
      </c>
      <c r="DG19" s="1">
        <v>9610</v>
      </c>
      <c r="DH19" s="1">
        <v>10216</v>
      </c>
      <c r="DI19" s="1">
        <v>3221</v>
      </c>
      <c r="DJ19" s="1">
        <v>16379</v>
      </c>
      <c r="DK19" s="1">
        <v>9175</v>
      </c>
      <c r="DL19" s="1">
        <v>6980</v>
      </c>
      <c r="DM19" s="1">
        <v>7624</v>
      </c>
      <c r="DN19" s="1">
        <v>10646</v>
      </c>
      <c r="DO19" s="1">
        <v>1810</v>
      </c>
      <c r="DP19" s="1">
        <v>5098</v>
      </c>
      <c r="DQ19" s="1">
        <v>37544</v>
      </c>
      <c r="DR19" s="1">
        <v>1868</v>
      </c>
      <c r="DS19" s="1">
        <v>2856</v>
      </c>
      <c r="DT19" s="1">
        <v>628</v>
      </c>
      <c r="DU19" s="1">
        <v>6359</v>
      </c>
      <c r="DV19" s="1">
        <v>3325</v>
      </c>
      <c r="DW19" s="1">
        <v>3473</v>
      </c>
      <c r="DX19" s="1">
        <v>7179</v>
      </c>
      <c r="DY19" s="1">
        <v>1906</v>
      </c>
      <c r="DZ19" s="1">
        <v>2354</v>
      </c>
      <c r="EA19" s="1">
        <v>6676</v>
      </c>
      <c r="EB19" s="1">
        <v>4405</v>
      </c>
      <c r="EC19" s="1">
        <v>561</v>
      </c>
      <c r="ED19" s="1">
        <v>1014</v>
      </c>
      <c r="EE19" s="1">
        <v>21976</v>
      </c>
      <c r="EF19" s="1">
        <v>2104</v>
      </c>
      <c r="EG19" s="1">
        <v>7743</v>
      </c>
      <c r="EH19" s="1">
        <v>16659</v>
      </c>
      <c r="EJ19" s="1">
        <f t="shared" si="0"/>
        <v>1089948</v>
      </c>
    </row>
    <row r="20" spans="1:140" x14ac:dyDescent="0.25">
      <c r="A20" s="1" t="s">
        <v>156</v>
      </c>
      <c r="B20" s="1">
        <v>1919</v>
      </c>
      <c r="C20" s="1">
        <v>4140</v>
      </c>
      <c r="D20" s="1">
        <v>149</v>
      </c>
      <c r="E20" s="1">
        <v>1409</v>
      </c>
      <c r="F20" s="1">
        <v>6</v>
      </c>
      <c r="G20" s="1">
        <v>30</v>
      </c>
      <c r="H20" s="1">
        <v>12388</v>
      </c>
      <c r="I20" s="1">
        <v>53</v>
      </c>
      <c r="J20" s="1">
        <v>614</v>
      </c>
      <c r="K20" s="1">
        <v>23</v>
      </c>
      <c r="L20" s="1">
        <v>936</v>
      </c>
      <c r="M20" s="1">
        <v>252</v>
      </c>
      <c r="N20" s="1">
        <v>7634</v>
      </c>
      <c r="O20" s="1">
        <v>1084</v>
      </c>
      <c r="P20" s="1">
        <v>452</v>
      </c>
      <c r="Q20" s="1">
        <v>6002</v>
      </c>
      <c r="R20" s="1">
        <v>120</v>
      </c>
      <c r="S20" s="1">
        <v>1308</v>
      </c>
      <c r="T20" s="1">
        <v>1851</v>
      </c>
      <c r="U20" s="1">
        <v>1627</v>
      </c>
      <c r="V20" s="1">
        <v>2929</v>
      </c>
      <c r="W20" s="1">
        <v>1991</v>
      </c>
      <c r="X20" s="1">
        <v>229</v>
      </c>
      <c r="Y20" s="1">
        <v>1365</v>
      </c>
      <c r="Z20" s="1">
        <v>475</v>
      </c>
      <c r="AA20" s="1">
        <v>402</v>
      </c>
      <c r="AB20" s="1">
        <v>3965</v>
      </c>
      <c r="AC20" s="1">
        <v>410</v>
      </c>
      <c r="AD20" s="1">
        <v>259</v>
      </c>
      <c r="AE20" s="1">
        <v>1340</v>
      </c>
      <c r="AF20" s="1">
        <v>1161</v>
      </c>
      <c r="AG20">
        <v>14745</v>
      </c>
      <c r="AH20" s="1">
        <v>258</v>
      </c>
      <c r="AI20" s="1">
        <v>1197</v>
      </c>
      <c r="AJ20" s="1">
        <v>168</v>
      </c>
      <c r="AK20" s="1">
        <v>1629</v>
      </c>
      <c r="AL20" s="1">
        <v>2400</v>
      </c>
      <c r="AM20" s="1">
        <v>577</v>
      </c>
      <c r="AN20" s="1">
        <v>259</v>
      </c>
      <c r="AO20" s="1">
        <v>6845</v>
      </c>
      <c r="AP20" s="1">
        <v>417</v>
      </c>
      <c r="AQ20" s="1">
        <v>89</v>
      </c>
      <c r="AR20" s="1">
        <v>1384</v>
      </c>
      <c r="AS20" s="1">
        <v>4226</v>
      </c>
      <c r="AT20" s="1">
        <v>595</v>
      </c>
      <c r="AU20" s="1">
        <v>3924</v>
      </c>
      <c r="AV20" s="1">
        <v>2608</v>
      </c>
      <c r="AW20" s="1">
        <v>2315</v>
      </c>
      <c r="AX20" s="1">
        <v>13732</v>
      </c>
      <c r="AY20" s="1">
        <v>89</v>
      </c>
      <c r="AZ20" s="1">
        <v>1045</v>
      </c>
      <c r="BA20" s="1">
        <v>5159</v>
      </c>
      <c r="BB20" s="1">
        <v>235</v>
      </c>
      <c r="BC20" s="1">
        <v>314</v>
      </c>
      <c r="BD20" s="1">
        <v>4672</v>
      </c>
      <c r="BE20" s="1">
        <v>4554</v>
      </c>
      <c r="BF20" s="1">
        <v>2993</v>
      </c>
      <c r="BG20" s="1">
        <v>2757</v>
      </c>
      <c r="BH20" s="1">
        <v>1448</v>
      </c>
      <c r="BI20" s="1">
        <v>21885</v>
      </c>
      <c r="BJ20" s="1">
        <v>4370</v>
      </c>
      <c r="BK20" s="1">
        <v>4339</v>
      </c>
      <c r="BL20" s="1">
        <v>3468</v>
      </c>
      <c r="BM20" s="1">
        <v>4587</v>
      </c>
      <c r="BN20" s="1">
        <v>1911</v>
      </c>
      <c r="BO20" s="1">
        <v>938</v>
      </c>
      <c r="BP20" s="1">
        <v>28755</v>
      </c>
      <c r="BQ20" s="1">
        <v>2252</v>
      </c>
      <c r="BR20" s="1">
        <v>51791</v>
      </c>
      <c r="BS20" s="1">
        <v>8892</v>
      </c>
      <c r="BT20" s="1">
        <v>7640</v>
      </c>
      <c r="BU20" s="1">
        <v>20563</v>
      </c>
      <c r="BV20" s="1">
        <v>2745</v>
      </c>
      <c r="BW20" s="1">
        <v>10729</v>
      </c>
      <c r="BX20" s="1">
        <v>2176</v>
      </c>
      <c r="BY20" s="1">
        <v>4951</v>
      </c>
      <c r="BZ20" s="1">
        <v>15202</v>
      </c>
      <c r="CA20" s="1">
        <v>2234</v>
      </c>
      <c r="CB20" s="1">
        <v>806</v>
      </c>
      <c r="CC20" s="1">
        <v>5213</v>
      </c>
      <c r="CD20" s="1">
        <v>4800</v>
      </c>
      <c r="CE20" s="1">
        <v>2379</v>
      </c>
      <c r="CF20" s="1">
        <v>4767</v>
      </c>
      <c r="CG20" s="1">
        <v>66579</v>
      </c>
      <c r="CH20" s="1">
        <v>12349</v>
      </c>
      <c r="CI20" s="1">
        <v>26041</v>
      </c>
      <c r="CJ20" s="1">
        <v>4655</v>
      </c>
      <c r="CK20" s="1">
        <v>13119</v>
      </c>
      <c r="CL20" s="1">
        <v>13062</v>
      </c>
      <c r="CM20" s="1">
        <v>12913</v>
      </c>
      <c r="CN20" s="1">
        <v>31924</v>
      </c>
      <c r="CO20" s="1">
        <v>4278</v>
      </c>
      <c r="CP20" s="1">
        <v>2461</v>
      </c>
      <c r="CQ20" s="1">
        <v>3239</v>
      </c>
      <c r="CR20" s="1">
        <v>5437</v>
      </c>
      <c r="CS20" s="1">
        <v>17940</v>
      </c>
      <c r="CT20" s="1">
        <v>13739</v>
      </c>
      <c r="CU20" s="1">
        <v>1146</v>
      </c>
      <c r="CV20" s="1">
        <v>156263</v>
      </c>
      <c r="CW20" s="1">
        <v>4040</v>
      </c>
      <c r="CX20" s="1">
        <v>1090</v>
      </c>
      <c r="CY20" s="1">
        <v>16858</v>
      </c>
      <c r="CZ20" s="1">
        <v>2333</v>
      </c>
      <c r="DA20" s="1">
        <v>4431</v>
      </c>
      <c r="DB20" s="1">
        <v>7735</v>
      </c>
      <c r="DC20" s="1">
        <v>2269</v>
      </c>
      <c r="DD20" s="1">
        <v>1921</v>
      </c>
      <c r="DE20" s="1">
        <v>1372</v>
      </c>
      <c r="DF20" s="1">
        <v>29286</v>
      </c>
      <c r="DG20" s="1">
        <v>9243</v>
      </c>
      <c r="DH20" s="1">
        <v>9996</v>
      </c>
      <c r="DI20" s="1">
        <v>2823</v>
      </c>
      <c r="DJ20" s="1">
        <v>14783</v>
      </c>
      <c r="DK20" s="1">
        <v>8894</v>
      </c>
      <c r="DL20" s="1">
        <v>6534</v>
      </c>
      <c r="DM20" s="1">
        <v>7268</v>
      </c>
      <c r="DN20" s="1">
        <v>9913</v>
      </c>
      <c r="DO20" s="1">
        <v>1632</v>
      </c>
      <c r="DP20" s="1">
        <v>3947</v>
      </c>
      <c r="DQ20" s="1">
        <v>34311</v>
      </c>
      <c r="DR20" s="1">
        <v>1880</v>
      </c>
      <c r="DS20" s="1">
        <v>2566</v>
      </c>
      <c r="DT20" s="1">
        <v>737</v>
      </c>
      <c r="DU20" s="1">
        <v>5883</v>
      </c>
      <c r="DV20" s="1">
        <v>3448</v>
      </c>
      <c r="DW20" s="1">
        <v>3273</v>
      </c>
      <c r="DX20" s="1">
        <v>5261</v>
      </c>
      <c r="DY20" s="1">
        <v>1250</v>
      </c>
      <c r="DZ20" s="1">
        <v>1777</v>
      </c>
      <c r="EA20" s="1">
        <v>5800</v>
      </c>
      <c r="EB20" s="1">
        <v>3707</v>
      </c>
      <c r="EC20" s="1">
        <v>662</v>
      </c>
      <c r="ED20" s="1">
        <v>705</v>
      </c>
      <c r="EE20" s="1">
        <v>21689</v>
      </c>
      <c r="EF20" s="1">
        <v>2352</v>
      </c>
      <c r="EG20" s="1">
        <v>7072</v>
      </c>
      <c r="EH20" s="1">
        <v>16266</v>
      </c>
      <c r="EJ20" s="1">
        <f t="shared" si="0"/>
        <v>1004702</v>
      </c>
    </row>
    <row r="21" spans="1:140" x14ac:dyDescent="0.25">
      <c r="A21" s="1" t="s">
        <v>157</v>
      </c>
      <c r="B21" s="1">
        <v>2227</v>
      </c>
      <c r="C21" s="1">
        <v>4395</v>
      </c>
      <c r="D21" s="1">
        <v>123</v>
      </c>
      <c r="E21" s="1">
        <v>1109</v>
      </c>
      <c r="F21" s="1">
        <v>299</v>
      </c>
      <c r="G21" s="1">
        <v>12</v>
      </c>
      <c r="H21" s="1">
        <v>14015</v>
      </c>
      <c r="I21" s="1">
        <v>29</v>
      </c>
      <c r="J21" s="1">
        <v>662</v>
      </c>
      <c r="K21" s="1">
        <v>18</v>
      </c>
      <c r="L21" s="1">
        <v>909</v>
      </c>
      <c r="M21" s="1">
        <v>127</v>
      </c>
      <c r="N21" s="1">
        <v>9198</v>
      </c>
      <c r="O21" s="1">
        <v>1134</v>
      </c>
      <c r="P21" s="1">
        <v>620</v>
      </c>
      <c r="Q21" s="1">
        <v>6632</v>
      </c>
      <c r="R21" s="1">
        <v>270</v>
      </c>
      <c r="S21" s="1">
        <v>1599</v>
      </c>
      <c r="T21" s="1">
        <v>2077</v>
      </c>
      <c r="U21" s="1">
        <v>1784</v>
      </c>
      <c r="V21" s="1">
        <v>3545</v>
      </c>
      <c r="W21" s="1">
        <v>2100</v>
      </c>
      <c r="X21" s="1">
        <v>505</v>
      </c>
      <c r="Y21" s="1">
        <v>460</v>
      </c>
      <c r="Z21" s="1">
        <v>475</v>
      </c>
      <c r="AA21" s="1">
        <v>411</v>
      </c>
      <c r="AB21" s="1">
        <v>3805</v>
      </c>
      <c r="AC21" s="1">
        <v>680</v>
      </c>
      <c r="AD21" s="1">
        <v>273</v>
      </c>
      <c r="AE21" s="1">
        <v>1597</v>
      </c>
      <c r="AF21" s="1">
        <v>1672</v>
      </c>
      <c r="AG21">
        <v>16059</v>
      </c>
      <c r="AH21" s="1">
        <v>297</v>
      </c>
      <c r="AI21" s="1">
        <v>1975</v>
      </c>
      <c r="AJ21" s="1">
        <v>191</v>
      </c>
      <c r="AK21" s="1">
        <v>1351</v>
      </c>
      <c r="AL21" s="1">
        <v>3070</v>
      </c>
      <c r="AM21" s="1">
        <v>530</v>
      </c>
      <c r="AN21" s="1">
        <v>191</v>
      </c>
      <c r="AO21" s="1">
        <v>8717</v>
      </c>
      <c r="AP21" s="1">
        <v>418</v>
      </c>
      <c r="AQ21" s="1">
        <v>110</v>
      </c>
      <c r="AR21" s="1">
        <v>1418</v>
      </c>
      <c r="AS21" s="1">
        <v>9571</v>
      </c>
      <c r="AT21" s="1">
        <v>610</v>
      </c>
      <c r="AU21" s="1">
        <v>3938</v>
      </c>
      <c r="AV21" s="1">
        <v>2948</v>
      </c>
      <c r="AW21" s="1">
        <v>3624</v>
      </c>
      <c r="AX21" s="1">
        <v>16254</v>
      </c>
      <c r="AY21" s="1">
        <v>108</v>
      </c>
      <c r="AZ21" s="1">
        <v>621</v>
      </c>
      <c r="BA21" s="1">
        <v>5306</v>
      </c>
      <c r="BB21" s="1">
        <v>191</v>
      </c>
      <c r="BC21" s="1">
        <v>613</v>
      </c>
      <c r="BD21" s="1">
        <v>4446</v>
      </c>
      <c r="BE21" s="1">
        <v>2689</v>
      </c>
      <c r="BF21" s="1">
        <v>3187</v>
      </c>
      <c r="BG21" s="1">
        <v>3207</v>
      </c>
      <c r="BH21" s="1">
        <v>1326</v>
      </c>
      <c r="BI21" s="1">
        <v>22990</v>
      </c>
      <c r="BJ21" s="1">
        <v>3252</v>
      </c>
      <c r="BK21" s="1">
        <v>4259</v>
      </c>
      <c r="BL21" s="1">
        <v>4076</v>
      </c>
      <c r="BM21" s="1">
        <v>4909</v>
      </c>
      <c r="BN21" s="1">
        <v>1321</v>
      </c>
      <c r="BO21" s="1">
        <v>953</v>
      </c>
      <c r="BP21" s="1">
        <v>24970</v>
      </c>
      <c r="BQ21" s="1">
        <v>2475</v>
      </c>
      <c r="BR21" s="1">
        <v>58598</v>
      </c>
      <c r="BS21" s="1">
        <v>8326</v>
      </c>
      <c r="BT21" s="1">
        <v>7557</v>
      </c>
      <c r="BU21" s="1">
        <v>19984</v>
      </c>
      <c r="BV21" s="1">
        <v>3015</v>
      </c>
      <c r="BW21" s="1">
        <v>11388</v>
      </c>
      <c r="BX21" s="1">
        <v>2488</v>
      </c>
      <c r="BY21" s="1">
        <v>5811</v>
      </c>
      <c r="BZ21" s="1">
        <v>15449</v>
      </c>
      <c r="CA21" s="1">
        <v>1966</v>
      </c>
      <c r="CB21" s="1">
        <v>845</v>
      </c>
      <c r="CC21" s="1">
        <v>5061</v>
      </c>
      <c r="CD21" s="1">
        <v>3042</v>
      </c>
      <c r="CE21" s="1">
        <v>2219</v>
      </c>
      <c r="CF21" s="1">
        <v>5201</v>
      </c>
      <c r="CG21" s="1">
        <v>72082</v>
      </c>
      <c r="CH21" s="1">
        <v>11048</v>
      </c>
      <c r="CI21" s="1">
        <v>22343</v>
      </c>
      <c r="CJ21" s="1">
        <v>5512</v>
      </c>
      <c r="CK21" s="1">
        <v>12808</v>
      </c>
      <c r="CL21" s="1">
        <v>10400</v>
      </c>
      <c r="CM21" s="1">
        <v>13122</v>
      </c>
      <c r="CN21" s="1">
        <v>34339</v>
      </c>
      <c r="CO21" s="1">
        <v>4517</v>
      </c>
      <c r="CP21" s="1">
        <v>2772</v>
      </c>
      <c r="CQ21" s="1">
        <v>3518</v>
      </c>
      <c r="CR21" s="1">
        <v>5190</v>
      </c>
      <c r="CS21" s="1">
        <v>22585</v>
      </c>
      <c r="CT21" s="1">
        <v>14085</v>
      </c>
      <c r="CU21" s="1">
        <v>1278</v>
      </c>
      <c r="CV21" s="1">
        <v>171411</v>
      </c>
      <c r="CW21" s="1">
        <v>3848</v>
      </c>
      <c r="CX21" s="1">
        <v>1181</v>
      </c>
      <c r="CY21" s="1">
        <v>18054</v>
      </c>
      <c r="CZ21" s="1">
        <v>2503</v>
      </c>
      <c r="DA21" s="1">
        <v>6029</v>
      </c>
      <c r="DB21" s="1">
        <v>9108</v>
      </c>
      <c r="DC21" s="1">
        <v>2305</v>
      </c>
      <c r="DD21" s="1">
        <v>2552</v>
      </c>
      <c r="DE21" s="1">
        <v>1760</v>
      </c>
      <c r="DF21" s="1">
        <v>30644</v>
      </c>
      <c r="DG21" s="1">
        <v>10001</v>
      </c>
      <c r="DH21" s="1">
        <v>10620</v>
      </c>
      <c r="DI21" s="1">
        <v>3168</v>
      </c>
      <c r="DJ21" s="1">
        <v>16784</v>
      </c>
      <c r="DK21" s="1">
        <v>9611</v>
      </c>
      <c r="DL21" s="1">
        <v>6863</v>
      </c>
      <c r="DM21" s="1">
        <v>8428</v>
      </c>
      <c r="DN21" s="1">
        <v>10019</v>
      </c>
      <c r="DO21" s="1">
        <v>1994</v>
      </c>
      <c r="DP21" s="1">
        <v>4741</v>
      </c>
      <c r="DQ21" s="1">
        <v>38868</v>
      </c>
      <c r="DR21" s="1">
        <v>2089</v>
      </c>
      <c r="DS21" s="1">
        <v>2993</v>
      </c>
      <c r="DT21" s="1">
        <v>606</v>
      </c>
      <c r="DU21" s="1">
        <v>6488</v>
      </c>
      <c r="DV21" s="1">
        <v>3052</v>
      </c>
      <c r="DW21" s="1">
        <v>3575</v>
      </c>
      <c r="DX21" s="1">
        <v>5936</v>
      </c>
      <c r="DY21" s="1">
        <v>1096</v>
      </c>
      <c r="DZ21" s="1">
        <v>2084</v>
      </c>
      <c r="EA21" s="1">
        <v>6570</v>
      </c>
      <c r="EB21" s="1">
        <v>2904</v>
      </c>
      <c r="EC21" s="1">
        <v>770</v>
      </c>
      <c r="ED21" s="1">
        <v>696</v>
      </c>
      <c r="EE21" s="1">
        <v>23471</v>
      </c>
      <c r="EF21" s="1">
        <v>2641</v>
      </c>
      <c r="EG21" s="1">
        <v>6727</v>
      </c>
      <c r="EH21" s="1">
        <v>18124</v>
      </c>
      <c r="EJ21" s="1">
        <f t="shared" si="0"/>
        <v>1071796</v>
      </c>
    </row>
    <row r="22" spans="1:140" x14ac:dyDescent="0.25">
      <c r="A22" s="1" t="s">
        <v>158</v>
      </c>
      <c r="B22" s="1">
        <v>2456</v>
      </c>
      <c r="C22" s="1">
        <v>3883</v>
      </c>
      <c r="D22" s="1">
        <v>141</v>
      </c>
      <c r="E22" s="1">
        <v>1293</v>
      </c>
      <c r="F22" s="1">
        <v>22</v>
      </c>
      <c r="G22" s="1">
        <v>12</v>
      </c>
      <c r="H22" s="1">
        <v>12189</v>
      </c>
      <c r="I22" s="1">
        <v>52</v>
      </c>
      <c r="J22" s="1">
        <v>888</v>
      </c>
      <c r="K22" s="1">
        <v>13</v>
      </c>
      <c r="L22" s="1">
        <v>831</v>
      </c>
      <c r="M22" s="1">
        <v>167</v>
      </c>
      <c r="N22" s="1">
        <v>9795</v>
      </c>
      <c r="O22" s="1">
        <v>2268</v>
      </c>
      <c r="P22" s="1">
        <v>562</v>
      </c>
      <c r="Q22" s="1">
        <v>7052</v>
      </c>
      <c r="R22" s="1">
        <v>144</v>
      </c>
      <c r="S22" s="1">
        <v>1388</v>
      </c>
      <c r="T22" s="1">
        <v>1980</v>
      </c>
      <c r="U22" s="1">
        <v>1741</v>
      </c>
      <c r="V22" s="1">
        <v>3234</v>
      </c>
      <c r="W22" s="1">
        <v>2156</v>
      </c>
      <c r="X22" s="1">
        <v>372</v>
      </c>
      <c r="Y22" s="1">
        <v>483</v>
      </c>
      <c r="Z22" s="1">
        <v>491</v>
      </c>
      <c r="AA22" s="1">
        <v>384</v>
      </c>
      <c r="AB22" s="1">
        <v>3709</v>
      </c>
      <c r="AC22" s="1">
        <v>424</v>
      </c>
      <c r="AD22" s="1">
        <v>215</v>
      </c>
      <c r="AE22" s="1">
        <v>1582</v>
      </c>
      <c r="AF22" s="1">
        <v>1724</v>
      </c>
      <c r="AG22">
        <v>15759</v>
      </c>
      <c r="AH22" s="1">
        <v>262</v>
      </c>
      <c r="AI22" s="1">
        <v>2215</v>
      </c>
      <c r="AJ22" s="1">
        <v>270</v>
      </c>
      <c r="AK22" s="1">
        <v>1250</v>
      </c>
      <c r="AL22" s="1">
        <v>3228</v>
      </c>
      <c r="AM22" s="1">
        <v>545</v>
      </c>
      <c r="AN22" s="1">
        <v>245</v>
      </c>
      <c r="AO22" s="1">
        <v>11533</v>
      </c>
      <c r="AP22" s="1">
        <v>399</v>
      </c>
      <c r="AQ22" s="1">
        <v>98</v>
      </c>
      <c r="AR22" s="1">
        <v>1626</v>
      </c>
      <c r="AS22" s="1">
        <v>7259</v>
      </c>
      <c r="AT22" s="1">
        <v>831</v>
      </c>
      <c r="AU22" s="1">
        <v>3398</v>
      </c>
      <c r="AV22" s="1">
        <v>2740</v>
      </c>
      <c r="AW22" s="1">
        <v>23620</v>
      </c>
      <c r="AX22" s="1">
        <v>22815</v>
      </c>
      <c r="AY22" s="1">
        <v>75</v>
      </c>
      <c r="AZ22" s="1">
        <v>584</v>
      </c>
      <c r="BA22" s="1">
        <v>34618</v>
      </c>
      <c r="BB22" s="1">
        <v>187</v>
      </c>
      <c r="BC22" s="1">
        <v>366</v>
      </c>
      <c r="BD22" s="1">
        <v>4716</v>
      </c>
      <c r="BE22" s="1">
        <v>2062</v>
      </c>
      <c r="BF22" s="1">
        <v>2786</v>
      </c>
      <c r="BG22" s="1">
        <v>3425</v>
      </c>
      <c r="BH22" s="1">
        <v>1282</v>
      </c>
      <c r="BI22" s="1">
        <v>23555</v>
      </c>
      <c r="BJ22" s="1">
        <v>2868</v>
      </c>
      <c r="BK22" s="1">
        <v>4949</v>
      </c>
      <c r="BL22" s="1">
        <v>2692</v>
      </c>
      <c r="BM22" s="1">
        <v>4380</v>
      </c>
      <c r="BN22" s="1">
        <v>1004</v>
      </c>
      <c r="BO22" s="1">
        <v>1072</v>
      </c>
      <c r="BP22" s="1">
        <v>20973</v>
      </c>
      <c r="BQ22" s="1">
        <v>2497</v>
      </c>
      <c r="BR22" s="1">
        <v>55075</v>
      </c>
      <c r="BS22" s="1">
        <v>9069</v>
      </c>
      <c r="BT22" s="1">
        <v>7294</v>
      </c>
      <c r="BU22" s="1">
        <v>15424</v>
      </c>
      <c r="BV22" s="1">
        <v>2409</v>
      </c>
      <c r="BW22" s="1">
        <v>10417</v>
      </c>
      <c r="BX22" s="1">
        <v>2219</v>
      </c>
      <c r="BY22" s="1">
        <v>4476</v>
      </c>
      <c r="BZ22" s="1">
        <v>14927</v>
      </c>
      <c r="CA22" s="1">
        <v>1879</v>
      </c>
      <c r="CB22" s="1">
        <v>856</v>
      </c>
      <c r="CC22" s="1">
        <v>4435</v>
      </c>
      <c r="CD22" s="1">
        <v>2817</v>
      </c>
      <c r="CE22" s="1">
        <v>2194</v>
      </c>
      <c r="CF22" s="1">
        <v>4836</v>
      </c>
      <c r="CG22" s="1">
        <v>69065</v>
      </c>
      <c r="CH22" s="1">
        <v>10003</v>
      </c>
      <c r="CI22" s="1">
        <v>20207</v>
      </c>
      <c r="CJ22" s="1">
        <v>5791</v>
      </c>
      <c r="CK22" s="1">
        <v>11467</v>
      </c>
      <c r="CL22" s="1">
        <v>7371</v>
      </c>
      <c r="CM22" s="1">
        <v>12248</v>
      </c>
      <c r="CN22" s="1">
        <v>31712</v>
      </c>
      <c r="CO22" s="1">
        <v>4223</v>
      </c>
      <c r="CP22" s="1">
        <v>2453</v>
      </c>
      <c r="CQ22" s="1">
        <v>3193</v>
      </c>
      <c r="CR22" s="1">
        <v>5425</v>
      </c>
      <c r="CS22" s="1">
        <v>20785</v>
      </c>
      <c r="CT22" s="1">
        <v>12901</v>
      </c>
      <c r="CU22" s="1">
        <v>1297</v>
      </c>
      <c r="CV22" s="1">
        <v>159751</v>
      </c>
      <c r="CW22" s="1">
        <v>3149</v>
      </c>
      <c r="CX22" s="1">
        <v>1107</v>
      </c>
      <c r="CY22" s="1">
        <v>16325</v>
      </c>
      <c r="CZ22" s="1">
        <v>1991</v>
      </c>
      <c r="DA22" s="1">
        <v>4586</v>
      </c>
      <c r="DB22" s="1">
        <v>8126</v>
      </c>
      <c r="DC22" s="1">
        <v>2450</v>
      </c>
      <c r="DD22" s="1">
        <v>2177</v>
      </c>
      <c r="DE22" s="1">
        <v>1965</v>
      </c>
      <c r="DF22" s="1">
        <v>29423</v>
      </c>
      <c r="DG22" s="1">
        <v>9489</v>
      </c>
      <c r="DH22" s="1">
        <v>9741</v>
      </c>
      <c r="DI22" s="1">
        <v>3197</v>
      </c>
      <c r="DJ22" s="1">
        <v>15917</v>
      </c>
      <c r="DK22" s="1">
        <v>8857</v>
      </c>
      <c r="DL22" s="1">
        <v>6896</v>
      </c>
      <c r="DM22" s="1">
        <v>7680</v>
      </c>
      <c r="DN22" s="1">
        <v>9248</v>
      </c>
      <c r="DO22" s="1">
        <v>1590</v>
      </c>
      <c r="DP22" s="1">
        <v>4666</v>
      </c>
      <c r="DQ22" s="1">
        <v>35888</v>
      </c>
      <c r="DR22" s="1">
        <v>1825</v>
      </c>
      <c r="DS22" s="1">
        <v>2822</v>
      </c>
      <c r="DT22" s="1">
        <v>602</v>
      </c>
      <c r="DU22" s="1">
        <v>6192</v>
      </c>
      <c r="DV22" s="1">
        <v>2655</v>
      </c>
      <c r="DW22" s="1">
        <v>2881</v>
      </c>
      <c r="DX22" s="1">
        <v>5428</v>
      </c>
      <c r="DY22" s="1">
        <v>1080</v>
      </c>
      <c r="DZ22" s="1">
        <v>1586</v>
      </c>
      <c r="EA22" s="1">
        <v>6467</v>
      </c>
      <c r="EB22" s="1">
        <v>2930</v>
      </c>
      <c r="EC22" s="1">
        <v>772</v>
      </c>
      <c r="ED22" s="1">
        <v>748</v>
      </c>
      <c r="EE22" s="1">
        <v>21272</v>
      </c>
      <c r="EF22" s="1">
        <v>2209</v>
      </c>
      <c r="EG22" s="1">
        <v>6672</v>
      </c>
      <c r="EH22" s="1">
        <v>18300</v>
      </c>
      <c r="EJ22" s="1">
        <f t="shared" si="0"/>
        <v>1058963</v>
      </c>
    </row>
    <row r="23" spans="1:140" x14ac:dyDescent="0.25">
      <c r="A23" s="1" t="s">
        <v>159</v>
      </c>
      <c r="B23" s="1">
        <v>1732</v>
      </c>
      <c r="C23" s="1">
        <v>3489</v>
      </c>
      <c r="D23" s="1">
        <v>108</v>
      </c>
      <c r="E23" s="1">
        <v>947</v>
      </c>
      <c r="F23" s="1">
        <v>13</v>
      </c>
      <c r="G23" s="1">
        <v>32</v>
      </c>
      <c r="H23" s="1">
        <v>11538</v>
      </c>
      <c r="I23" s="1">
        <v>13</v>
      </c>
      <c r="J23" s="1">
        <v>756</v>
      </c>
      <c r="K23" s="1">
        <v>73</v>
      </c>
      <c r="L23" s="1">
        <v>678</v>
      </c>
      <c r="M23" s="1">
        <v>141</v>
      </c>
      <c r="N23" s="1">
        <v>8182</v>
      </c>
      <c r="O23" s="1">
        <v>1261</v>
      </c>
      <c r="P23" s="1">
        <v>680</v>
      </c>
      <c r="Q23" s="1">
        <v>6638</v>
      </c>
      <c r="R23" s="1">
        <v>88</v>
      </c>
      <c r="S23" s="1">
        <v>1261</v>
      </c>
      <c r="T23" s="1">
        <v>1835</v>
      </c>
      <c r="U23" s="1">
        <v>1495</v>
      </c>
      <c r="V23" s="1">
        <v>3173</v>
      </c>
      <c r="W23" s="1">
        <v>2482</v>
      </c>
      <c r="X23" s="1">
        <v>351</v>
      </c>
      <c r="Y23" s="1">
        <v>468</v>
      </c>
      <c r="Z23" s="1">
        <v>809</v>
      </c>
      <c r="AA23" s="1">
        <v>520</v>
      </c>
      <c r="AB23" s="1">
        <v>3490</v>
      </c>
      <c r="AC23" s="1">
        <v>372</v>
      </c>
      <c r="AD23" s="1">
        <v>249</v>
      </c>
      <c r="AE23" s="1">
        <v>811</v>
      </c>
      <c r="AF23" s="1">
        <v>1392</v>
      </c>
      <c r="AG23">
        <v>16053</v>
      </c>
      <c r="AH23" s="1">
        <v>174</v>
      </c>
      <c r="AI23" s="1">
        <v>927</v>
      </c>
      <c r="AJ23" s="1">
        <v>217</v>
      </c>
      <c r="AK23" s="1">
        <v>1359</v>
      </c>
      <c r="AL23" s="1">
        <v>2363</v>
      </c>
      <c r="AM23" s="1">
        <v>462</v>
      </c>
      <c r="AN23" s="1">
        <v>250</v>
      </c>
      <c r="AO23" s="1">
        <v>7983</v>
      </c>
      <c r="AP23" s="1">
        <v>423</v>
      </c>
      <c r="AQ23" s="1">
        <v>72</v>
      </c>
      <c r="AR23" s="1">
        <v>1451</v>
      </c>
      <c r="AS23" s="1">
        <v>4390</v>
      </c>
      <c r="AT23" s="1">
        <v>709</v>
      </c>
      <c r="AU23" s="1">
        <v>2092</v>
      </c>
      <c r="AV23" s="1">
        <v>2805</v>
      </c>
      <c r="AW23" s="1">
        <v>6003</v>
      </c>
      <c r="AX23" s="1">
        <v>16343</v>
      </c>
      <c r="AY23" s="1">
        <v>93</v>
      </c>
      <c r="AZ23" s="1">
        <v>498</v>
      </c>
      <c r="BA23" s="1">
        <v>14632</v>
      </c>
      <c r="BB23" s="1">
        <v>224</v>
      </c>
      <c r="BC23" s="1">
        <v>357</v>
      </c>
      <c r="BD23" s="1">
        <v>6248</v>
      </c>
      <c r="BE23" s="1">
        <v>2061</v>
      </c>
      <c r="BF23" s="1">
        <v>1643</v>
      </c>
      <c r="BG23" s="1">
        <v>3338</v>
      </c>
      <c r="BH23" s="1">
        <v>1110</v>
      </c>
      <c r="BI23" s="1">
        <v>23165</v>
      </c>
      <c r="BJ23" s="1">
        <v>2806</v>
      </c>
      <c r="BK23" s="1">
        <v>4745</v>
      </c>
      <c r="BL23" s="1">
        <v>2467</v>
      </c>
      <c r="BM23" s="1">
        <v>4492</v>
      </c>
      <c r="BN23" s="1">
        <v>893</v>
      </c>
      <c r="BO23" s="1">
        <v>1053</v>
      </c>
      <c r="BP23" s="1">
        <v>18148</v>
      </c>
      <c r="BQ23" s="1">
        <v>2582</v>
      </c>
      <c r="BR23" s="1">
        <v>52446</v>
      </c>
      <c r="BS23" s="1">
        <v>7903</v>
      </c>
      <c r="BT23" s="1">
        <v>7710</v>
      </c>
      <c r="BU23" s="1">
        <v>14877</v>
      </c>
      <c r="BV23" s="1">
        <v>2245</v>
      </c>
      <c r="BW23" s="1">
        <v>9682</v>
      </c>
      <c r="BX23" s="1">
        <v>2188</v>
      </c>
      <c r="BY23" s="1">
        <v>4950</v>
      </c>
      <c r="BZ23" s="1">
        <v>15393</v>
      </c>
      <c r="CA23" s="1">
        <v>1765</v>
      </c>
      <c r="CB23" s="1">
        <v>718</v>
      </c>
      <c r="CC23" s="1">
        <v>4339</v>
      </c>
      <c r="CD23" s="1">
        <v>3034</v>
      </c>
      <c r="CE23" s="1">
        <v>2086</v>
      </c>
      <c r="CF23" s="1">
        <v>4994</v>
      </c>
      <c r="CG23" s="1">
        <v>66847</v>
      </c>
      <c r="CH23" s="1">
        <v>8698</v>
      </c>
      <c r="CI23" s="1">
        <v>18051</v>
      </c>
      <c r="CJ23" s="1">
        <v>4486</v>
      </c>
      <c r="CK23" s="1">
        <v>10898</v>
      </c>
      <c r="CL23" s="1">
        <v>7036</v>
      </c>
      <c r="CM23" s="1">
        <v>10698</v>
      </c>
      <c r="CN23" s="1">
        <v>29420</v>
      </c>
      <c r="CO23" s="1">
        <v>3706</v>
      </c>
      <c r="CP23" s="1">
        <v>2194</v>
      </c>
      <c r="CQ23" s="1">
        <v>3290</v>
      </c>
      <c r="CR23" s="1">
        <v>5400</v>
      </c>
      <c r="CS23" s="1">
        <v>19473</v>
      </c>
      <c r="CT23" s="1">
        <v>11241</v>
      </c>
      <c r="CU23" s="1">
        <v>1312</v>
      </c>
      <c r="CV23" s="1">
        <v>155200</v>
      </c>
      <c r="CW23" s="1">
        <v>3030</v>
      </c>
      <c r="CX23" s="1">
        <v>998</v>
      </c>
      <c r="CY23" s="1">
        <v>15272</v>
      </c>
      <c r="CZ23" s="1">
        <v>1815</v>
      </c>
      <c r="DA23" s="1">
        <v>4395</v>
      </c>
      <c r="DB23" s="1">
        <v>7477</v>
      </c>
      <c r="DC23" s="1">
        <v>2399</v>
      </c>
      <c r="DD23" s="1">
        <v>2173</v>
      </c>
      <c r="DE23" s="1">
        <v>1482</v>
      </c>
      <c r="DF23" s="1">
        <v>28963</v>
      </c>
      <c r="DG23" s="1">
        <v>10365</v>
      </c>
      <c r="DH23" s="1">
        <v>9438</v>
      </c>
      <c r="DI23" s="1">
        <v>3498</v>
      </c>
      <c r="DJ23" s="1">
        <v>16426</v>
      </c>
      <c r="DK23" s="1">
        <v>10330</v>
      </c>
      <c r="DL23" s="1">
        <v>6506</v>
      </c>
      <c r="DM23" s="1">
        <v>8154</v>
      </c>
      <c r="DN23" s="1">
        <v>10350</v>
      </c>
      <c r="DO23" s="1">
        <v>1865</v>
      </c>
      <c r="DP23" s="1">
        <v>5268</v>
      </c>
      <c r="DQ23" s="1">
        <v>38030</v>
      </c>
      <c r="DR23" s="1">
        <v>2098</v>
      </c>
      <c r="DS23" s="1">
        <v>3099</v>
      </c>
      <c r="DT23" s="1">
        <v>433</v>
      </c>
      <c r="DU23" s="1">
        <v>5745</v>
      </c>
      <c r="DV23" s="1">
        <v>2460</v>
      </c>
      <c r="DW23" s="1">
        <v>2650</v>
      </c>
      <c r="DX23" s="1">
        <v>5788</v>
      </c>
      <c r="DY23" s="1">
        <v>1278</v>
      </c>
      <c r="DZ23" s="1">
        <v>1491</v>
      </c>
      <c r="EA23" s="1">
        <v>5928</v>
      </c>
      <c r="EB23" s="1">
        <v>3627</v>
      </c>
      <c r="EC23" s="1">
        <v>430</v>
      </c>
      <c r="ED23" s="1">
        <v>699</v>
      </c>
      <c r="EE23" s="1">
        <v>20005</v>
      </c>
      <c r="EF23" s="1">
        <v>2099</v>
      </c>
      <c r="EG23" s="1">
        <v>7348</v>
      </c>
      <c r="EH23" s="1">
        <v>16326</v>
      </c>
      <c r="EJ23" s="1">
        <f t="shared" si="0"/>
        <v>971726</v>
      </c>
    </row>
    <row r="24" spans="1:140" x14ac:dyDescent="0.25">
      <c r="A24" s="1" t="s">
        <v>160</v>
      </c>
      <c r="B24" s="1">
        <v>1781</v>
      </c>
      <c r="C24" s="1">
        <v>3286</v>
      </c>
      <c r="D24" s="1">
        <v>82</v>
      </c>
      <c r="E24" s="1">
        <v>942</v>
      </c>
      <c r="F24" s="1">
        <v>4</v>
      </c>
      <c r="G24" s="1">
        <v>7</v>
      </c>
      <c r="H24" s="1">
        <v>11169</v>
      </c>
      <c r="I24" s="1">
        <v>26</v>
      </c>
      <c r="J24" s="1">
        <v>581</v>
      </c>
      <c r="K24" s="1">
        <v>34</v>
      </c>
      <c r="L24" s="1">
        <v>784</v>
      </c>
      <c r="M24" s="1">
        <v>152</v>
      </c>
      <c r="N24" s="1">
        <v>8199</v>
      </c>
      <c r="O24" s="1">
        <v>904</v>
      </c>
      <c r="P24" s="1">
        <v>478</v>
      </c>
      <c r="Q24" s="1">
        <v>5870</v>
      </c>
      <c r="R24" s="1">
        <v>91</v>
      </c>
      <c r="S24" s="1">
        <v>1171</v>
      </c>
      <c r="T24" s="1">
        <v>1883</v>
      </c>
      <c r="U24" s="1">
        <v>1521</v>
      </c>
      <c r="V24" s="1">
        <v>3139</v>
      </c>
      <c r="W24" s="1">
        <v>2313</v>
      </c>
      <c r="X24" s="1">
        <v>437</v>
      </c>
      <c r="Y24" s="1">
        <v>550</v>
      </c>
      <c r="Z24" s="1">
        <v>735</v>
      </c>
      <c r="AA24" s="1">
        <v>396</v>
      </c>
      <c r="AB24" s="1">
        <v>3823</v>
      </c>
      <c r="AC24" s="1">
        <v>479</v>
      </c>
      <c r="AD24" s="1">
        <v>292</v>
      </c>
      <c r="AE24" s="1">
        <v>734</v>
      </c>
      <c r="AF24" s="1">
        <v>1607</v>
      </c>
      <c r="AG24">
        <v>17229</v>
      </c>
      <c r="AH24" s="1">
        <v>309</v>
      </c>
      <c r="AI24" s="1">
        <v>779</v>
      </c>
      <c r="AJ24" s="1">
        <v>194</v>
      </c>
      <c r="AK24" s="1">
        <v>997</v>
      </c>
      <c r="AL24" s="1">
        <v>2372</v>
      </c>
      <c r="AM24" s="1">
        <v>635</v>
      </c>
      <c r="AN24" s="1">
        <v>212</v>
      </c>
      <c r="AO24" s="1">
        <v>8911</v>
      </c>
      <c r="AP24" s="1">
        <v>377</v>
      </c>
      <c r="AQ24" s="1">
        <v>40</v>
      </c>
      <c r="AR24" s="1">
        <v>1894</v>
      </c>
      <c r="AS24" s="1">
        <v>4162</v>
      </c>
      <c r="AT24" s="1">
        <v>631</v>
      </c>
      <c r="AU24" s="1">
        <v>2045</v>
      </c>
      <c r="AV24" s="1">
        <v>2677</v>
      </c>
      <c r="AW24" s="1">
        <v>2692</v>
      </c>
      <c r="AX24" s="1">
        <v>16232</v>
      </c>
      <c r="AY24" s="1">
        <v>78</v>
      </c>
      <c r="AZ24" s="1">
        <v>538</v>
      </c>
      <c r="BA24" s="1">
        <v>6456</v>
      </c>
      <c r="BB24" s="1">
        <v>224</v>
      </c>
      <c r="BC24" s="1">
        <v>451</v>
      </c>
      <c r="BD24" s="1">
        <v>5024</v>
      </c>
      <c r="BE24" s="1">
        <v>2390</v>
      </c>
      <c r="BF24" s="1">
        <v>1357</v>
      </c>
      <c r="BG24" s="1">
        <v>3752</v>
      </c>
      <c r="BH24" s="1">
        <v>1193</v>
      </c>
      <c r="BI24" s="1">
        <v>20306</v>
      </c>
      <c r="BJ24" s="1">
        <v>2890</v>
      </c>
      <c r="BK24" s="1">
        <v>4329</v>
      </c>
      <c r="BL24" s="1">
        <v>2103</v>
      </c>
      <c r="BM24" s="1">
        <v>4212</v>
      </c>
      <c r="BN24" s="1">
        <v>749</v>
      </c>
      <c r="BO24" s="1">
        <v>861</v>
      </c>
      <c r="BP24" s="1">
        <v>16984</v>
      </c>
      <c r="BQ24" s="1">
        <v>2339</v>
      </c>
      <c r="BR24" s="1">
        <v>55127</v>
      </c>
      <c r="BS24" s="1">
        <v>8488</v>
      </c>
      <c r="BT24" s="1">
        <v>6417</v>
      </c>
      <c r="BU24" s="1">
        <v>13537</v>
      </c>
      <c r="BV24" s="1">
        <v>2340</v>
      </c>
      <c r="BW24" s="1">
        <v>9015</v>
      </c>
      <c r="BX24" s="1">
        <v>1724</v>
      </c>
      <c r="BY24" s="1">
        <v>4752</v>
      </c>
      <c r="BZ24" s="1">
        <v>14299</v>
      </c>
      <c r="CA24" s="1">
        <v>1610</v>
      </c>
      <c r="CB24" s="1">
        <v>663</v>
      </c>
      <c r="CC24" s="1">
        <v>4942</v>
      </c>
      <c r="CD24" s="1">
        <v>2701</v>
      </c>
      <c r="CE24" s="1">
        <v>2623</v>
      </c>
      <c r="CF24" s="1">
        <v>5799</v>
      </c>
      <c r="CG24" s="1">
        <v>74072</v>
      </c>
      <c r="CH24" s="1">
        <v>8904</v>
      </c>
      <c r="CI24" s="1">
        <v>17768</v>
      </c>
      <c r="CJ24" s="1">
        <v>3939</v>
      </c>
      <c r="CK24" s="1">
        <v>11524</v>
      </c>
      <c r="CL24" s="1">
        <v>6486</v>
      </c>
      <c r="CM24" s="1">
        <v>10454</v>
      </c>
      <c r="CN24" s="1">
        <v>29949</v>
      </c>
      <c r="CO24" s="1">
        <v>3647</v>
      </c>
      <c r="CP24" s="1">
        <v>2323</v>
      </c>
      <c r="CQ24" s="1">
        <v>2822</v>
      </c>
      <c r="CR24" s="1">
        <v>5346</v>
      </c>
      <c r="CS24" s="1">
        <v>19501</v>
      </c>
      <c r="CT24" s="1">
        <v>12031</v>
      </c>
      <c r="CU24" s="1">
        <v>1193</v>
      </c>
      <c r="CV24" s="1">
        <v>152509</v>
      </c>
      <c r="CW24" s="1">
        <v>2714</v>
      </c>
      <c r="CX24" s="1">
        <v>985</v>
      </c>
      <c r="CY24" s="1">
        <v>14619</v>
      </c>
      <c r="CZ24" s="1">
        <v>1811</v>
      </c>
      <c r="DA24" s="1">
        <v>4520</v>
      </c>
      <c r="DB24" s="1">
        <v>8434</v>
      </c>
      <c r="DC24" s="1">
        <v>2190</v>
      </c>
      <c r="DD24" s="1">
        <v>1963</v>
      </c>
      <c r="DE24" s="1">
        <v>1367</v>
      </c>
      <c r="DF24" s="1">
        <v>29142</v>
      </c>
      <c r="DG24" s="1">
        <v>11910</v>
      </c>
      <c r="DH24" s="1">
        <v>9464</v>
      </c>
      <c r="DI24" s="1">
        <v>5661</v>
      </c>
      <c r="DJ24" s="1">
        <v>15684</v>
      </c>
      <c r="DK24" s="1">
        <v>10954</v>
      </c>
      <c r="DL24" s="1">
        <v>6390</v>
      </c>
      <c r="DM24" s="1">
        <v>9121</v>
      </c>
      <c r="DN24" s="1">
        <v>14694</v>
      </c>
      <c r="DO24" s="1">
        <v>2080</v>
      </c>
      <c r="DP24" s="1">
        <v>5777</v>
      </c>
      <c r="DQ24" s="1">
        <v>37618</v>
      </c>
      <c r="DR24" s="1">
        <v>2328</v>
      </c>
      <c r="DS24" s="1">
        <v>4893</v>
      </c>
      <c r="DT24" s="1">
        <v>358</v>
      </c>
      <c r="DU24" s="1">
        <v>6359</v>
      </c>
      <c r="DV24" s="1">
        <v>2578</v>
      </c>
      <c r="DW24" s="1">
        <v>2635</v>
      </c>
      <c r="DX24" s="1">
        <v>4342</v>
      </c>
      <c r="DY24" s="1">
        <v>937</v>
      </c>
      <c r="DZ24" s="1">
        <v>1732</v>
      </c>
      <c r="EA24" s="1">
        <v>5695</v>
      </c>
      <c r="EB24" s="1">
        <v>2598</v>
      </c>
      <c r="EC24" s="1">
        <v>432</v>
      </c>
      <c r="ED24" s="1">
        <v>462</v>
      </c>
      <c r="EE24" s="1">
        <v>21619</v>
      </c>
      <c r="EF24" s="1">
        <v>2225</v>
      </c>
      <c r="EG24" s="1">
        <v>6211</v>
      </c>
      <c r="EH24" s="1">
        <v>16662</v>
      </c>
      <c r="EJ24" s="1">
        <f t="shared" si="0"/>
        <v>967763</v>
      </c>
    </row>
    <row r="25" spans="1:140" x14ac:dyDescent="0.25">
      <c r="A25" s="1" t="s">
        <v>161</v>
      </c>
      <c r="B25" s="1">
        <v>1451</v>
      </c>
      <c r="C25" s="1">
        <v>2558</v>
      </c>
      <c r="D25" s="1">
        <v>109</v>
      </c>
      <c r="E25" s="1">
        <v>942</v>
      </c>
      <c r="F25" s="1">
        <v>7</v>
      </c>
      <c r="G25" s="1">
        <v>25</v>
      </c>
      <c r="H25" s="1">
        <v>7844</v>
      </c>
      <c r="I25" s="1">
        <v>42</v>
      </c>
      <c r="J25" s="1">
        <v>416</v>
      </c>
      <c r="K25" s="1">
        <v>8</v>
      </c>
      <c r="L25" s="1">
        <v>606</v>
      </c>
      <c r="M25" s="1">
        <v>48</v>
      </c>
      <c r="N25" s="1">
        <v>7137</v>
      </c>
      <c r="O25" s="1">
        <v>805</v>
      </c>
      <c r="P25" s="1">
        <v>383</v>
      </c>
      <c r="Q25" s="1">
        <v>3744</v>
      </c>
      <c r="R25" s="1">
        <v>15</v>
      </c>
      <c r="S25" s="1">
        <v>968</v>
      </c>
      <c r="T25" s="1">
        <v>1282</v>
      </c>
      <c r="U25" s="1">
        <v>952</v>
      </c>
      <c r="V25" s="1">
        <v>2547</v>
      </c>
      <c r="W25" s="1">
        <v>1490</v>
      </c>
      <c r="X25" s="1">
        <v>241</v>
      </c>
      <c r="Y25" s="1">
        <v>393</v>
      </c>
      <c r="Z25" s="1">
        <v>622</v>
      </c>
      <c r="AA25" s="1">
        <v>289</v>
      </c>
      <c r="AB25" s="1">
        <v>2493</v>
      </c>
      <c r="AC25" s="1">
        <v>199</v>
      </c>
      <c r="AD25" s="1">
        <v>162</v>
      </c>
      <c r="AE25" s="1">
        <v>642</v>
      </c>
      <c r="AF25" s="1">
        <v>1180</v>
      </c>
      <c r="AG25">
        <v>13073</v>
      </c>
      <c r="AH25" s="1">
        <v>129</v>
      </c>
      <c r="AI25" s="1">
        <v>821</v>
      </c>
      <c r="AJ25" s="1">
        <v>169</v>
      </c>
      <c r="AK25" s="1">
        <v>897</v>
      </c>
      <c r="AL25" s="1">
        <v>1849</v>
      </c>
      <c r="AM25" s="1">
        <v>349</v>
      </c>
      <c r="AN25" s="1">
        <v>129</v>
      </c>
      <c r="AO25" s="1">
        <v>8712</v>
      </c>
      <c r="AP25" s="1">
        <v>351</v>
      </c>
      <c r="AQ25" s="1">
        <v>56</v>
      </c>
      <c r="AR25" s="1">
        <v>1325</v>
      </c>
      <c r="AS25" s="1">
        <v>3016</v>
      </c>
      <c r="AT25" s="1">
        <v>476</v>
      </c>
      <c r="AU25" s="1">
        <v>1115</v>
      </c>
      <c r="AV25" s="1">
        <v>1999</v>
      </c>
      <c r="AW25" s="1">
        <v>1475</v>
      </c>
      <c r="AX25" s="1">
        <v>13455</v>
      </c>
      <c r="AY25" s="1">
        <v>39</v>
      </c>
      <c r="AZ25" s="1">
        <v>348</v>
      </c>
      <c r="BA25" s="1">
        <v>3851</v>
      </c>
      <c r="BB25" s="1">
        <v>38</v>
      </c>
      <c r="BC25" s="1">
        <v>325</v>
      </c>
      <c r="BD25" s="1">
        <v>3898</v>
      </c>
      <c r="BE25" s="1">
        <v>1416</v>
      </c>
      <c r="BF25" s="1">
        <v>1139</v>
      </c>
      <c r="BG25" s="1">
        <v>2418</v>
      </c>
      <c r="BH25" s="1">
        <v>1016</v>
      </c>
      <c r="BI25" s="1">
        <v>18658</v>
      </c>
      <c r="BJ25" s="1">
        <v>2010</v>
      </c>
      <c r="BK25" s="1">
        <v>3883</v>
      </c>
      <c r="BL25" s="1">
        <v>1348</v>
      </c>
      <c r="BM25" s="1">
        <v>3144</v>
      </c>
      <c r="BN25" s="1">
        <v>584</v>
      </c>
      <c r="BO25" s="1">
        <v>791</v>
      </c>
      <c r="BP25" s="1">
        <v>13696</v>
      </c>
      <c r="BQ25" s="1">
        <v>1990</v>
      </c>
      <c r="BR25" s="1">
        <v>42476</v>
      </c>
      <c r="BS25" s="1">
        <v>6322</v>
      </c>
      <c r="BT25" s="1">
        <v>4511</v>
      </c>
      <c r="BU25" s="1">
        <v>11017</v>
      </c>
      <c r="BV25" s="1">
        <v>1754</v>
      </c>
      <c r="BW25" s="1">
        <v>7479</v>
      </c>
      <c r="BX25" s="1">
        <v>1367</v>
      </c>
      <c r="BY25" s="1">
        <v>3528</v>
      </c>
      <c r="BZ25" s="1">
        <v>13295</v>
      </c>
      <c r="CA25" s="1">
        <v>1432</v>
      </c>
      <c r="CB25" s="1">
        <v>442</v>
      </c>
      <c r="CC25" s="1">
        <v>3798</v>
      </c>
      <c r="CD25" s="1">
        <v>2270</v>
      </c>
      <c r="CE25" s="1">
        <v>2829</v>
      </c>
      <c r="CF25" s="1">
        <v>5323</v>
      </c>
      <c r="CG25" s="1">
        <v>63347</v>
      </c>
      <c r="CH25" s="1">
        <v>6048</v>
      </c>
      <c r="CI25" s="1">
        <v>13418</v>
      </c>
      <c r="CJ25" s="1">
        <v>2578</v>
      </c>
      <c r="CK25" s="1">
        <v>9314</v>
      </c>
      <c r="CL25" s="1">
        <v>5332</v>
      </c>
      <c r="CM25" s="1">
        <v>8056</v>
      </c>
      <c r="CN25" s="1">
        <v>22525</v>
      </c>
      <c r="CO25" s="1">
        <v>2733</v>
      </c>
      <c r="CP25" s="1">
        <v>1741</v>
      </c>
      <c r="CQ25" s="1">
        <v>2088</v>
      </c>
      <c r="CR25" s="1">
        <v>4522</v>
      </c>
      <c r="CS25" s="1">
        <v>16137</v>
      </c>
      <c r="CT25" s="1">
        <v>11515</v>
      </c>
      <c r="CU25" s="1">
        <v>1239</v>
      </c>
      <c r="CV25" s="1">
        <v>126361</v>
      </c>
      <c r="CW25" s="1">
        <v>2072</v>
      </c>
      <c r="CX25" s="1">
        <v>579</v>
      </c>
      <c r="CY25" s="1">
        <v>11108</v>
      </c>
      <c r="CZ25" s="1">
        <v>1575</v>
      </c>
      <c r="DA25" s="1">
        <v>3506</v>
      </c>
      <c r="DB25" s="1">
        <v>6409</v>
      </c>
      <c r="DC25" s="1">
        <v>1441</v>
      </c>
      <c r="DD25" s="1">
        <v>1314</v>
      </c>
      <c r="DE25" s="1">
        <v>1049</v>
      </c>
      <c r="DF25" s="1">
        <v>24020</v>
      </c>
      <c r="DG25" s="1">
        <v>7078</v>
      </c>
      <c r="DH25" s="1">
        <v>6237</v>
      </c>
      <c r="DI25" s="1">
        <v>2154</v>
      </c>
      <c r="DJ25" s="1">
        <v>12355</v>
      </c>
      <c r="DK25" s="1">
        <v>11192</v>
      </c>
      <c r="DL25" s="1">
        <v>5387</v>
      </c>
      <c r="DM25" s="1">
        <v>6689</v>
      </c>
      <c r="DN25" s="1">
        <v>7567</v>
      </c>
      <c r="DO25" s="1">
        <v>1911</v>
      </c>
      <c r="DP25" s="1">
        <v>4100</v>
      </c>
      <c r="DQ25" s="1">
        <v>33281</v>
      </c>
      <c r="DR25" s="1">
        <v>1961</v>
      </c>
      <c r="DS25" s="1">
        <v>3996</v>
      </c>
      <c r="DT25" s="1">
        <v>331</v>
      </c>
      <c r="DU25" s="1">
        <v>5126</v>
      </c>
      <c r="DV25" s="1">
        <v>1774</v>
      </c>
      <c r="DW25" s="1">
        <v>1809</v>
      </c>
      <c r="DX25" s="1">
        <v>2859</v>
      </c>
      <c r="DY25" s="1">
        <v>703</v>
      </c>
      <c r="DZ25" s="1">
        <v>1208</v>
      </c>
      <c r="EA25" s="1">
        <v>4553</v>
      </c>
      <c r="EB25" s="1">
        <v>2073</v>
      </c>
      <c r="EC25" s="1">
        <v>360</v>
      </c>
      <c r="ED25" s="1">
        <v>426</v>
      </c>
      <c r="EE25" s="1">
        <v>14665</v>
      </c>
      <c r="EF25" s="1">
        <v>1800</v>
      </c>
      <c r="EG25" s="1">
        <v>6067</v>
      </c>
      <c r="EH25" s="1">
        <v>13305</v>
      </c>
      <c r="EJ25" s="1">
        <f t="shared" si="0"/>
        <v>768425</v>
      </c>
    </row>
    <row r="26" spans="1:140" x14ac:dyDescent="0.25">
      <c r="A26" s="1" t="s">
        <v>162</v>
      </c>
      <c r="B26" s="1">
        <v>1816</v>
      </c>
      <c r="C26" s="1">
        <v>3244</v>
      </c>
      <c r="D26" s="1">
        <v>73</v>
      </c>
      <c r="E26" s="1">
        <v>1378</v>
      </c>
      <c r="F26" s="1">
        <v>12</v>
      </c>
      <c r="G26" s="1">
        <v>22</v>
      </c>
      <c r="H26" s="1">
        <v>12272</v>
      </c>
      <c r="I26" s="1">
        <v>40</v>
      </c>
      <c r="J26" s="1">
        <v>675</v>
      </c>
      <c r="K26" s="1">
        <v>39</v>
      </c>
      <c r="L26" s="1">
        <v>807</v>
      </c>
      <c r="M26" s="1">
        <v>461</v>
      </c>
      <c r="N26" s="1">
        <v>8748</v>
      </c>
      <c r="O26" s="1">
        <v>931</v>
      </c>
      <c r="P26" s="1">
        <v>545</v>
      </c>
      <c r="Q26" s="1">
        <v>6252</v>
      </c>
      <c r="R26" s="1">
        <v>8</v>
      </c>
      <c r="S26" s="1">
        <v>1135</v>
      </c>
      <c r="T26" s="1">
        <v>1621</v>
      </c>
      <c r="U26" s="1">
        <v>1129</v>
      </c>
      <c r="V26" s="1">
        <v>3413</v>
      </c>
      <c r="W26" s="1">
        <v>2492</v>
      </c>
      <c r="X26" s="1">
        <v>550</v>
      </c>
      <c r="Y26" s="1">
        <v>674</v>
      </c>
      <c r="Z26" s="1">
        <v>566</v>
      </c>
      <c r="AA26" s="1">
        <v>356</v>
      </c>
      <c r="AB26" s="1">
        <v>3452</v>
      </c>
      <c r="AC26" s="1">
        <v>315</v>
      </c>
      <c r="AD26" s="1">
        <v>215</v>
      </c>
      <c r="AE26" s="1">
        <v>899</v>
      </c>
      <c r="AF26" s="1">
        <v>879</v>
      </c>
      <c r="AG26">
        <v>15601</v>
      </c>
      <c r="AH26" s="1">
        <v>262</v>
      </c>
      <c r="AI26" s="1">
        <v>1066</v>
      </c>
      <c r="AJ26" s="1">
        <v>173</v>
      </c>
      <c r="AK26" s="1">
        <v>1106</v>
      </c>
      <c r="AL26" s="1">
        <v>2069</v>
      </c>
      <c r="AM26" s="1">
        <v>577</v>
      </c>
      <c r="AN26" s="1">
        <v>176</v>
      </c>
      <c r="AO26" s="1">
        <v>8915</v>
      </c>
      <c r="AP26" s="1">
        <v>424</v>
      </c>
      <c r="AQ26" s="1">
        <v>98</v>
      </c>
      <c r="AR26" s="1">
        <v>1607</v>
      </c>
      <c r="AS26" s="1">
        <v>3663</v>
      </c>
      <c r="AT26" s="1">
        <v>856</v>
      </c>
      <c r="AU26" s="1">
        <v>2042</v>
      </c>
      <c r="AV26" s="1">
        <v>3125</v>
      </c>
      <c r="AW26" s="1">
        <v>2602</v>
      </c>
      <c r="AX26" s="1">
        <v>16166</v>
      </c>
      <c r="AY26" s="1">
        <v>128</v>
      </c>
      <c r="AZ26" s="1">
        <v>454</v>
      </c>
      <c r="BA26" s="1">
        <v>4924</v>
      </c>
      <c r="BB26" s="1">
        <v>324</v>
      </c>
      <c r="BC26" s="1">
        <v>588</v>
      </c>
      <c r="BD26" s="1">
        <v>5390</v>
      </c>
      <c r="BE26" s="1">
        <v>3567</v>
      </c>
      <c r="BF26" s="1">
        <v>1831</v>
      </c>
      <c r="BG26" s="1">
        <v>3099</v>
      </c>
      <c r="BH26" s="1">
        <v>1315</v>
      </c>
      <c r="BI26" s="1">
        <v>23601</v>
      </c>
      <c r="BJ26" s="1">
        <v>2877</v>
      </c>
      <c r="BK26" s="1">
        <v>5154</v>
      </c>
      <c r="BL26" s="1">
        <v>2154</v>
      </c>
      <c r="BM26" s="1">
        <v>4366</v>
      </c>
      <c r="BN26" s="1">
        <v>1050</v>
      </c>
      <c r="BO26" s="1">
        <v>1148</v>
      </c>
      <c r="BP26" s="1">
        <v>18455</v>
      </c>
      <c r="BQ26" s="1">
        <v>2640</v>
      </c>
      <c r="BR26" s="1">
        <v>55717</v>
      </c>
      <c r="BS26" s="1">
        <v>8061</v>
      </c>
      <c r="BT26" s="1">
        <v>5900</v>
      </c>
      <c r="BU26" s="1">
        <v>13970</v>
      </c>
      <c r="BV26" s="1">
        <v>2253</v>
      </c>
      <c r="BW26" s="1">
        <v>8854</v>
      </c>
      <c r="BX26" s="1">
        <v>1758</v>
      </c>
      <c r="BY26" s="1">
        <v>4968</v>
      </c>
      <c r="BZ26" s="1">
        <v>16782</v>
      </c>
      <c r="CA26" s="1">
        <v>1688</v>
      </c>
      <c r="CB26" s="1">
        <v>787</v>
      </c>
      <c r="CC26" s="1">
        <v>4500</v>
      </c>
      <c r="CD26" s="1">
        <v>2579</v>
      </c>
      <c r="CE26" s="1">
        <v>3089</v>
      </c>
      <c r="CF26" s="1">
        <v>5398</v>
      </c>
      <c r="CG26" s="1">
        <v>72518</v>
      </c>
      <c r="CH26" s="1">
        <v>19145</v>
      </c>
      <c r="CI26" s="1">
        <v>26717</v>
      </c>
      <c r="CJ26" s="1">
        <v>5244</v>
      </c>
      <c r="CK26" s="1">
        <v>14796</v>
      </c>
      <c r="CL26" s="1">
        <v>7681</v>
      </c>
      <c r="CM26" s="1">
        <v>13823</v>
      </c>
      <c r="CN26" s="1">
        <v>34457</v>
      </c>
      <c r="CO26" s="1">
        <v>4709</v>
      </c>
      <c r="CP26" s="1">
        <v>2553</v>
      </c>
      <c r="CQ26" s="1">
        <v>4492</v>
      </c>
      <c r="CR26" s="1">
        <v>5847</v>
      </c>
      <c r="CS26" s="1">
        <v>20959</v>
      </c>
      <c r="CT26" s="1">
        <v>12378</v>
      </c>
      <c r="CU26" s="1">
        <v>1635</v>
      </c>
      <c r="CV26" s="1">
        <v>164849</v>
      </c>
      <c r="CW26" s="1">
        <v>3369</v>
      </c>
      <c r="CX26" s="1">
        <v>1069</v>
      </c>
      <c r="CY26" s="1">
        <v>16714</v>
      </c>
      <c r="CZ26" s="1">
        <v>1986</v>
      </c>
      <c r="DA26" s="1">
        <v>5302</v>
      </c>
      <c r="DB26" s="1">
        <v>9211</v>
      </c>
      <c r="DC26" s="1">
        <v>2752</v>
      </c>
      <c r="DD26" s="1">
        <v>2431</v>
      </c>
      <c r="DE26" s="1">
        <v>1905</v>
      </c>
      <c r="DF26" s="1">
        <v>32180</v>
      </c>
      <c r="DG26" s="1">
        <v>10793</v>
      </c>
      <c r="DH26" s="1">
        <v>11588</v>
      </c>
      <c r="DI26" s="1">
        <v>3285</v>
      </c>
      <c r="DJ26" s="1">
        <v>19747</v>
      </c>
      <c r="DK26" s="1">
        <v>12004</v>
      </c>
      <c r="DL26" s="1">
        <v>7812</v>
      </c>
      <c r="DM26" s="1">
        <v>8857</v>
      </c>
      <c r="DN26" s="1">
        <v>12194</v>
      </c>
      <c r="DO26" s="1">
        <v>1880</v>
      </c>
      <c r="DP26" s="1">
        <v>7033</v>
      </c>
      <c r="DQ26" s="1">
        <v>39659</v>
      </c>
      <c r="DR26" s="1">
        <v>1948</v>
      </c>
      <c r="DS26" s="1">
        <v>3172</v>
      </c>
      <c r="DT26" s="1">
        <v>579</v>
      </c>
      <c r="DU26" s="1">
        <v>7550</v>
      </c>
      <c r="DV26" s="1">
        <v>3034</v>
      </c>
      <c r="DW26" s="1">
        <v>4814</v>
      </c>
      <c r="DX26" s="1">
        <v>6135</v>
      </c>
      <c r="DY26" s="1">
        <v>1390</v>
      </c>
      <c r="DZ26" s="1">
        <v>1837</v>
      </c>
      <c r="EA26" s="1">
        <v>5627</v>
      </c>
      <c r="EB26" s="1">
        <v>4511</v>
      </c>
      <c r="EC26" s="1">
        <v>582</v>
      </c>
      <c r="ED26" s="1">
        <v>455</v>
      </c>
      <c r="EE26" s="1">
        <v>21375</v>
      </c>
      <c r="EF26" s="1">
        <v>2158</v>
      </c>
      <c r="EG26" s="1">
        <v>9865</v>
      </c>
      <c r="EH26" s="1">
        <v>15923</v>
      </c>
      <c r="EJ26" s="1">
        <f t="shared" si="0"/>
        <v>1049445</v>
      </c>
    </row>
    <row r="27" spans="1:140" x14ac:dyDescent="0.25">
      <c r="A27" s="1" t="s">
        <v>163</v>
      </c>
      <c r="B27" s="1">
        <v>1729</v>
      </c>
      <c r="C27" s="1">
        <v>3523</v>
      </c>
      <c r="D27" s="1">
        <v>56</v>
      </c>
      <c r="E27" s="1">
        <v>1121</v>
      </c>
      <c r="F27" s="1">
        <v>16</v>
      </c>
      <c r="G27" s="1">
        <v>27</v>
      </c>
      <c r="H27" s="1">
        <v>10893</v>
      </c>
      <c r="I27" s="1">
        <v>39</v>
      </c>
      <c r="J27" s="1">
        <v>845</v>
      </c>
      <c r="K27" s="1">
        <v>18</v>
      </c>
      <c r="L27" s="1">
        <v>804</v>
      </c>
      <c r="M27" s="1">
        <v>190</v>
      </c>
      <c r="N27" s="1">
        <v>8350</v>
      </c>
      <c r="O27" s="1">
        <v>760</v>
      </c>
      <c r="P27" s="1">
        <v>614</v>
      </c>
      <c r="Q27" s="1">
        <v>5856</v>
      </c>
      <c r="R27" s="1">
        <v>2</v>
      </c>
      <c r="S27" s="1">
        <v>972</v>
      </c>
      <c r="T27" s="1">
        <v>2112</v>
      </c>
      <c r="U27" s="1">
        <v>1751</v>
      </c>
      <c r="V27" s="1">
        <v>2563</v>
      </c>
      <c r="W27" s="1">
        <v>1793</v>
      </c>
      <c r="X27" s="1">
        <v>278</v>
      </c>
      <c r="Y27" s="1">
        <v>489</v>
      </c>
      <c r="Z27" s="1">
        <v>651</v>
      </c>
      <c r="AA27" s="1">
        <v>345</v>
      </c>
      <c r="AB27" s="1">
        <v>3052</v>
      </c>
      <c r="AC27" s="1">
        <v>231</v>
      </c>
      <c r="AD27" s="1">
        <v>252</v>
      </c>
      <c r="AE27" s="1">
        <v>853</v>
      </c>
      <c r="AF27" s="1">
        <v>850</v>
      </c>
      <c r="AG27">
        <v>14817</v>
      </c>
      <c r="AH27" s="1">
        <v>200</v>
      </c>
      <c r="AI27" s="1">
        <v>698</v>
      </c>
      <c r="AJ27" s="1">
        <v>254</v>
      </c>
      <c r="AK27" s="1">
        <v>1133</v>
      </c>
      <c r="AL27" s="1">
        <v>1856</v>
      </c>
      <c r="AM27" s="1">
        <v>479</v>
      </c>
      <c r="AN27" s="1">
        <v>234</v>
      </c>
      <c r="AO27" s="1">
        <v>7239</v>
      </c>
      <c r="AP27" s="1">
        <v>468</v>
      </c>
      <c r="AQ27" s="1">
        <v>160</v>
      </c>
      <c r="AR27" s="1">
        <v>1573</v>
      </c>
      <c r="AS27" s="1">
        <v>3601</v>
      </c>
      <c r="AT27" s="1">
        <v>796</v>
      </c>
      <c r="AU27" s="1">
        <v>2247</v>
      </c>
      <c r="AV27" s="1">
        <v>2804</v>
      </c>
      <c r="AW27" s="1">
        <v>1386</v>
      </c>
      <c r="AX27" s="1">
        <v>13652</v>
      </c>
      <c r="AY27" s="1">
        <v>114</v>
      </c>
      <c r="AZ27" s="1">
        <v>542</v>
      </c>
      <c r="BA27" s="1">
        <v>4102</v>
      </c>
      <c r="BB27" s="1">
        <v>141</v>
      </c>
      <c r="BC27" s="1">
        <v>420</v>
      </c>
      <c r="BD27" s="1">
        <v>5285</v>
      </c>
      <c r="BE27" s="1">
        <v>4336</v>
      </c>
      <c r="BF27" s="1">
        <v>1334</v>
      </c>
      <c r="BG27" s="1">
        <v>2791</v>
      </c>
      <c r="BH27" s="1">
        <v>1324</v>
      </c>
      <c r="BI27" s="1">
        <v>19041</v>
      </c>
      <c r="BJ27" s="1">
        <v>2580</v>
      </c>
      <c r="BK27" s="1">
        <v>4484</v>
      </c>
      <c r="BL27" s="1">
        <v>3305</v>
      </c>
      <c r="BM27" s="1">
        <v>4023</v>
      </c>
      <c r="BN27" s="1">
        <v>883</v>
      </c>
      <c r="BO27" s="1">
        <v>846</v>
      </c>
      <c r="BP27" s="1">
        <v>20277</v>
      </c>
      <c r="BQ27" s="1">
        <v>2481</v>
      </c>
      <c r="BR27" s="1">
        <v>54689</v>
      </c>
      <c r="BS27" s="1">
        <v>8250</v>
      </c>
      <c r="BT27" s="1">
        <v>7733</v>
      </c>
      <c r="BU27" s="1">
        <v>15565</v>
      </c>
      <c r="BV27" s="1">
        <v>2713</v>
      </c>
      <c r="BW27" s="1">
        <v>9796</v>
      </c>
      <c r="BX27" s="1">
        <v>1840</v>
      </c>
      <c r="BY27" s="1">
        <v>4564</v>
      </c>
      <c r="BZ27" s="1">
        <v>16210</v>
      </c>
      <c r="CA27" s="1">
        <v>1768</v>
      </c>
      <c r="CB27" s="1">
        <v>889</v>
      </c>
      <c r="CC27" s="1">
        <v>4542</v>
      </c>
      <c r="CD27" s="1">
        <v>2877</v>
      </c>
      <c r="CE27" s="1">
        <v>2443</v>
      </c>
      <c r="CF27" s="1">
        <v>5448</v>
      </c>
      <c r="CG27" s="1">
        <v>68137</v>
      </c>
      <c r="CH27" s="1">
        <v>18175</v>
      </c>
      <c r="CI27" s="1">
        <v>27845</v>
      </c>
      <c r="CJ27" s="1">
        <v>8237</v>
      </c>
      <c r="CK27" s="1">
        <v>13475</v>
      </c>
      <c r="CL27" s="1">
        <v>8637</v>
      </c>
      <c r="CM27" s="1">
        <v>13232</v>
      </c>
      <c r="CN27" s="1">
        <v>34595</v>
      </c>
      <c r="CO27" s="1">
        <v>7085</v>
      </c>
      <c r="CP27" s="1">
        <v>2622</v>
      </c>
      <c r="CQ27" s="1">
        <v>4857</v>
      </c>
      <c r="CR27" s="1">
        <v>6180</v>
      </c>
      <c r="CS27" s="1">
        <v>21688</v>
      </c>
      <c r="CT27" s="1">
        <v>13073</v>
      </c>
      <c r="CU27" s="1">
        <v>1777</v>
      </c>
      <c r="CV27" s="1">
        <v>165528</v>
      </c>
      <c r="CW27" s="1">
        <v>4574</v>
      </c>
      <c r="CX27" s="1">
        <v>1276</v>
      </c>
      <c r="CY27" s="1">
        <v>18932</v>
      </c>
      <c r="CZ27" s="1">
        <v>2237</v>
      </c>
      <c r="DA27" s="1">
        <v>5239</v>
      </c>
      <c r="DB27" s="1">
        <v>8838</v>
      </c>
      <c r="DC27" s="1">
        <v>3099</v>
      </c>
      <c r="DD27" s="1">
        <v>2654</v>
      </c>
      <c r="DE27" s="1">
        <v>1605</v>
      </c>
      <c r="DF27" s="1">
        <v>33443</v>
      </c>
      <c r="DG27" s="1">
        <v>16423</v>
      </c>
      <c r="DH27" s="1">
        <v>12777</v>
      </c>
      <c r="DI27" s="1">
        <v>6479</v>
      </c>
      <c r="DJ27" s="1">
        <v>20772</v>
      </c>
      <c r="DK27" s="1">
        <v>10980</v>
      </c>
      <c r="DL27" s="1">
        <v>6976</v>
      </c>
      <c r="DM27" s="1">
        <v>8791</v>
      </c>
      <c r="DN27" s="1">
        <v>18805</v>
      </c>
      <c r="DO27" s="1">
        <v>1922</v>
      </c>
      <c r="DP27" s="1">
        <v>9955</v>
      </c>
      <c r="DQ27" s="1">
        <v>35352</v>
      </c>
      <c r="DR27" s="1">
        <v>2131</v>
      </c>
      <c r="DS27" s="1">
        <v>2882</v>
      </c>
      <c r="DT27" s="1">
        <v>507</v>
      </c>
      <c r="DU27" s="1">
        <v>6981</v>
      </c>
      <c r="DV27" s="1">
        <v>3918</v>
      </c>
      <c r="DW27" s="1">
        <v>3812</v>
      </c>
      <c r="DX27" s="1">
        <v>7413</v>
      </c>
      <c r="DY27" s="1">
        <v>1410</v>
      </c>
      <c r="DZ27" s="1">
        <v>3351</v>
      </c>
      <c r="EA27" s="1">
        <v>6049</v>
      </c>
      <c r="EB27" s="1">
        <v>5051</v>
      </c>
      <c r="EC27" s="1">
        <v>690</v>
      </c>
      <c r="ED27" s="1">
        <v>568</v>
      </c>
      <c r="EE27" s="1">
        <v>20256</v>
      </c>
      <c r="EF27" s="1">
        <v>2179</v>
      </c>
      <c r="EG27" s="1">
        <v>10298</v>
      </c>
      <c r="EH27" s="1">
        <v>16944</v>
      </c>
      <c r="EJ27" s="1">
        <f t="shared" si="0"/>
        <v>1062980</v>
      </c>
    </row>
    <row r="28" spans="1:140" x14ac:dyDescent="0.25">
      <c r="A28" s="1" t="s">
        <v>164</v>
      </c>
      <c r="B28" s="1">
        <v>2153</v>
      </c>
      <c r="C28" s="1">
        <v>3511</v>
      </c>
      <c r="D28" s="1">
        <v>56</v>
      </c>
      <c r="E28" s="1">
        <v>1242</v>
      </c>
      <c r="F28" s="1">
        <v>12</v>
      </c>
      <c r="G28" s="1">
        <v>10</v>
      </c>
      <c r="H28" s="1">
        <v>13306</v>
      </c>
      <c r="I28" s="1">
        <v>55</v>
      </c>
      <c r="J28" s="1">
        <v>728</v>
      </c>
      <c r="K28" s="1">
        <v>22</v>
      </c>
      <c r="L28" s="1">
        <v>776</v>
      </c>
      <c r="M28" s="1">
        <v>116</v>
      </c>
      <c r="N28" s="1">
        <v>8867</v>
      </c>
      <c r="O28" s="1">
        <v>1300</v>
      </c>
      <c r="P28" s="1">
        <v>506</v>
      </c>
      <c r="Q28" s="1">
        <v>5711</v>
      </c>
      <c r="R28" s="1">
        <v>16</v>
      </c>
      <c r="S28" s="1">
        <v>983</v>
      </c>
      <c r="T28" s="1">
        <v>2176</v>
      </c>
      <c r="U28" s="1">
        <v>1784</v>
      </c>
      <c r="V28" s="1">
        <v>3319</v>
      </c>
      <c r="W28" s="1">
        <v>1925</v>
      </c>
      <c r="X28" s="1">
        <v>251</v>
      </c>
      <c r="Y28" s="1">
        <v>475</v>
      </c>
      <c r="Z28" s="1">
        <v>2334</v>
      </c>
      <c r="AA28" s="1">
        <v>377</v>
      </c>
      <c r="AB28" s="1">
        <v>3518</v>
      </c>
      <c r="AC28" s="1">
        <v>710</v>
      </c>
      <c r="AD28" s="1">
        <v>220</v>
      </c>
      <c r="AE28" s="1">
        <v>750</v>
      </c>
      <c r="AF28" s="1">
        <v>1047</v>
      </c>
      <c r="AG28">
        <v>15165</v>
      </c>
      <c r="AH28" s="1">
        <v>262</v>
      </c>
      <c r="AI28" s="1">
        <v>910</v>
      </c>
      <c r="AJ28" s="1">
        <v>247</v>
      </c>
      <c r="AK28" s="1">
        <v>1161</v>
      </c>
      <c r="AL28" s="1">
        <v>2071</v>
      </c>
      <c r="AM28" s="1">
        <v>502</v>
      </c>
      <c r="AN28" s="1">
        <v>270</v>
      </c>
      <c r="AO28" s="1">
        <v>8184</v>
      </c>
      <c r="AP28" s="1">
        <v>414</v>
      </c>
      <c r="AQ28" s="1">
        <v>127</v>
      </c>
      <c r="AR28" s="1">
        <v>1879</v>
      </c>
      <c r="AS28" s="1">
        <v>3768</v>
      </c>
      <c r="AT28" s="1">
        <v>698</v>
      </c>
      <c r="AU28" s="1">
        <v>1506</v>
      </c>
      <c r="AV28" s="1">
        <v>2881</v>
      </c>
      <c r="AW28" s="1">
        <v>1503</v>
      </c>
      <c r="AX28" s="1">
        <v>14166</v>
      </c>
      <c r="AY28" s="1">
        <v>119</v>
      </c>
      <c r="AZ28" s="1">
        <v>549</v>
      </c>
      <c r="BA28" s="1">
        <v>3740</v>
      </c>
      <c r="BB28" s="1">
        <v>96</v>
      </c>
      <c r="BC28" s="1">
        <v>552</v>
      </c>
      <c r="BD28" s="1">
        <v>4908</v>
      </c>
      <c r="BE28" s="1">
        <v>4432</v>
      </c>
      <c r="BF28" s="1">
        <v>1159</v>
      </c>
      <c r="BG28" s="1">
        <v>3247</v>
      </c>
      <c r="BH28" s="1">
        <v>1585</v>
      </c>
      <c r="BI28" s="1">
        <v>19809</v>
      </c>
      <c r="BJ28" s="1">
        <v>2790</v>
      </c>
      <c r="BK28" s="1">
        <v>7438</v>
      </c>
      <c r="BL28" s="1">
        <v>1946</v>
      </c>
      <c r="BM28" s="1">
        <v>4082</v>
      </c>
      <c r="BN28" s="1">
        <v>889</v>
      </c>
      <c r="BO28" s="1">
        <v>1173</v>
      </c>
      <c r="BP28" s="1">
        <v>22535</v>
      </c>
      <c r="BQ28" s="1">
        <v>2363</v>
      </c>
      <c r="BR28" s="1">
        <v>59690</v>
      </c>
      <c r="BS28" s="1">
        <v>8956</v>
      </c>
      <c r="BT28" s="1">
        <v>8341</v>
      </c>
      <c r="BU28" s="1">
        <v>17310</v>
      </c>
      <c r="BV28" s="1">
        <v>2555</v>
      </c>
      <c r="BW28" s="1">
        <v>10083</v>
      </c>
      <c r="BX28" s="1">
        <v>2180</v>
      </c>
      <c r="BY28" s="1">
        <v>5378</v>
      </c>
      <c r="BZ28" s="1">
        <v>15759</v>
      </c>
      <c r="CA28" s="1">
        <v>2335</v>
      </c>
      <c r="CB28" s="1">
        <v>891</v>
      </c>
      <c r="CC28" s="1">
        <v>5130</v>
      </c>
      <c r="CD28" s="1">
        <v>2661</v>
      </c>
      <c r="CE28" s="1">
        <v>2724</v>
      </c>
      <c r="CF28" s="1">
        <v>5655</v>
      </c>
      <c r="CG28" s="1">
        <v>72174</v>
      </c>
      <c r="CH28" s="1">
        <v>17584</v>
      </c>
      <c r="CI28" s="1">
        <v>32587</v>
      </c>
      <c r="CJ28" s="1">
        <v>9471</v>
      </c>
      <c r="CK28" s="1">
        <v>15466</v>
      </c>
      <c r="CL28" s="1">
        <v>8476</v>
      </c>
      <c r="CM28" s="1">
        <v>12468</v>
      </c>
      <c r="CN28" s="1">
        <v>34457</v>
      </c>
      <c r="CO28" s="1">
        <v>6902</v>
      </c>
      <c r="CP28" s="1">
        <v>2567</v>
      </c>
      <c r="CQ28" s="1">
        <v>5468</v>
      </c>
      <c r="CR28" s="1">
        <v>6027</v>
      </c>
      <c r="CS28" s="1">
        <v>22694</v>
      </c>
      <c r="CT28" s="1">
        <v>13297</v>
      </c>
      <c r="CU28" s="1">
        <v>1408</v>
      </c>
      <c r="CV28" s="1">
        <v>179496</v>
      </c>
      <c r="CW28" s="1">
        <v>7137</v>
      </c>
      <c r="CX28" s="1">
        <v>2456</v>
      </c>
      <c r="CY28" s="1">
        <v>21885</v>
      </c>
      <c r="CZ28" s="1">
        <v>2477</v>
      </c>
      <c r="DA28" s="1">
        <v>5387</v>
      </c>
      <c r="DB28" s="1">
        <v>8370</v>
      </c>
      <c r="DC28" s="1">
        <v>3440</v>
      </c>
      <c r="DD28" s="1">
        <v>2545</v>
      </c>
      <c r="DE28" s="1">
        <v>1857</v>
      </c>
      <c r="DF28" s="1">
        <v>35325</v>
      </c>
      <c r="DG28" s="1">
        <v>10031</v>
      </c>
      <c r="DH28" s="1">
        <v>12662</v>
      </c>
      <c r="DI28" s="1">
        <v>4139</v>
      </c>
      <c r="DJ28" s="1">
        <v>20823</v>
      </c>
      <c r="DK28" s="1">
        <v>11815</v>
      </c>
      <c r="DL28" s="1">
        <v>8080</v>
      </c>
      <c r="DM28" s="1">
        <v>10306</v>
      </c>
      <c r="DN28" s="1">
        <v>13050</v>
      </c>
      <c r="DO28" s="1">
        <v>2735</v>
      </c>
      <c r="DP28" s="1">
        <v>13954</v>
      </c>
      <c r="DQ28" s="1">
        <v>44546</v>
      </c>
      <c r="DR28" s="1">
        <v>3403</v>
      </c>
      <c r="DS28" s="1">
        <v>4631</v>
      </c>
      <c r="DT28" s="1">
        <v>610</v>
      </c>
      <c r="DU28" s="1">
        <v>7267</v>
      </c>
      <c r="DV28" s="1">
        <v>3585</v>
      </c>
      <c r="DW28" s="1">
        <v>5017</v>
      </c>
      <c r="DX28" s="1">
        <v>6075</v>
      </c>
      <c r="DY28" s="1">
        <v>1437</v>
      </c>
      <c r="DZ28" s="1">
        <v>4173</v>
      </c>
      <c r="EA28" s="1">
        <v>6287</v>
      </c>
      <c r="EB28" s="1">
        <v>3578</v>
      </c>
      <c r="EC28" s="1">
        <v>781</v>
      </c>
      <c r="ED28" s="1">
        <v>685</v>
      </c>
      <c r="EE28" s="1">
        <v>21195</v>
      </c>
      <c r="EF28" s="1">
        <v>2763</v>
      </c>
      <c r="EG28" s="1">
        <v>9056</v>
      </c>
      <c r="EH28" s="1">
        <v>18502</v>
      </c>
      <c r="EJ28" s="1">
        <f t="shared" si="0"/>
        <v>1129637</v>
      </c>
    </row>
    <row r="29" spans="1:140" x14ac:dyDescent="0.25">
      <c r="A29" s="1" t="s">
        <v>165</v>
      </c>
      <c r="B29" s="1">
        <v>1857</v>
      </c>
      <c r="C29" s="1">
        <v>3504</v>
      </c>
      <c r="D29" s="1">
        <v>50</v>
      </c>
      <c r="E29" s="1">
        <v>1103</v>
      </c>
      <c r="F29" s="1">
        <v>5</v>
      </c>
      <c r="G29" s="1">
        <v>7</v>
      </c>
      <c r="H29" s="1">
        <v>12272</v>
      </c>
      <c r="I29" s="1">
        <v>27</v>
      </c>
      <c r="J29" s="1">
        <v>587</v>
      </c>
      <c r="K29" s="1">
        <v>40</v>
      </c>
      <c r="L29" s="1">
        <v>827</v>
      </c>
      <c r="M29" s="1">
        <v>239</v>
      </c>
      <c r="N29" s="1">
        <v>8088</v>
      </c>
      <c r="O29" s="1">
        <v>994</v>
      </c>
      <c r="P29" s="1">
        <v>372</v>
      </c>
      <c r="Q29" s="1">
        <v>4918</v>
      </c>
      <c r="R29" s="1">
        <v>18</v>
      </c>
      <c r="S29" s="1">
        <v>930</v>
      </c>
      <c r="T29" s="1">
        <v>1907</v>
      </c>
      <c r="U29" s="1">
        <v>1713</v>
      </c>
      <c r="V29" s="1">
        <v>3525</v>
      </c>
      <c r="W29" s="1">
        <v>1341</v>
      </c>
      <c r="X29" s="1">
        <v>287</v>
      </c>
      <c r="Y29" s="1">
        <v>521</v>
      </c>
      <c r="Z29" s="1">
        <v>1029</v>
      </c>
      <c r="AA29" s="1">
        <v>470</v>
      </c>
      <c r="AB29" s="1">
        <v>3506</v>
      </c>
      <c r="AC29" s="1">
        <v>650</v>
      </c>
      <c r="AD29" s="1">
        <v>186</v>
      </c>
      <c r="AE29" s="1">
        <v>653</v>
      </c>
      <c r="AF29" s="1">
        <v>693</v>
      </c>
      <c r="AG29">
        <v>14688</v>
      </c>
      <c r="AH29" s="1">
        <v>281</v>
      </c>
      <c r="AI29" s="1">
        <v>667</v>
      </c>
      <c r="AJ29" s="1">
        <v>193</v>
      </c>
      <c r="AK29" s="1">
        <v>997</v>
      </c>
      <c r="AL29" s="1">
        <v>2050</v>
      </c>
      <c r="AM29" s="1">
        <v>600</v>
      </c>
      <c r="AN29" s="1">
        <v>133</v>
      </c>
      <c r="AO29" s="1">
        <v>7547</v>
      </c>
      <c r="AP29" s="1">
        <v>394</v>
      </c>
      <c r="AQ29" s="1">
        <v>87</v>
      </c>
      <c r="AR29" s="1">
        <v>1503</v>
      </c>
      <c r="AS29" s="1">
        <v>3253</v>
      </c>
      <c r="AT29" s="1">
        <v>672</v>
      </c>
      <c r="AU29" s="1">
        <v>1292</v>
      </c>
      <c r="AV29" s="1">
        <v>2654</v>
      </c>
      <c r="AW29" s="1">
        <v>3139</v>
      </c>
      <c r="AX29" s="1">
        <v>14941</v>
      </c>
      <c r="AY29" s="1">
        <v>73</v>
      </c>
      <c r="AZ29" s="1">
        <v>584</v>
      </c>
      <c r="BA29" s="1">
        <v>4558</v>
      </c>
      <c r="BB29" s="1">
        <v>118</v>
      </c>
      <c r="BC29" s="1">
        <v>485</v>
      </c>
      <c r="BD29" s="1">
        <v>4547</v>
      </c>
      <c r="BE29" s="1">
        <v>2794</v>
      </c>
      <c r="BF29" s="1">
        <v>1226</v>
      </c>
      <c r="BG29" s="1">
        <v>3182</v>
      </c>
      <c r="BH29" s="1">
        <v>1406</v>
      </c>
      <c r="BI29" s="1">
        <v>18774</v>
      </c>
      <c r="BJ29" s="1">
        <v>2776</v>
      </c>
      <c r="BK29" s="1">
        <v>6319</v>
      </c>
      <c r="BL29" s="1">
        <v>2032</v>
      </c>
      <c r="BM29" s="1">
        <v>3581</v>
      </c>
      <c r="BN29" s="1">
        <v>873</v>
      </c>
      <c r="BO29" s="1">
        <v>2080</v>
      </c>
      <c r="BP29" s="1">
        <v>20950</v>
      </c>
      <c r="BQ29" s="1">
        <v>2117</v>
      </c>
      <c r="BR29" s="1">
        <v>53115</v>
      </c>
      <c r="BS29" s="1">
        <v>8183</v>
      </c>
      <c r="BT29" s="1">
        <v>8058</v>
      </c>
      <c r="BU29" s="1">
        <v>20399</v>
      </c>
      <c r="BV29" s="1">
        <v>2455</v>
      </c>
      <c r="BW29" s="1">
        <v>10186</v>
      </c>
      <c r="BX29" s="1">
        <v>2761</v>
      </c>
      <c r="BY29" s="1">
        <v>7944</v>
      </c>
      <c r="BZ29" s="1">
        <v>14272</v>
      </c>
      <c r="CA29" s="1">
        <v>2432</v>
      </c>
      <c r="CB29" s="1">
        <v>751</v>
      </c>
      <c r="CC29" s="1">
        <v>4944</v>
      </c>
      <c r="CD29" s="1">
        <v>2623</v>
      </c>
      <c r="CE29" s="1">
        <v>2185</v>
      </c>
      <c r="CF29" s="1">
        <v>4831</v>
      </c>
      <c r="CG29" s="1">
        <v>72766</v>
      </c>
      <c r="CH29" s="1">
        <v>16587</v>
      </c>
      <c r="CI29" s="1">
        <v>34664</v>
      </c>
      <c r="CJ29" s="1">
        <v>12978</v>
      </c>
      <c r="CK29" s="1">
        <v>21230</v>
      </c>
      <c r="CL29" s="1">
        <v>11191</v>
      </c>
      <c r="CM29" s="1">
        <v>15822</v>
      </c>
      <c r="CN29" s="1">
        <v>37502</v>
      </c>
      <c r="CO29" s="1">
        <v>8016</v>
      </c>
      <c r="CP29" s="1">
        <v>2385</v>
      </c>
      <c r="CQ29" s="1">
        <v>8800</v>
      </c>
      <c r="CR29" s="1">
        <v>4375</v>
      </c>
      <c r="CS29" s="1">
        <v>20135</v>
      </c>
      <c r="CT29" s="1">
        <v>11793</v>
      </c>
      <c r="CU29" s="1">
        <v>1278</v>
      </c>
      <c r="CV29" s="1">
        <v>165752</v>
      </c>
      <c r="CW29" s="1">
        <v>7839</v>
      </c>
      <c r="CX29" s="1">
        <v>1082</v>
      </c>
      <c r="CY29" s="1">
        <v>21225</v>
      </c>
      <c r="CZ29" s="1">
        <v>4747</v>
      </c>
      <c r="DA29" s="1">
        <v>4526</v>
      </c>
      <c r="DB29" s="1">
        <v>7119</v>
      </c>
      <c r="DC29" s="1">
        <v>2750</v>
      </c>
      <c r="DD29" s="1">
        <v>1869</v>
      </c>
      <c r="DE29" s="1">
        <v>1464</v>
      </c>
      <c r="DF29" s="1">
        <v>31600</v>
      </c>
      <c r="DG29" s="1">
        <v>8960</v>
      </c>
      <c r="DH29" s="1">
        <v>11313</v>
      </c>
      <c r="DI29" s="1">
        <v>3315</v>
      </c>
      <c r="DJ29" s="1">
        <v>16600</v>
      </c>
      <c r="DK29" s="1">
        <v>10283</v>
      </c>
      <c r="DL29" s="1">
        <v>7078</v>
      </c>
      <c r="DM29" s="1">
        <v>9138</v>
      </c>
      <c r="DN29" s="1">
        <v>13592</v>
      </c>
      <c r="DO29" s="1">
        <v>2177</v>
      </c>
      <c r="DP29" s="1">
        <v>7345</v>
      </c>
      <c r="DQ29" s="1">
        <v>38795</v>
      </c>
      <c r="DR29" s="1">
        <v>2020</v>
      </c>
      <c r="DS29" s="1">
        <v>2853</v>
      </c>
      <c r="DT29" s="1">
        <v>632</v>
      </c>
      <c r="DU29" s="1">
        <v>7640</v>
      </c>
      <c r="DV29" s="1">
        <v>3140</v>
      </c>
      <c r="DW29" s="1">
        <v>4807</v>
      </c>
      <c r="DX29" s="1">
        <v>3827</v>
      </c>
      <c r="DY29" s="1">
        <v>997</v>
      </c>
      <c r="DZ29" s="1">
        <v>3515</v>
      </c>
      <c r="EA29" s="1">
        <v>5638</v>
      </c>
      <c r="EB29" s="1">
        <v>3467</v>
      </c>
      <c r="EC29" s="1">
        <v>473</v>
      </c>
      <c r="ED29" s="1">
        <v>581</v>
      </c>
      <c r="EE29" s="1">
        <v>20957</v>
      </c>
      <c r="EF29" s="1">
        <v>2119</v>
      </c>
      <c r="EG29" s="1">
        <v>8003</v>
      </c>
      <c r="EH29" s="1">
        <v>16318</v>
      </c>
      <c r="EJ29" s="1">
        <f t="shared" si="0"/>
        <v>1076102</v>
      </c>
    </row>
    <row r="30" spans="1:140" x14ac:dyDescent="0.25">
      <c r="A30" s="1" t="s">
        <v>166</v>
      </c>
      <c r="B30" s="1">
        <v>2248</v>
      </c>
      <c r="C30" s="1">
        <v>4086</v>
      </c>
      <c r="D30" s="1">
        <v>93</v>
      </c>
      <c r="E30" s="1">
        <v>1430</v>
      </c>
      <c r="F30" s="1">
        <v>12</v>
      </c>
      <c r="G30" s="1">
        <v>20</v>
      </c>
      <c r="H30" s="1">
        <v>12950</v>
      </c>
      <c r="I30" s="1">
        <v>56</v>
      </c>
      <c r="J30" s="1">
        <v>669</v>
      </c>
      <c r="K30" s="1">
        <v>36</v>
      </c>
      <c r="L30" s="1">
        <v>636</v>
      </c>
      <c r="M30" s="1">
        <v>234</v>
      </c>
      <c r="N30" s="1">
        <v>8912</v>
      </c>
      <c r="O30" s="1">
        <v>1035</v>
      </c>
      <c r="P30" s="1">
        <v>413</v>
      </c>
      <c r="Q30" s="1">
        <v>6631</v>
      </c>
      <c r="R30" s="1">
        <v>8</v>
      </c>
      <c r="S30" s="1">
        <v>1222</v>
      </c>
      <c r="T30" s="1">
        <v>2473</v>
      </c>
      <c r="U30" s="1">
        <v>2105</v>
      </c>
      <c r="V30" s="1">
        <v>3829</v>
      </c>
      <c r="W30" s="1">
        <v>1986</v>
      </c>
      <c r="X30" s="1">
        <v>491</v>
      </c>
      <c r="Y30" s="1">
        <v>879</v>
      </c>
      <c r="Z30" s="1">
        <v>775</v>
      </c>
      <c r="AA30" s="1">
        <v>367</v>
      </c>
      <c r="AB30" s="1">
        <v>3715</v>
      </c>
      <c r="AC30" s="1">
        <v>545</v>
      </c>
      <c r="AD30" s="1">
        <v>193</v>
      </c>
      <c r="AE30" s="1">
        <v>1328</v>
      </c>
      <c r="AF30" s="1">
        <v>1168</v>
      </c>
      <c r="AG30">
        <v>17354</v>
      </c>
      <c r="AH30" s="1">
        <v>390</v>
      </c>
      <c r="AI30" s="1">
        <v>940</v>
      </c>
      <c r="AJ30" s="1">
        <v>169</v>
      </c>
      <c r="AK30" s="1">
        <v>1138</v>
      </c>
      <c r="AL30" s="1">
        <v>2253</v>
      </c>
      <c r="AM30" s="1">
        <v>544</v>
      </c>
      <c r="AN30" s="1">
        <v>214</v>
      </c>
      <c r="AO30" s="1">
        <v>8572</v>
      </c>
      <c r="AP30" s="1">
        <v>359</v>
      </c>
      <c r="AQ30" s="1">
        <v>90</v>
      </c>
      <c r="AR30" s="1">
        <v>2012</v>
      </c>
      <c r="AS30" s="1">
        <v>5257</v>
      </c>
      <c r="AT30" s="1">
        <v>924</v>
      </c>
      <c r="AU30" s="1">
        <v>2282</v>
      </c>
      <c r="AV30" s="1">
        <v>2971</v>
      </c>
      <c r="AW30" s="1">
        <v>9029</v>
      </c>
      <c r="AX30" s="1">
        <v>16294</v>
      </c>
      <c r="AY30" s="1">
        <v>75</v>
      </c>
      <c r="AZ30" s="1">
        <v>507</v>
      </c>
      <c r="BA30" s="1">
        <v>6506</v>
      </c>
      <c r="BB30" s="1">
        <v>98</v>
      </c>
      <c r="BC30" s="1">
        <v>481</v>
      </c>
      <c r="BD30" s="1">
        <v>4772</v>
      </c>
      <c r="BE30" s="1">
        <v>3429</v>
      </c>
      <c r="BF30" s="1">
        <v>3530</v>
      </c>
      <c r="BG30" s="1">
        <v>3465</v>
      </c>
      <c r="BH30" s="1">
        <v>1379</v>
      </c>
      <c r="BI30" s="1">
        <v>20453</v>
      </c>
      <c r="BJ30" s="1">
        <v>3185</v>
      </c>
      <c r="BK30" s="1">
        <v>6956</v>
      </c>
      <c r="BL30" s="1">
        <v>2293</v>
      </c>
      <c r="BM30" s="1">
        <v>4183</v>
      </c>
      <c r="BN30" s="1">
        <v>1156</v>
      </c>
      <c r="BO30" s="1">
        <v>1392</v>
      </c>
      <c r="BP30" s="1">
        <v>24513</v>
      </c>
      <c r="BQ30" s="1">
        <v>4076</v>
      </c>
      <c r="BR30" s="1">
        <v>63219</v>
      </c>
      <c r="BS30" s="1">
        <v>10892</v>
      </c>
      <c r="BT30" s="1">
        <v>10557</v>
      </c>
      <c r="BU30" s="1">
        <v>31331</v>
      </c>
      <c r="BV30" s="1">
        <v>2940</v>
      </c>
      <c r="BW30" s="1">
        <v>14732</v>
      </c>
      <c r="BX30" s="1">
        <v>3968</v>
      </c>
      <c r="BY30" s="1">
        <v>11438</v>
      </c>
      <c r="BZ30" s="1">
        <v>15805</v>
      </c>
      <c r="CA30" s="1">
        <v>2644</v>
      </c>
      <c r="CB30" s="1">
        <v>991</v>
      </c>
      <c r="CC30" s="1">
        <v>8140</v>
      </c>
      <c r="CD30" s="1">
        <v>2760</v>
      </c>
      <c r="CE30" s="1">
        <v>2510</v>
      </c>
      <c r="CF30" s="1">
        <v>5073</v>
      </c>
      <c r="CG30" s="1">
        <v>72663</v>
      </c>
      <c r="CH30" s="1">
        <v>17949</v>
      </c>
      <c r="CI30" s="1">
        <v>38480</v>
      </c>
      <c r="CJ30" s="1">
        <v>9398</v>
      </c>
      <c r="CK30" s="1">
        <v>18896</v>
      </c>
      <c r="CL30" s="1">
        <v>10674</v>
      </c>
      <c r="CM30" s="1">
        <v>18825</v>
      </c>
      <c r="CN30" s="1">
        <v>37547</v>
      </c>
      <c r="CO30" s="1">
        <v>6327</v>
      </c>
      <c r="CP30" s="1">
        <v>4383</v>
      </c>
      <c r="CQ30" s="1">
        <v>6121</v>
      </c>
      <c r="CR30" s="1">
        <v>6524</v>
      </c>
      <c r="CS30" s="1">
        <v>21351</v>
      </c>
      <c r="CT30" s="1">
        <v>12976</v>
      </c>
      <c r="CU30" s="1">
        <v>1184</v>
      </c>
      <c r="CV30" s="1">
        <v>173167</v>
      </c>
      <c r="CW30" s="1">
        <v>4762</v>
      </c>
      <c r="CX30" s="1">
        <v>1264</v>
      </c>
      <c r="CY30" s="1">
        <v>17024</v>
      </c>
      <c r="CZ30" s="1">
        <v>6205</v>
      </c>
      <c r="DA30" s="1">
        <v>5302</v>
      </c>
      <c r="DB30" s="1">
        <v>9063</v>
      </c>
      <c r="DC30" s="1">
        <v>2817</v>
      </c>
      <c r="DD30" s="1">
        <v>2026</v>
      </c>
      <c r="DE30" s="1">
        <v>1506</v>
      </c>
      <c r="DF30" s="1">
        <v>33658</v>
      </c>
      <c r="DG30" s="1">
        <v>9036</v>
      </c>
      <c r="DH30" s="1">
        <v>11818</v>
      </c>
      <c r="DI30" s="1">
        <v>2966</v>
      </c>
      <c r="DJ30" s="1">
        <v>18186</v>
      </c>
      <c r="DK30" s="1">
        <v>10488</v>
      </c>
      <c r="DL30" s="1">
        <v>6995</v>
      </c>
      <c r="DM30" s="1">
        <v>8022</v>
      </c>
      <c r="DN30" s="1">
        <v>11416</v>
      </c>
      <c r="DO30" s="1">
        <v>2172</v>
      </c>
      <c r="DP30" s="1">
        <v>6778</v>
      </c>
      <c r="DQ30" s="1">
        <v>40223</v>
      </c>
      <c r="DR30" s="1">
        <v>1857</v>
      </c>
      <c r="DS30" s="1">
        <v>2903</v>
      </c>
      <c r="DT30" s="1">
        <v>614</v>
      </c>
      <c r="DU30" s="1">
        <v>6492</v>
      </c>
      <c r="DV30" s="1">
        <v>3046</v>
      </c>
      <c r="DW30" s="1">
        <v>3980</v>
      </c>
      <c r="DX30" s="1">
        <v>4541</v>
      </c>
      <c r="DY30" s="1">
        <v>1233</v>
      </c>
      <c r="DZ30" s="1">
        <v>3689</v>
      </c>
      <c r="EA30" s="1">
        <v>5957</v>
      </c>
      <c r="EB30" s="1">
        <v>2905</v>
      </c>
      <c r="EC30" s="1">
        <v>666</v>
      </c>
      <c r="ED30" s="1">
        <v>662</v>
      </c>
      <c r="EE30" s="1">
        <v>22623</v>
      </c>
      <c r="EF30" s="1">
        <v>2350</v>
      </c>
      <c r="EG30" s="1">
        <v>7024</v>
      </c>
      <c r="EH30" s="1">
        <v>16257</v>
      </c>
      <c r="EJ30" s="1">
        <f t="shared" si="0"/>
        <v>1165777</v>
      </c>
    </row>
    <row r="31" spans="1:140" x14ac:dyDescent="0.25">
      <c r="A31" s="1" t="s">
        <v>167</v>
      </c>
      <c r="B31" s="1">
        <v>2085</v>
      </c>
      <c r="C31" s="1">
        <v>4159</v>
      </c>
      <c r="D31" s="1">
        <v>111</v>
      </c>
      <c r="E31" s="1">
        <v>1339</v>
      </c>
      <c r="F31" s="1">
        <v>34</v>
      </c>
      <c r="G31" s="1">
        <v>12</v>
      </c>
      <c r="H31" s="1">
        <v>10974</v>
      </c>
      <c r="I31" s="1">
        <v>83</v>
      </c>
      <c r="J31" s="1">
        <v>532</v>
      </c>
      <c r="K31" s="1">
        <v>37</v>
      </c>
      <c r="L31" s="1">
        <v>834</v>
      </c>
      <c r="M31" s="1">
        <v>300</v>
      </c>
      <c r="N31" s="1">
        <v>8805</v>
      </c>
      <c r="O31" s="1">
        <v>1182</v>
      </c>
      <c r="P31" s="1">
        <v>651</v>
      </c>
      <c r="Q31" s="1">
        <v>6857</v>
      </c>
      <c r="R31" s="1">
        <v>12</v>
      </c>
      <c r="S31" s="1">
        <v>1123</v>
      </c>
      <c r="T31" s="1">
        <v>2771</v>
      </c>
      <c r="U31" s="1">
        <v>1605</v>
      </c>
      <c r="V31" s="1">
        <v>3774</v>
      </c>
      <c r="W31" s="1">
        <v>2326</v>
      </c>
      <c r="X31" s="1">
        <v>466</v>
      </c>
      <c r="Y31" s="1">
        <v>661</v>
      </c>
      <c r="Z31" s="1">
        <v>1342</v>
      </c>
      <c r="AA31" s="1">
        <v>444</v>
      </c>
      <c r="AB31" s="1">
        <v>5540</v>
      </c>
      <c r="AC31" s="1">
        <v>936</v>
      </c>
      <c r="AD31" s="1">
        <v>218</v>
      </c>
      <c r="AE31" s="1">
        <v>1453</v>
      </c>
      <c r="AF31" s="1">
        <v>842</v>
      </c>
      <c r="AG31">
        <v>15766</v>
      </c>
      <c r="AH31" s="1">
        <v>281</v>
      </c>
      <c r="AI31" s="1">
        <v>2017</v>
      </c>
      <c r="AJ31" s="1">
        <v>320</v>
      </c>
      <c r="AK31" s="1">
        <v>1114</v>
      </c>
      <c r="AL31" s="1">
        <v>2559</v>
      </c>
      <c r="AM31" s="1">
        <v>562</v>
      </c>
      <c r="AN31" s="1">
        <v>227</v>
      </c>
      <c r="AO31" s="1">
        <v>8528</v>
      </c>
      <c r="AP31" s="1">
        <v>300</v>
      </c>
      <c r="AQ31" s="1">
        <v>93</v>
      </c>
      <c r="AR31" s="1">
        <v>1552</v>
      </c>
      <c r="AS31" s="1">
        <v>4598</v>
      </c>
      <c r="AT31" s="1">
        <v>794</v>
      </c>
      <c r="AU31" s="1">
        <v>3960</v>
      </c>
      <c r="AV31" s="1">
        <v>2871</v>
      </c>
      <c r="AW31" s="1">
        <v>3336</v>
      </c>
      <c r="AX31" s="1">
        <v>16095</v>
      </c>
      <c r="AY31" s="1">
        <v>69</v>
      </c>
      <c r="AZ31" s="1">
        <v>1010</v>
      </c>
      <c r="BA31" s="1">
        <v>5715</v>
      </c>
      <c r="BB31" s="1">
        <v>96</v>
      </c>
      <c r="BC31" s="1">
        <v>368</v>
      </c>
      <c r="BD31" s="1">
        <v>4996</v>
      </c>
      <c r="BE31" s="1">
        <v>5236</v>
      </c>
      <c r="BF31" s="1">
        <v>2394</v>
      </c>
      <c r="BG31" s="1">
        <v>3342</v>
      </c>
      <c r="BH31" s="1">
        <v>1443</v>
      </c>
      <c r="BI31" s="1">
        <v>20471</v>
      </c>
      <c r="BJ31" s="1">
        <v>3655</v>
      </c>
      <c r="BK31" s="1">
        <v>4995</v>
      </c>
      <c r="BL31" s="1">
        <v>3648</v>
      </c>
      <c r="BM31" s="1">
        <v>4017</v>
      </c>
      <c r="BN31" s="1">
        <v>2493</v>
      </c>
      <c r="BO31" s="1">
        <v>1122</v>
      </c>
      <c r="BP31" s="1">
        <v>34687</v>
      </c>
      <c r="BQ31" s="1">
        <v>3340</v>
      </c>
      <c r="BR31" s="1">
        <v>55868</v>
      </c>
      <c r="BS31" s="1">
        <v>8675</v>
      </c>
      <c r="BT31" s="1">
        <v>10789</v>
      </c>
      <c r="BU31" s="1">
        <v>36603</v>
      </c>
      <c r="BV31" s="1">
        <v>3699</v>
      </c>
      <c r="BW31" s="1">
        <v>11677</v>
      </c>
      <c r="BX31" s="1">
        <v>2401</v>
      </c>
      <c r="BY31" s="1">
        <v>4560</v>
      </c>
      <c r="BZ31" s="1">
        <v>15847</v>
      </c>
      <c r="CA31" s="1">
        <v>2315</v>
      </c>
      <c r="CB31" s="1">
        <v>754</v>
      </c>
      <c r="CC31" s="1">
        <v>5761</v>
      </c>
      <c r="CD31" s="1">
        <v>3289</v>
      </c>
      <c r="CE31" s="1">
        <v>2109</v>
      </c>
      <c r="CF31" s="1">
        <v>5022</v>
      </c>
      <c r="CG31" s="1">
        <v>64614</v>
      </c>
      <c r="CH31" s="1">
        <v>14232</v>
      </c>
      <c r="CI31" s="1">
        <v>33449</v>
      </c>
      <c r="CJ31" s="1">
        <v>5640</v>
      </c>
      <c r="CK31" s="1">
        <v>13858</v>
      </c>
      <c r="CL31" s="1">
        <v>12734</v>
      </c>
      <c r="CM31" s="1">
        <v>14127</v>
      </c>
      <c r="CN31" s="1">
        <v>33611</v>
      </c>
      <c r="CO31" s="1">
        <v>5325</v>
      </c>
      <c r="CP31" s="1">
        <v>3167</v>
      </c>
      <c r="CQ31" s="1">
        <v>3691</v>
      </c>
      <c r="CR31" s="1">
        <v>5810</v>
      </c>
      <c r="CS31" s="1">
        <v>19014</v>
      </c>
      <c r="CT31" s="1">
        <v>11966</v>
      </c>
      <c r="CU31" s="1">
        <v>1289</v>
      </c>
      <c r="CV31" s="1">
        <v>168514</v>
      </c>
      <c r="CW31" s="1">
        <v>3945</v>
      </c>
      <c r="CX31" s="1">
        <v>983</v>
      </c>
      <c r="CY31" s="1">
        <v>16920</v>
      </c>
      <c r="CZ31" s="1">
        <v>3227</v>
      </c>
      <c r="DA31" s="1">
        <v>4463</v>
      </c>
      <c r="DB31" s="1">
        <v>8289</v>
      </c>
      <c r="DC31" s="1">
        <v>2704</v>
      </c>
      <c r="DD31" s="1">
        <v>1932</v>
      </c>
      <c r="DE31" s="1">
        <v>1482</v>
      </c>
      <c r="DF31" s="1">
        <v>29974</v>
      </c>
      <c r="DG31" s="1">
        <v>8923</v>
      </c>
      <c r="DH31" s="1">
        <v>10528</v>
      </c>
      <c r="DI31" s="1">
        <v>2735</v>
      </c>
      <c r="DJ31" s="1">
        <v>16194</v>
      </c>
      <c r="DK31" s="1">
        <v>8913</v>
      </c>
      <c r="DL31" s="1">
        <v>6360</v>
      </c>
      <c r="DM31" s="1">
        <v>7538</v>
      </c>
      <c r="DN31" s="1">
        <v>9811</v>
      </c>
      <c r="DO31" s="1">
        <v>1847</v>
      </c>
      <c r="DP31" s="1">
        <v>5097</v>
      </c>
      <c r="DQ31" s="1">
        <v>35080</v>
      </c>
      <c r="DR31" s="1">
        <v>1682</v>
      </c>
      <c r="DS31" s="1">
        <v>3377</v>
      </c>
      <c r="DT31" s="1">
        <v>495</v>
      </c>
      <c r="DU31" s="1">
        <v>5911</v>
      </c>
      <c r="DV31" s="1">
        <v>2673</v>
      </c>
      <c r="DW31" s="1">
        <v>3284</v>
      </c>
      <c r="DX31" s="1">
        <v>5705</v>
      </c>
      <c r="DY31" s="1">
        <v>1238</v>
      </c>
      <c r="DZ31" s="1">
        <v>2021</v>
      </c>
      <c r="EA31" s="1">
        <v>6019</v>
      </c>
      <c r="EB31" s="1">
        <v>3908</v>
      </c>
      <c r="EC31" s="1">
        <v>848</v>
      </c>
      <c r="ED31" s="1">
        <v>600</v>
      </c>
      <c r="EE31" s="1">
        <v>20841</v>
      </c>
      <c r="EF31" s="1">
        <v>2381</v>
      </c>
      <c r="EG31" s="1">
        <v>6824</v>
      </c>
      <c r="EH31" s="1">
        <v>15672</v>
      </c>
      <c r="EJ31" s="1">
        <f t="shared" si="0"/>
        <v>1080412</v>
      </c>
    </row>
    <row r="32" spans="1:140" x14ac:dyDescent="0.25">
      <c r="A32" s="1" t="s">
        <v>168</v>
      </c>
      <c r="B32" s="1">
        <v>2396</v>
      </c>
      <c r="C32" s="1">
        <v>4867</v>
      </c>
      <c r="D32" s="1">
        <v>186</v>
      </c>
      <c r="E32" s="1">
        <v>1961</v>
      </c>
      <c r="F32" s="1">
        <v>3</v>
      </c>
      <c r="G32" s="1">
        <v>8</v>
      </c>
      <c r="H32" s="1">
        <v>11254</v>
      </c>
      <c r="I32" s="1">
        <v>33</v>
      </c>
      <c r="J32" s="1">
        <v>606</v>
      </c>
      <c r="K32" s="1">
        <v>20</v>
      </c>
      <c r="L32" s="1">
        <v>1280</v>
      </c>
      <c r="M32" s="1">
        <v>314</v>
      </c>
      <c r="N32" s="1">
        <v>8923</v>
      </c>
      <c r="O32" s="1">
        <v>1627</v>
      </c>
      <c r="P32" s="1">
        <v>734</v>
      </c>
      <c r="Q32" s="1">
        <v>7719</v>
      </c>
      <c r="R32" s="1">
        <v>90</v>
      </c>
      <c r="S32" s="1">
        <v>1068</v>
      </c>
      <c r="T32" s="1">
        <v>2091</v>
      </c>
      <c r="U32" s="1">
        <v>1588</v>
      </c>
      <c r="V32" s="1">
        <v>3568</v>
      </c>
      <c r="W32" s="1">
        <v>2708</v>
      </c>
      <c r="X32" s="1">
        <v>384</v>
      </c>
      <c r="Y32" s="1">
        <v>1377</v>
      </c>
      <c r="Z32" s="1">
        <v>727</v>
      </c>
      <c r="AA32" s="1">
        <v>510</v>
      </c>
      <c r="AB32" s="1">
        <v>4040</v>
      </c>
      <c r="AC32" s="1">
        <v>661</v>
      </c>
      <c r="AD32" s="1">
        <v>202</v>
      </c>
      <c r="AE32" s="1">
        <v>2003</v>
      </c>
      <c r="AF32" s="1">
        <v>1045</v>
      </c>
      <c r="AG32">
        <v>16173</v>
      </c>
      <c r="AH32" s="1">
        <v>255</v>
      </c>
      <c r="AI32" s="1">
        <v>1981</v>
      </c>
      <c r="AJ32" s="1">
        <v>225</v>
      </c>
      <c r="AK32" s="1">
        <v>1155</v>
      </c>
      <c r="AL32" s="1">
        <v>3041</v>
      </c>
      <c r="AM32" s="1">
        <v>592</v>
      </c>
      <c r="AN32" s="1">
        <v>299</v>
      </c>
      <c r="AO32" s="1">
        <v>9952</v>
      </c>
      <c r="AP32" s="1">
        <v>334</v>
      </c>
      <c r="AQ32" s="1">
        <v>106</v>
      </c>
      <c r="AR32" s="1">
        <v>2295</v>
      </c>
      <c r="AS32" s="1">
        <v>4760</v>
      </c>
      <c r="AT32" s="1">
        <v>819</v>
      </c>
      <c r="AU32" s="1">
        <v>4273</v>
      </c>
      <c r="AV32" s="1">
        <v>2761</v>
      </c>
      <c r="AW32" s="1">
        <v>2520</v>
      </c>
      <c r="AX32" s="1">
        <v>15916</v>
      </c>
      <c r="AY32" s="1">
        <v>119</v>
      </c>
      <c r="AZ32" s="1">
        <v>1371</v>
      </c>
      <c r="BA32" s="1">
        <v>5943</v>
      </c>
      <c r="BB32" s="1">
        <v>121</v>
      </c>
      <c r="BC32" s="1">
        <v>461</v>
      </c>
      <c r="BD32" s="1">
        <v>5392</v>
      </c>
      <c r="BE32" s="1">
        <v>4012</v>
      </c>
      <c r="BF32" s="1">
        <v>3849</v>
      </c>
      <c r="BG32" s="1">
        <v>3288</v>
      </c>
      <c r="BH32" s="1">
        <v>1512</v>
      </c>
      <c r="BI32" s="1">
        <v>22468</v>
      </c>
      <c r="BJ32" s="1">
        <v>4966</v>
      </c>
      <c r="BK32" s="1">
        <v>5222</v>
      </c>
      <c r="BL32" s="1">
        <v>3287</v>
      </c>
      <c r="BM32" s="1">
        <v>4032</v>
      </c>
      <c r="BN32" s="1">
        <v>1957</v>
      </c>
      <c r="BO32" s="1">
        <v>972</v>
      </c>
      <c r="BP32" s="1">
        <v>28789</v>
      </c>
      <c r="BQ32" s="1">
        <v>2942</v>
      </c>
      <c r="BR32" s="1">
        <v>60050</v>
      </c>
      <c r="BS32" s="1">
        <v>9206</v>
      </c>
      <c r="BT32" s="1">
        <v>8497</v>
      </c>
      <c r="BU32" s="1">
        <v>24448</v>
      </c>
      <c r="BV32" s="1">
        <v>2829</v>
      </c>
      <c r="BW32" s="1">
        <v>11437</v>
      </c>
      <c r="BX32" s="1">
        <v>2373</v>
      </c>
      <c r="BY32" s="1">
        <v>4607</v>
      </c>
      <c r="BZ32" s="1">
        <v>16023</v>
      </c>
      <c r="CA32" s="1">
        <v>2230</v>
      </c>
      <c r="CB32" s="1">
        <v>771</v>
      </c>
      <c r="CC32" s="1">
        <v>5870</v>
      </c>
      <c r="CD32" s="1">
        <v>2635</v>
      </c>
      <c r="CE32" s="1">
        <v>2185</v>
      </c>
      <c r="CF32" s="1">
        <v>4734</v>
      </c>
      <c r="CG32" s="1">
        <v>69928</v>
      </c>
      <c r="CH32" s="1">
        <v>13639</v>
      </c>
      <c r="CI32" s="1">
        <v>25912</v>
      </c>
      <c r="CJ32" s="1">
        <v>5063</v>
      </c>
      <c r="CK32" s="1">
        <v>12551</v>
      </c>
      <c r="CL32" s="1">
        <v>12443</v>
      </c>
      <c r="CM32" s="1">
        <v>13376</v>
      </c>
      <c r="CN32" s="1">
        <v>34104</v>
      </c>
      <c r="CO32" s="1">
        <v>5057</v>
      </c>
      <c r="CP32" s="1">
        <v>2591</v>
      </c>
      <c r="CQ32" s="1">
        <v>3121</v>
      </c>
      <c r="CR32" s="1">
        <v>4922</v>
      </c>
      <c r="CS32" s="1">
        <v>18427</v>
      </c>
      <c r="CT32" s="1">
        <v>11774</v>
      </c>
      <c r="CU32" s="1">
        <v>1121</v>
      </c>
      <c r="CV32" s="1">
        <v>172273</v>
      </c>
      <c r="CW32" s="1">
        <v>4723</v>
      </c>
      <c r="CX32" s="1">
        <v>1219</v>
      </c>
      <c r="CY32" s="1">
        <v>15672</v>
      </c>
      <c r="CZ32" s="1">
        <v>3337</v>
      </c>
      <c r="DA32" s="1">
        <v>4282</v>
      </c>
      <c r="DB32" s="1">
        <v>8430</v>
      </c>
      <c r="DC32" s="1">
        <v>2611</v>
      </c>
      <c r="DD32" s="1">
        <v>1980</v>
      </c>
      <c r="DE32" s="1">
        <v>1364</v>
      </c>
      <c r="DF32" s="1">
        <v>32010</v>
      </c>
      <c r="DG32" s="1">
        <v>8951</v>
      </c>
      <c r="DH32" s="1">
        <v>11049</v>
      </c>
      <c r="DI32" s="1">
        <v>2917</v>
      </c>
      <c r="DJ32" s="1">
        <v>16829</v>
      </c>
      <c r="DK32" s="1">
        <v>9456</v>
      </c>
      <c r="DL32" s="1">
        <v>6638</v>
      </c>
      <c r="DM32" s="1">
        <v>7373</v>
      </c>
      <c r="DN32" s="1">
        <v>9791</v>
      </c>
      <c r="DO32" s="1">
        <v>1797</v>
      </c>
      <c r="DP32" s="1">
        <v>4913</v>
      </c>
      <c r="DQ32" s="1">
        <v>36310</v>
      </c>
      <c r="DR32" s="1">
        <v>2270</v>
      </c>
      <c r="DS32" s="1">
        <v>2959</v>
      </c>
      <c r="DT32" s="1">
        <v>601</v>
      </c>
      <c r="DU32" s="1">
        <v>7420</v>
      </c>
      <c r="DV32" s="1">
        <v>3079</v>
      </c>
      <c r="DW32" s="1">
        <v>4299</v>
      </c>
      <c r="DX32" s="1">
        <v>5841</v>
      </c>
      <c r="DY32" s="1">
        <v>1220</v>
      </c>
      <c r="DZ32" s="1">
        <v>2078</v>
      </c>
      <c r="EA32" s="1">
        <v>6951</v>
      </c>
      <c r="EB32" s="1">
        <v>3404</v>
      </c>
      <c r="EC32" s="1">
        <v>618</v>
      </c>
      <c r="ED32" s="1">
        <v>791</v>
      </c>
      <c r="EE32" s="1">
        <v>20941</v>
      </c>
      <c r="EF32" s="1">
        <v>2546</v>
      </c>
      <c r="EG32" s="1">
        <v>8000</v>
      </c>
      <c r="EH32" s="1">
        <v>18726</v>
      </c>
      <c r="EJ32" s="1">
        <f t="shared" si="0"/>
        <v>1079746</v>
      </c>
    </row>
    <row r="33" spans="1:140" x14ac:dyDescent="0.25">
      <c r="A33" s="1" t="s">
        <v>169</v>
      </c>
      <c r="B33" s="1">
        <v>2416</v>
      </c>
      <c r="C33" s="1">
        <v>4536</v>
      </c>
      <c r="D33" s="1">
        <v>104</v>
      </c>
      <c r="E33" s="1">
        <v>1572</v>
      </c>
      <c r="F33" s="1">
        <v>6</v>
      </c>
      <c r="G33" s="1">
        <v>14</v>
      </c>
      <c r="H33" s="1">
        <v>13586</v>
      </c>
      <c r="I33" s="1">
        <v>22</v>
      </c>
      <c r="J33" s="1">
        <v>604</v>
      </c>
      <c r="K33" s="1">
        <v>19</v>
      </c>
      <c r="L33" s="1">
        <v>1282</v>
      </c>
      <c r="M33" s="1">
        <v>322</v>
      </c>
      <c r="N33" s="1">
        <v>11467</v>
      </c>
      <c r="O33" s="1">
        <v>1836</v>
      </c>
      <c r="P33" s="1">
        <v>688</v>
      </c>
      <c r="Q33" s="1">
        <v>8482</v>
      </c>
      <c r="R33" s="1">
        <v>141</v>
      </c>
      <c r="S33" s="1">
        <v>1218</v>
      </c>
      <c r="T33" s="1">
        <v>2641</v>
      </c>
      <c r="U33" s="1">
        <v>1659</v>
      </c>
      <c r="V33" s="1">
        <v>4777</v>
      </c>
      <c r="W33" s="1">
        <v>2427</v>
      </c>
      <c r="X33" s="1">
        <v>500</v>
      </c>
      <c r="Y33" s="1">
        <v>1404</v>
      </c>
      <c r="Z33" s="1">
        <v>762</v>
      </c>
      <c r="AA33" s="1">
        <v>365</v>
      </c>
      <c r="AB33" s="1">
        <v>4044</v>
      </c>
      <c r="AC33" s="1">
        <v>950</v>
      </c>
      <c r="AD33" s="1">
        <v>190</v>
      </c>
      <c r="AE33" s="1">
        <v>2053</v>
      </c>
      <c r="AF33" s="1">
        <v>1326</v>
      </c>
      <c r="AG33">
        <v>17339</v>
      </c>
      <c r="AH33" s="1">
        <v>296</v>
      </c>
      <c r="AI33" s="1">
        <v>4078</v>
      </c>
      <c r="AJ33" s="1">
        <v>441</v>
      </c>
      <c r="AK33" s="1">
        <v>1762</v>
      </c>
      <c r="AL33" s="1">
        <v>3676</v>
      </c>
      <c r="AM33" s="1">
        <v>571</v>
      </c>
      <c r="AN33" s="1">
        <v>292</v>
      </c>
      <c r="AO33" s="1">
        <v>9621</v>
      </c>
      <c r="AP33" s="1">
        <v>464</v>
      </c>
      <c r="AQ33" s="1">
        <v>59</v>
      </c>
      <c r="AR33" s="1">
        <v>1806</v>
      </c>
      <c r="AS33" s="1">
        <v>9677</v>
      </c>
      <c r="AT33" s="1">
        <v>791</v>
      </c>
      <c r="AU33" s="1">
        <v>4425</v>
      </c>
      <c r="AV33" s="1">
        <v>2928</v>
      </c>
      <c r="AW33" s="1">
        <v>4524</v>
      </c>
      <c r="AX33" s="1">
        <v>20230</v>
      </c>
      <c r="AY33" s="1">
        <v>61</v>
      </c>
      <c r="AZ33" s="1">
        <v>809</v>
      </c>
      <c r="BA33" s="1">
        <v>7711</v>
      </c>
      <c r="BB33" s="1">
        <v>186</v>
      </c>
      <c r="BC33" s="1">
        <v>575</v>
      </c>
      <c r="BD33" s="1">
        <v>6196</v>
      </c>
      <c r="BE33" s="1">
        <v>3354</v>
      </c>
      <c r="BF33" s="1">
        <v>2840</v>
      </c>
      <c r="BG33" s="1">
        <v>3626</v>
      </c>
      <c r="BH33" s="1">
        <v>1682</v>
      </c>
      <c r="BI33" s="1">
        <v>23030</v>
      </c>
      <c r="BJ33" s="1">
        <v>4073</v>
      </c>
      <c r="BK33" s="1">
        <v>5382</v>
      </c>
      <c r="BL33" s="1">
        <v>2572</v>
      </c>
      <c r="BM33" s="1">
        <v>4113</v>
      </c>
      <c r="BN33" s="1">
        <v>1259</v>
      </c>
      <c r="BO33" s="1">
        <v>1038</v>
      </c>
      <c r="BP33" s="1">
        <v>24360</v>
      </c>
      <c r="BQ33" s="1">
        <v>2962</v>
      </c>
      <c r="BR33" s="1">
        <v>74464</v>
      </c>
      <c r="BS33" s="1">
        <v>8735</v>
      </c>
      <c r="BT33" s="1">
        <v>8795</v>
      </c>
      <c r="BU33" s="1">
        <v>20641</v>
      </c>
      <c r="BV33" s="1">
        <v>3214</v>
      </c>
      <c r="BW33" s="1">
        <v>11512</v>
      </c>
      <c r="BX33" s="1">
        <v>2621</v>
      </c>
      <c r="BY33" s="1">
        <v>4796</v>
      </c>
      <c r="BZ33" s="1">
        <v>18718</v>
      </c>
      <c r="CA33" s="1">
        <v>2539</v>
      </c>
      <c r="CB33" s="1">
        <v>867</v>
      </c>
      <c r="CC33" s="1">
        <v>6113</v>
      </c>
      <c r="CD33" s="1">
        <v>2875</v>
      </c>
      <c r="CE33" s="1">
        <v>2084</v>
      </c>
      <c r="CF33" s="1">
        <v>5343</v>
      </c>
      <c r="CG33" s="1">
        <v>73478</v>
      </c>
      <c r="CH33" s="1">
        <v>11703</v>
      </c>
      <c r="CI33" s="1">
        <v>23126</v>
      </c>
      <c r="CJ33" s="1">
        <v>6190</v>
      </c>
      <c r="CK33" s="1">
        <v>12737</v>
      </c>
      <c r="CL33" s="1">
        <v>9739</v>
      </c>
      <c r="CM33" s="1">
        <v>13234</v>
      </c>
      <c r="CN33" s="1">
        <v>35280</v>
      </c>
      <c r="CO33" s="1">
        <v>5022</v>
      </c>
      <c r="CP33" s="1">
        <v>2680</v>
      </c>
      <c r="CQ33" s="1">
        <v>3849</v>
      </c>
      <c r="CR33" s="1">
        <v>5712</v>
      </c>
      <c r="CS33" s="1">
        <v>21300</v>
      </c>
      <c r="CT33" s="1">
        <v>13338</v>
      </c>
      <c r="CU33" s="1">
        <v>1248</v>
      </c>
      <c r="CV33" s="1">
        <v>185886</v>
      </c>
      <c r="CW33" s="1">
        <v>4318</v>
      </c>
      <c r="CX33" s="1">
        <v>1195</v>
      </c>
      <c r="CY33" s="1">
        <v>16991</v>
      </c>
      <c r="CZ33" s="1">
        <v>2723</v>
      </c>
      <c r="DA33" s="1">
        <v>4355</v>
      </c>
      <c r="DB33" s="1">
        <v>8564</v>
      </c>
      <c r="DC33" s="1">
        <v>2651</v>
      </c>
      <c r="DD33" s="1">
        <v>2097</v>
      </c>
      <c r="DE33" s="1">
        <v>1218</v>
      </c>
      <c r="DF33" s="1">
        <v>33826</v>
      </c>
      <c r="DG33" s="1">
        <v>10355</v>
      </c>
      <c r="DH33" s="1">
        <v>11580</v>
      </c>
      <c r="DI33" s="1">
        <v>3236</v>
      </c>
      <c r="DJ33" s="1">
        <v>18589</v>
      </c>
      <c r="DK33" s="1">
        <v>10929</v>
      </c>
      <c r="DL33" s="1">
        <v>7652</v>
      </c>
      <c r="DM33" s="1">
        <v>8029</v>
      </c>
      <c r="DN33" s="1">
        <v>11286</v>
      </c>
      <c r="DO33" s="1">
        <v>2043</v>
      </c>
      <c r="DP33" s="1">
        <v>5342</v>
      </c>
      <c r="DQ33" s="1">
        <v>41207</v>
      </c>
      <c r="DR33" s="1">
        <v>2281</v>
      </c>
      <c r="DS33" s="1">
        <v>2841</v>
      </c>
      <c r="DT33" s="1">
        <v>581</v>
      </c>
      <c r="DU33" s="1">
        <v>7771</v>
      </c>
      <c r="DV33" s="1">
        <v>2480</v>
      </c>
      <c r="DW33" s="1">
        <v>3703</v>
      </c>
      <c r="DX33" s="1">
        <v>6229</v>
      </c>
      <c r="DY33" s="1">
        <v>1146</v>
      </c>
      <c r="DZ33" s="1">
        <v>2180</v>
      </c>
      <c r="EA33" s="1">
        <v>7020</v>
      </c>
      <c r="EB33" s="1">
        <v>3153</v>
      </c>
      <c r="EC33" s="1">
        <v>502</v>
      </c>
      <c r="ED33" s="1">
        <v>552</v>
      </c>
      <c r="EE33" s="1">
        <v>22417</v>
      </c>
      <c r="EF33" s="1">
        <v>2655</v>
      </c>
      <c r="EG33" s="1">
        <v>7229</v>
      </c>
      <c r="EH33" s="1">
        <v>17735</v>
      </c>
      <c r="EJ33" s="1">
        <f t="shared" si="0"/>
        <v>1146722</v>
      </c>
    </row>
    <row r="34" spans="1:140" x14ac:dyDescent="0.25">
      <c r="A34" s="1" t="s">
        <v>170</v>
      </c>
      <c r="B34" s="1">
        <v>2133</v>
      </c>
      <c r="C34" s="1">
        <v>3754</v>
      </c>
      <c r="D34" s="1">
        <v>83</v>
      </c>
      <c r="E34" s="1">
        <v>1496</v>
      </c>
      <c r="F34" s="1">
        <v>7</v>
      </c>
      <c r="G34" s="1">
        <v>12</v>
      </c>
      <c r="H34" s="1">
        <v>12958</v>
      </c>
      <c r="I34" s="1">
        <v>57</v>
      </c>
      <c r="J34" s="1">
        <v>604</v>
      </c>
      <c r="K34" s="1">
        <v>15</v>
      </c>
      <c r="L34" s="1">
        <v>975</v>
      </c>
      <c r="M34" s="1">
        <v>226</v>
      </c>
      <c r="N34" s="1">
        <v>10345</v>
      </c>
      <c r="O34" s="1">
        <v>1796</v>
      </c>
      <c r="P34" s="1">
        <v>667</v>
      </c>
      <c r="Q34" s="1">
        <v>7404</v>
      </c>
      <c r="R34" s="1">
        <v>63</v>
      </c>
      <c r="S34" s="1">
        <v>1644</v>
      </c>
      <c r="T34" s="1">
        <v>2195</v>
      </c>
      <c r="U34" s="1">
        <v>1473</v>
      </c>
      <c r="V34" s="1">
        <v>3700</v>
      </c>
      <c r="W34" s="1">
        <v>1897</v>
      </c>
      <c r="X34" s="1">
        <v>428</v>
      </c>
      <c r="Y34" s="1">
        <v>733</v>
      </c>
      <c r="Z34" s="1">
        <v>652</v>
      </c>
      <c r="AA34" s="1">
        <v>273</v>
      </c>
      <c r="AB34" s="1">
        <v>3521</v>
      </c>
      <c r="AC34" s="1">
        <v>665</v>
      </c>
      <c r="AD34" s="1">
        <v>256</v>
      </c>
      <c r="AE34" s="1">
        <v>2202</v>
      </c>
      <c r="AF34" s="1">
        <v>1146</v>
      </c>
      <c r="AG34">
        <v>18384</v>
      </c>
      <c r="AH34" s="1">
        <v>456</v>
      </c>
      <c r="AI34" s="1">
        <v>2123</v>
      </c>
      <c r="AJ34" s="1">
        <v>261</v>
      </c>
      <c r="AK34" s="1">
        <v>1668</v>
      </c>
      <c r="AL34" s="1">
        <v>3641</v>
      </c>
      <c r="AM34" s="1">
        <v>554</v>
      </c>
      <c r="AN34" s="1">
        <v>383</v>
      </c>
      <c r="AO34" s="1">
        <v>11839</v>
      </c>
      <c r="AP34" s="1">
        <v>437</v>
      </c>
      <c r="AQ34" s="1">
        <v>99</v>
      </c>
      <c r="AR34" s="1">
        <v>2490</v>
      </c>
      <c r="AS34" s="1">
        <v>5924</v>
      </c>
      <c r="AT34" s="1">
        <v>872</v>
      </c>
      <c r="AU34" s="1">
        <v>3212</v>
      </c>
      <c r="AV34" s="1">
        <v>3064</v>
      </c>
      <c r="AW34" s="1">
        <v>20694</v>
      </c>
      <c r="AX34" s="1">
        <v>21122</v>
      </c>
      <c r="AY34" s="1">
        <v>91</v>
      </c>
      <c r="AZ34" s="1">
        <v>676</v>
      </c>
      <c r="BA34" s="1">
        <v>32142</v>
      </c>
      <c r="BB34" s="1">
        <v>164</v>
      </c>
      <c r="BC34" s="1">
        <v>540</v>
      </c>
      <c r="BD34" s="1">
        <v>5205</v>
      </c>
      <c r="BE34" s="1">
        <v>1783</v>
      </c>
      <c r="BF34" s="1">
        <v>2401</v>
      </c>
      <c r="BG34" s="1">
        <v>3641</v>
      </c>
      <c r="BH34" s="1">
        <v>1497</v>
      </c>
      <c r="BI34" s="1">
        <v>20648</v>
      </c>
      <c r="BJ34" s="1">
        <v>3946</v>
      </c>
      <c r="BK34" s="1">
        <v>4963</v>
      </c>
      <c r="BL34" s="1">
        <v>2328</v>
      </c>
      <c r="BM34" s="1">
        <v>3910</v>
      </c>
      <c r="BN34" s="1">
        <v>1038</v>
      </c>
      <c r="BO34" s="1">
        <v>986</v>
      </c>
      <c r="BP34" s="1">
        <v>19928</v>
      </c>
      <c r="BQ34" s="1">
        <v>2323</v>
      </c>
      <c r="BR34" s="1">
        <v>62160</v>
      </c>
      <c r="BS34" s="1">
        <v>8617</v>
      </c>
      <c r="BT34" s="1">
        <v>7690</v>
      </c>
      <c r="BU34" s="1">
        <v>18245</v>
      </c>
      <c r="BV34" s="1">
        <v>2704</v>
      </c>
      <c r="BW34" s="1">
        <v>9988</v>
      </c>
      <c r="BX34" s="1">
        <v>2135</v>
      </c>
      <c r="BY34" s="1">
        <v>4633</v>
      </c>
      <c r="BZ34" s="1">
        <v>16974</v>
      </c>
      <c r="CA34" s="1">
        <v>2164</v>
      </c>
      <c r="CB34" s="1">
        <v>754</v>
      </c>
      <c r="CC34" s="1">
        <v>4825</v>
      </c>
      <c r="CD34" s="1">
        <v>2983</v>
      </c>
      <c r="CE34" s="1">
        <v>2146</v>
      </c>
      <c r="CF34" s="1">
        <v>5328</v>
      </c>
      <c r="CG34" s="1">
        <v>70220</v>
      </c>
      <c r="CH34" s="1">
        <v>10313</v>
      </c>
      <c r="CI34" s="1">
        <v>19798</v>
      </c>
      <c r="CJ34" s="1">
        <v>5937</v>
      </c>
      <c r="CK34" s="1">
        <v>12189</v>
      </c>
      <c r="CL34" s="1">
        <v>7674</v>
      </c>
      <c r="CM34" s="1">
        <v>11901</v>
      </c>
      <c r="CN34" s="1">
        <v>32287</v>
      </c>
      <c r="CO34" s="1">
        <v>4431</v>
      </c>
      <c r="CP34" s="1">
        <v>2348</v>
      </c>
      <c r="CQ34" s="1">
        <v>3979</v>
      </c>
      <c r="CR34" s="1">
        <v>4944</v>
      </c>
      <c r="CS34" s="1">
        <v>19486</v>
      </c>
      <c r="CT34" s="1">
        <v>12449</v>
      </c>
      <c r="CU34" s="1">
        <v>1299</v>
      </c>
      <c r="CV34" s="1">
        <v>175047</v>
      </c>
      <c r="CW34" s="1">
        <v>3878</v>
      </c>
      <c r="CX34" s="1">
        <v>1054</v>
      </c>
      <c r="CY34" s="1">
        <v>16294</v>
      </c>
      <c r="CZ34" s="1">
        <v>2505</v>
      </c>
      <c r="DA34" s="1">
        <v>4491</v>
      </c>
      <c r="DB34" s="1">
        <v>8036</v>
      </c>
      <c r="DC34" s="1">
        <v>2695</v>
      </c>
      <c r="DD34" s="1">
        <v>1994</v>
      </c>
      <c r="DE34" s="1">
        <v>1397</v>
      </c>
      <c r="DF34" s="1">
        <v>32260</v>
      </c>
      <c r="DG34" s="1">
        <v>9970</v>
      </c>
      <c r="DH34" s="1">
        <v>10941</v>
      </c>
      <c r="DI34" s="1">
        <v>2452</v>
      </c>
      <c r="DJ34" s="1">
        <v>17521</v>
      </c>
      <c r="DK34" s="1">
        <v>9848</v>
      </c>
      <c r="DL34" s="1">
        <v>6664</v>
      </c>
      <c r="DM34" s="1">
        <v>7185</v>
      </c>
      <c r="DN34" s="1">
        <v>9785</v>
      </c>
      <c r="DO34" s="1">
        <v>1865</v>
      </c>
      <c r="DP34" s="1">
        <v>4863</v>
      </c>
      <c r="DQ34" s="1">
        <v>36981</v>
      </c>
      <c r="DR34" s="1">
        <v>1811</v>
      </c>
      <c r="DS34" s="1">
        <v>3124</v>
      </c>
      <c r="DT34" s="1">
        <v>586</v>
      </c>
      <c r="DU34" s="1">
        <v>6656</v>
      </c>
      <c r="DV34" s="1">
        <v>2780</v>
      </c>
      <c r="DW34" s="1">
        <v>3197</v>
      </c>
      <c r="DX34" s="1">
        <v>7086</v>
      </c>
      <c r="DY34" s="1">
        <v>1044</v>
      </c>
      <c r="DZ34" s="1">
        <v>2071</v>
      </c>
      <c r="EA34" s="1">
        <v>6738</v>
      </c>
      <c r="EB34" s="1">
        <v>3084</v>
      </c>
      <c r="EC34" s="1">
        <v>515</v>
      </c>
      <c r="ED34" s="1">
        <v>759</v>
      </c>
      <c r="EE34" s="1">
        <v>20358</v>
      </c>
      <c r="EF34" s="1">
        <v>2350</v>
      </c>
      <c r="EG34" s="1">
        <v>6859</v>
      </c>
      <c r="EH34" s="1">
        <v>16503</v>
      </c>
      <c r="EJ34" s="1">
        <f t="shared" si="0"/>
        <v>1092661</v>
      </c>
    </row>
    <row r="35" spans="1:140" x14ac:dyDescent="0.25">
      <c r="A35" s="1" t="s">
        <v>171</v>
      </c>
      <c r="B35" s="1">
        <v>1995</v>
      </c>
      <c r="C35" s="1">
        <v>3716</v>
      </c>
      <c r="D35" s="1">
        <v>128</v>
      </c>
      <c r="E35" s="1">
        <v>1508</v>
      </c>
      <c r="F35" s="1">
        <v>13</v>
      </c>
      <c r="G35" s="1">
        <v>21</v>
      </c>
      <c r="H35" s="1">
        <v>12751</v>
      </c>
      <c r="I35" s="1">
        <v>41</v>
      </c>
      <c r="J35" s="1">
        <v>629</v>
      </c>
      <c r="K35" s="1">
        <v>37</v>
      </c>
      <c r="L35" s="1">
        <v>1013</v>
      </c>
      <c r="M35" s="1">
        <v>144</v>
      </c>
      <c r="N35" s="1">
        <v>9852</v>
      </c>
      <c r="O35" s="1">
        <v>1347</v>
      </c>
      <c r="P35" s="1">
        <v>757</v>
      </c>
      <c r="Q35" s="1">
        <v>6411</v>
      </c>
      <c r="R35" s="1">
        <v>53</v>
      </c>
      <c r="S35" s="1">
        <v>1538</v>
      </c>
      <c r="T35" s="1">
        <v>2010</v>
      </c>
      <c r="U35" s="1">
        <v>1611</v>
      </c>
      <c r="V35" s="1">
        <v>4809</v>
      </c>
      <c r="W35" s="1">
        <v>2113</v>
      </c>
      <c r="X35" s="1">
        <v>376</v>
      </c>
      <c r="Y35" s="1">
        <v>734</v>
      </c>
      <c r="Z35" s="1">
        <v>771</v>
      </c>
      <c r="AA35" s="1">
        <v>384</v>
      </c>
      <c r="AB35" s="1">
        <v>3844</v>
      </c>
      <c r="AC35" s="1">
        <v>782</v>
      </c>
      <c r="AD35" s="1">
        <v>266</v>
      </c>
      <c r="AE35" s="1">
        <v>2376</v>
      </c>
      <c r="AF35" s="1">
        <v>1846</v>
      </c>
      <c r="AG35">
        <v>18243</v>
      </c>
      <c r="AH35" s="1">
        <v>459</v>
      </c>
      <c r="AI35" s="1">
        <v>1530</v>
      </c>
      <c r="AJ35" s="1">
        <v>233</v>
      </c>
      <c r="AK35" s="1">
        <v>1922</v>
      </c>
      <c r="AL35" s="1">
        <v>3090</v>
      </c>
      <c r="AM35" s="1">
        <v>629</v>
      </c>
      <c r="AN35" s="1">
        <v>231</v>
      </c>
      <c r="AO35" s="1">
        <v>8786</v>
      </c>
      <c r="AP35" s="1">
        <v>446</v>
      </c>
      <c r="AQ35" s="1">
        <v>67</v>
      </c>
      <c r="AR35" s="1">
        <v>1788</v>
      </c>
      <c r="AS35" s="1">
        <v>4565</v>
      </c>
      <c r="AT35" s="1">
        <v>763</v>
      </c>
      <c r="AU35" s="1">
        <v>2563</v>
      </c>
      <c r="AV35" s="1">
        <v>3126</v>
      </c>
      <c r="AW35" s="1">
        <v>4812</v>
      </c>
      <c r="AX35" s="1">
        <v>17780</v>
      </c>
      <c r="AY35" s="1">
        <v>128</v>
      </c>
      <c r="AZ35" s="1">
        <v>632</v>
      </c>
      <c r="BA35" s="1">
        <v>14110</v>
      </c>
      <c r="BB35" s="1">
        <v>105</v>
      </c>
      <c r="BC35" s="1">
        <v>506</v>
      </c>
      <c r="BD35" s="1">
        <v>6479</v>
      </c>
      <c r="BE35" s="1">
        <v>2248</v>
      </c>
      <c r="BF35" s="1">
        <v>2154</v>
      </c>
      <c r="BG35" s="1">
        <v>3558</v>
      </c>
      <c r="BH35" s="1">
        <v>1115</v>
      </c>
      <c r="BI35" s="1">
        <v>20797</v>
      </c>
      <c r="BJ35" s="1">
        <v>3133</v>
      </c>
      <c r="BK35" s="1">
        <v>4442</v>
      </c>
      <c r="BL35" s="1">
        <v>2382</v>
      </c>
      <c r="BM35" s="1">
        <v>4079</v>
      </c>
      <c r="BN35" s="1">
        <v>1034</v>
      </c>
      <c r="BO35" s="1">
        <v>1038</v>
      </c>
      <c r="BP35" s="1">
        <v>18300</v>
      </c>
      <c r="BQ35" s="1">
        <v>2849</v>
      </c>
      <c r="BR35" s="1">
        <v>58585</v>
      </c>
      <c r="BS35" s="1">
        <v>8470</v>
      </c>
      <c r="BT35" s="1">
        <v>7545</v>
      </c>
      <c r="BU35" s="1">
        <v>16851</v>
      </c>
      <c r="BV35" s="1">
        <v>2145</v>
      </c>
      <c r="BW35" s="1">
        <v>10845</v>
      </c>
      <c r="BX35" s="1">
        <v>2478</v>
      </c>
      <c r="BY35" s="1">
        <v>4675</v>
      </c>
      <c r="BZ35" s="1">
        <v>17298</v>
      </c>
      <c r="CA35" s="1">
        <v>2170</v>
      </c>
      <c r="CB35" s="1">
        <v>828</v>
      </c>
      <c r="CC35" s="1">
        <v>4906</v>
      </c>
      <c r="CD35" s="1">
        <v>2871</v>
      </c>
      <c r="CE35" s="1">
        <v>2416</v>
      </c>
      <c r="CF35" s="1">
        <v>5526</v>
      </c>
      <c r="CG35" s="1">
        <v>71349</v>
      </c>
      <c r="CH35" s="1">
        <v>11054</v>
      </c>
      <c r="CI35" s="1">
        <v>21123</v>
      </c>
      <c r="CJ35" s="1">
        <v>5979</v>
      </c>
      <c r="CK35" s="1">
        <v>12136</v>
      </c>
      <c r="CL35" s="1">
        <v>6911</v>
      </c>
      <c r="CM35" s="1">
        <v>12353</v>
      </c>
      <c r="CN35" s="1">
        <v>32976</v>
      </c>
      <c r="CO35" s="1">
        <v>4870</v>
      </c>
      <c r="CP35" s="1">
        <v>2406</v>
      </c>
      <c r="CQ35" s="1">
        <v>3762</v>
      </c>
      <c r="CR35" s="1">
        <v>5268</v>
      </c>
      <c r="CS35" s="1">
        <v>20358</v>
      </c>
      <c r="CT35" s="1">
        <v>13874</v>
      </c>
      <c r="CU35" s="1">
        <v>1448</v>
      </c>
      <c r="CV35" s="1">
        <v>179509</v>
      </c>
      <c r="CW35" s="1">
        <v>4079</v>
      </c>
      <c r="CX35" s="1">
        <v>1225</v>
      </c>
      <c r="CY35" s="1">
        <v>17537</v>
      </c>
      <c r="CZ35" s="1">
        <v>2244</v>
      </c>
      <c r="DA35" s="1">
        <v>4712</v>
      </c>
      <c r="DB35" s="1">
        <v>7817</v>
      </c>
      <c r="DC35" s="1">
        <v>2865</v>
      </c>
      <c r="DD35" s="1">
        <v>1742</v>
      </c>
      <c r="DE35" s="1">
        <v>1277</v>
      </c>
      <c r="DF35" s="1">
        <v>34570</v>
      </c>
      <c r="DG35" s="1">
        <v>11948</v>
      </c>
      <c r="DH35" s="1">
        <v>11357</v>
      </c>
      <c r="DI35" s="1">
        <v>3918</v>
      </c>
      <c r="DJ35" s="1">
        <v>19314</v>
      </c>
      <c r="DK35" s="1">
        <v>11738</v>
      </c>
      <c r="DL35" s="1">
        <v>7296</v>
      </c>
      <c r="DM35" s="1">
        <v>8488</v>
      </c>
      <c r="DN35" s="1">
        <v>11836</v>
      </c>
      <c r="DO35" s="1">
        <v>2088</v>
      </c>
      <c r="DP35" s="1">
        <v>5952</v>
      </c>
      <c r="DQ35" s="1">
        <v>40185</v>
      </c>
      <c r="DR35" s="1">
        <v>2271</v>
      </c>
      <c r="DS35" s="1">
        <v>4802</v>
      </c>
      <c r="DT35" s="1">
        <v>648</v>
      </c>
      <c r="DU35" s="1">
        <v>6486</v>
      </c>
      <c r="DV35" s="1">
        <v>2772</v>
      </c>
      <c r="DW35" s="1">
        <v>5033</v>
      </c>
      <c r="DX35" s="1">
        <v>7056</v>
      </c>
      <c r="DY35" s="1">
        <v>1307</v>
      </c>
      <c r="DZ35" s="1">
        <v>1948</v>
      </c>
      <c r="EA35" s="1">
        <v>6019</v>
      </c>
      <c r="EB35" s="1">
        <v>3510</v>
      </c>
      <c r="EC35" s="1">
        <v>564</v>
      </c>
      <c r="ED35" s="1">
        <v>650</v>
      </c>
      <c r="EE35" s="1">
        <v>20400</v>
      </c>
      <c r="EF35" s="1">
        <v>2388</v>
      </c>
      <c r="EG35" s="1">
        <v>8829</v>
      </c>
      <c r="EH35" s="1">
        <v>16538</v>
      </c>
      <c r="EJ35" s="1">
        <f t="shared" si="0"/>
        <v>1080392</v>
      </c>
    </row>
    <row r="36" spans="1:140" x14ac:dyDescent="0.25">
      <c r="A36" s="1" t="s">
        <v>172</v>
      </c>
      <c r="B36" s="1">
        <v>1916</v>
      </c>
      <c r="C36" s="1">
        <v>3716</v>
      </c>
      <c r="D36" s="1">
        <v>78</v>
      </c>
      <c r="E36" s="1">
        <v>1335</v>
      </c>
      <c r="F36" s="1">
        <v>1</v>
      </c>
      <c r="G36" s="1">
        <v>21</v>
      </c>
      <c r="H36" s="1">
        <v>11542</v>
      </c>
      <c r="I36" s="1">
        <v>58</v>
      </c>
      <c r="J36" s="1">
        <v>709</v>
      </c>
      <c r="K36" s="1">
        <v>14</v>
      </c>
      <c r="L36" s="1">
        <v>1005</v>
      </c>
      <c r="M36" s="1">
        <v>162</v>
      </c>
      <c r="N36" s="1">
        <v>9578</v>
      </c>
      <c r="O36" s="1">
        <v>1190</v>
      </c>
      <c r="P36" s="1">
        <v>577</v>
      </c>
      <c r="Q36" s="1">
        <v>5930</v>
      </c>
      <c r="R36" s="1">
        <v>10</v>
      </c>
      <c r="S36" s="1">
        <v>1595</v>
      </c>
      <c r="T36" s="1">
        <v>1717</v>
      </c>
      <c r="U36" s="1">
        <v>1612</v>
      </c>
      <c r="V36" s="1">
        <v>4227</v>
      </c>
      <c r="W36" s="1">
        <v>2082</v>
      </c>
      <c r="X36" s="1">
        <v>427</v>
      </c>
      <c r="Y36" s="1">
        <v>669</v>
      </c>
      <c r="Z36" s="1">
        <v>856</v>
      </c>
      <c r="AA36" s="1">
        <v>469</v>
      </c>
      <c r="AB36" s="1">
        <v>3835</v>
      </c>
      <c r="AC36" s="1">
        <v>624</v>
      </c>
      <c r="AD36" s="1">
        <v>394</v>
      </c>
      <c r="AE36" s="1">
        <v>1179</v>
      </c>
      <c r="AF36" s="1">
        <v>1746</v>
      </c>
      <c r="AG36">
        <v>19238</v>
      </c>
      <c r="AH36" s="1">
        <v>292</v>
      </c>
      <c r="AI36" s="1">
        <v>1118</v>
      </c>
      <c r="AJ36" s="1">
        <v>419</v>
      </c>
      <c r="AK36" s="1">
        <v>1469</v>
      </c>
      <c r="AL36" s="1">
        <v>2351</v>
      </c>
      <c r="AM36" s="1">
        <v>625</v>
      </c>
      <c r="AN36" s="1">
        <v>352</v>
      </c>
      <c r="AO36" s="1">
        <v>9609</v>
      </c>
      <c r="AP36" s="1">
        <v>391</v>
      </c>
      <c r="AQ36" s="1">
        <v>94</v>
      </c>
      <c r="AR36" s="1">
        <v>2035</v>
      </c>
      <c r="AS36" s="1">
        <v>4275</v>
      </c>
      <c r="AT36" s="1">
        <v>769</v>
      </c>
      <c r="AU36" s="1">
        <v>2274</v>
      </c>
      <c r="AV36" s="1">
        <v>3251</v>
      </c>
      <c r="AW36" s="1">
        <v>3029</v>
      </c>
      <c r="AX36" s="1">
        <v>19337</v>
      </c>
      <c r="AY36" s="1">
        <v>65</v>
      </c>
      <c r="AZ36" s="1">
        <v>754</v>
      </c>
      <c r="BA36" s="1">
        <v>6470</v>
      </c>
      <c r="BB36" s="1">
        <v>100</v>
      </c>
      <c r="BC36" s="1">
        <v>445</v>
      </c>
      <c r="BD36" s="1">
        <v>4959</v>
      </c>
      <c r="BE36" s="1">
        <v>2796</v>
      </c>
      <c r="BF36" s="1">
        <v>1366</v>
      </c>
      <c r="BG36" s="1">
        <v>3413</v>
      </c>
      <c r="BH36" s="1">
        <v>1051</v>
      </c>
      <c r="BI36" s="1">
        <v>22603</v>
      </c>
      <c r="BJ36" s="1">
        <v>2481</v>
      </c>
      <c r="BK36" s="1">
        <v>4586</v>
      </c>
      <c r="BL36" s="1">
        <v>2009</v>
      </c>
      <c r="BM36" s="1">
        <v>4211</v>
      </c>
      <c r="BN36" s="1">
        <v>930</v>
      </c>
      <c r="BO36" s="1">
        <v>1144</v>
      </c>
      <c r="BP36" s="1">
        <v>17823</v>
      </c>
      <c r="BQ36" s="1">
        <v>2349</v>
      </c>
      <c r="BR36" s="1">
        <v>57579</v>
      </c>
      <c r="BS36" s="1">
        <v>8149</v>
      </c>
      <c r="BT36" s="1">
        <v>6784</v>
      </c>
      <c r="BU36" s="1">
        <v>15511</v>
      </c>
      <c r="BV36" s="1">
        <v>2092</v>
      </c>
      <c r="BW36" s="1">
        <v>10166</v>
      </c>
      <c r="BX36" s="1">
        <v>2081</v>
      </c>
      <c r="BY36" s="1">
        <v>4625</v>
      </c>
      <c r="BZ36" s="1">
        <v>16806</v>
      </c>
      <c r="CA36" s="1">
        <v>1893</v>
      </c>
      <c r="CB36" s="1">
        <v>708</v>
      </c>
      <c r="CC36" s="1">
        <v>4814</v>
      </c>
      <c r="CD36" s="1">
        <v>2861</v>
      </c>
      <c r="CE36" s="1">
        <v>2503</v>
      </c>
      <c r="CF36" s="1">
        <v>5701</v>
      </c>
      <c r="CG36" s="1">
        <v>74258</v>
      </c>
      <c r="CH36" s="1">
        <v>10339</v>
      </c>
      <c r="CI36" s="1">
        <v>19158</v>
      </c>
      <c r="CJ36" s="1">
        <v>4556</v>
      </c>
      <c r="CK36" s="1">
        <v>11996</v>
      </c>
      <c r="CL36" s="1">
        <v>6660</v>
      </c>
      <c r="CM36" s="1">
        <v>11984</v>
      </c>
      <c r="CN36" s="1">
        <v>32685</v>
      </c>
      <c r="CO36" s="1">
        <v>4725</v>
      </c>
      <c r="CP36" s="1">
        <v>2411</v>
      </c>
      <c r="CQ36" s="1">
        <v>3474</v>
      </c>
      <c r="CR36" s="1">
        <v>5148</v>
      </c>
      <c r="CS36" s="1">
        <v>19638</v>
      </c>
      <c r="CT36" s="1">
        <v>13651</v>
      </c>
      <c r="CU36" s="1">
        <v>1251</v>
      </c>
      <c r="CV36" s="1">
        <v>172940</v>
      </c>
      <c r="CW36" s="1">
        <v>3815</v>
      </c>
      <c r="CX36" s="1">
        <v>1026</v>
      </c>
      <c r="CY36" s="1">
        <v>16940</v>
      </c>
      <c r="CZ36" s="1">
        <v>2008</v>
      </c>
      <c r="DA36" s="1">
        <v>5025</v>
      </c>
      <c r="DB36" s="1">
        <v>8278</v>
      </c>
      <c r="DC36" s="1">
        <v>2601</v>
      </c>
      <c r="DD36" s="1">
        <v>2268</v>
      </c>
      <c r="DE36" s="1">
        <v>1306</v>
      </c>
      <c r="DF36" s="1">
        <v>34059</v>
      </c>
      <c r="DG36" s="1">
        <v>13003</v>
      </c>
      <c r="DH36" s="1">
        <v>10150</v>
      </c>
      <c r="DI36" s="1">
        <v>5715</v>
      </c>
      <c r="DJ36" s="1">
        <v>18279</v>
      </c>
      <c r="DK36" s="1">
        <v>11724</v>
      </c>
      <c r="DL36" s="1">
        <v>6895</v>
      </c>
      <c r="DM36" s="1">
        <v>8551</v>
      </c>
      <c r="DN36" s="1">
        <v>15106</v>
      </c>
      <c r="DO36" s="1">
        <v>2307</v>
      </c>
      <c r="DP36" s="1">
        <v>5566</v>
      </c>
      <c r="DQ36" s="1">
        <v>39504</v>
      </c>
      <c r="DR36" s="1">
        <v>2942</v>
      </c>
      <c r="DS36" s="1">
        <v>6862</v>
      </c>
      <c r="DT36" s="1">
        <v>519</v>
      </c>
      <c r="DU36" s="1">
        <v>6160</v>
      </c>
      <c r="DV36" s="1">
        <v>2941</v>
      </c>
      <c r="DW36" s="1">
        <v>3307</v>
      </c>
      <c r="DX36" s="1">
        <v>5505</v>
      </c>
      <c r="DY36" s="1">
        <v>973</v>
      </c>
      <c r="DZ36" s="1">
        <v>1544</v>
      </c>
      <c r="EA36" s="1">
        <v>6216</v>
      </c>
      <c r="EB36" s="1">
        <v>2410</v>
      </c>
      <c r="EC36" s="1">
        <v>557</v>
      </c>
      <c r="ED36" s="1">
        <v>664</v>
      </c>
      <c r="EE36" s="1">
        <v>21484</v>
      </c>
      <c r="EF36" s="1">
        <v>2118</v>
      </c>
      <c r="EG36" s="1">
        <v>6535</v>
      </c>
      <c r="EH36" s="1">
        <v>16220</v>
      </c>
      <c r="EJ36" s="1">
        <f t="shared" si="0"/>
        <v>1047987</v>
      </c>
    </row>
    <row r="37" spans="1:140" x14ac:dyDescent="0.25">
      <c r="A37" s="1" t="s">
        <v>173</v>
      </c>
      <c r="B37" s="1">
        <v>1604</v>
      </c>
      <c r="C37" s="1">
        <v>2685</v>
      </c>
      <c r="D37" s="1">
        <v>86</v>
      </c>
      <c r="E37" s="1">
        <v>991</v>
      </c>
      <c r="F37" s="1">
        <v>4</v>
      </c>
      <c r="G37" s="1">
        <v>8</v>
      </c>
      <c r="H37" s="1">
        <v>8027</v>
      </c>
      <c r="I37" s="1">
        <v>22</v>
      </c>
      <c r="J37" s="1">
        <v>444</v>
      </c>
      <c r="K37" s="1">
        <v>8</v>
      </c>
      <c r="L37" s="1">
        <v>693</v>
      </c>
      <c r="M37" s="1">
        <v>84</v>
      </c>
      <c r="N37" s="1">
        <v>7466</v>
      </c>
      <c r="O37" s="1">
        <v>878</v>
      </c>
      <c r="P37" s="1">
        <v>340</v>
      </c>
      <c r="Q37" s="1">
        <v>4057</v>
      </c>
      <c r="R37" s="1">
        <v>1</v>
      </c>
      <c r="S37" s="1">
        <v>1440</v>
      </c>
      <c r="T37" s="1">
        <v>1496</v>
      </c>
      <c r="U37" s="1">
        <v>969</v>
      </c>
      <c r="V37" s="1">
        <v>3716</v>
      </c>
      <c r="W37" s="1">
        <v>1315</v>
      </c>
      <c r="X37" s="1">
        <v>347</v>
      </c>
      <c r="Y37" s="1">
        <v>520</v>
      </c>
      <c r="Z37" s="1">
        <v>324</v>
      </c>
      <c r="AA37" s="1">
        <v>242</v>
      </c>
      <c r="AB37" s="1">
        <v>2961</v>
      </c>
      <c r="AC37" s="1">
        <v>322</v>
      </c>
      <c r="AD37" s="1">
        <v>210</v>
      </c>
      <c r="AE37" s="1">
        <v>780</v>
      </c>
      <c r="AF37" s="1">
        <v>1279</v>
      </c>
      <c r="AG37">
        <v>14013</v>
      </c>
      <c r="AH37" s="1">
        <v>144</v>
      </c>
      <c r="AI37" s="1">
        <v>631</v>
      </c>
      <c r="AJ37" s="1">
        <v>227</v>
      </c>
      <c r="AK37" s="1">
        <v>740</v>
      </c>
      <c r="AL37" s="1">
        <v>1489</v>
      </c>
      <c r="AM37" s="1">
        <v>354</v>
      </c>
      <c r="AN37" s="1">
        <v>204</v>
      </c>
      <c r="AO37" s="1">
        <v>8425</v>
      </c>
      <c r="AP37" s="1">
        <v>259</v>
      </c>
      <c r="AQ37" s="1">
        <v>43</v>
      </c>
      <c r="AR37" s="1">
        <v>1357</v>
      </c>
      <c r="AS37" s="1">
        <v>3541</v>
      </c>
      <c r="AT37" s="1">
        <v>533</v>
      </c>
      <c r="AU37" s="1">
        <v>1546</v>
      </c>
      <c r="AV37" s="1">
        <v>2400</v>
      </c>
      <c r="AW37" s="1">
        <v>1299</v>
      </c>
      <c r="AX37" s="1">
        <v>14247</v>
      </c>
      <c r="AY37" s="1">
        <v>71</v>
      </c>
      <c r="AZ37" s="1">
        <v>421</v>
      </c>
      <c r="BA37" s="1">
        <v>4712</v>
      </c>
      <c r="BB37" s="1">
        <v>40</v>
      </c>
      <c r="BC37" s="1">
        <v>374</v>
      </c>
      <c r="BD37" s="1">
        <v>4846</v>
      </c>
      <c r="BE37" s="1">
        <v>1783</v>
      </c>
      <c r="BF37" s="1">
        <v>1298</v>
      </c>
      <c r="BG37" s="1">
        <v>2538</v>
      </c>
      <c r="BH37" s="1">
        <v>933</v>
      </c>
      <c r="BI37" s="1">
        <v>18346</v>
      </c>
      <c r="BJ37" s="1">
        <v>2130</v>
      </c>
      <c r="BK37" s="1">
        <v>4054</v>
      </c>
      <c r="BL37" s="1">
        <v>1727</v>
      </c>
      <c r="BM37" s="1">
        <v>3317</v>
      </c>
      <c r="BN37" s="1">
        <v>615</v>
      </c>
      <c r="BO37" s="1">
        <v>654</v>
      </c>
      <c r="BP37" s="1">
        <v>14732</v>
      </c>
      <c r="BQ37" s="1">
        <v>1592</v>
      </c>
      <c r="BR37" s="1">
        <v>48505</v>
      </c>
      <c r="BS37" s="1">
        <v>6760</v>
      </c>
      <c r="BT37" s="1">
        <v>4897</v>
      </c>
      <c r="BU37" s="1">
        <v>11757</v>
      </c>
      <c r="BV37" s="1">
        <v>1756</v>
      </c>
      <c r="BW37" s="1">
        <v>7814</v>
      </c>
      <c r="BX37" s="1">
        <v>1306</v>
      </c>
      <c r="BY37" s="1">
        <v>3898</v>
      </c>
      <c r="BZ37" s="1">
        <v>14019</v>
      </c>
      <c r="CA37" s="1">
        <v>1606</v>
      </c>
      <c r="CB37" s="1">
        <v>520</v>
      </c>
      <c r="CC37" s="1">
        <v>4449</v>
      </c>
      <c r="CD37" s="1">
        <v>2042</v>
      </c>
      <c r="CE37" s="1">
        <v>2697</v>
      </c>
      <c r="CF37" s="1">
        <v>5310</v>
      </c>
      <c r="CG37" s="1">
        <v>66101</v>
      </c>
      <c r="CH37" s="1">
        <v>7331</v>
      </c>
      <c r="CI37" s="1">
        <v>14891</v>
      </c>
      <c r="CJ37" s="1">
        <v>2884</v>
      </c>
      <c r="CK37" s="1">
        <v>10321</v>
      </c>
      <c r="CL37" s="1">
        <v>5519</v>
      </c>
      <c r="CM37" s="1">
        <v>9122</v>
      </c>
      <c r="CN37" s="1">
        <v>24534</v>
      </c>
      <c r="CO37" s="1">
        <v>3029</v>
      </c>
      <c r="CP37" s="1">
        <v>1894</v>
      </c>
      <c r="CQ37" s="1">
        <v>2292</v>
      </c>
      <c r="CR37" s="1">
        <v>3879</v>
      </c>
      <c r="CS37" s="1">
        <v>15119</v>
      </c>
      <c r="CT37" s="1">
        <v>11815</v>
      </c>
      <c r="CU37" s="1">
        <v>1271</v>
      </c>
      <c r="CV37" s="1">
        <v>137488</v>
      </c>
      <c r="CW37" s="1">
        <v>2373</v>
      </c>
      <c r="CX37" s="1">
        <v>737</v>
      </c>
      <c r="CY37" s="1">
        <v>12597</v>
      </c>
      <c r="CZ37" s="1">
        <v>1294</v>
      </c>
      <c r="DA37" s="1">
        <v>3878</v>
      </c>
      <c r="DB37" s="1">
        <v>6262</v>
      </c>
      <c r="DC37" s="1">
        <v>1792</v>
      </c>
      <c r="DD37" s="1">
        <v>1222</v>
      </c>
      <c r="DE37" s="1">
        <v>1020</v>
      </c>
      <c r="DF37" s="1">
        <v>26807</v>
      </c>
      <c r="DG37" s="1">
        <v>7203</v>
      </c>
      <c r="DH37" s="1">
        <v>6371</v>
      </c>
      <c r="DI37" s="1">
        <v>2045</v>
      </c>
      <c r="DJ37" s="1">
        <v>12624</v>
      </c>
      <c r="DK37" s="1">
        <v>11894</v>
      </c>
      <c r="DL37" s="1">
        <v>5747</v>
      </c>
      <c r="DM37" s="1">
        <v>7046</v>
      </c>
      <c r="DN37" s="1">
        <v>7386</v>
      </c>
      <c r="DO37" s="1">
        <v>1668</v>
      </c>
      <c r="DP37" s="1">
        <v>4044</v>
      </c>
      <c r="DQ37" s="1">
        <v>34324</v>
      </c>
      <c r="DR37" s="1">
        <v>1813</v>
      </c>
      <c r="DS37" s="1">
        <v>3584</v>
      </c>
      <c r="DT37" s="1">
        <v>509</v>
      </c>
      <c r="DU37" s="1">
        <v>4926</v>
      </c>
      <c r="DV37" s="1">
        <v>1779</v>
      </c>
      <c r="DW37" s="1">
        <v>2041</v>
      </c>
      <c r="DX37" s="1">
        <v>3617</v>
      </c>
      <c r="DY37" s="1">
        <v>689</v>
      </c>
      <c r="DZ37" s="1">
        <v>1329</v>
      </c>
      <c r="EA37" s="1">
        <v>4669</v>
      </c>
      <c r="EB37" s="1">
        <v>2000</v>
      </c>
      <c r="EC37" s="1">
        <v>466</v>
      </c>
      <c r="ED37" s="1">
        <v>541</v>
      </c>
      <c r="EE37" s="1">
        <v>16283</v>
      </c>
      <c r="EF37" s="1">
        <v>1344</v>
      </c>
      <c r="EG37" s="1">
        <v>6394</v>
      </c>
      <c r="EH37" s="1">
        <v>15190</v>
      </c>
      <c r="EJ37" s="1">
        <f t="shared" si="0"/>
        <v>819288</v>
      </c>
    </row>
    <row r="38" spans="1:140" x14ac:dyDescent="0.25">
      <c r="A38" s="1" t="s">
        <v>174</v>
      </c>
      <c r="B38" s="1">
        <v>1800</v>
      </c>
      <c r="C38" s="1">
        <v>3885</v>
      </c>
      <c r="D38" s="1">
        <v>108</v>
      </c>
      <c r="E38" s="1">
        <v>1129</v>
      </c>
      <c r="F38" s="1">
        <v>5</v>
      </c>
      <c r="G38" s="1">
        <v>22</v>
      </c>
      <c r="H38" s="1">
        <v>12580</v>
      </c>
      <c r="I38" s="1">
        <v>48</v>
      </c>
      <c r="J38" s="1">
        <v>630</v>
      </c>
      <c r="K38" s="1">
        <v>24</v>
      </c>
      <c r="L38" s="1">
        <v>1153</v>
      </c>
      <c r="M38" s="1">
        <v>314</v>
      </c>
      <c r="N38" s="1">
        <v>8736</v>
      </c>
      <c r="O38" s="1">
        <v>1242</v>
      </c>
      <c r="P38" s="1">
        <v>542</v>
      </c>
      <c r="Q38" s="1">
        <v>5691</v>
      </c>
      <c r="R38" s="1">
        <v>17</v>
      </c>
      <c r="S38" s="1">
        <v>1251</v>
      </c>
      <c r="T38" s="1">
        <v>2442</v>
      </c>
      <c r="U38" s="1">
        <v>1370</v>
      </c>
      <c r="V38" s="1">
        <v>4163</v>
      </c>
      <c r="W38" s="1">
        <v>2343</v>
      </c>
      <c r="X38" s="1">
        <v>651</v>
      </c>
      <c r="Y38" s="1">
        <v>648</v>
      </c>
      <c r="Z38" s="1">
        <v>621</v>
      </c>
      <c r="AA38" s="1">
        <v>363</v>
      </c>
      <c r="AB38" s="1">
        <v>3595</v>
      </c>
      <c r="AC38" s="1">
        <v>533</v>
      </c>
      <c r="AD38" s="1">
        <v>255</v>
      </c>
      <c r="AE38" s="1">
        <v>801</v>
      </c>
      <c r="AF38" s="1">
        <v>836</v>
      </c>
      <c r="AG38">
        <v>18221</v>
      </c>
      <c r="AH38" s="1">
        <v>314</v>
      </c>
      <c r="AI38" s="1">
        <v>754</v>
      </c>
      <c r="AJ38" s="1">
        <v>231</v>
      </c>
      <c r="AK38" s="1">
        <v>1112</v>
      </c>
      <c r="AL38" s="1">
        <v>2319</v>
      </c>
      <c r="AM38" s="1">
        <v>705</v>
      </c>
      <c r="AN38" s="1">
        <v>653</v>
      </c>
      <c r="AO38" s="1">
        <v>8163</v>
      </c>
      <c r="AP38" s="1">
        <v>569</v>
      </c>
      <c r="AQ38" s="1">
        <v>140</v>
      </c>
      <c r="AR38" s="1">
        <v>1422</v>
      </c>
      <c r="AS38" s="1">
        <v>4499</v>
      </c>
      <c r="AT38" s="1">
        <v>710</v>
      </c>
      <c r="AU38" s="1">
        <v>1522</v>
      </c>
      <c r="AV38" s="1">
        <v>2998</v>
      </c>
      <c r="AW38" s="1">
        <v>1684</v>
      </c>
      <c r="AX38" s="1">
        <v>17606</v>
      </c>
      <c r="AY38" s="1">
        <v>103</v>
      </c>
      <c r="AZ38" s="1">
        <v>652</v>
      </c>
      <c r="BA38" s="1">
        <v>6103</v>
      </c>
      <c r="BB38" s="1">
        <v>94</v>
      </c>
      <c r="BC38" s="1">
        <v>564</v>
      </c>
      <c r="BD38" s="1">
        <v>4915</v>
      </c>
      <c r="BE38" s="1">
        <v>4518</v>
      </c>
      <c r="BF38" s="1">
        <v>1283</v>
      </c>
      <c r="BG38" s="1">
        <v>4024</v>
      </c>
      <c r="BH38" s="1">
        <v>1399</v>
      </c>
      <c r="BI38" s="1">
        <v>22514</v>
      </c>
      <c r="BJ38" s="1">
        <v>2930</v>
      </c>
      <c r="BK38" s="1">
        <v>5321</v>
      </c>
      <c r="BL38" s="1">
        <v>3310</v>
      </c>
      <c r="BM38" s="1">
        <v>4753</v>
      </c>
      <c r="BN38" s="1">
        <v>1111</v>
      </c>
      <c r="BO38" s="1">
        <v>1238</v>
      </c>
      <c r="BP38" s="1">
        <v>19399</v>
      </c>
      <c r="BQ38" s="1">
        <v>2114</v>
      </c>
      <c r="BR38" s="1">
        <v>59139</v>
      </c>
      <c r="BS38" s="1">
        <v>8221</v>
      </c>
      <c r="BT38" s="1">
        <v>6716</v>
      </c>
      <c r="BU38" s="1">
        <v>15802</v>
      </c>
      <c r="BV38" s="1">
        <v>2173</v>
      </c>
      <c r="BW38" s="1">
        <v>8709</v>
      </c>
      <c r="BX38" s="1">
        <v>1921</v>
      </c>
      <c r="BY38" s="1">
        <v>4748</v>
      </c>
      <c r="BZ38" s="1">
        <v>17567</v>
      </c>
      <c r="CA38" s="1">
        <v>1806</v>
      </c>
      <c r="CB38" s="1">
        <v>648</v>
      </c>
      <c r="CC38" s="1">
        <v>5606</v>
      </c>
      <c r="CD38" s="1">
        <v>2566</v>
      </c>
      <c r="CE38" s="1">
        <v>3387</v>
      </c>
      <c r="CF38" s="1">
        <v>5854</v>
      </c>
      <c r="CG38" s="1">
        <v>76104</v>
      </c>
      <c r="CH38" s="1">
        <v>23548</v>
      </c>
      <c r="CI38" s="1">
        <v>30150</v>
      </c>
      <c r="CJ38" s="1">
        <v>6872</v>
      </c>
      <c r="CK38" s="1">
        <v>16006</v>
      </c>
      <c r="CL38" s="1">
        <v>9245</v>
      </c>
      <c r="CM38" s="1">
        <v>13472</v>
      </c>
      <c r="CN38" s="1">
        <v>36774</v>
      </c>
      <c r="CO38" s="1">
        <v>6499</v>
      </c>
      <c r="CP38" s="1">
        <v>2700</v>
      </c>
      <c r="CQ38" s="1">
        <v>5049</v>
      </c>
      <c r="CR38" s="1">
        <v>5703</v>
      </c>
      <c r="CS38" s="1">
        <v>21063</v>
      </c>
      <c r="CT38" s="1">
        <v>15200</v>
      </c>
      <c r="CU38" s="1">
        <v>2013</v>
      </c>
      <c r="CV38" s="1">
        <v>183423</v>
      </c>
      <c r="CW38" s="1">
        <v>4794</v>
      </c>
      <c r="CX38" s="1">
        <v>1176</v>
      </c>
      <c r="CY38" s="1">
        <v>18126</v>
      </c>
      <c r="CZ38" s="1">
        <v>2342</v>
      </c>
      <c r="DA38" s="1">
        <v>6412</v>
      </c>
      <c r="DB38" s="1">
        <v>8560</v>
      </c>
      <c r="DC38" s="1">
        <v>3356</v>
      </c>
      <c r="DD38" s="1">
        <v>2335</v>
      </c>
      <c r="DE38" s="1">
        <v>1638</v>
      </c>
      <c r="DF38" s="1">
        <v>34253</v>
      </c>
      <c r="DG38" s="1">
        <v>13588</v>
      </c>
      <c r="DH38" s="1">
        <v>12632</v>
      </c>
      <c r="DI38" s="1">
        <v>4142</v>
      </c>
      <c r="DJ38" s="1">
        <v>22001</v>
      </c>
      <c r="DK38" s="1">
        <v>13648</v>
      </c>
      <c r="DL38" s="1">
        <v>7547</v>
      </c>
      <c r="DM38" s="1">
        <v>9466</v>
      </c>
      <c r="DN38" s="1">
        <v>14669</v>
      </c>
      <c r="DO38" s="1">
        <v>2022</v>
      </c>
      <c r="DP38" s="1">
        <v>7369</v>
      </c>
      <c r="DQ38" s="1">
        <v>43033</v>
      </c>
      <c r="DR38" s="1">
        <v>2433</v>
      </c>
      <c r="DS38" s="1">
        <v>3556</v>
      </c>
      <c r="DT38" s="1">
        <v>504</v>
      </c>
      <c r="DU38" s="1">
        <v>7705</v>
      </c>
      <c r="DV38" s="1">
        <v>3944</v>
      </c>
      <c r="DW38" s="1">
        <v>6112</v>
      </c>
      <c r="DX38" s="1">
        <v>7880</v>
      </c>
      <c r="DY38" s="1">
        <v>1922</v>
      </c>
      <c r="DZ38" s="1">
        <v>1843</v>
      </c>
      <c r="EA38" s="1">
        <v>6209</v>
      </c>
      <c r="EB38" s="1">
        <v>5395</v>
      </c>
      <c r="EC38" s="1">
        <v>454</v>
      </c>
      <c r="ED38" s="1">
        <v>718</v>
      </c>
      <c r="EE38" s="1">
        <v>22923</v>
      </c>
      <c r="EF38" s="1">
        <v>2230</v>
      </c>
      <c r="EG38" s="1">
        <v>13660</v>
      </c>
      <c r="EH38" s="1">
        <v>16997</v>
      </c>
      <c r="EJ38" s="1">
        <f t="shared" si="0"/>
        <v>1144043</v>
      </c>
    </row>
    <row r="39" spans="1:140" x14ac:dyDescent="0.25">
      <c r="A39" s="1" t="s">
        <v>175</v>
      </c>
      <c r="B39" s="1">
        <v>2047</v>
      </c>
      <c r="C39" s="1">
        <v>4337</v>
      </c>
      <c r="D39" s="1">
        <v>92</v>
      </c>
      <c r="E39" s="1">
        <v>1106</v>
      </c>
      <c r="F39" s="1">
        <v>1</v>
      </c>
      <c r="G39" s="1">
        <v>19</v>
      </c>
      <c r="H39" s="1">
        <v>11574</v>
      </c>
      <c r="I39" s="1">
        <v>37</v>
      </c>
      <c r="J39" s="1">
        <v>701</v>
      </c>
      <c r="K39" s="1">
        <v>16</v>
      </c>
      <c r="L39" s="1">
        <v>962</v>
      </c>
      <c r="M39" s="1">
        <v>116</v>
      </c>
      <c r="N39" s="1">
        <v>9195</v>
      </c>
      <c r="O39" s="1">
        <v>868</v>
      </c>
      <c r="P39" s="1">
        <v>554</v>
      </c>
      <c r="Q39" s="1">
        <v>6287</v>
      </c>
      <c r="R39" s="1">
        <v>40</v>
      </c>
      <c r="S39" s="1">
        <v>1459</v>
      </c>
      <c r="T39" s="1">
        <v>2367</v>
      </c>
      <c r="U39" s="1">
        <v>1547</v>
      </c>
      <c r="V39" s="1">
        <v>3943</v>
      </c>
      <c r="W39" s="1">
        <v>1929</v>
      </c>
      <c r="X39" s="1">
        <v>385</v>
      </c>
      <c r="Y39" s="1">
        <v>677</v>
      </c>
      <c r="Z39" s="1">
        <v>1690</v>
      </c>
      <c r="AA39" s="1">
        <v>366</v>
      </c>
      <c r="AB39" s="1">
        <v>3299</v>
      </c>
      <c r="AC39" s="1">
        <v>569</v>
      </c>
      <c r="AD39" s="1">
        <v>234</v>
      </c>
      <c r="AE39" s="1">
        <v>1131</v>
      </c>
      <c r="AF39" s="1">
        <v>702</v>
      </c>
      <c r="AG39">
        <v>16617</v>
      </c>
      <c r="AH39" s="1">
        <v>239</v>
      </c>
      <c r="AI39" s="1">
        <v>1199</v>
      </c>
      <c r="AJ39" s="1">
        <v>294</v>
      </c>
      <c r="AK39" s="1">
        <v>998</v>
      </c>
      <c r="AL39" s="1">
        <v>1849</v>
      </c>
      <c r="AM39" s="1">
        <v>526</v>
      </c>
      <c r="AN39" s="1">
        <v>192</v>
      </c>
      <c r="AO39" s="1">
        <v>6606</v>
      </c>
      <c r="AP39" s="1">
        <v>369</v>
      </c>
      <c r="AQ39" s="1">
        <v>67</v>
      </c>
      <c r="AR39" s="1">
        <v>1530</v>
      </c>
      <c r="AS39" s="1">
        <v>4443</v>
      </c>
      <c r="AT39" s="1">
        <v>595</v>
      </c>
      <c r="AU39" s="1">
        <v>1608</v>
      </c>
      <c r="AV39" s="1">
        <v>2688</v>
      </c>
      <c r="AW39" s="1">
        <v>1501</v>
      </c>
      <c r="AX39" s="1">
        <v>14416</v>
      </c>
      <c r="AY39" s="1">
        <v>65</v>
      </c>
      <c r="AZ39" s="1">
        <v>614</v>
      </c>
      <c r="BA39" s="1">
        <v>4025</v>
      </c>
      <c r="BB39" s="1">
        <v>121</v>
      </c>
      <c r="BC39" s="1">
        <v>438</v>
      </c>
      <c r="BD39" s="1">
        <v>5077</v>
      </c>
      <c r="BE39" s="1">
        <v>3297</v>
      </c>
      <c r="BF39" s="1">
        <v>1015</v>
      </c>
      <c r="BG39" s="1">
        <v>3715</v>
      </c>
      <c r="BH39" s="1">
        <v>1112</v>
      </c>
      <c r="BI39" s="1">
        <v>19137</v>
      </c>
      <c r="BJ39" s="1">
        <v>2671</v>
      </c>
      <c r="BK39" s="1">
        <v>4959</v>
      </c>
      <c r="BL39" s="1">
        <v>2915</v>
      </c>
      <c r="BM39" s="1">
        <v>4028</v>
      </c>
      <c r="BN39" s="1">
        <v>952</v>
      </c>
      <c r="BO39" s="1">
        <v>911</v>
      </c>
      <c r="BP39" s="1">
        <v>22096</v>
      </c>
      <c r="BQ39" s="1">
        <v>2310</v>
      </c>
      <c r="BR39" s="1">
        <v>58132</v>
      </c>
      <c r="BS39" s="1">
        <v>7798</v>
      </c>
      <c r="BT39" s="1">
        <v>7906</v>
      </c>
      <c r="BU39" s="1">
        <v>15537</v>
      </c>
      <c r="BV39" s="1">
        <v>2255</v>
      </c>
      <c r="BW39" s="1">
        <v>9104</v>
      </c>
      <c r="BX39" s="1">
        <v>2221</v>
      </c>
      <c r="BY39" s="1">
        <v>4618</v>
      </c>
      <c r="BZ39" s="1">
        <v>17062</v>
      </c>
      <c r="CA39" s="1">
        <v>2127</v>
      </c>
      <c r="CB39" s="1">
        <v>763</v>
      </c>
      <c r="CC39" s="1">
        <v>4564</v>
      </c>
      <c r="CD39" s="1">
        <v>2536</v>
      </c>
      <c r="CE39" s="1">
        <v>2665</v>
      </c>
      <c r="CF39" s="1">
        <v>5338</v>
      </c>
      <c r="CG39" s="1">
        <v>71076</v>
      </c>
      <c r="CH39" s="1">
        <v>22703</v>
      </c>
      <c r="CI39" s="1">
        <v>32269</v>
      </c>
      <c r="CJ39" s="1">
        <v>8676</v>
      </c>
      <c r="CK39" s="1">
        <v>15743</v>
      </c>
      <c r="CL39" s="1">
        <v>10015</v>
      </c>
      <c r="CM39" s="1">
        <v>14376</v>
      </c>
      <c r="CN39" s="1">
        <v>35618</v>
      </c>
      <c r="CO39" s="1">
        <v>7944</v>
      </c>
      <c r="CP39" s="1">
        <v>3026</v>
      </c>
      <c r="CQ39" s="1">
        <v>5996</v>
      </c>
      <c r="CR39" s="1">
        <v>6338</v>
      </c>
      <c r="CS39" s="1">
        <v>24402</v>
      </c>
      <c r="CT39" s="1">
        <v>14455</v>
      </c>
      <c r="CU39" s="1">
        <v>1476</v>
      </c>
      <c r="CV39" s="1">
        <v>185570</v>
      </c>
      <c r="CW39" s="1">
        <v>5987</v>
      </c>
      <c r="CX39" s="1">
        <v>1506</v>
      </c>
      <c r="CY39" s="1">
        <v>20194</v>
      </c>
      <c r="CZ39" s="1">
        <v>2823</v>
      </c>
      <c r="DA39" s="1">
        <v>5930</v>
      </c>
      <c r="DB39" s="1">
        <v>9260</v>
      </c>
      <c r="DC39" s="1">
        <v>3153</v>
      </c>
      <c r="DD39" s="1">
        <v>2415</v>
      </c>
      <c r="DE39" s="1">
        <v>1775</v>
      </c>
      <c r="DF39" s="1">
        <v>34761</v>
      </c>
      <c r="DG39" s="1">
        <v>14988</v>
      </c>
      <c r="DH39" s="1">
        <v>13753</v>
      </c>
      <c r="DI39" s="1">
        <v>7227</v>
      </c>
      <c r="DJ39" s="1">
        <v>22506</v>
      </c>
      <c r="DK39" s="1">
        <v>11713</v>
      </c>
      <c r="DL39" s="1">
        <v>7109</v>
      </c>
      <c r="DM39" s="1">
        <v>8982</v>
      </c>
      <c r="DN39" s="1">
        <v>20129</v>
      </c>
      <c r="DO39" s="1">
        <v>1819</v>
      </c>
      <c r="DP39" s="1">
        <v>9773</v>
      </c>
      <c r="DQ39" s="1">
        <v>37017</v>
      </c>
      <c r="DR39" s="1">
        <v>2770</v>
      </c>
      <c r="DS39" s="1">
        <v>3134</v>
      </c>
      <c r="DT39" s="1">
        <v>563</v>
      </c>
      <c r="DU39" s="1">
        <v>6862</v>
      </c>
      <c r="DV39" s="1">
        <v>3494</v>
      </c>
      <c r="DW39" s="1">
        <v>4545</v>
      </c>
      <c r="DX39" s="1">
        <v>8899</v>
      </c>
      <c r="DY39" s="1">
        <v>1303</v>
      </c>
      <c r="DZ39" s="1">
        <v>2485</v>
      </c>
      <c r="EA39" s="1">
        <v>6561</v>
      </c>
      <c r="EB39" s="1">
        <v>5320</v>
      </c>
      <c r="EC39" s="1">
        <v>415</v>
      </c>
      <c r="ED39" s="1">
        <v>679</v>
      </c>
      <c r="EE39" s="1">
        <v>20972</v>
      </c>
      <c r="EF39" s="1">
        <v>2270</v>
      </c>
      <c r="EG39" s="1">
        <v>12082</v>
      </c>
      <c r="EH39" s="1">
        <v>16809</v>
      </c>
      <c r="EJ39" s="1">
        <f t="shared" si="0"/>
        <v>1137737</v>
      </c>
    </row>
    <row r="40" spans="1:140" x14ac:dyDescent="0.25">
      <c r="A40" s="1" t="s">
        <v>176</v>
      </c>
      <c r="B40" s="1">
        <v>2368</v>
      </c>
      <c r="C40" s="1">
        <v>4493</v>
      </c>
      <c r="D40" s="1">
        <v>83</v>
      </c>
      <c r="E40" s="1">
        <v>1467</v>
      </c>
      <c r="F40" s="1">
        <v>4</v>
      </c>
      <c r="G40" s="1">
        <v>15</v>
      </c>
      <c r="H40" s="1">
        <v>13301</v>
      </c>
      <c r="I40" s="1">
        <v>10</v>
      </c>
      <c r="J40" s="1">
        <v>615</v>
      </c>
      <c r="K40" s="1">
        <v>61</v>
      </c>
      <c r="L40" s="1">
        <v>923</v>
      </c>
      <c r="M40" s="1">
        <v>75</v>
      </c>
      <c r="N40" s="1">
        <v>9359</v>
      </c>
      <c r="O40" s="1">
        <v>1307</v>
      </c>
      <c r="P40" s="1">
        <v>531</v>
      </c>
      <c r="Q40" s="1">
        <v>6471</v>
      </c>
      <c r="R40" s="1">
        <v>45</v>
      </c>
      <c r="S40" s="1">
        <v>1200</v>
      </c>
      <c r="T40" s="1">
        <v>2141</v>
      </c>
      <c r="U40" s="1">
        <v>1948</v>
      </c>
      <c r="V40" s="1">
        <v>4151</v>
      </c>
      <c r="W40" s="1">
        <v>1994</v>
      </c>
      <c r="X40" s="1">
        <v>359</v>
      </c>
      <c r="Y40" s="1">
        <v>605</v>
      </c>
      <c r="Z40" s="1">
        <v>1197</v>
      </c>
      <c r="AA40" s="1">
        <v>390</v>
      </c>
      <c r="AB40" s="1">
        <v>3255</v>
      </c>
      <c r="AC40" s="1">
        <v>606</v>
      </c>
      <c r="AD40" s="1">
        <v>311</v>
      </c>
      <c r="AE40" s="1">
        <v>757</v>
      </c>
      <c r="AF40" s="1">
        <v>731</v>
      </c>
      <c r="AG40">
        <v>17242</v>
      </c>
      <c r="AH40" s="1">
        <v>232</v>
      </c>
      <c r="AI40" s="1">
        <v>646</v>
      </c>
      <c r="AJ40" s="1">
        <v>558</v>
      </c>
      <c r="AK40" s="1">
        <v>1003</v>
      </c>
      <c r="AL40" s="1">
        <v>2412</v>
      </c>
      <c r="AM40" s="1">
        <v>637</v>
      </c>
      <c r="AN40" s="1">
        <v>217</v>
      </c>
      <c r="AO40" s="1">
        <v>7484</v>
      </c>
      <c r="AP40" s="1">
        <v>555</v>
      </c>
      <c r="AQ40" s="1">
        <v>77</v>
      </c>
      <c r="AR40" s="1">
        <v>1888</v>
      </c>
      <c r="AS40" s="1">
        <v>4620</v>
      </c>
      <c r="AT40" s="1">
        <v>741</v>
      </c>
      <c r="AU40" s="1">
        <v>1509</v>
      </c>
      <c r="AV40" s="1">
        <v>3023</v>
      </c>
      <c r="AW40" s="1">
        <v>1945</v>
      </c>
      <c r="AX40" s="1">
        <v>17177</v>
      </c>
      <c r="AY40" s="1">
        <v>81</v>
      </c>
      <c r="AZ40" s="1">
        <v>486</v>
      </c>
      <c r="BA40" s="1">
        <v>4595</v>
      </c>
      <c r="BB40" s="1">
        <v>73</v>
      </c>
      <c r="BC40" s="1">
        <v>493</v>
      </c>
      <c r="BD40" s="1">
        <v>5099</v>
      </c>
      <c r="BE40" s="1">
        <v>3064</v>
      </c>
      <c r="BF40" s="1">
        <v>1283</v>
      </c>
      <c r="BG40" s="1">
        <v>4211</v>
      </c>
      <c r="BH40" s="1">
        <v>1697</v>
      </c>
      <c r="BI40" s="1">
        <v>24053</v>
      </c>
      <c r="BJ40" s="1">
        <v>3280</v>
      </c>
      <c r="BK40" s="1">
        <v>9195</v>
      </c>
      <c r="BL40" s="1">
        <v>2984</v>
      </c>
      <c r="BM40" s="1">
        <v>5030</v>
      </c>
      <c r="BN40" s="1">
        <v>1041</v>
      </c>
      <c r="BO40" s="1">
        <v>1640</v>
      </c>
      <c r="BP40" s="1">
        <v>25853</v>
      </c>
      <c r="BQ40" s="1">
        <v>2923</v>
      </c>
      <c r="BR40" s="1">
        <v>67867</v>
      </c>
      <c r="BS40" s="1">
        <v>9241</v>
      </c>
      <c r="BT40" s="1">
        <v>9240</v>
      </c>
      <c r="BU40" s="1">
        <v>18087</v>
      </c>
      <c r="BV40" s="1">
        <v>2671</v>
      </c>
      <c r="BW40" s="1">
        <v>10822</v>
      </c>
      <c r="BX40" s="1">
        <v>2760</v>
      </c>
      <c r="BY40" s="1">
        <v>7480</v>
      </c>
      <c r="BZ40" s="1">
        <v>18435</v>
      </c>
      <c r="CA40" s="1">
        <v>2415</v>
      </c>
      <c r="CB40" s="1">
        <v>866</v>
      </c>
      <c r="CC40" s="1">
        <v>6338</v>
      </c>
      <c r="CD40" s="1">
        <v>4193</v>
      </c>
      <c r="CE40" s="1">
        <v>2546</v>
      </c>
      <c r="CF40" s="1">
        <v>6509</v>
      </c>
      <c r="CG40" s="1">
        <v>80942</v>
      </c>
      <c r="CH40" s="1">
        <v>18421</v>
      </c>
      <c r="CI40" s="1">
        <v>30794</v>
      </c>
      <c r="CJ40" s="1">
        <v>10706</v>
      </c>
      <c r="CK40" s="1">
        <v>16740</v>
      </c>
      <c r="CL40" s="1">
        <v>9758</v>
      </c>
      <c r="CM40" s="1">
        <v>15036</v>
      </c>
      <c r="CN40" s="1">
        <v>36689</v>
      </c>
      <c r="CO40" s="1">
        <v>8623</v>
      </c>
      <c r="CP40" s="1">
        <v>2682</v>
      </c>
      <c r="CQ40" s="1">
        <v>5886</v>
      </c>
      <c r="CR40" s="1">
        <v>5653</v>
      </c>
      <c r="CS40" s="1">
        <v>23551</v>
      </c>
      <c r="CT40" s="1">
        <v>15348</v>
      </c>
      <c r="CU40" s="1">
        <v>1469</v>
      </c>
      <c r="CV40" s="1">
        <v>205620</v>
      </c>
      <c r="CW40" s="1">
        <v>9243</v>
      </c>
      <c r="CX40" s="1">
        <v>2639</v>
      </c>
      <c r="CY40" s="1">
        <v>22452</v>
      </c>
      <c r="CZ40" s="1">
        <v>3492</v>
      </c>
      <c r="DA40" s="1">
        <v>6772</v>
      </c>
      <c r="DB40" s="1">
        <v>10218</v>
      </c>
      <c r="DC40" s="1">
        <v>3323</v>
      </c>
      <c r="DD40" s="1">
        <v>2356</v>
      </c>
      <c r="DE40" s="1">
        <v>1870</v>
      </c>
      <c r="DF40" s="1">
        <v>39886</v>
      </c>
      <c r="DG40" s="1">
        <v>13081</v>
      </c>
      <c r="DH40" s="1">
        <v>14640</v>
      </c>
      <c r="DI40" s="1">
        <v>4673</v>
      </c>
      <c r="DJ40" s="1">
        <v>22761</v>
      </c>
      <c r="DK40" s="1">
        <v>12517</v>
      </c>
      <c r="DL40" s="1">
        <v>8805</v>
      </c>
      <c r="DM40" s="1">
        <v>12222</v>
      </c>
      <c r="DN40" s="1">
        <v>15743</v>
      </c>
      <c r="DO40" s="1">
        <v>2799</v>
      </c>
      <c r="DP40" s="1">
        <v>12652</v>
      </c>
      <c r="DQ40" s="1">
        <v>45362</v>
      </c>
      <c r="DR40" s="1">
        <v>3221</v>
      </c>
      <c r="DS40" s="1">
        <v>4386</v>
      </c>
      <c r="DT40" s="1">
        <v>606</v>
      </c>
      <c r="DU40" s="1">
        <v>7992</v>
      </c>
      <c r="DV40" s="1">
        <v>4298</v>
      </c>
      <c r="DW40" s="1">
        <v>8382</v>
      </c>
      <c r="DX40" s="1">
        <v>7112</v>
      </c>
      <c r="DY40" s="1">
        <v>1466</v>
      </c>
      <c r="DZ40" s="1">
        <v>4200</v>
      </c>
      <c r="EA40" s="1">
        <v>7770</v>
      </c>
      <c r="EB40" s="1">
        <v>3430</v>
      </c>
      <c r="EC40" s="1">
        <v>542</v>
      </c>
      <c r="ED40" s="1">
        <v>819</v>
      </c>
      <c r="EE40" s="1">
        <v>23481</v>
      </c>
      <c r="EF40" s="1">
        <v>3093</v>
      </c>
      <c r="EG40" s="1">
        <v>11412</v>
      </c>
      <c r="EH40" s="1">
        <v>18706</v>
      </c>
      <c r="EJ40" s="1">
        <f t="shared" si="0"/>
        <v>1255630</v>
      </c>
    </row>
    <row r="41" spans="1:140" x14ac:dyDescent="0.25">
      <c r="A41" s="1" t="s">
        <v>177</v>
      </c>
      <c r="B41" s="1">
        <v>1874</v>
      </c>
      <c r="C41" s="1">
        <v>4329</v>
      </c>
      <c r="D41" s="1">
        <v>80</v>
      </c>
      <c r="E41" s="1">
        <v>1409</v>
      </c>
      <c r="F41" s="1">
        <v>15</v>
      </c>
      <c r="G41" s="1">
        <v>34</v>
      </c>
      <c r="H41" s="1">
        <v>13286</v>
      </c>
      <c r="I41" s="1">
        <v>34</v>
      </c>
      <c r="J41" s="1">
        <v>806</v>
      </c>
      <c r="K41" s="1">
        <v>31</v>
      </c>
      <c r="L41" s="1">
        <v>1054</v>
      </c>
      <c r="M41" s="1">
        <v>85</v>
      </c>
      <c r="N41" s="1">
        <v>9308</v>
      </c>
      <c r="O41" s="1">
        <v>1287</v>
      </c>
      <c r="P41" s="1">
        <v>534</v>
      </c>
      <c r="Q41" s="1">
        <v>6730</v>
      </c>
      <c r="R41" s="1">
        <v>35</v>
      </c>
      <c r="S41" s="1">
        <v>1055</v>
      </c>
      <c r="T41" s="1">
        <v>2286</v>
      </c>
      <c r="U41" s="1">
        <v>2180</v>
      </c>
      <c r="V41" s="1">
        <v>4625</v>
      </c>
      <c r="W41" s="1">
        <v>2244</v>
      </c>
      <c r="X41" s="1">
        <v>312</v>
      </c>
      <c r="Y41" s="1">
        <v>706</v>
      </c>
      <c r="Z41" s="1">
        <v>1331</v>
      </c>
      <c r="AA41" s="1">
        <v>364</v>
      </c>
      <c r="AB41" s="1">
        <v>3815</v>
      </c>
      <c r="AC41" s="1">
        <v>449</v>
      </c>
      <c r="AD41" s="1">
        <v>217</v>
      </c>
      <c r="AE41" s="1">
        <v>774</v>
      </c>
      <c r="AF41" s="1">
        <v>733</v>
      </c>
      <c r="AG41">
        <v>18004</v>
      </c>
      <c r="AH41" s="1">
        <v>302</v>
      </c>
      <c r="AI41" s="1">
        <v>1174</v>
      </c>
      <c r="AJ41" s="1">
        <v>295</v>
      </c>
      <c r="AK41" s="1">
        <v>1100</v>
      </c>
      <c r="AL41" s="1">
        <v>2520</v>
      </c>
      <c r="AM41" s="1">
        <v>664</v>
      </c>
      <c r="AN41" s="1">
        <v>220</v>
      </c>
      <c r="AO41" s="1">
        <v>7101</v>
      </c>
      <c r="AP41" s="1">
        <v>470</v>
      </c>
      <c r="AQ41" s="1">
        <v>111</v>
      </c>
      <c r="AR41" s="1">
        <v>1651</v>
      </c>
      <c r="AS41" s="1">
        <v>4772</v>
      </c>
      <c r="AT41" s="1">
        <v>732</v>
      </c>
      <c r="AU41" s="1">
        <v>1929</v>
      </c>
      <c r="AV41" s="1">
        <v>3241</v>
      </c>
      <c r="AW41" s="1">
        <v>4752</v>
      </c>
      <c r="AX41" s="1">
        <v>16871</v>
      </c>
      <c r="AY41" s="1">
        <v>114</v>
      </c>
      <c r="AZ41" s="1">
        <v>471</v>
      </c>
      <c r="BA41" s="1">
        <v>5803</v>
      </c>
      <c r="BB41" s="1">
        <v>123</v>
      </c>
      <c r="BC41" s="1">
        <v>695</v>
      </c>
      <c r="BD41" s="1">
        <v>5588</v>
      </c>
      <c r="BE41" s="1">
        <v>3780</v>
      </c>
      <c r="BF41" s="1">
        <v>3244</v>
      </c>
      <c r="BG41" s="1">
        <v>3947</v>
      </c>
      <c r="BH41" s="1">
        <v>1724</v>
      </c>
      <c r="BI41" s="1">
        <v>23079</v>
      </c>
      <c r="BJ41" s="1">
        <v>3331</v>
      </c>
      <c r="BK41" s="1">
        <v>7702</v>
      </c>
      <c r="BL41" s="1">
        <v>2491</v>
      </c>
      <c r="BM41" s="1">
        <v>4234</v>
      </c>
      <c r="BN41" s="1">
        <v>1007</v>
      </c>
      <c r="BO41" s="1">
        <v>2103</v>
      </c>
      <c r="BP41" s="1">
        <v>28012</v>
      </c>
      <c r="BQ41" s="1">
        <v>3112</v>
      </c>
      <c r="BR41" s="1">
        <v>62011</v>
      </c>
      <c r="BS41" s="1">
        <v>9596</v>
      </c>
      <c r="BT41" s="1">
        <v>9152</v>
      </c>
      <c r="BU41" s="1">
        <v>21936</v>
      </c>
      <c r="BV41" s="1">
        <v>2356</v>
      </c>
      <c r="BW41" s="1">
        <v>11148</v>
      </c>
      <c r="BX41" s="1">
        <v>3019</v>
      </c>
      <c r="BY41" s="1">
        <v>10672</v>
      </c>
      <c r="BZ41" s="1">
        <v>16950</v>
      </c>
      <c r="CA41" s="1">
        <v>2357</v>
      </c>
      <c r="CB41" s="1">
        <v>901</v>
      </c>
      <c r="CC41" s="1">
        <v>5280</v>
      </c>
      <c r="CD41" s="1">
        <v>3773</v>
      </c>
      <c r="CE41" s="1">
        <v>2709</v>
      </c>
      <c r="CF41" s="1">
        <v>5601</v>
      </c>
      <c r="CG41" s="1">
        <v>81681</v>
      </c>
      <c r="CH41" s="1">
        <v>19276</v>
      </c>
      <c r="CI41" s="1">
        <v>37851</v>
      </c>
      <c r="CJ41" s="1">
        <v>17555</v>
      </c>
      <c r="CK41" s="1">
        <v>24272</v>
      </c>
      <c r="CL41" s="1">
        <v>11463</v>
      </c>
      <c r="CM41" s="1">
        <v>21593</v>
      </c>
      <c r="CN41" s="1">
        <v>43318</v>
      </c>
      <c r="CO41" s="1">
        <v>8439</v>
      </c>
      <c r="CP41" s="1">
        <v>3311</v>
      </c>
      <c r="CQ41" s="1">
        <v>9411</v>
      </c>
      <c r="CR41" s="1">
        <v>5655</v>
      </c>
      <c r="CS41" s="1">
        <v>22731</v>
      </c>
      <c r="CT41" s="1">
        <v>15503</v>
      </c>
      <c r="CU41" s="1">
        <v>1262</v>
      </c>
      <c r="CV41" s="1">
        <v>195750</v>
      </c>
      <c r="CW41" s="1">
        <v>9738</v>
      </c>
      <c r="CX41" s="1">
        <v>1695</v>
      </c>
      <c r="CY41" s="1">
        <v>23660</v>
      </c>
      <c r="CZ41" s="1">
        <v>7687</v>
      </c>
      <c r="DA41" s="1">
        <v>5778</v>
      </c>
      <c r="DB41" s="1">
        <v>8601</v>
      </c>
      <c r="DC41" s="1">
        <v>3190</v>
      </c>
      <c r="DD41" s="1">
        <v>2089</v>
      </c>
      <c r="DE41" s="1">
        <v>1597</v>
      </c>
      <c r="DF41" s="1">
        <v>36787</v>
      </c>
      <c r="DG41" s="1">
        <v>11551</v>
      </c>
      <c r="DH41" s="1">
        <v>13817</v>
      </c>
      <c r="DI41" s="1">
        <v>3556</v>
      </c>
      <c r="DJ41" s="1">
        <v>20554</v>
      </c>
      <c r="DK41" s="1">
        <v>12119</v>
      </c>
      <c r="DL41" s="1">
        <v>7890</v>
      </c>
      <c r="DM41" s="1">
        <v>11164</v>
      </c>
      <c r="DN41" s="1">
        <v>15744</v>
      </c>
      <c r="DO41" s="1">
        <v>2581</v>
      </c>
      <c r="DP41" s="1">
        <v>8116</v>
      </c>
      <c r="DQ41" s="1">
        <v>44392</v>
      </c>
      <c r="DR41" s="1">
        <v>2186</v>
      </c>
      <c r="DS41" s="1">
        <v>3506</v>
      </c>
      <c r="DT41" s="1">
        <v>712</v>
      </c>
      <c r="DU41" s="1">
        <v>7981</v>
      </c>
      <c r="DV41" s="1">
        <v>3940</v>
      </c>
      <c r="DW41" s="1">
        <v>5750</v>
      </c>
      <c r="DX41" s="1">
        <v>6987</v>
      </c>
      <c r="DY41" s="1">
        <v>1293</v>
      </c>
      <c r="DZ41" s="1">
        <v>5757</v>
      </c>
      <c r="EA41" s="1">
        <v>6873</v>
      </c>
      <c r="EB41" s="1">
        <v>4216</v>
      </c>
      <c r="EC41" s="1">
        <v>552</v>
      </c>
      <c r="ED41" s="1">
        <v>781</v>
      </c>
      <c r="EE41" s="1">
        <v>25000</v>
      </c>
      <c r="EF41" s="1">
        <v>2326</v>
      </c>
      <c r="EG41" s="1">
        <v>10683</v>
      </c>
      <c r="EH41" s="1">
        <v>17079</v>
      </c>
      <c r="EJ41" s="1">
        <f t="shared" si="0"/>
        <v>1272951</v>
      </c>
    </row>
    <row r="42" spans="1:140" x14ac:dyDescent="0.25">
      <c r="A42" s="1" t="s">
        <v>178</v>
      </c>
      <c r="B42" s="1">
        <v>2348</v>
      </c>
      <c r="C42" s="1">
        <v>5281</v>
      </c>
      <c r="D42" s="1">
        <v>157</v>
      </c>
      <c r="E42" s="1">
        <v>1199</v>
      </c>
      <c r="F42" s="1">
        <v>16</v>
      </c>
      <c r="G42" s="1">
        <v>14</v>
      </c>
      <c r="H42" s="1">
        <v>14144</v>
      </c>
      <c r="I42" s="1">
        <v>66</v>
      </c>
      <c r="J42" s="1">
        <v>1037</v>
      </c>
      <c r="K42" s="1">
        <v>40</v>
      </c>
      <c r="L42" s="1">
        <v>1031</v>
      </c>
      <c r="M42" s="1">
        <v>136</v>
      </c>
      <c r="N42" s="1">
        <v>9899</v>
      </c>
      <c r="O42" s="1">
        <v>1360</v>
      </c>
      <c r="P42" s="1">
        <v>650</v>
      </c>
      <c r="Q42" s="1">
        <v>7816</v>
      </c>
      <c r="R42" s="1">
        <v>57</v>
      </c>
      <c r="S42" s="1">
        <v>1536</v>
      </c>
      <c r="T42" s="1">
        <v>2847</v>
      </c>
      <c r="U42" s="1">
        <v>2071</v>
      </c>
      <c r="V42" s="1">
        <v>4914</v>
      </c>
      <c r="W42" s="1">
        <v>2096</v>
      </c>
      <c r="X42" s="1">
        <v>393</v>
      </c>
      <c r="Y42" s="1">
        <v>1130</v>
      </c>
      <c r="Z42" s="1">
        <v>1705</v>
      </c>
      <c r="AA42" s="1">
        <v>407</v>
      </c>
      <c r="AB42" s="1">
        <v>4281</v>
      </c>
      <c r="AC42" s="1">
        <v>479</v>
      </c>
      <c r="AD42" s="1">
        <v>329</v>
      </c>
      <c r="AE42" s="1">
        <v>949</v>
      </c>
      <c r="AF42" s="1">
        <v>1021</v>
      </c>
      <c r="AG42">
        <v>19688</v>
      </c>
      <c r="AH42" s="1">
        <v>339</v>
      </c>
      <c r="AI42" s="1">
        <v>1016</v>
      </c>
      <c r="AJ42" s="1">
        <v>277</v>
      </c>
      <c r="AK42" s="1">
        <v>1338</v>
      </c>
      <c r="AL42" s="1">
        <v>2445</v>
      </c>
      <c r="AM42" s="1">
        <v>608</v>
      </c>
      <c r="AN42" s="1">
        <v>299</v>
      </c>
      <c r="AO42" s="1">
        <v>8565</v>
      </c>
      <c r="AP42" s="1">
        <v>459</v>
      </c>
      <c r="AQ42" s="1">
        <v>79</v>
      </c>
      <c r="AR42" s="1">
        <v>1788</v>
      </c>
      <c r="AS42" s="1">
        <v>5041</v>
      </c>
      <c r="AT42" s="1">
        <v>815</v>
      </c>
      <c r="AU42" s="1">
        <v>3999</v>
      </c>
      <c r="AV42" s="1">
        <v>3513</v>
      </c>
      <c r="AW42" s="1">
        <v>7094</v>
      </c>
      <c r="AX42" s="1">
        <v>18586</v>
      </c>
      <c r="AY42" s="1">
        <v>100</v>
      </c>
      <c r="AZ42" s="1">
        <v>531</v>
      </c>
      <c r="BA42" s="1">
        <v>5874</v>
      </c>
      <c r="BB42" s="1">
        <v>80</v>
      </c>
      <c r="BC42" s="1">
        <v>849</v>
      </c>
      <c r="BD42" s="1">
        <v>4993</v>
      </c>
      <c r="BE42" s="1">
        <v>5264</v>
      </c>
      <c r="BF42" s="1">
        <v>2459</v>
      </c>
      <c r="BG42" s="1">
        <v>4045</v>
      </c>
      <c r="BH42" s="1">
        <v>1586</v>
      </c>
      <c r="BI42" s="1">
        <v>24828</v>
      </c>
      <c r="BJ42" s="1">
        <v>4280</v>
      </c>
      <c r="BK42" s="1">
        <v>7551</v>
      </c>
      <c r="BL42" s="1">
        <v>3416</v>
      </c>
      <c r="BM42" s="1">
        <v>5304</v>
      </c>
      <c r="BN42" s="1">
        <v>1182</v>
      </c>
      <c r="BO42" s="1">
        <v>1360</v>
      </c>
      <c r="BP42" s="1">
        <v>32565</v>
      </c>
      <c r="BQ42" s="1">
        <v>4185</v>
      </c>
      <c r="BR42" s="1">
        <v>62177</v>
      </c>
      <c r="BS42" s="1">
        <v>10570</v>
      </c>
      <c r="BT42" s="1">
        <v>12418</v>
      </c>
      <c r="BU42" s="1">
        <v>35277</v>
      </c>
      <c r="BV42" s="1">
        <v>3368</v>
      </c>
      <c r="BW42" s="1">
        <v>16671</v>
      </c>
      <c r="BX42" s="1">
        <v>4947</v>
      </c>
      <c r="BY42" s="1">
        <v>11684</v>
      </c>
      <c r="BZ42" s="1">
        <v>16814</v>
      </c>
      <c r="CA42" s="1">
        <v>2621</v>
      </c>
      <c r="CB42" s="1">
        <v>829</v>
      </c>
      <c r="CC42" s="1">
        <v>8969</v>
      </c>
      <c r="CD42" s="1">
        <v>3048</v>
      </c>
      <c r="CE42" s="1">
        <v>2676</v>
      </c>
      <c r="CF42" s="1">
        <v>5810</v>
      </c>
      <c r="CG42" s="1">
        <v>77596</v>
      </c>
      <c r="CH42" s="1">
        <v>19707</v>
      </c>
      <c r="CI42" s="1">
        <v>40577</v>
      </c>
      <c r="CJ42" s="1">
        <v>8728</v>
      </c>
      <c r="CK42" s="1">
        <v>20707</v>
      </c>
      <c r="CL42" s="1">
        <v>11839</v>
      </c>
      <c r="CM42" s="1">
        <v>19074</v>
      </c>
      <c r="CN42" s="1">
        <v>39243</v>
      </c>
      <c r="CO42" s="1">
        <v>7118</v>
      </c>
      <c r="CP42" s="1">
        <v>3809</v>
      </c>
      <c r="CQ42" s="1">
        <v>6453</v>
      </c>
      <c r="CR42" s="1">
        <v>6299</v>
      </c>
      <c r="CS42" s="1">
        <v>23322</v>
      </c>
      <c r="CT42" s="1">
        <v>15916</v>
      </c>
      <c r="CU42" s="1">
        <v>1253</v>
      </c>
      <c r="CV42" s="1">
        <v>199546</v>
      </c>
      <c r="CW42" s="1">
        <v>6533</v>
      </c>
      <c r="CX42" s="1">
        <v>1671</v>
      </c>
      <c r="CY42" s="1">
        <v>21647</v>
      </c>
      <c r="CZ42" s="1">
        <v>5920</v>
      </c>
      <c r="DA42" s="1">
        <v>6169</v>
      </c>
      <c r="DB42" s="1">
        <v>8985</v>
      </c>
      <c r="DC42" s="1">
        <v>2952</v>
      </c>
      <c r="DD42" s="1">
        <v>2098</v>
      </c>
      <c r="DE42" s="1">
        <v>1515</v>
      </c>
      <c r="DF42" s="1">
        <v>36953</v>
      </c>
      <c r="DG42" s="1">
        <v>10802</v>
      </c>
      <c r="DH42" s="1">
        <v>13388</v>
      </c>
      <c r="DI42" s="1">
        <v>2936</v>
      </c>
      <c r="DJ42" s="1">
        <v>19719</v>
      </c>
      <c r="DK42" s="1">
        <v>11424</v>
      </c>
      <c r="DL42" s="1">
        <v>7092</v>
      </c>
      <c r="DM42" s="1">
        <v>9491</v>
      </c>
      <c r="DN42" s="1">
        <v>12910</v>
      </c>
      <c r="DO42" s="1">
        <v>2128</v>
      </c>
      <c r="DP42" s="1">
        <v>6622</v>
      </c>
      <c r="DQ42" s="1">
        <v>41390</v>
      </c>
      <c r="DR42" s="1">
        <v>1929</v>
      </c>
      <c r="DS42" s="1">
        <v>3264</v>
      </c>
      <c r="DT42" s="1">
        <v>676</v>
      </c>
      <c r="DU42" s="1">
        <v>6372</v>
      </c>
      <c r="DV42" s="1">
        <v>3359</v>
      </c>
      <c r="DW42" s="1">
        <v>4539</v>
      </c>
      <c r="DX42" s="1">
        <v>7496</v>
      </c>
      <c r="DY42" s="1">
        <v>1811</v>
      </c>
      <c r="DZ42" s="1">
        <v>3110</v>
      </c>
      <c r="EA42" s="1">
        <v>7585</v>
      </c>
      <c r="EB42" s="1">
        <v>3768</v>
      </c>
      <c r="EC42" s="1">
        <v>699</v>
      </c>
      <c r="ED42" s="1">
        <v>934</v>
      </c>
      <c r="EE42" s="1">
        <v>27628</v>
      </c>
      <c r="EF42" s="1">
        <v>2538</v>
      </c>
      <c r="EG42" s="1">
        <v>11783</v>
      </c>
      <c r="EH42" s="1">
        <v>18785</v>
      </c>
      <c r="EJ42" s="1">
        <f t="shared" si="0"/>
        <v>1293497</v>
      </c>
    </row>
    <row r="43" spans="1:140" x14ac:dyDescent="0.25">
      <c r="A43" s="1" t="s">
        <v>179</v>
      </c>
      <c r="B43" s="1">
        <v>2500</v>
      </c>
      <c r="C43" s="1">
        <v>4501</v>
      </c>
      <c r="D43" s="1">
        <v>119</v>
      </c>
      <c r="E43" s="1">
        <v>1448</v>
      </c>
      <c r="F43" s="1">
        <v>2</v>
      </c>
      <c r="G43" s="1">
        <v>21</v>
      </c>
      <c r="H43" s="1">
        <v>13497</v>
      </c>
      <c r="I43" s="1">
        <v>38</v>
      </c>
      <c r="J43" s="1">
        <v>614</v>
      </c>
      <c r="K43" s="1">
        <v>22</v>
      </c>
      <c r="L43" s="1">
        <v>1127</v>
      </c>
      <c r="M43" s="1">
        <v>180</v>
      </c>
      <c r="N43" s="1">
        <v>9836</v>
      </c>
      <c r="O43" s="1">
        <v>1348</v>
      </c>
      <c r="P43" s="1">
        <v>950</v>
      </c>
      <c r="Q43" s="1">
        <v>7836</v>
      </c>
      <c r="R43" s="1">
        <v>47</v>
      </c>
      <c r="S43" s="1">
        <v>1484</v>
      </c>
      <c r="T43" s="1">
        <v>2630</v>
      </c>
      <c r="U43" s="1">
        <v>1942</v>
      </c>
      <c r="V43" s="1">
        <v>5365</v>
      </c>
      <c r="W43" s="1">
        <v>2254</v>
      </c>
      <c r="X43" s="1">
        <v>596</v>
      </c>
      <c r="Y43" s="1">
        <v>904</v>
      </c>
      <c r="Z43" s="1">
        <v>1060</v>
      </c>
      <c r="AA43" s="1">
        <v>544</v>
      </c>
      <c r="AB43" s="1">
        <v>4065</v>
      </c>
      <c r="AC43" s="1">
        <v>497</v>
      </c>
      <c r="AD43" s="1">
        <v>253</v>
      </c>
      <c r="AE43" s="1">
        <v>911</v>
      </c>
      <c r="AF43" s="1">
        <v>856</v>
      </c>
      <c r="AG43">
        <v>18157</v>
      </c>
      <c r="AH43" s="1">
        <v>217</v>
      </c>
      <c r="AI43" s="1">
        <v>1851</v>
      </c>
      <c r="AJ43" s="1">
        <v>314</v>
      </c>
      <c r="AK43" s="1">
        <v>1277</v>
      </c>
      <c r="AL43" s="1">
        <v>2793</v>
      </c>
      <c r="AM43" s="1">
        <v>817</v>
      </c>
      <c r="AN43" s="1">
        <v>222</v>
      </c>
      <c r="AO43" s="1">
        <v>8320</v>
      </c>
      <c r="AP43" s="1">
        <v>310</v>
      </c>
      <c r="AQ43" s="1">
        <v>70</v>
      </c>
      <c r="AR43" s="1">
        <v>1593</v>
      </c>
      <c r="AS43" s="1">
        <v>4070</v>
      </c>
      <c r="AT43" s="1">
        <v>767</v>
      </c>
      <c r="AU43" s="1">
        <v>6272</v>
      </c>
      <c r="AV43" s="1">
        <v>4250</v>
      </c>
      <c r="AW43" s="1">
        <v>1895</v>
      </c>
      <c r="AX43" s="1">
        <v>15886</v>
      </c>
      <c r="AY43" s="1">
        <v>93</v>
      </c>
      <c r="AZ43" s="1">
        <v>728</v>
      </c>
      <c r="BA43" s="1">
        <v>5691</v>
      </c>
      <c r="BB43" s="1">
        <v>117</v>
      </c>
      <c r="BC43" s="1">
        <v>483</v>
      </c>
      <c r="BD43" s="1">
        <v>6160</v>
      </c>
      <c r="BE43" s="1">
        <v>5317</v>
      </c>
      <c r="BF43" s="1">
        <v>3822</v>
      </c>
      <c r="BG43" s="1">
        <v>3820</v>
      </c>
      <c r="BH43" s="1">
        <v>1500</v>
      </c>
      <c r="BI43" s="1">
        <v>23302</v>
      </c>
      <c r="BJ43" s="1">
        <v>4172</v>
      </c>
      <c r="BK43" s="1">
        <v>5912</v>
      </c>
      <c r="BL43" s="1">
        <v>4460</v>
      </c>
      <c r="BM43" s="1">
        <v>4891</v>
      </c>
      <c r="BN43" s="1">
        <v>2276</v>
      </c>
      <c r="BO43" s="1">
        <v>1113</v>
      </c>
      <c r="BP43" s="1">
        <v>33760</v>
      </c>
      <c r="BQ43" s="1">
        <v>3009</v>
      </c>
      <c r="BR43" s="1">
        <v>63491</v>
      </c>
      <c r="BS43" s="1">
        <v>9648</v>
      </c>
      <c r="BT43" s="1">
        <v>9943</v>
      </c>
      <c r="BU43" s="1">
        <v>29660</v>
      </c>
      <c r="BV43" s="1">
        <v>3495</v>
      </c>
      <c r="BW43" s="1">
        <v>12432</v>
      </c>
      <c r="BX43" s="1">
        <v>2644</v>
      </c>
      <c r="BY43" s="1">
        <v>5487</v>
      </c>
      <c r="BZ43" s="1">
        <v>16704</v>
      </c>
      <c r="CA43" s="1">
        <v>2933</v>
      </c>
      <c r="CB43" s="1">
        <v>866</v>
      </c>
      <c r="CC43" s="1">
        <v>5491</v>
      </c>
      <c r="CD43" s="1">
        <v>3568</v>
      </c>
      <c r="CE43" s="1">
        <v>2808</v>
      </c>
      <c r="CF43" s="1">
        <v>5773</v>
      </c>
      <c r="CG43" s="1">
        <v>79045</v>
      </c>
      <c r="CH43" s="1">
        <v>14447</v>
      </c>
      <c r="CI43" s="1">
        <v>34948</v>
      </c>
      <c r="CJ43" s="1">
        <v>6511</v>
      </c>
      <c r="CK43" s="1">
        <v>16580</v>
      </c>
      <c r="CL43" s="1">
        <v>14090</v>
      </c>
      <c r="CM43" s="1">
        <v>14379</v>
      </c>
      <c r="CN43" s="1">
        <v>36745</v>
      </c>
      <c r="CO43" s="1">
        <v>5559</v>
      </c>
      <c r="CP43" s="1">
        <v>2641</v>
      </c>
      <c r="CQ43" s="1">
        <v>4757</v>
      </c>
      <c r="CR43" s="1">
        <v>5580</v>
      </c>
      <c r="CS43" s="1">
        <v>22007</v>
      </c>
      <c r="CT43" s="1">
        <v>15001</v>
      </c>
      <c r="CU43" s="1">
        <v>1308</v>
      </c>
      <c r="CV43" s="1">
        <v>191093</v>
      </c>
      <c r="CW43" s="1">
        <v>5738</v>
      </c>
      <c r="CX43" s="1">
        <v>1417</v>
      </c>
      <c r="CY43" s="1">
        <v>19554</v>
      </c>
      <c r="CZ43" s="1">
        <v>3654</v>
      </c>
      <c r="DA43" s="1">
        <v>5228</v>
      </c>
      <c r="DB43" s="1">
        <v>8735</v>
      </c>
      <c r="DC43" s="1">
        <v>2634</v>
      </c>
      <c r="DD43" s="1">
        <v>2176</v>
      </c>
      <c r="DE43" s="1">
        <v>1637</v>
      </c>
      <c r="DF43" s="1">
        <v>34152</v>
      </c>
      <c r="DG43" s="1">
        <v>10587</v>
      </c>
      <c r="DH43" s="1">
        <v>11759</v>
      </c>
      <c r="DI43" s="1">
        <v>3038</v>
      </c>
      <c r="DJ43" s="1">
        <v>18223</v>
      </c>
      <c r="DK43" s="1">
        <v>10144</v>
      </c>
      <c r="DL43" s="1">
        <v>6994</v>
      </c>
      <c r="DM43" s="1">
        <v>8889</v>
      </c>
      <c r="DN43" s="1">
        <v>12024</v>
      </c>
      <c r="DO43" s="1">
        <v>1870</v>
      </c>
      <c r="DP43" s="1">
        <v>5266</v>
      </c>
      <c r="DQ43" s="1">
        <v>37322</v>
      </c>
      <c r="DR43" s="1">
        <v>1788</v>
      </c>
      <c r="DS43" s="1">
        <v>3061</v>
      </c>
      <c r="DT43" s="1">
        <v>616</v>
      </c>
      <c r="DU43" s="1">
        <v>6617</v>
      </c>
      <c r="DV43" s="1">
        <v>3093</v>
      </c>
      <c r="DW43" s="1">
        <v>3674</v>
      </c>
      <c r="DX43" s="1">
        <v>8673</v>
      </c>
      <c r="DY43" s="1">
        <v>1814</v>
      </c>
      <c r="DZ43" s="1">
        <v>2039</v>
      </c>
      <c r="EA43" s="1">
        <v>7234</v>
      </c>
      <c r="EB43" s="1">
        <v>5029</v>
      </c>
      <c r="EC43" s="1">
        <v>851</v>
      </c>
      <c r="ED43" s="1">
        <v>966</v>
      </c>
      <c r="EE43" s="1">
        <v>23560</v>
      </c>
      <c r="EF43" s="1">
        <v>2902</v>
      </c>
      <c r="EG43" s="1">
        <v>10544</v>
      </c>
      <c r="EH43" s="1">
        <v>17319</v>
      </c>
      <c r="EJ43" s="1">
        <f t="shared" si="0"/>
        <v>1197609</v>
      </c>
    </row>
    <row r="44" spans="1:140" x14ac:dyDescent="0.25">
      <c r="A44" s="1" t="s">
        <v>180</v>
      </c>
      <c r="B44" s="1">
        <v>2777</v>
      </c>
      <c r="C44" s="1">
        <v>4776</v>
      </c>
      <c r="D44" s="1">
        <v>141</v>
      </c>
      <c r="E44" s="1">
        <v>1490</v>
      </c>
      <c r="F44" s="1">
        <v>2</v>
      </c>
      <c r="G44" s="1">
        <v>16</v>
      </c>
      <c r="H44" s="1">
        <v>14141</v>
      </c>
      <c r="I44" s="1">
        <v>60</v>
      </c>
      <c r="J44" s="1">
        <v>824</v>
      </c>
      <c r="K44" s="1">
        <v>18</v>
      </c>
      <c r="L44" s="1">
        <v>1222</v>
      </c>
      <c r="M44" s="1">
        <v>139</v>
      </c>
      <c r="N44" s="1">
        <v>10146</v>
      </c>
      <c r="O44" s="1">
        <v>2206</v>
      </c>
      <c r="P44" s="1">
        <v>888</v>
      </c>
      <c r="Q44" s="1">
        <v>8879</v>
      </c>
      <c r="R44" s="1">
        <v>93</v>
      </c>
      <c r="S44" s="1">
        <v>1686</v>
      </c>
      <c r="T44" s="1">
        <v>2605</v>
      </c>
      <c r="U44" s="1">
        <v>1859</v>
      </c>
      <c r="V44" s="1">
        <v>5400</v>
      </c>
      <c r="W44" s="1">
        <v>2104</v>
      </c>
      <c r="X44" s="1">
        <v>448</v>
      </c>
      <c r="Y44" s="1">
        <v>890</v>
      </c>
      <c r="Z44" s="1">
        <v>783</v>
      </c>
      <c r="AA44" s="1">
        <v>515</v>
      </c>
      <c r="AB44" s="1">
        <v>3991</v>
      </c>
      <c r="AC44" s="1">
        <v>358</v>
      </c>
      <c r="AD44" s="1">
        <v>219</v>
      </c>
      <c r="AE44" s="1">
        <v>2442</v>
      </c>
      <c r="AF44" s="1">
        <v>1118</v>
      </c>
      <c r="AG44">
        <v>18575</v>
      </c>
      <c r="AH44" s="1">
        <v>662</v>
      </c>
      <c r="AI44" s="1">
        <v>1716</v>
      </c>
      <c r="AJ44" s="1">
        <v>238</v>
      </c>
      <c r="AK44" s="1">
        <v>1525</v>
      </c>
      <c r="AL44" s="1">
        <v>3462</v>
      </c>
      <c r="AM44" s="1">
        <v>669</v>
      </c>
      <c r="AN44" s="1">
        <v>202</v>
      </c>
      <c r="AO44" s="1">
        <v>9772</v>
      </c>
      <c r="AP44" s="1">
        <v>399</v>
      </c>
      <c r="AQ44" s="1">
        <v>112</v>
      </c>
      <c r="AR44" s="1">
        <v>1508</v>
      </c>
      <c r="AS44" s="1">
        <v>7134</v>
      </c>
      <c r="AT44" s="1">
        <v>833</v>
      </c>
      <c r="AU44" s="1">
        <v>4375</v>
      </c>
      <c r="AV44" s="1">
        <v>2895</v>
      </c>
      <c r="AW44" s="1">
        <v>1696</v>
      </c>
      <c r="AX44" s="1">
        <v>16462</v>
      </c>
      <c r="AY44" s="1">
        <v>84</v>
      </c>
      <c r="AZ44" s="1">
        <v>2039</v>
      </c>
      <c r="BA44" s="1">
        <v>6102</v>
      </c>
      <c r="BB44" s="1">
        <v>143</v>
      </c>
      <c r="BC44" s="1">
        <v>552</v>
      </c>
      <c r="BD44" s="1">
        <v>5263</v>
      </c>
      <c r="BE44" s="1">
        <v>3657</v>
      </c>
      <c r="BF44" s="1">
        <v>4062</v>
      </c>
      <c r="BG44" s="1">
        <v>3749</v>
      </c>
      <c r="BH44" s="1">
        <v>1638</v>
      </c>
      <c r="BI44" s="1">
        <v>22806</v>
      </c>
      <c r="BJ44" s="1">
        <v>4363</v>
      </c>
      <c r="BK44" s="1">
        <v>5079</v>
      </c>
      <c r="BL44" s="1">
        <v>2877</v>
      </c>
      <c r="BM44" s="1">
        <v>4491</v>
      </c>
      <c r="BN44" s="1">
        <v>2262</v>
      </c>
      <c r="BO44" s="1">
        <v>871</v>
      </c>
      <c r="BP44" s="1">
        <v>25660</v>
      </c>
      <c r="BQ44" s="1">
        <v>2535</v>
      </c>
      <c r="BR44" s="1">
        <v>67506</v>
      </c>
      <c r="BS44" s="1">
        <v>9580</v>
      </c>
      <c r="BT44" s="1">
        <v>8266</v>
      </c>
      <c r="BU44" s="1">
        <v>20850</v>
      </c>
      <c r="BV44" s="1">
        <v>2832</v>
      </c>
      <c r="BW44" s="1">
        <v>11801</v>
      </c>
      <c r="BX44" s="1">
        <v>2798</v>
      </c>
      <c r="BY44" s="1">
        <v>5063</v>
      </c>
      <c r="BZ44" s="1">
        <v>17868</v>
      </c>
      <c r="CA44" s="1">
        <v>2500</v>
      </c>
      <c r="CB44" s="1">
        <v>834</v>
      </c>
      <c r="CC44" s="1">
        <v>5611</v>
      </c>
      <c r="CD44" s="1">
        <v>5608</v>
      </c>
      <c r="CE44" s="1">
        <v>2649</v>
      </c>
      <c r="CF44" s="1">
        <v>5650</v>
      </c>
      <c r="CG44" s="1">
        <v>78518</v>
      </c>
      <c r="CH44" s="1">
        <v>13815</v>
      </c>
      <c r="CI44" s="1">
        <v>27748</v>
      </c>
      <c r="CJ44" s="1">
        <v>5447</v>
      </c>
      <c r="CK44" s="1">
        <v>14992</v>
      </c>
      <c r="CL44" s="1">
        <v>13649</v>
      </c>
      <c r="CM44" s="1">
        <v>14788</v>
      </c>
      <c r="CN44" s="1">
        <v>37240</v>
      </c>
      <c r="CO44" s="1">
        <v>4473</v>
      </c>
      <c r="CP44" s="1">
        <v>2582</v>
      </c>
      <c r="CQ44" s="1">
        <v>4275</v>
      </c>
      <c r="CR44" s="1">
        <v>5948</v>
      </c>
      <c r="CS44" s="1">
        <v>23384</v>
      </c>
      <c r="CT44" s="1">
        <v>14818</v>
      </c>
      <c r="CU44" s="1">
        <v>1176</v>
      </c>
      <c r="CV44" s="1">
        <v>199065</v>
      </c>
      <c r="CW44" s="1">
        <v>5363</v>
      </c>
      <c r="CX44" s="1">
        <v>1463</v>
      </c>
      <c r="CY44" s="1">
        <v>18910</v>
      </c>
      <c r="CZ44" s="1">
        <v>2979</v>
      </c>
      <c r="DA44" s="1">
        <v>5666</v>
      </c>
      <c r="DB44" s="1">
        <v>9208</v>
      </c>
      <c r="DC44" s="1">
        <v>2876</v>
      </c>
      <c r="DD44" s="1">
        <v>2483</v>
      </c>
      <c r="DE44" s="1">
        <v>1688</v>
      </c>
      <c r="DF44" s="1">
        <v>37000</v>
      </c>
      <c r="DG44" s="1">
        <v>10970</v>
      </c>
      <c r="DH44" s="1">
        <v>12236</v>
      </c>
      <c r="DI44" s="1">
        <v>3138</v>
      </c>
      <c r="DJ44" s="1">
        <v>19725</v>
      </c>
      <c r="DK44" s="1">
        <v>11174</v>
      </c>
      <c r="DL44" s="1">
        <v>7012</v>
      </c>
      <c r="DM44" s="1">
        <v>9405</v>
      </c>
      <c r="DN44" s="1">
        <v>12602</v>
      </c>
      <c r="DO44" s="1">
        <v>1999</v>
      </c>
      <c r="DP44" s="1">
        <v>5400</v>
      </c>
      <c r="DQ44" s="1">
        <v>39342</v>
      </c>
      <c r="DR44" s="1">
        <v>1833</v>
      </c>
      <c r="DS44" s="1">
        <v>3231</v>
      </c>
      <c r="DT44" s="1">
        <v>737</v>
      </c>
      <c r="DU44" s="1">
        <v>6800</v>
      </c>
      <c r="DV44" s="1">
        <v>3183</v>
      </c>
      <c r="DW44" s="1">
        <v>3940</v>
      </c>
      <c r="DX44" s="1">
        <v>7357</v>
      </c>
      <c r="DY44" s="1">
        <v>1220</v>
      </c>
      <c r="DZ44" s="1">
        <v>1864</v>
      </c>
      <c r="EA44" s="1">
        <v>7284</v>
      </c>
      <c r="EB44" s="1">
        <v>4147</v>
      </c>
      <c r="EC44" s="1">
        <v>557</v>
      </c>
      <c r="ED44" s="1">
        <v>801</v>
      </c>
      <c r="EE44" s="1">
        <v>21998</v>
      </c>
      <c r="EF44" s="1">
        <v>2674</v>
      </c>
      <c r="EG44" s="1">
        <v>9882</v>
      </c>
      <c r="EH44" s="1">
        <v>18350</v>
      </c>
      <c r="EJ44" s="1">
        <f t="shared" si="0"/>
        <v>1190535</v>
      </c>
    </row>
    <row r="45" spans="1:140" x14ac:dyDescent="0.25">
      <c r="A45" s="1" t="s">
        <v>181</v>
      </c>
      <c r="B45" s="1">
        <v>2524</v>
      </c>
      <c r="C45" s="1">
        <v>4788</v>
      </c>
      <c r="D45" s="1">
        <v>100</v>
      </c>
      <c r="E45" s="1">
        <v>1352</v>
      </c>
      <c r="F45" s="1">
        <v>5</v>
      </c>
      <c r="G45" s="1">
        <v>49</v>
      </c>
      <c r="H45" s="1">
        <v>14808</v>
      </c>
      <c r="I45" s="1">
        <v>38</v>
      </c>
      <c r="J45" s="1">
        <v>830</v>
      </c>
      <c r="K45" s="1">
        <v>18</v>
      </c>
      <c r="L45" s="1">
        <v>1073</v>
      </c>
      <c r="M45" s="1">
        <v>173</v>
      </c>
      <c r="N45" s="1">
        <v>10715</v>
      </c>
      <c r="O45" s="1">
        <v>2282</v>
      </c>
      <c r="P45" s="1">
        <v>752</v>
      </c>
      <c r="Q45" s="1">
        <v>7821</v>
      </c>
      <c r="R45" s="1">
        <v>142</v>
      </c>
      <c r="S45" s="1">
        <v>1735</v>
      </c>
      <c r="T45" s="1">
        <v>2810</v>
      </c>
      <c r="U45" s="1">
        <v>2031</v>
      </c>
      <c r="V45" s="1">
        <v>5838</v>
      </c>
      <c r="W45" s="1">
        <v>2486</v>
      </c>
      <c r="X45" s="1">
        <v>703</v>
      </c>
      <c r="Y45" s="1">
        <v>761</v>
      </c>
      <c r="Z45" s="1">
        <v>1006</v>
      </c>
      <c r="AA45" s="1">
        <v>430</v>
      </c>
      <c r="AB45" s="1">
        <v>4511</v>
      </c>
      <c r="AC45" s="1">
        <v>515</v>
      </c>
      <c r="AD45" s="1">
        <v>329</v>
      </c>
      <c r="AE45" s="1">
        <v>2117</v>
      </c>
      <c r="AF45" s="1">
        <v>1635</v>
      </c>
      <c r="AG45">
        <v>21292</v>
      </c>
      <c r="AH45" s="1">
        <v>453</v>
      </c>
      <c r="AI45" s="1">
        <v>4003</v>
      </c>
      <c r="AJ45" s="1">
        <v>400</v>
      </c>
      <c r="AK45" s="1">
        <v>1618</v>
      </c>
      <c r="AL45" s="1">
        <v>3790</v>
      </c>
      <c r="AM45" s="1">
        <v>714</v>
      </c>
      <c r="AN45" s="1">
        <v>430</v>
      </c>
      <c r="AO45" s="1">
        <v>10481</v>
      </c>
      <c r="AP45" s="1">
        <v>547</v>
      </c>
      <c r="AQ45" s="1">
        <v>173</v>
      </c>
      <c r="AR45" s="1">
        <v>2449</v>
      </c>
      <c r="AS45" s="1">
        <v>8493</v>
      </c>
      <c r="AT45" s="1">
        <v>966</v>
      </c>
      <c r="AU45" s="1">
        <v>3727</v>
      </c>
      <c r="AV45" s="1">
        <v>3262</v>
      </c>
      <c r="AW45" s="1">
        <v>5948</v>
      </c>
      <c r="AX45" s="1">
        <v>22872</v>
      </c>
      <c r="AY45" s="1">
        <v>156</v>
      </c>
      <c r="AZ45" s="1">
        <v>618</v>
      </c>
      <c r="BA45" s="1">
        <v>6835</v>
      </c>
      <c r="BB45" s="1">
        <v>135</v>
      </c>
      <c r="BC45" s="1">
        <v>833</v>
      </c>
      <c r="BD45" s="1">
        <v>5618</v>
      </c>
      <c r="BE45" s="1">
        <v>3309</v>
      </c>
      <c r="BF45" s="1">
        <v>4296</v>
      </c>
      <c r="BG45" s="1">
        <v>3718</v>
      </c>
      <c r="BH45" s="1">
        <v>1319</v>
      </c>
      <c r="BI45" s="1">
        <v>24097</v>
      </c>
      <c r="BJ45" s="1">
        <v>3569</v>
      </c>
      <c r="BK45" s="1">
        <v>5734</v>
      </c>
      <c r="BL45" s="1">
        <v>3077</v>
      </c>
      <c r="BM45" s="1">
        <v>4907</v>
      </c>
      <c r="BN45" s="1">
        <v>1344</v>
      </c>
      <c r="BO45" s="1">
        <v>974</v>
      </c>
      <c r="BP45" s="1">
        <v>22571</v>
      </c>
      <c r="BQ45" s="1">
        <v>2912</v>
      </c>
      <c r="BR45" s="1">
        <v>72387</v>
      </c>
      <c r="BS45" s="1">
        <v>9024</v>
      </c>
      <c r="BT45" s="1">
        <v>8417</v>
      </c>
      <c r="BU45" s="1">
        <v>20065</v>
      </c>
      <c r="BV45" s="1">
        <v>3031</v>
      </c>
      <c r="BW45" s="1">
        <v>11914</v>
      </c>
      <c r="BX45" s="1">
        <v>2621</v>
      </c>
      <c r="BY45" s="1">
        <v>4634</v>
      </c>
      <c r="BZ45" s="1">
        <v>18248</v>
      </c>
      <c r="CA45" s="1">
        <v>2235</v>
      </c>
      <c r="CB45" s="1">
        <v>858</v>
      </c>
      <c r="CC45" s="1">
        <v>5841</v>
      </c>
      <c r="CD45" s="1">
        <v>3422</v>
      </c>
      <c r="CE45" s="1">
        <v>2784</v>
      </c>
      <c r="CF45" s="1">
        <v>6256</v>
      </c>
      <c r="CG45" s="1">
        <v>81773</v>
      </c>
      <c r="CH45" s="1">
        <v>12929</v>
      </c>
      <c r="CI45" s="1">
        <v>24059</v>
      </c>
      <c r="CJ45" s="1">
        <v>7591</v>
      </c>
      <c r="CK45" s="1">
        <v>14898</v>
      </c>
      <c r="CL45" s="1">
        <v>10191</v>
      </c>
      <c r="CM45" s="1">
        <v>14843</v>
      </c>
      <c r="CN45" s="1">
        <v>40125</v>
      </c>
      <c r="CO45" s="1">
        <v>5014</v>
      </c>
      <c r="CP45" s="1">
        <v>2769</v>
      </c>
      <c r="CQ45" s="1">
        <v>4292</v>
      </c>
      <c r="CR45" s="1">
        <v>6172</v>
      </c>
      <c r="CS45" s="1">
        <v>25336</v>
      </c>
      <c r="CT45" s="1">
        <v>16400</v>
      </c>
      <c r="CU45" s="1">
        <v>1578</v>
      </c>
      <c r="CV45" s="1">
        <v>212872</v>
      </c>
      <c r="CW45" s="1">
        <v>5163</v>
      </c>
      <c r="CX45" s="1">
        <v>1506</v>
      </c>
      <c r="CY45" s="1">
        <v>20570</v>
      </c>
      <c r="CZ45" s="1">
        <v>3169</v>
      </c>
      <c r="DA45" s="1">
        <v>6030</v>
      </c>
      <c r="DB45" s="1">
        <v>9512</v>
      </c>
      <c r="DC45" s="1">
        <v>3328</v>
      </c>
      <c r="DD45" s="1">
        <v>2205</v>
      </c>
      <c r="DE45" s="1">
        <v>1868</v>
      </c>
      <c r="DF45" s="1">
        <v>37619</v>
      </c>
      <c r="DG45" s="1">
        <v>11702</v>
      </c>
      <c r="DH45" s="1">
        <v>14788</v>
      </c>
      <c r="DI45" s="1">
        <v>3068</v>
      </c>
      <c r="DJ45" s="1">
        <v>20922</v>
      </c>
      <c r="DK45" s="1">
        <v>11664</v>
      </c>
      <c r="DL45" s="1">
        <v>7894</v>
      </c>
      <c r="DM45" s="1">
        <v>10087</v>
      </c>
      <c r="DN45" s="1">
        <v>13008</v>
      </c>
      <c r="DO45" s="1">
        <v>2144</v>
      </c>
      <c r="DP45" s="1">
        <v>6293</v>
      </c>
      <c r="DQ45" s="1">
        <v>44126</v>
      </c>
      <c r="DR45" s="1">
        <v>2163</v>
      </c>
      <c r="DS45" s="1">
        <v>3561</v>
      </c>
      <c r="DT45" s="1">
        <v>671</v>
      </c>
      <c r="DU45" s="1">
        <v>6940</v>
      </c>
      <c r="DV45" s="1">
        <v>4013</v>
      </c>
      <c r="DW45" s="1">
        <v>3554</v>
      </c>
      <c r="DX45" s="1">
        <v>7523</v>
      </c>
      <c r="DY45" s="1">
        <v>1263</v>
      </c>
      <c r="DZ45" s="1">
        <v>2237</v>
      </c>
      <c r="EA45" s="1">
        <v>7835</v>
      </c>
      <c r="EB45" s="1">
        <v>3570</v>
      </c>
      <c r="EC45" s="1">
        <v>681</v>
      </c>
      <c r="ED45" s="1">
        <v>975</v>
      </c>
      <c r="EE45" s="1">
        <v>24821</v>
      </c>
      <c r="EF45" s="1">
        <v>2829</v>
      </c>
      <c r="EG45" s="1">
        <v>9680</v>
      </c>
      <c r="EH45" s="1">
        <v>19945</v>
      </c>
      <c r="EJ45" s="1">
        <f t="shared" si="0"/>
        <v>1253523</v>
      </c>
    </row>
    <row r="46" spans="1:140" x14ac:dyDescent="0.25">
      <c r="A46" s="1" t="s">
        <v>182</v>
      </c>
      <c r="B46" s="1">
        <v>2326</v>
      </c>
      <c r="C46" s="1">
        <v>4353</v>
      </c>
      <c r="D46" s="1">
        <v>81</v>
      </c>
      <c r="E46" s="1">
        <v>1207</v>
      </c>
      <c r="F46" s="1">
        <v>6</v>
      </c>
      <c r="G46" s="1">
        <v>22</v>
      </c>
      <c r="H46" s="1">
        <v>13757</v>
      </c>
      <c r="I46" s="1">
        <v>73</v>
      </c>
      <c r="J46" s="1">
        <v>741</v>
      </c>
      <c r="K46" s="1">
        <v>32</v>
      </c>
      <c r="L46" s="1">
        <v>1161</v>
      </c>
      <c r="M46" s="1">
        <v>181</v>
      </c>
      <c r="N46" s="1">
        <v>10053</v>
      </c>
      <c r="O46" s="1">
        <v>2139</v>
      </c>
      <c r="P46" s="1">
        <v>937</v>
      </c>
      <c r="Q46" s="1">
        <v>7666</v>
      </c>
      <c r="R46" s="1">
        <v>49</v>
      </c>
      <c r="S46" s="1">
        <v>1389</v>
      </c>
      <c r="T46" s="1">
        <v>2881</v>
      </c>
      <c r="U46" s="1">
        <v>1614</v>
      </c>
      <c r="V46" s="1">
        <v>5865</v>
      </c>
      <c r="W46" s="1">
        <v>2419</v>
      </c>
      <c r="X46" s="1">
        <v>555</v>
      </c>
      <c r="Y46" s="1">
        <v>736</v>
      </c>
      <c r="Z46" s="1">
        <v>677</v>
      </c>
      <c r="AA46" s="1">
        <v>394</v>
      </c>
      <c r="AB46" s="1">
        <v>5033</v>
      </c>
      <c r="AC46" s="1">
        <v>570</v>
      </c>
      <c r="AD46" s="1">
        <v>282</v>
      </c>
      <c r="AE46" s="1">
        <v>973</v>
      </c>
      <c r="AF46" s="1">
        <v>1391</v>
      </c>
      <c r="AG46">
        <v>19721</v>
      </c>
      <c r="AH46" s="1">
        <v>462</v>
      </c>
      <c r="AI46" s="1">
        <v>2055</v>
      </c>
      <c r="AJ46" s="1">
        <v>247</v>
      </c>
      <c r="AK46" s="1">
        <v>1418</v>
      </c>
      <c r="AL46" s="1">
        <v>3402</v>
      </c>
      <c r="AM46" s="1">
        <v>777</v>
      </c>
      <c r="AN46" s="1">
        <v>481</v>
      </c>
      <c r="AO46" s="1">
        <v>10539</v>
      </c>
      <c r="AP46" s="1">
        <v>555</v>
      </c>
      <c r="AQ46" s="1">
        <v>82</v>
      </c>
      <c r="AR46" s="1">
        <v>1850</v>
      </c>
      <c r="AS46" s="1">
        <v>6377</v>
      </c>
      <c r="AT46" s="1">
        <v>750</v>
      </c>
      <c r="AU46" s="1">
        <v>3420</v>
      </c>
      <c r="AV46" s="1">
        <v>3162</v>
      </c>
      <c r="AW46" s="1">
        <v>15242</v>
      </c>
      <c r="AX46" s="1">
        <v>22511</v>
      </c>
      <c r="AY46" s="1">
        <v>108</v>
      </c>
      <c r="AZ46" s="1">
        <v>643</v>
      </c>
      <c r="BA46" s="1">
        <v>33802</v>
      </c>
      <c r="BB46" s="1">
        <v>201</v>
      </c>
      <c r="BC46" s="1">
        <v>741</v>
      </c>
      <c r="BD46" s="1">
        <v>7290</v>
      </c>
      <c r="BE46" s="1">
        <v>2541</v>
      </c>
      <c r="BF46" s="1">
        <v>2103</v>
      </c>
      <c r="BG46" s="1">
        <v>3672</v>
      </c>
      <c r="BH46" s="1">
        <v>1122</v>
      </c>
      <c r="BI46" s="1">
        <v>23684</v>
      </c>
      <c r="BJ46" s="1">
        <v>4153</v>
      </c>
      <c r="BK46" s="1">
        <v>5687</v>
      </c>
      <c r="BL46" s="1">
        <v>3112</v>
      </c>
      <c r="BM46" s="1">
        <v>4062</v>
      </c>
      <c r="BN46" s="1">
        <v>1076</v>
      </c>
      <c r="BO46" s="1">
        <v>956</v>
      </c>
      <c r="BP46" s="1">
        <v>18793</v>
      </c>
      <c r="BQ46" s="1">
        <v>2664</v>
      </c>
      <c r="BR46" s="1">
        <v>66602</v>
      </c>
      <c r="BS46" s="1">
        <v>8792</v>
      </c>
      <c r="BT46" s="1">
        <v>8063</v>
      </c>
      <c r="BU46" s="1">
        <v>16263</v>
      </c>
      <c r="BV46" s="1">
        <v>2637</v>
      </c>
      <c r="BW46" s="1">
        <v>10797</v>
      </c>
      <c r="BX46" s="1">
        <v>2396</v>
      </c>
      <c r="BY46" s="1">
        <v>4591</v>
      </c>
      <c r="BZ46" s="1">
        <v>17639</v>
      </c>
      <c r="CA46" s="1">
        <v>2098</v>
      </c>
      <c r="CB46" s="1">
        <v>1066</v>
      </c>
      <c r="CC46" s="1">
        <v>5435</v>
      </c>
      <c r="CD46" s="1">
        <v>3413</v>
      </c>
      <c r="CE46" s="1">
        <v>2572</v>
      </c>
      <c r="CF46" s="1">
        <v>5894</v>
      </c>
      <c r="CG46" s="1">
        <v>80667</v>
      </c>
      <c r="CH46" s="1">
        <v>12114</v>
      </c>
      <c r="CI46" s="1">
        <v>22729</v>
      </c>
      <c r="CJ46" s="1">
        <v>6646</v>
      </c>
      <c r="CK46" s="1">
        <v>14829</v>
      </c>
      <c r="CL46" s="1">
        <v>8717</v>
      </c>
      <c r="CM46" s="1">
        <v>14436</v>
      </c>
      <c r="CN46" s="1">
        <v>37490</v>
      </c>
      <c r="CO46" s="1">
        <v>4710</v>
      </c>
      <c r="CP46" s="1">
        <v>2571</v>
      </c>
      <c r="CQ46" s="1">
        <v>3678</v>
      </c>
      <c r="CR46" s="1">
        <v>6461</v>
      </c>
      <c r="CS46" s="1">
        <v>25699</v>
      </c>
      <c r="CT46" s="1">
        <v>14816</v>
      </c>
      <c r="CU46" s="1">
        <v>1415</v>
      </c>
      <c r="CV46" s="1">
        <v>203509</v>
      </c>
      <c r="CW46" s="1">
        <v>4578</v>
      </c>
      <c r="CX46" s="1">
        <v>1591</v>
      </c>
      <c r="CY46" s="1">
        <v>18707</v>
      </c>
      <c r="CZ46" s="1">
        <v>2982</v>
      </c>
      <c r="DA46" s="1">
        <v>4940</v>
      </c>
      <c r="DB46" s="1">
        <v>9918</v>
      </c>
      <c r="DC46" s="1">
        <v>3113</v>
      </c>
      <c r="DD46" s="1">
        <v>2462</v>
      </c>
      <c r="DE46" s="1">
        <v>1614</v>
      </c>
      <c r="DF46" s="1">
        <v>37572</v>
      </c>
      <c r="DG46" s="1">
        <v>11430</v>
      </c>
      <c r="DH46" s="1">
        <v>13487</v>
      </c>
      <c r="DI46" s="1">
        <v>2926</v>
      </c>
      <c r="DJ46" s="1">
        <v>20358</v>
      </c>
      <c r="DK46" s="1">
        <v>10971</v>
      </c>
      <c r="DL46" s="1">
        <v>7390</v>
      </c>
      <c r="DM46" s="1">
        <v>10696</v>
      </c>
      <c r="DN46" s="1">
        <v>12478</v>
      </c>
      <c r="DO46" s="1">
        <v>2168</v>
      </c>
      <c r="DP46" s="1">
        <v>5432</v>
      </c>
      <c r="DQ46" s="1">
        <v>42003</v>
      </c>
      <c r="DR46" s="1">
        <v>2173</v>
      </c>
      <c r="DS46" s="1">
        <v>3483</v>
      </c>
      <c r="DT46" s="1">
        <v>547</v>
      </c>
      <c r="DU46" s="1">
        <v>7798</v>
      </c>
      <c r="DV46" s="1">
        <v>3923</v>
      </c>
      <c r="DW46" s="1">
        <v>3447</v>
      </c>
      <c r="DX46" s="1">
        <v>8374</v>
      </c>
      <c r="DY46" s="1">
        <v>1413</v>
      </c>
      <c r="DZ46" s="1">
        <v>1977</v>
      </c>
      <c r="EA46" s="1">
        <v>7513</v>
      </c>
      <c r="EB46" s="1">
        <v>4021</v>
      </c>
      <c r="EC46" s="1">
        <v>598</v>
      </c>
      <c r="ED46" s="1">
        <v>891</v>
      </c>
      <c r="EE46" s="1">
        <v>23320</v>
      </c>
      <c r="EF46" s="1">
        <v>2458</v>
      </c>
      <c r="EG46" s="1">
        <v>9642</v>
      </c>
      <c r="EH46" s="1">
        <v>18124</v>
      </c>
      <c r="EJ46" s="1">
        <f t="shared" si="0"/>
        <v>1224287</v>
      </c>
    </row>
    <row r="47" spans="1:140" x14ac:dyDescent="0.25">
      <c r="A47" s="1" t="s">
        <v>183</v>
      </c>
      <c r="B47" s="1">
        <v>2568</v>
      </c>
      <c r="C47" s="1">
        <v>4415</v>
      </c>
      <c r="D47" s="1">
        <v>81</v>
      </c>
      <c r="E47" s="1">
        <v>1220</v>
      </c>
      <c r="F47" s="1">
        <v>4</v>
      </c>
      <c r="G47" s="1">
        <v>29</v>
      </c>
      <c r="H47" s="1">
        <v>16247</v>
      </c>
      <c r="I47" s="1">
        <v>70</v>
      </c>
      <c r="J47" s="1">
        <v>866</v>
      </c>
      <c r="K47" s="1">
        <v>30</v>
      </c>
      <c r="L47" s="1">
        <v>1379</v>
      </c>
      <c r="M47" s="1">
        <v>167</v>
      </c>
      <c r="N47" s="1">
        <v>10781</v>
      </c>
      <c r="O47" s="1">
        <v>1812</v>
      </c>
      <c r="P47" s="1">
        <v>817</v>
      </c>
      <c r="Q47" s="1">
        <v>7607</v>
      </c>
      <c r="R47" s="1">
        <v>81</v>
      </c>
      <c r="S47" s="1">
        <v>1581</v>
      </c>
      <c r="T47" s="1">
        <v>3219</v>
      </c>
      <c r="U47" s="1">
        <v>1846</v>
      </c>
      <c r="V47" s="1">
        <v>5076</v>
      </c>
      <c r="W47" s="1">
        <v>2508</v>
      </c>
      <c r="X47" s="1">
        <v>596</v>
      </c>
      <c r="Y47" s="1">
        <v>587</v>
      </c>
      <c r="Z47" s="1">
        <v>919</v>
      </c>
      <c r="AA47" s="1">
        <v>348</v>
      </c>
      <c r="AB47" s="1">
        <v>4339</v>
      </c>
      <c r="AC47" s="1">
        <v>708</v>
      </c>
      <c r="AD47" s="1">
        <v>399</v>
      </c>
      <c r="AE47" s="1">
        <v>2144</v>
      </c>
      <c r="AF47" s="1">
        <v>1337</v>
      </c>
      <c r="AG47">
        <v>22505</v>
      </c>
      <c r="AH47" s="1">
        <v>549</v>
      </c>
      <c r="AI47" s="1">
        <v>1212</v>
      </c>
      <c r="AJ47" s="1">
        <v>259</v>
      </c>
      <c r="AK47" s="1">
        <v>1866</v>
      </c>
      <c r="AL47" s="1">
        <v>2868</v>
      </c>
      <c r="AM47" s="1">
        <v>746</v>
      </c>
      <c r="AN47" s="1">
        <v>340</v>
      </c>
      <c r="AO47" s="1">
        <v>9960</v>
      </c>
      <c r="AP47" s="1">
        <v>593</v>
      </c>
      <c r="AQ47" s="1">
        <v>84</v>
      </c>
      <c r="AR47" s="1">
        <v>2613</v>
      </c>
      <c r="AS47" s="1">
        <v>5541</v>
      </c>
      <c r="AT47" s="1">
        <v>769</v>
      </c>
      <c r="AU47" s="1">
        <v>2592</v>
      </c>
      <c r="AV47" s="1">
        <v>3277</v>
      </c>
      <c r="AW47" s="1">
        <v>6139</v>
      </c>
      <c r="AX47" s="1">
        <v>21115</v>
      </c>
      <c r="AY47" s="1">
        <v>135</v>
      </c>
      <c r="AZ47" s="1">
        <v>524</v>
      </c>
      <c r="BA47" s="1">
        <v>10033</v>
      </c>
      <c r="BB47" s="1">
        <v>182</v>
      </c>
      <c r="BC47" s="1">
        <v>602</v>
      </c>
      <c r="BD47" s="1">
        <v>6001</v>
      </c>
      <c r="BE47" s="1">
        <v>3395</v>
      </c>
      <c r="BF47" s="1">
        <v>1844</v>
      </c>
      <c r="BG47" s="1">
        <v>4121</v>
      </c>
      <c r="BH47" s="1">
        <v>1799</v>
      </c>
      <c r="BI47" s="1">
        <v>27760</v>
      </c>
      <c r="BJ47" s="1">
        <v>3650</v>
      </c>
      <c r="BK47" s="1">
        <v>5577</v>
      </c>
      <c r="BL47" s="1">
        <v>2927</v>
      </c>
      <c r="BM47" s="1">
        <v>4524</v>
      </c>
      <c r="BN47" s="1">
        <v>1009</v>
      </c>
      <c r="BO47" s="1">
        <v>1175</v>
      </c>
      <c r="BP47" s="1">
        <v>21482</v>
      </c>
      <c r="BQ47" s="1">
        <v>3103</v>
      </c>
      <c r="BR47" s="1">
        <v>68187</v>
      </c>
      <c r="BS47" s="1">
        <v>9547</v>
      </c>
      <c r="BT47" s="1">
        <v>8669</v>
      </c>
      <c r="BU47" s="1">
        <v>16751</v>
      </c>
      <c r="BV47" s="1">
        <v>3044</v>
      </c>
      <c r="BW47" s="1">
        <v>12138</v>
      </c>
      <c r="BX47" s="1">
        <v>2441</v>
      </c>
      <c r="BY47" s="1">
        <v>4479</v>
      </c>
      <c r="BZ47" s="1">
        <v>18600</v>
      </c>
      <c r="CA47" s="1">
        <v>2232</v>
      </c>
      <c r="CB47" s="1">
        <v>849</v>
      </c>
      <c r="CC47" s="1">
        <v>5200</v>
      </c>
      <c r="CD47" s="1">
        <v>3511</v>
      </c>
      <c r="CE47" s="1">
        <v>2854</v>
      </c>
      <c r="CF47" s="1">
        <v>6473</v>
      </c>
      <c r="CG47" s="1">
        <v>83377</v>
      </c>
      <c r="CH47" s="1">
        <v>12004</v>
      </c>
      <c r="CI47" s="1">
        <v>24646</v>
      </c>
      <c r="CJ47" s="1">
        <v>5928</v>
      </c>
      <c r="CK47" s="1">
        <v>14445</v>
      </c>
      <c r="CL47" s="1">
        <v>9135</v>
      </c>
      <c r="CM47" s="1">
        <v>14810</v>
      </c>
      <c r="CN47" s="1">
        <v>40181</v>
      </c>
      <c r="CO47" s="1">
        <v>5413</v>
      </c>
      <c r="CP47" s="1">
        <v>2990</v>
      </c>
      <c r="CQ47" s="1">
        <v>3897</v>
      </c>
      <c r="CR47" s="1">
        <v>6690</v>
      </c>
      <c r="CS47" s="1">
        <v>25291</v>
      </c>
      <c r="CT47" s="1">
        <v>17359</v>
      </c>
      <c r="CU47" s="1">
        <v>1652</v>
      </c>
      <c r="CV47" s="1">
        <v>221024</v>
      </c>
      <c r="CW47" s="1">
        <v>4855</v>
      </c>
      <c r="CX47" s="1">
        <v>1645</v>
      </c>
      <c r="CY47" s="1">
        <v>21401</v>
      </c>
      <c r="CZ47" s="1">
        <v>3059</v>
      </c>
      <c r="DA47" s="1">
        <v>5401</v>
      </c>
      <c r="DB47" s="1">
        <v>11012</v>
      </c>
      <c r="DC47" s="1">
        <v>3403</v>
      </c>
      <c r="DD47" s="1">
        <v>2546</v>
      </c>
      <c r="DE47" s="1">
        <v>1732</v>
      </c>
      <c r="DF47" s="1">
        <v>40441</v>
      </c>
      <c r="DG47" s="1">
        <v>15282</v>
      </c>
      <c r="DH47" s="1">
        <v>15067</v>
      </c>
      <c r="DI47" s="1">
        <v>5428</v>
      </c>
      <c r="DJ47" s="1">
        <v>24213</v>
      </c>
      <c r="DK47" s="1">
        <v>13175</v>
      </c>
      <c r="DL47" s="1">
        <v>8123</v>
      </c>
      <c r="DM47" s="1">
        <v>13515</v>
      </c>
      <c r="DN47" s="1">
        <v>15595</v>
      </c>
      <c r="DO47" s="1">
        <v>2722</v>
      </c>
      <c r="DP47" s="1">
        <v>6508</v>
      </c>
      <c r="DQ47" s="1">
        <v>47989</v>
      </c>
      <c r="DR47" s="1">
        <v>2820</v>
      </c>
      <c r="DS47" s="1">
        <v>4614</v>
      </c>
      <c r="DT47" s="1">
        <v>678</v>
      </c>
      <c r="DU47" s="1">
        <v>7552</v>
      </c>
      <c r="DV47" s="1">
        <v>4031</v>
      </c>
      <c r="DW47" s="1">
        <v>4537</v>
      </c>
      <c r="DX47" s="1">
        <v>8276</v>
      </c>
      <c r="DY47" s="1">
        <v>1519</v>
      </c>
      <c r="DZ47" s="1">
        <v>1994</v>
      </c>
      <c r="EA47" s="1">
        <v>7751</v>
      </c>
      <c r="EB47" s="1">
        <v>4211</v>
      </c>
      <c r="EC47" s="1">
        <v>594</v>
      </c>
      <c r="ED47" s="1">
        <v>981</v>
      </c>
      <c r="EE47" s="1">
        <v>24385</v>
      </c>
      <c r="EF47" s="1">
        <v>2367</v>
      </c>
      <c r="EG47" s="1">
        <v>10892</v>
      </c>
      <c r="EH47" s="1">
        <v>19918</v>
      </c>
      <c r="EJ47" s="1">
        <f t="shared" si="0"/>
        <v>1280701</v>
      </c>
    </row>
    <row r="48" spans="1:140" x14ac:dyDescent="0.25">
      <c r="A48" s="1" t="s">
        <v>184</v>
      </c>
      <c r="B48" s="1">
        <v>2122</v>
      </c>
      <c r="C48" s="1">
        <v>4010</v>
      </c>
      <c r="D48" s="1">
        <v>62</v>
      </c>
      <c r="E48" s="1">
        <v>1199</v>
      </c>
      <c r="F48" s="1">
        <v>0</v>
      </c>
      <c r="G48" s="1">
        <v>17</v>
      </c>
      <c r="H48" s="1">
        <v>14469</v>
      </c>
      <c r="I48" s="1">
        <v>82</v>
      </c>
      <c r="J48" s="1">
        <v>891</v>
      </c>
      <c r="K48" s="1">
        <v>34</v>
      </c>
      <c r="L48" s="1">
        <v>1259</v>
      </c>
      <c r="M48" s="1">
        <v>139</v>
      </c>
      <c r="N48" s="1">
        <v>10136</v>
      </c>
      <c r="O48" s="1">
        <v>1241</v>
      </c>
      <c r="P48" s="1">
        <v>573</v>
      </c>
      <c r="Q48" s="1">
        <v>7288</v>
      </c>
      <c r="R48" s="1">
        <v>59</v>
      </c>
      <c r="S48" s="1">
        <v>1721</v>
      </c>
      <c r="T48" s="1">
        <v>2815</v>
      </c>
      <c r="U48" s="1">
        <v>1541</v>
      </c>
      <c r="V48" s="1">
        <v>5375</v>
      </c>
      <c r="W48" s="1">
        <v>2251</v>
      </c>
      <c r="X48" s="1">
        <v>596</v>
      </c>
      <c r="Y48" s="1">
        <v>686</v>
      </c>
      <c r="Z48" s="1">
        <v>819</v>
      </c>
      <c r="AA48" s="1">
        <v>488</v>
      </c>
      <c r="AB48" s="1">
        <v>3941</v>
      </c>
      <c r="AC48" s="1">
        <v>622</v>
      </c>
      <c r="AD48" s="1">
        <v>445</v>
      </c>
      <c r="AE48" s="1">
        <v>1506</v>
      </c>
      <c r="AF48" s="1">
        <v>1509</v>
      </c>
      <c r="AG48">
        <v>20229</v>
      </c>
      <c r="AH48" s="1">
        <v>437</v>
      </c>
      <c r="AI48" s="1">
        <v>1032</v>
      </c>
      <c r="AJ48" s="1">
        <v>297</v>
      </c>
      <c r="AK48" s="1">
        <v>1715</v>
      </c>
      <c r="AL48" s="1">
        <v>2668</v>
      </c>
      <c r="AM48" s="1">
        <v>778</v>
      </c>
      <c r="AN48" s="1">
        <v>293</v>
      </c>
      <c r="AO48" s="1">
        <v>8566</v>
      </c>
      <c r="AP48" s="1">
        <v>562</v>
      </c>
      <c r="AQ48" s="1">
        <v>127</v>
      </c>
      <c r="AR48" s="1">
        <v>2185</v>
      </c>
      <c r="AS48" s="1">
        <v>4867</v>
      </c>
      <c r="AT48" s="1">
        <v>1005</v>
      </c>
      <c r="AU48" s="1">
        <v>2161</v>
      </c>
      <c r="AV48" s="1">
        <v>3382</v>
      </c>
      <c r="AW48" s="1">
        <v>3263</v>
      </c>
      <c r="AX48" s="1">
        <v>20389</v>
      </c>
      <c r="AY48" s="1">
        <v>149</v>
      </c>
      <c r="AZ48" s="1">
        <v>537</v>
      </c>
      <c r="BA48" s="1">
        <v>6036</v>
      </c>
      <c r="BB48" s="1">
        <v>252</v>
      </c>
      <c r="BC48" s="1">
        <v>511</v>
      </c>
      <c r="BD48" s="1">
        <v>6629</v>
      </c>
      <c r="BE48" s="1">
        <v>3092</v>
      </c>
      <c r="BF48" s="1">
        <v>1678</v>
      </c>
      <c r="BG48" s="1">
        <v>3676</v>
      </c>
      <c r="BH48" s="1">
        <v>1475</v>
      </c>
      <c r="BI48" s="1">
        <v>23857</v>
      </c>
      <c r="BJ48" s="1">
        <v>3463</v>
      </c>
      <c r="BK48" s="1">
        <v>5614</v>
      </c>
      <c r="BL48" s="1">
        <v>2776</v>
      </c>
      <c r="BM48" s="1">
        <v>4279</v>
      </c>
      <c r="BN48" s="1">
        <v>935</v>
      </c>
      <c r="BO48" s="1">
        <v>917</v>
      </c>
      <c r="BP48" s="1">
        <v>19853</v>
      </c>
      <c r="BQ48" s="1">
        <v>2476</v>
      </c>
      <c r="BR48" s="1">
        <v>66269</v>
      </c>
      <c r="BS48" s="1">
        <v>8974</v>
      </c>
      <c r="BT48" s="1">
        <v>7599</v>
      </c>
      <c r="BU48" s="1">
        <v>15146</v>
      </c>
      <c r="BV48" s="1">
        <v>2737</v>
      </c>
      <c r="BW48" s="1">
        <v>11038</v>
      </c>
      <c r="BX48" s="1">
        <v>2176</v>
      </c>
      <c r="BY48" s="1">
        <v>4406</v>
      </c>
      <c r="BZ48" s="1">
        <v>18249</v>
      </c>
      <c r="CA48" s="1">
        <v>1855</v>
      </c>
      <c r="CB48" s="1">
        <v>786</v>
      </c>
      <c r="CC48" s="1">
        <v>5436</v>
      </c>
      <c r="CD48" s="1">
        <v>3019</v>
      </c>
      <c r="CE48" s="1">
        <v>2960</v>
      </c>
      <c r="CF48" s="1">
        <v>6304</v>
      </c>
      <c r="CG48" s="1">
        <v>82803</v>
      </c>
      <c r="CH48" s="1">
        <v>11515</v>
      </c>
      <c r="CI48" s="1">
        <v>20567</v>
      </c>
      <c r="CJ48" s="1">
        <v>5029</v>
      </c>
      <c r="CK48" s="1">
        <v>12665</v>
      </c>
      <c r="CL48" s="1">
        <v>8197</v>
      </c>
      <c r="CM48" s="1">
        <v>13476</v>
      </c>
      <c r="CN48" s="1">
        <v>35366</v>
      </c>
      <c r="CO48" s="1">
        <v>4751</v>
      </c>
      <c r="CP48" s="1">
        <v>2610</v>
      </c>
      <c r="CQ48" s="1">
        <v>3053</v>
      </c>
      <c r="CR48" s="1">
        <v>5785</v>
      </c>
      <c r="CS48" s="1">
        <v>24259</v>
      </c>
      <c r="CT48" s="1">
        <v>15633</v>
      </c>
      <c r="CU48" s="1">
        <v>1646</v>
      </c>
      <c r="CV48" s="1">
        <v>202601</v>
      </c>
      <c r="CW48" s="1">
        <v>3817</v>
      </c>
      <c r="CX48" s="1">
        <v>1337</v>
      </c>
      <c r="CY48" s="1">
        <v>17781</v>
      </c>
      <c r="CZ48" s="1">
        <v>1977</v>
      </c>
      <c r="DA48" s="1">
        <v>5588</v>
      </c>
      <c r="DB48" s="1">
        <v>10363</v>
      </c>
      <c r="DC48" s="1">
        <v>2681</v>
      </c>
      <c r="DD48" s="1">
        <v>2234</v>
      </c>
      <c r="DE48" s="1">
        <v>1475</v>
      </c>
      <c r="DF48" s="1">
        <v>41505</v>
      </c>
      <c r="DG48" s="1">
        <v>12791</v>
      </c>
      <c r="DH48" s="1">
        <v>13604</v>
      </c>
      <c r="DI48" s="1">
        <v>4880</v>
      </c>
      <c r="DJ48" s="1">
        <v>20659</v>
      </c>
      <c r="DK48" s="1">
        <v>14653</v>
      </c>
      <c r="DL48" s="1">
        <v>7310</v>
      </c>
      <c r="DM48" s="1">
        <v>11743</v>
      </c>
      <c r="DN48" s="1">
        <v>15118</v>
      </c>
      <c r="DO48" s="1">
        <v>2506</v>
      </c>
      <c r="DP48" s="1">
        <v>6259</v>
      </c>
      <c r="DQ48" s="1">
        <v>46033</v>
      </c>
      <c r="DR48" s="1">
        <v>2914</v>
      </c>
      <c r="DS48" s="1">
        <v>7768</v>
      </c>
      <c r="DT48" s="1">
        <v>543</v>
      </c>
      <c r="DU48" s="1">
        <v>9260</v>
      </c>
      <c r="DV48" s="1">
        <v>4187</v>
      </c>
      <c r="DW48" s="1">
        <v>3480</v>
      </c>
      <c r="DX48" s="1">
        <v>5810</v>
      </c>
      <c r="DY48" s="1">
        <v>991</v>
      </c>
      <c r="DZ48" s="1">
        <v>1849</v>
      </c>
      <c r="EA48" s="1">
        <v>6972</v>
      </c>
      <c r="EB48" s="1">
        <v>3189</v>
      </c>
      <c r="EC48" s="1">
        <v>456</v>
      </c>
      <c r="ED48" s="1">
        <v>983</v>
      </c>
      <c r="EE48" s="1">
        <v>22792</v>
      </c>
      <c r="EF48" s="1">
        <v>2435</v>
      </c>
      <c r="EG48" s="1">
        <v>9106</v>
      </c>
      <c r="EH48" s="1">
        <v>18632</v>
      </c>
      <c r="EJ48" s="1">
        <f t="shared" si="0"/>
        <v>1182648</v>
      </c>
    </row>
    <row r="49" spans="1:140" x14ac:dyDescent="0.25">
      <c r="A49" s="1" t="s">
        <v>185</v>
      </c>
      <c r="B49" s="1">
        <v>1557</v>
      </c>
      <c r="C49" s="1">
        <v>3355</v>
      </c>
      <c r="D49" s="1">
        <v>46</v>
      </c>
      <c r="E49" s="1">
        <v>902</v>
      </c>
      <c r="F49" s="1">
        <v>2</v>
      </c>
      <c r="G49" s="1">
        <v>20</v>
      </c>
      <c r="H49" s="1">
        <v>8814</v>
      </c>
      <c r="I49" s="1">
        <v>46</v>
      </c>
      <c r="J49" s="1">
        <v>631</v>
      </c>
      <c r="K49" s="1">
        <v>10</v>
      </c>
      <c r="L49" s="1">
        <v>863</v>
      </c>
      <c r="M49" s="1">
        <v>58</v>
      </c>
      <c r="N49" s="1">
        <v>9207</v>
      </c>
      <c r="O49" s="1">
        <v>784</v>
      </c>
      <c r="P49" s="1">
        <v>379</v>
      </c>
      <c r="Q49" s="1">
        <v>4793</v>
      </c>
      <c r="R49" s="1">
        <v>24</v>
      </c>
      <c r="S49" s="1">
        <v>1255</v>
      </c>
      <c r="T49" s="1">
        <v>1948</v>
      </c>
      <c r="U49" s="1">
        <v>1199</v>
      </c>
      <c r="V49" s="1">
        <v>3837</v>
      </c>
      <c r="W49" s="1">
        <v>1690</v>
      </c>
      <c r="X49" s="1">
        <v>318</v>
      </c>
      <c r="Y49" s="1">
        <v>415</v>
      </c>
      <c r="Z49" s="1">
        <v>428</v>
      </c>
      <c r="AA49" s="1">
        <v>285</v>
      </c>
      <c r="AB49" s="1">
        <v>2866</v>
      </c>
      <c r="AC49" s="1">
        <v>480</v>
      </c>
      <c r="AD49" s="1">
        <v>243</v>
      </c>
      <c r="AE49" s="1">
        <v>1112</v>
      </c>
      <c r="AF49" s="1">
        <v>729</v>
      </c>
      <c r="AG49">
        <v>15820</v>
      </c>
      <c r="AH49" s="1">
        <v>234</v>
      </c>
      <c r="AI49" s="1">
        <v>866</v>
      </c>
      <c r="AJ49" s="1">
        <v>141</v>
      </c>
      <c r="AK49" s="1">
        <v>1062</v>
      </c>
      <c r="AL49" s="1">
        <v>1878</v>
      </c>
      <c r="AM49" s="1">
        <v>581</v>
      </c>
      <c r="AN49" s="1">
        <v>130</v>
      </c>
      <c r="AO49" s="1">
        <v>6520</v>
      </c>
      <c r="AP49" s="1">
        <v>398</v>
      </c>
      <c r="AQ49" s="1">
        <v>55</v>
      </c>
      <c r="AR49" s="1">
        <v>1484</v>
      </c>
      <c r="AS49" s="1">
        <v>3999</v>
      </c>
      <c r="AT49" s="1">
        <v>638</v>
      </c>
      <c r="AU49" s="1">
        <v>1449</v>
      </c>
      <c r="AV49" s="1">
        <v>2449</v>
      </c>
      <c r="AW49" s="1">
        <v>1720</v>
      </c>
      <c r="AX49" s="1">
        <v>15173</v>
      </c>
      <c r="AY49" s="1">
        <v>84</v>
      </c>
      <c r="AZ49" s="1">
        <v>512</v>
      </c>
      <c r="BA49" s="1">
        <v>4647</v>
      </c>
      <c r="BB49" s="1">
        <v>97</v>
      </c>
      <c r="BC49" s="1">
        <v>396</v>
      </c>
      <c r="BD49" s="1">
        <v>4520</v>
      </c>
      <c r="BE49" s="1">
        <v>1871</v>
      </c>
      <c r="BF49" s="1">
        <v>1153</v>
      </c>
      <c r="BG49" s="1">
        <v>3321</v>
      </c>
      <c r="BH49" s="1">
        <v>818</v>
      </c>
      <c r="BI49" s="1">
        <v>22031</v>
      </c>
      <c r="BJ49" s="1">
        <v>2666</v>
      </c>
      <c r="BK49" s="1">
        <v>4689</v>
      </c>
      <c r="BL49" s="1">
        <v>2139</v>
      </c>
      <c r="BM49" s="1">
        <v>4000</v>
      </c>
      <c r="BN49" s="1">
        <v>700</v>
      </c>
      <c r="BO49" s="1">
        <v>815</v>
      </c>
      <c r="BP49" s="1">
        <v>15657</v>
      </c>
      <c r="BQ49" s="1">
        <v>1878</v>
      </c>
      <c r="BR49" s="1">
        <v>52749</v>
      </c>
      <c r="BS49" s="1">
        <v>7724</v>
      </c>
      <c r="BT49" s="1">
        <v>5314</v>
      </c>
      <c r="BU49" s="1">
        <v>11261</v>
      </c>
      <c r="BV49" s="1">
        <v>2061</v>
      </c>
      <c r="BW49" s="1">
        <v>8874</v>
      </c>
      <c r="BX49" s="1">
        <v>1617</v>
      </c>
      <c r="BY49" s="1">
        <v>3393</v>
      </c>
      <c r="BZ49" s="1">
        <v>15826</v>
      </c>
      <c r="CA49" s="1">
        <v>1624</v>
      </c>
      <c r="CB49" s="1">
        <v>558</v>
      </c>
      <c r="CC49" s="1">
        <v>4660</v>
      </c>
      <c r="CD49" s="1">
        <v>2826</v>
      </c>
      <c r="CE49" s="1">
        <v>3248</v>
      </c>
      <c r="CF49" s="1">
        <v>5030</v>
      </c>
      <c r="CG49" s="1">
        <v>71113</v>
      </c>
      <c r="CH49" s="1">
        <v>7718</v>
      </c>
      <c r="CI49" s="1">
        <v>15128</v>
      </c>
      <c r="CJ49" s="1">
        <v>3142</v>
      </c>
      <c r="CK49" s="1">
        <v>9969</v>
      </c>
      <c r="CL49" s="1">
        <v>5648</v>
      </c>
      <c r="CM49" s="1">
        <v>10375</v>
      </c>
      <c r="CN49" s="1">
        <v>26941</v>
      </c>
      <c r="CO49" s="1">
        <v>3557</v>
      </c>
      <c r="CP49" s="1">
        <v>1853</v>
      </c>
      <c r="CQ49" s="1">
        <v>2320</v>
      </c>
      <c r="CR49" s="1">
        <v>4068</v>
      </c>
      <c r="CS49" s="1">
        <v>18463</v>
      </c>
      <c r="CT49" s="1">
        <v>12667</v>
      </c>
      <c r="CU49" s="1">
        <v>1519</v>
      </c>
      <c r="CV49" s="1">
        <v>157077</v>
      </c>
      <c r="CW49" s="1">
        <v>2611</v>
      </c>
      <c r="CX49" s="1">
        <v>827</v>
      </c>
      <c r="CY49" s="1">
        <v>12414</v>
      </c>
      <c r="CZ49" s="1">
        <v>1513</v>
      </c>
      <c r="DA49" s="1">
        <v>4859</v>
      </c>
      <c r="DB49" s="1">
        <v>7203</v>
      </c>
      <c r="DC49" s="1">
        <v>1716</v>
      </c>
      <c r="DD49" s="1">
        <v>1289</v>
      </c>
      <c r="DE49" s="1">
        <v>1084</v>
      </c>
      <c r="DF49" s="1">
        <v>30293</v>
      </c>
      <c r="DG49" s="1">
        <v>8370</v>
      </c>
      <c r="DH49" s="1">
        <v>8447</v>
      </c>
      <c r="DI49" s="1">
        <v>1749</v>
      </c>
      <c r="DJ49" s="1">
        <v>14086</v>
      </c>
      <c r="DK49" s="1">
        <v>12486</v>
      </c>
      <c r="DL49" s="1">
        <v>6058</v>
      </c>
      <c r="DM49" s="1">
        <v>9455</v>
      </c>
      <c r="DN49" s="1">
        <v>8484</v>
      </c>
      <c r="DO49" s="1">
        <v>1802</v>
      </c>
      <c r="DP49" s="1">
        <v>4477</v>
      </c>
      <c r="DQ49" s="1">
        <v>36969</v>
      </c>
      <c r="DR49" s="1">
        <v>2098</v>
      </c>
      <c r="DS49" s="1">
        <v>4983</v>
      </c>
      <c r="DT49" s="1">
        <v>377</v>
      </c>
      <c r="DU49" s="1">
        <v>5566</v>
      </c>
      <c r="DV49" s="1">
        <v>2999</v>
      </c>
      <c r="DW49" s="1">
        <v>2800</v>
      </c>
      <c r="DX49" s="1">
        <v>4019</v>
      </c>
      <c r="DY49" s="1">
        <v>697</v>
      </c>
      <c r="DZ49" s="1">
        <v>1319</v>
      </c>
      <c r="EA49" s="1">
        <v>4828</v>
      </c>
      <c r="EB49" s="1">
        <v>2350</v>
      </c>
      <c r="EC49" s="1">
        <v>308</v>
      </c>
      <c r="ED49" s="1">
        <v>650</v>
      </c>
      <c r="EE49" s="1">
        <v>21154</v>
      </c>
      <c r="EF49" s="1">
        <v>1669</v>
      </c>
      <c r="EG49" s="1">
        <v>6634</v>
      </c>
      <c r="EH49" s="1">
        <v>16275</v>
      </c>
      <c r="EJ49" s="1">
        <f t="shared" si="0"/>
        <v>908128</v>
      </c>
    </row>
    <row r="50" spans="1:140" x14ac:dyDescent="0.25">
      <c r="A50" s="1" t="s">
        <v>186</v>
      </c>
      <c r="B50" s="1">
        <v>1885</v>
      </c>
      <c r="C50" s="1">
        <v>4678</v>
      </c>
      <c r="D50" s="1">
        <v>168</v>
      </c>
      <c r="E50" s="1">
        <v>1588</v>
      </c>
      <c r="F50" s="1">
        <v>5</v>
      </c>
      <c r="G50" s="1">
        <v>15</v>
      </c>
      <c r="H50" s="1">
        <v>14066</v>
      </c>
      <c r="I50" s="1">
        <v>38</v>
      </c>
      <c r="J50" s="1">
        <v>1055</v>
      </c>
      <c r="K50" s="1">
        <v>16</v>
      </c>
      <c r="L50" s="1">
        <v>1254</v>
      </c>
      <c r="M50" s="1">
        <v>110</v>
      </c>
      <c r="N50" s="1">
        <v>9958</v>
      </c>
      <c r="O50" s="1">
        <v>1225</v>
      </c>
      <c r="P50" s="1">
        <v>634</v>
      </c>
      <c r="Q50" s="1">
        <v>7258</v>
      </c>
      <c r="R50" s="1">
        <v>15</v>
      </c>
      <c r="S50" s="1">
        <v>1296</v>
      </c>
      <c r="T50" s="1">
        <v>2368</v>
      </c>
      <c r="U50" s="1">
        <v>1979</v>
      </c>
      <c r="V50" s="1">
        <v>5396</v>
      </c>
      <c r="W50" s="1">
        <v>2492</v>
      </c>
      <c r="X50" s="1">
        <v>383</v>
      </c>
      <c r="Y50" s="1">
        <v>550</v>
      </c>
      <c r="Z50" s="1">
        <v>683</v>
      </c>
      <c r="AA50" s="1">
        <v>379</v>
      </c>
      <c r="AB50" s="1">
        <v>3675</v>
      </c>
      <c r="AC50" s="1">
        <v>438</v>
      </c>
      <c r="AD50" s="1">
        <v>326</v>
      </c>
      <c r="AE50" s="1">
        <v>1064</v>
      </c>
      <c r="AF50" s="1">
        <v>873</v>
      </c>
      <c r="AG50">
        <v>20499</v>
      </c>
      <c r="AH50" s="1">
        <v>422</v>
      </c>
      <c r="AI50" s="1">
        <v>768</v>
      </c>
      <c r="AJ50" s="1">
        <v>226</v>
      </c>
      <c r="AK50" s="1">
        <v>1495</v>
      </c>
      <c r="AL50" s="1">
        <v>2742</v>
      </c>
      <c r="AM50" s="1">
        <v>643</v>
      </c>
      <c r="AN50" s="1">
        <v>246</v>
      </c>
      <c r="AO50" s="1">
        <v>8030</v>
      </c>
      <c r="AP50" s="1">
        <v>758</v>
      </c>
      <c r="AQ50" s="1">
        <v>151</v>
      </c>
      <c r="AR50" s="1">
        <v>1808</v>
      </c>
      <c r="AS50" s="1">
        <v>4988</v>
      </c>
      <c r="AT50" s="1">
        <v>791</v>
      </c>
      <c r="AU50" s="1">
        <v>2141</v>
      </c>
      <c r="AV50" s="1">
        <v>3297</v>
      </c>
      <c r="AW50" s="1">
        <v>2123</v>
      </c>
      <c r="AX50" s="1">
        <v>19757</v>
      </c>
      <c r="AY50" s="1">
        <v>103</v>
      </c>
      <c r="AZ50" s="1">
        <v>563</v>
      </c>
      <c r="BA50" s="1">
        <v>5604</v>
      </c>
      <c r="BB50" s="1">
        <v>99</v>
      </c>
      <c r="BC50" s="1">
        <v>569</v>
      </c>
      <c r="BD50" s="1">
        <v>6026</v>
      </c>
      <c r="BE50" s="1">
        <v>3880</v>
      </c>
      <c r="BF50" s="1">
        <v>1303</v>
      </c>
      <c r="BG50" s="1">
        <v>4185</v>
      </c>
      <c r="BH50" s="1">
        <v>2046</v>
      </c>
      <c r="BI50" s="1">
        <v>26245</v>
      </c>
      <c r="BJ50" s="1">
        <v>3393</v>
      </c>
      <c r="BK50" s="1">
        <v>6514</v>
      </c>
      <c r="BL50" s="1">
        <v>3583</v>
      </c>
      <c r="BM50" s="1">
        <v>4671</v>
      </c>
      <c r="BN50" s="1">
        <v>999</v>
      </c>
      <c r="BO50" s="1">
        <v>1129</v>
      </c>
      <c r="BP50" s="1">
        <v>21350</v>
      </c>
      <c r="BQ50" s="1">
        <v>2888</v>
      </c>
      <c r="BR50" s="1">
        <v>66413</v>
      </c>
      <c r="BS50" s="1">
        <v>8756</v>
      </c>
      <c r="BT50" s="1">
        <v>8067</v>
      </c>
      <c r="BU50" s="1">
        <v>17106</v>
      </c>
      <c r="BV50" s="1">
        <v>2262</v>
      </c>
      <c r="BW50" s="1">
        <v>9608</v>
      </c>
      <c r="BX50" s="1">
        <v>1917</v>
      </c>
      <c r="BY50" s="1">
        <v>5373</v>
      </c>
      <c r="BZ50" s="1">
        <v>19093</v>
      </c>
      <c r="CA50" s="1">
        <v>2115</v>
      </c>
      <c r="CB50" s="1">
        <v>1014</v>
      </c>
      <c r="CC50" s="1">
        <v>5961</v>
      </c>
      <c r="CD50" s="1">
        <v>3568</v>
      </c>
      <c r="CE50" s="1">
        <v>3458</v>
      </c>
      <c r="CF50" s="1">
        <v>6957</v>
      </c>
      <c r="CG50" s="1">
        <v>81503</v>
      </c>
      <c r="CH50" s="1">
        <v>18684</v>
      </c>
      <c r="CI50" s="1">
        <v>31256</v>
      </c>
      <c r="CJ50" s="1">
        <v>7111</v>
      </c>
      <c r="CK50" s="1">
        <v>17637</v>
      </c>
      <c r="CL50" s="1">
        <v>10397</v>
      </c>
      <c r="CM50" s="1">
        <v>16869</v>
      </c>
      <c r="CN50" s="1">
        <v>44454</v>
      </c>
      <c r="CO50" s="1">
        <v>7209</v>
      </c>
      <c r="CP50" s="1">
        <v>3019</v>
      </c>
      <c r="CQ50" s="1">
        <v>4248</v>
      </c>
      <c r="CR50" s="1">
        <v>6324</v>
      </c>
      <c r="CS50" s="1">
        <v>27424</v>
      </c>
      <c r="CT50" s="1">
        <v>18061</v>
      </c>
      <c r="CU50" s="1">
        <v>1674</v>
      </c>
      <c r="CV50" s="1">
        <v>219861</v>
      </c>
      <c r="CW50" s="1">
        <v>5350</v>
      </c>
      <c r="CX50" s="1">
        <v>1419</v>
      </c>
      <c r="CY50" s="1">
        <v>22610</v>
      </c>
      <c r="CZ50" s="1">
        <v>2562</v>
      </c>
      <c r="DA50" s="1">
        <v>5908</v>
      </c>
      <c r="DB50" s="1">
        <v>10942</v>
      </c>
      <c r="DC50" s="1">
        <v>3433</v>
      </c>
      <c r="DD50" s="1">
        <v>2649</v>
      </c>
      <c r="DE50" s="1">
        <v>1879</v>
      </c>
      <c r="DF50" s="1">
        <v>42677</v>
      </c>
      <c r="DG50" s="1">
        <v>16427</v>
      </c>
      <c r="DH50" s="1">
        <v>14996</v>
      </c>
      <c r="DI50" s="1">
        <v>4813</v>
      </c>
      <c r="DJ50" s="1">
        <v>25628</v>
      </c>
      <c r="DK50" s="1">
        <v>14708</v>
      </c>
      <c r="DL50" s="1">
        <v>8381</v>
      </c>
      <c r="DM50" s="1">
        <v>13467</v>
      </c>
      <c r="DN50" s="1">
        <v>18498</v>
      </c>
      <c r="DO50" s="1">
        <v>2595</v>
      </c>
      <c r="DP50" s="1">
        <v>8846</v>
      </c>
      <c r="DQ50" s="1">
        <v>51717</v>
      </c>
      <c r="DR50" s="1">
        <v>2258</v>
      </c>
      <c r="DS50" s="1">
        <v>4293</v>
      </c>
      <c r="DT50" s="1">
        <v>626</v>
      </c>
      <c r="DU50" s="1">
        <v>9413</v>
      </c>
      <c r="DV50" s="1">
        <v>5763</v>
      </c>
      <c r="DW50" s="1">
        <v>5920</v>
      </c>
      <c r="DX50" s="1">
        <v>9742</v>
      </c>
      <c r="DY50" s="1">
        <v>1493</v>
      </c>
      <c r="DZ50" s="1">
        <v>2117</v>
      </c>
      <c r="EA50" s="1">
        <v>7417</v>
      </c>
      <c r="EB50" s="1">
        <v>5803</v>
      </c>
      <c r="EC50" s="1">
        <v>608</v>
      </c>
      <c r="ED50" s="1">
        <v>825</v>
      </c>
      <c r="EE50" s="1">
        <v>25117</v>
      </c>
      <c r="EF50" s="1">
        <v>2679</v>
      </c>
      <c r="EG50" s="1">
        <v>16273</v>
      </c>
      <c r="EH50" s="1">
        <v>19766</v>
      </c>
      <c r="EJ50" s="1">
        <f t="shared" si="0"/>
        <v>1308922</v>
      </c>
    </row>
    <row r="51" spans="1:140" x14ac:dyDescent="0.25">
      <c r="A51" s="1" t="s">
        <v>187</v>
      </c>
      <c r="B51" s="1">
        <v>2345</v>
      </c>
      <c r="C51" s="1">
        <v>5082</v>
      </c>
      <c r="D51" s="1">
        <v>131</v>
      </c>
      <c r="E51" s="1">
        <v>1675</v>
      </c>
      <c r="F51" s="1">
        <v>5</v>
      </c>
      <c r="G51" s="1">
        <v>18</v>
      </c>
      <c r="H51" s="1">
        <v>14036</v>
      </c>
      <c r="I51" s="1">
        <v>32</v>
      </c>
      <c r="J51" s="1">
        <v>1037</v>
      </c>
      <c r="K51" s="1">
        <v>24</v>
      </c>
      <c r="L51" s="1">
        <v>1262</v>
      </c>
      <c r="M51" s="1">
        <v>104</v>
      </c>
      <c r="N51" s="1">
        <v>10746</v>
      </c>
      <c r="O51" s="1">
        <v>1369</v>
      </c>
      <c r="P51" s="1">
        <v>535</v>
      </c>
      <c r="Q51" s="1">
        <v>7465</v>
      </c>
      <c r="R51" s="1">
        <v>19</v>
      </c>
      <c r="S51" s="1">
        <v>1496</v>
      </c>
      <c r="T51" s="1">
        <v>2438</v>
      </c>
      <c r="U51" s="1">
        <v>1745</v>
      </c>
      <c r="V51" s="1">
        <v>4808</v>
      </c>
      <c r="W51" s="1">
        <v>2364</v>
      </c>
      <c r="X51" s="1">
        <v>440</v>
      </c>
      <c r="Y51" s="1">
        <v>706</v>
      </c>
      <c r="Z51" s="1">
        <v>1064</v>
      </c>
      <c r="AA51" s="1">
        <v>422</v>
      </c>
      <c r="AB51" s="1">
        <v>3716</v>
      </c>
      <c r="AC51" s="1">
        <v>530</v>
      </c>
      <c r="AD51" s="1">
        <v>442</v>
      </c>
      <c r="AE51" s="1">
        <v>862</v>
      </c>
      <c r="AF51" s="1">
        <v>1117</v>
      </c>
      <c r="AG51">
        <v>19609</v>
      </c>
      <c r="AH51" s="1">
        <v>451</v>
      </c>
      <c r="AI51" s="1">
        <v>1089</v>
      </c>
      <c r="AJ51" s="1">
        <v>283</v>
      </c>
      <c r="AK51" s="1">
        <v>1546</v>
      </c>
      <c r="AL51" s="1">
        <v>2390</v>
      </c>
      <c r="AM51" s="1">
        <v>656</v>
      </c>
      <c r="AN51" s="1">
        <v>232</v>
      </c>
      <c r="AO51" s="1">
        <v>8314</v>
      </c>
      <c r="AP51" s="1">
        <v>515</v>
      </c>
      <c r="AQ51" s="1">
        <v>113</v>
      </c>
      <c r="AR51" s="1">
        <v>2029</v>
      </c>
      <c r="AS51" s="1">
        <v>4949</v>
      </c>
      <c r="AT51" s="1">
        <v>881</v>
      </c>
      <c r="AU51" s="1">
        <v>1521</v>
      </c>
      <c r="AV51" s="1">
        <v>3281</v>
      </c>
      <c r="AW51" s="1">
        <v>2026</v>
      </c>
      <c r="AX51" s="1">
        <v>18990</v>
      </c>
      <c r="AY51" s="1">
        <v>114</v>
      </c>
      <c r="AZ51" s="1">
        <v>680</v>
      </c>
      <c r="BA51" s="1">
        <v>4789</v>
      </c>
      <c r="BB51" s="1">
        <v>212</v>
      </c>
      <c r="BC51" s="1">
        <v>568</v>
      </c>
      <c r="BD51" s="1">
        <v>6213</v>
      </c>
      <c r="BE51" s="1">
        <v>3019</v>
      </c>
      <c r="BF51" s="1">
        <v>1557</v>
      </c>
      <c r="BG51" s="1">
        <v>4098</v>
      </c>
      <c r="BH51" s="1">
        <v>1907</v>
      </c>
      <c r="BI51" s="1">
        <v>24941</v>
      </c>
      <c r="BJ51" s="1">
        <v>3101</v>
      </c>
      <c r="BK51" s="1">
        <v>5375</v>
      </c>
      <c r="BL51" s="1">
        <v>4150</v>
      </c>
      <c r="BM51" s="1">
        <v>4666</v>
      </c>
      <c r="BN51" s="1">
        <v>1001</v>
      </c>
      <c r="BO51" s="1">
        <v>1261</v>
      </c>
      <c r="BP51" s="1">
        <v>25956</v>
      </c>
      <c r="BQ51" s="1">
        <v>3318</v>
      </c>
      <c r="BR51" s="1">
        <v>71081</v>
      </c>
      <c r="BS51" s="1">
        <v>10275</v>
      </c>
      <c r="BT51" s="1">
        <v>8640</v>
      </c>
      <c r="BU51" s="1">
        <v>17367</v>
      </c>
      <c r="BV51" s="1">
        <v>2682</v>
      </c>
      <c r="BW51" s="1">
        <v>11016</v>
      </c>
      <c r="BX51" s="1">
        <v>2789</v>
      </c>
      <c r="BY51" s="1">
        <v>5291</v>
      </c>
      <c r="BZ51" s="1">
        <v>21416</v>
      </c>
      <c r="CA51" s="1">
        <v>2541</v>
      </c>
      <c r="CB51" s="1">
        <v>1136</v>
      </c>
      <c r="CC51" s="1">
        <v>5442</v>
      </c>
      <c r="CD51" s="1">
        <v>3184</v>
      </c>
      <c r="CE51" s="1">
        <v>3111</v>
      </c>
      <c r="CF51" s="1">
        <v>6728</v>
      </c>
      <c r="CG51" s="1">
        <v>82268</v>
      </c>
      <c r="CH51" s="1">
        <v>26032</v>
      </c>
      <c r="CI51" s="1">
        <v>36433</v>
      </c>
      <c r="CJ51" s="1">
        <v>9154</v>
      </c>
      <c r="CK51" s="1">
        <v>18833</v>
      </c>
      <c r="CL51" s="1">
        <v>11714</v>
      </c>
      <c r="CM51" s="1">
        <v>16762</v>
      </c>
      <c r="CN51" s="1">
        <v>43438</v>
      </c>
      <c r="CO51" s="1">
        <v>9035</v>
      </c>
      <c r="CP51" s="1">
        <v>3364</v>
      </c>
      <c r="CQ51" s="1">
        <v>6707</v>
      </c>
      <c r="CR51" s="1">
        <v>6768</v>
      </c>
      <c r="CS51" s="1">
        <v>28123</v>
      </c>
      <c r="CT51" s="1">
        <v>18565</v>
      </c>
      <c r="CU51" s="1">
        <v>1864</v>
      </c>
      <c r="CV51" s="1">
        <v>229833</v>
      </c>
      <c r="CW51" s="1">
        <v>7311</v>
      </c>
      <c r="CX51" s="1">
        <v>1779</v>
      </c>
      <c r="CY51" s="1">
        <v>23646</v>
      </c>
      <c r="CZ51" s="1">
        <v>3673</v>
      </c>
      <c r="DA51" s="1">
        <v>5794</v>
      </c>
      <c r="DB51" s="1">
        <v>11489</v>
      </c>
      <c r="DC51" s="1">
        <v>3924</v>
      </c>
      <c r="DD51" s="1">
        <v>3112</v>
      </c>
      <c r="DE51" s="1">
        <v>1988</v>
      </c>
      <c r="DF51" s="1">
        <v>43345</v>
      </c>
      <c r="DG51" s="1">
        <v>17000</v>
      </c>
      <c r="DH51" s="1">
        <v>17100</v>
      </c>
      <c r="DI51" s="1">
        <v>7242</v>
      </c>
      <c r="DJ51" s="1">
        <v>27923</v>
      </c>
      <c r="DK51" s="1">
        <v>13197</v>
      </c>
      <c r="DL51" s="1">
        <v>9008</v>
      </c>
      <c r="DM51" s="1">
        <v>13103</v>
      </c>
      <c r="DN51" s="1">
        <v>22264</v>
      </c>
      <c r="DO51" s="1">
        <v>2257</v>
      </c>
      <c r="DP51" s="1">
        <v>12906</v>
      </c>
      <c r="DQ51" s="1">
        <v>48328</v>
      </c>
      <c r="DR51" s="1">
        <v>2847</v>
      </c>
      <c r="DS51" s="1">
        <v>3836</v>
      </c>
      <c r="DT51" s="1">
        <v>529</v>
      </c>
      <c r="DU51" s="1">
        <v>10423</v>
      </c>
      <c r="DV51" s="1">
        <v>4955</v>
      </c>
      <c r="DW51" s="1">
        <v>5115</v>
      </c>
      <c r="DX51" s="1">
        <v>10336</v>
      </c>
      <c r="DY51" s="1">
        <v>1418</v>
      </c>
      <c r="DZ51" s="1">
        <v>3019</v>
      </c>
      <c r="EA51" s="1">
        <v>9008</v>
      </c>
      <c r="EB51" s="1">
        <v>5699</v>
      </c>
      <c r="EC51" s="1">
        <v>536</v>
      </c>
      <c r="ED51" s="1">
        <v>1057</v>
      </c>
      <c r="EE51" s="1">
        <v>26012</v>
      </c>
      <c r="EF51" s="1">
        <v>3000</v>
      </c>
      <c r="EG51" s="1">
        <v>15682</v>
      </c>
      <c r="EH51" s="1">
        <v>21619</v>
      </c>
      <c r="EJ51" s="1">
        <f t="shared" si="0"/>
        <v>1376908</v>
      </c>
    </row>
    <row r="52" spans="1:140" x14ac:dyDescent="0.25">
      <c r="A52" s="1" t="s">
        <v>188</v>
      </c>
      <c r="B52" s="1">
        <v>2690</v>
      </c>
      <c r="C52" s="1">
        <v>4819</v>
      </c>
      <c r="D52" s="1">
        <v>148</v>
      </c>
      <c r="E52" s="1">
        <v>1520</v>
      </c>
      <c r="F52" s="1">
        <v>7</v>
      </c>
      <c r="G52" s="1">
        <v>34</v>
      </c>
      <c r="H52" s="1">
        <v>14920</v>
      </c>
      <c r="I52" s="1">
        <v>70</v>
      </c>
      <c r="J52" s="1">
        <v>1190</v>
      </c>
      <c r="K52" s="1">
        <v>12</v>
      </c>
      <c r="L52" s="1">
        <v>1701</v>
      </c>
      <c r="M52" s="1">
        <v>66</v>
      </c>
      <c r="N52" s="1">
        <v>10912</v>
      </c>
      <c r="O52" s="1">
        <v>1172</v>
      </c>
      <c r="P52" s="1">
        <v>565</v>
      </c>
      <c r="Q52" s="1">
        <v>6789</v>
      </c>
      <c r="R52" s="1">
        <v>23</v>
      </c>
      <c r="S52" s="1">
        <v>1528</v>
      </c>
      <c r="T52" s="1">
        <v>2723</v>
      </c>
      <c r="U52" s="1">
        <v>1857</v>
      </c>
      <c r="V52" s="1">
        <v>5118</v>
      </c>
      <c r="W52" s="1">
        <v>2302</v>
      </c>
      <c r="X52" s="1">
        <v>513</v>
      </c>
      <c r="Y52" s="1">
        <v>738</v>
      </c>
      <c r="Z52" s="1">
        <v>1937</v>
      </c>
      <c r="AA52" s="1">
        <v>336</v>
      </c>
      <c r="AB52" s="1">
        <v>4036</v>
      </c>
      <c r="AC52" s="1">
        <v>740</v>
      </c>
      <c r="AD52" s="1">
        <v>383</v>
      </c>
      <c r="AE52" s="1">
        <v>1173</v>
      </c>
      <c r="AF52" s="1">
        <v>1005</v>
      </c>
      <c r="AG52">
        <v>20840</v>
      </c>
      <c r="AH52" s="1">
        <v>311</v>
      </c>
      <c r="AI52" s="1">
        <v>894</v>
      </c>
      <c r="AJ52" s="1">
        <v>432</v>
      </c>
      <c r="AK52" s="1">
        <v>1442</v>
      </c>
      <c r="AL52" s="1">
        <v>2531</v>
      </c>
      <c r="AM52" s="1">
        <v>592</v>
      </c>
      <c r="AN52" s="1">
        <v>217</v>
      </c>
      <c r="AO52" s="1">
        <v>8890</v>
      </c>
      <c r="AP52" s="1">
        <v>609</v>
      </c>
      <c r="AQ52" s="1">
        <v>98</v>
      </c>
      <c r="AR52" s="1">
        <v>1856</v>
      </c>
      <c r="AS52" s="1">
        <v>4850</v>
      </c>
      <c r="AT52" s="1">
        <v>985</v>
      </c>
      <c r="AU52" s="1">
        <v>1718</v>
      </c>
      <c r="AV52" s="1">
        <v>3604</v>
      </c>
      <c r="AW52" s="1">
        <v>1686</v>
      </c>
      <c r="AX52" s="1">
        <v>19501</v>
      </c>
      <c r="AY52" s="1">
        <v>127</v>
      </c>
      <c r="AZ52" s="1">
        <v>547</v>
      </c>
      <c r="BA52" s="1">
        <v>4408</v>
      </c>
      <c r="BB52" s="1">
        <v>111</v>
      </c>
      <c r="BC52" s="1">
        <v>491</v>
      </c>
      <c r="BD52" s="1">
        <v>5738</v>
      </c>
      <c r="BE52" s="1">
        <v>3258</v>
      </c>
      <c r="BF52" s="1">
        <v>1589</v>
      </c>
      <c r="BG52" s="1">
        <v>4110</v>
      </c>
      <c r="BH52" s="1">
        <v>1622</v>
      </c>
      <c r="BI52" s="1">
        <v>28732</v>
      </c>
      <c r="BJ52" s="1">
        <v>3829</v>
      </c>
      <c r="BK52" s="1">
        <v>8557</v>
      </c>
      <c r="BL52" s="1">
        <v>2944</v>
      </c>
      <c r="BM52" s="1">
        <v>4944</v>
      </c>
      <c r="BN52" s="1">
        <v>1076</v>
      </c>
      <c r="BO52" s="1">
        <v>1188</v>
      </c>
      <c r="BP52" s="1">
        <v>27707</v>
      </c>
      <c r="BQ52" s="1">
        <v>3063</v>
      </c>
      <c r="BR52" s="1">
        <v>74760</v>
      </c>
      <c r="BS52" s="1">
        <v>10595</v>
      </c>
      <c r="BT52" s="1">
        <v>9481</v>
      </c>
      <c r="BU52" s="1">
        <v>21138</v>
      </c>
      <c r="BV52" s="1">
        <v>2803</v>
      </c>
      <c r="BW52" s="1">
        <v>12948</v>
      </c>
      <c r="BX52" s="1">
        <v>2500</v>
      </c>
      <c r="BY52" s="1">
        <v>5726</v>
      </c>
      <c r="BZ52" s="1">
        <v>22102</v>
      </c>
      <c r="CA52" s="1">
        <v>2718</v>
      </c>
      <c r="CB52" s="1">
        <v>1237</v>
      </c>
      <c r="CC52" s="1">
        <v>7005</v>
      </c>
      <c r="CD52" s="1">
        <v>4385</v>
      </c>
      <c r="CE52" s="1">
        <v>3223</v>
      </c>
      <c r="CF52" s="1">
        <v>6827</v>
      </c>
      <c r="CG52" s="1">
        <v>95315</v>
      </c>
      <c r="CH52" s="1">
        <v>19393</v>
      </c>
      <c r="CI52" s="1">
        <v>34800</v>
      </c>
      <c r="CJ52" s="1">
        <v>11773</v>
      </c>
      <c r="CK52" s="1">
        <v>19256</v>
      </c>
      <c r="CL52" s="1">
        <v>11532</v>
      </c>
      <c r="CM52" s="1">
        <v>16530</v>
      </c>
      <c r="CN52" s="1">
        <v>44451</v>
      </c>
      <c r="CO52" s="1">
        <v>8811</v>
      </c>
      <c r="CP52" s="1">
        <v>3646</v>
      </c>
      <c r="CQ52" s="1">
        <v>6096</v>
      </c>
      <c r="CR52" s="1">
        <v>6299</v>
      </c>
      <c r="CS52" s="1">
        <v>28410</v>
      </c>
      <c r="CT52" s="1">
        <v>18742</v>
      </c>
      <c r="CU52" s="1">
        <v>1849</v>
      </c>
      <c r="CV52" s="1">
        <v>238407</v>
      </c>
      <c r="CW52" s="1">
        <v>10500</v>
      </c>
      <c r="CX52" s="1">
        <v>2177</v>
      </c>
      <c r="CY52" s="1">
        <v>26124</v>
      </c>
      <c r="CZ52" s="1">
        <v>6871</v>
      </c>
      <c r="DA52" s="1">
        <v>6336</v>
      </c>
      <c r="DB52" s="1">
        <v>11796</v>
      </c>
      <c r="DC52" s="1">
        <v>3793</v>
      </c>
      <c r="DD52" s="1">
        <v>2928</v>
      </c>
      <c r="DE52" s="1">
        <v>1901</v>
      </c>
      <c r="DF52" s="1">
        <v>44924</v>
      </c>
      <c r="DG52" s="1">
        <v>14337</v>
      </c>
      <c r="DH52" s="1">
        <v>16570</v>
      </c>
      <c r="DI52" s="1">
        <v>4396</v>
      </c>
      <c r="DJ52" s="1">
        <v>25087</v>
      </c>
      <c r="DK52" s="1">
        <v>15021</v>
      </c>
      <c r="DL52" s="1">
        <v>10084</v>
      </c>
      <c r="DM52" s="1">
        <v>15762</v>
      </c>
      <c r="DN52" s="1">
        <v>19628</v>
      </c>
      <c r="DO52" s="1">
        <v>3298</v>
      </c>
      <c r="DP52" s="1">
        <v>11969</v>
      </c>
      <c r="DQ52" s="1">
        <v>53709</v>
      </c>
      <c r="DR52" s="1">
        <v>3835</v>
      </c>
      <c r="DS52" s="1">
        <v>4891</v>
      </c>
      <c r="DT52" s="1">
        <v>795</v>
      </c>
      <c r="DU52" s="1">
        <v>10392</v>
      </c>
      <c r="DV52" s="1">
        <v>4837</v>
      </c>
      <c r="DW52" s="1">
        <v>6658</v>
      </c>
      <c r="DX52" s="1">
        <v>8649</v>
      </c>
      <c r="DY52" s="1">
        <v>1422</v>
      </c>
      <c r="DZ52" s="1">
        <v>3805</v>
      </c>
      <c r="EA52" s="1">
        <v>8662</v>
      </c>
      <c r="EB52" s="1">
        <v>4200</v>
      </c>
      <c r="EC52" s="1">
        <v>602</v>
      </c>
      <c r="ED52" s="1">
        <v>843</v>
      </c>
      <c r="EE52" s="1">
        <v>26768</v>
      </c>
      <c r="EF52" s="1">
        <v>4073</v>
      </c>
      <c r="EG52" s="1">
        <v>13129</v>
      </c>
      <c r="EH52" s="1">
        <v>23486</v>
      </c>
      <c r="EJ52" s="1">
        <f t="shared" si="0"/>
        <v>1433140</v>
      </c>
    </row>
    <row r="53" spans="1:140" x14ac:dyDescent="0.25">
      <c r="A53" s="1" t="s">
        <v>189</v>
      </c>
      <c r="B53" s="1">
        <v>2479</v>
      </c>
      <c r="C53" s="1">
        <v>4878</v>
      </c>
      <c r="D53" s="1">
        <v>120</v>
      </c>
      <c r="E53" s="1">
        <v>1374</v>
      </c>
      <c r="F53" s="1">
        <v>7</v>
      </c>
      <c r="G53" s="1">
        <v>37</v>
      </c>
      <c r="H53" s="1">
        <v>14531</v>
      </c>
      <c r="I53" s="1">
        <v>75</v>
      </c>
      <c r="J53" s="1">
        <v>1293</v>
      </c>
      <c r="K53" s="1">
        <v>25</v>
      </c>
      <c r="L53" s="1">
        <v>1213</v>
      </c>
      <c r="M53" s="1">
        <v>76</v>
      </c>
      <c r="N53" s="1">
        <v>10341</v>
      </c>
      <c r="O53" s="1">
        <v>1545</v>
      </c>
      <c r="P53" s="1">
        <v>525</v>
      </c>
      <c r="Q53" s="1">
        <v>7869</v>
      </c>
      <c r="R53" s="1">
        <v>16</v>
      </c>
      <c r="S53" s="1">
        <v>1784</v>
      </c>
      <c r="T53" s="1">
        <v>3248</v>
      </c>
      <c r="U53" s="1">
        <v>2116</v>
      </c>
      <c r="V53" s="1">
        <v>6278</v>
      </c>
      <c r="W53" s="1">
        <v>2452</v>
      </c>
      <c r="X53" s="1">
        <v>408</v>
      </c>
      <c r="Y53" s="1">
        <v>724</v>
      </c>
      <c r="Z53" s="1">
        <v>2211</v>
      </c>
      <c r="AA53" s="1">
        <v>463</v>
      </c>
      <c r="AB53" s="1">
        <v>4077</v>
      </c>
      <c r="AC53" s="1">
        <v>724</v>
      </c>
      <c r="AD53" s="1">
        <v>407</v>
      </c>
      <c r="AE53" s="1">
        <v>886</v>
      </c>
      <c r="AF53" s="1">
        <v>791</v>
      </c>
      <c r="AG53">
        <v>19881</v>
      </c>
      <c r="AH53" s="1">
        <v>431</v>
      </c>
      <c r="AI53" s="1">
        <v>629</v>
      </c>
      <c r="AJ53" s="1">
        <v>301</v>
      </c>
      <c r="AK53" s="1">
        <v>1268</v>
      </c>
      <c r="AL53" s="1">
        <v>2341</v>
      </c>
      <c r="AM53" s="1">
        <v>607</v>
      </c>
      <c r="AN53" s="1">
        <v>164</v>
      </c>
      <c r="AO53" s="1">
        <v>8940</v>
      </c>
      <c r="AP53" s="1">
        <v>554</v>
      </c>
      <c r="AQ53" s="1">
        <v>90</v>
      </c>
      <c r="AR53" s="1">
        <v>2114</v>
      </c>
      <c r="AS53" s="1">
        <v>4729</v>
      </c>
      <c r="AT53" s="1">
        <v>779</v>
      </c>
      <c r="AU53" s="1">
        <v>1867</v>
      </c>
      <c r="AV53" s="1">
        <v>3507</v>
      </c>
      <c r="AW53" s="1">
        <v>2345</v>
      </c>
      <c r="AX53" s="1">
        <v>19228</v>
      </c>
      <c r="AY53" s="1">
        <v>136</v>
      </c>
      <c r="AZ53" s="1">
        <v>569</v>
      </c>
      <c r="BA53" s="1">
        <v>5186</v>
      </c>
      <c r="BB53" s="1">
        <v>200</v>
      </c>
      <c r="BC53" s="1">
        <v>725</v>
      </c>
      <c r="BD53" s="1">
        <v>6070</v>
      </c>
      <c r="BE53" s="1">
        <v>4150</v>
      </c>
      <c r="BF53" s="1">
        <v>1765</v>
      </c>
      <c r="BG53" s="1">
        <v>4636</v>
      </c>
      <c r="BH53" s="1">
        <v>2275</v>
      </c>
      <c r="BI53" s="1">
        <v>28713</v>
      </c>
      <c r="BJ53" s="1">
        <v>4529</v>
      </c>
      <c r="BK53" s="1">
        <v>9559</v>
      </c>
      <c r="BL53" s="1">
        <v>3869</v>
      </c>
      <c r="BM53" s="1">
        <v>5286</v>
      </c>
      <c r="BN53" s="1">
        <v>1209</v>
      </c>
      <c r="BO53" s="1">
        <v>1690</v>
      </c>
      <c r="BP53" s="1">
        <v>27609</v>
      </c>
      <c r="BQ53" s="1">
        <v>3170</v>
      </c>
      <c r="BR53" s="1">
        <v>78710</v>
      </c>
      <c r="BS53" s="1">
        <v>10057</v>
      </c>
      <c r="BT53" s="1">
        <v>9592</v>
      </c>
      <c r="BU53" s="1">
        <v>21935</v>
      </c>
      <c r="BV53" s="1">
        <v>2559</v>
      </c>
      <c r="BW53" s="1">
        <v>13854</v>
      </c>
      <c r="BX53" s="1">
        <v>2902</v>
      </c>
      <c r="BY53" s="1">
        <v>8369</v>
      </c>
      <c r="BZ53" s="1">
        <v>21436</v>
      </c>
      <c r="CA53" s="1">
        <v>3059</v>
      </c>
      <c r="CB53" s="1">
        <v>1137</v>
      </c>
      <c r="CC53" s="1">
        <v>6906</v>
      </c>
      <c r="CD53" s="1">
        <v>4217</v>
      </c>
      <c r="CE53" s="1">
        <v>2834</v>
      </c>
      <c r="CF53" s="1">
        <v>7276</v>
      </c>
      <c r="CG53" s="1">
        <v>92655</v>
      </c>
      <c r="CH53" s="1">
        <v>22680</v>
      </c>
      <c r="CI53" s="1">
        <v>43729</v>
      </c>
      <c r="CJ53" s="1">
        <v>20867</v>
      </c>
      <c r="CK53" s="1">
        <v>25829</v>
      </c>
      <c r="CL53" s="1">
        <v>13144</v>
      </c>
      <c r="CM53" s="1">
        <v>23748</v>
      </c>
      <c r="CN53" s="1">
        <v>51047</v>
      </c>
      <c r="CO53" s="1">
        <v>10233</v>
      </c>
      <c r="CP53" s="1">
        <v>3541</v>
      </c>
      <c r="CQ53" s="1">
        <v>9501</v>
      </c>
      <c r="CR53" s="1">
        <v>7126</v>
      </c>
      <c r="CS53" s="1">
        <v>30477</v>
      </c>
      <c r="CT53" s="1">
        <v>18499</v>
      </c>
      <c r="CU53" s="1">
        <v>1640</v>
      </c>
      <c r="CV53" s="1">
        <v>248333</v>
      </c>
      <c r="CW53" s="1">
        <v>8673</v>
      </c>
      <c r="CX53" s="1">
        <v>1915</v>
      </c>
      <c r="CY53" s="1">
        <v>30238</v>
      </c>
      <c r="CZ53" s="1">
        <v>5132</v>
      </c>
      <c r="DA53" s="1">
        <v>5660</v>
      </c>
      <c r="DB53" s="1">
        <v>11556</v>
      </c>
      <c r="DC53" s="1">
        <v>3641</v>
      </c>
      <c r="DD53" s="1">
        <v>2571</v>
      </c>
      <c r="DE53" s="1">
        <v>1877</v>
      </c>
      <c r="DF53" s="1">
        <v>46121</v>
      </c>
      <c r="DG53" s="1">
        <v>13698</v>
      </c>
      <c r="DH53" s="1">
        <v>16666</v>
      </c>
      <c r="DI53" s="1">
        <v>3666</v>
      </c>
      <c r="DJ53" s="1">
        <v>24514</v>
      </c>
      <c r="DK53" s="1">
        <v>14163</v>
      </c>
      <c r="DL53" s="1">
        <v>9032</v>
      </c>
      <c r="DM53" s="1">
        <v>15558</v>
      </c>
      <c r="DN53" s="1">
        <v>18298</v>
      </c>
      <c r="DO53" s="1">
        <v>2989</v>
      </c>
      <c r="DP53" s="1">
        <v>9169</v>
      </c>
      <c r="DQ53" s="1">
        <v>52250</v>
      </c>
      <c r="DR53" s="1">
        <v>2713</v>
      </c>
      <c r="DS53" s="1">
        <v>4528</v>
      </c>
      <c r="DT53" s="1">
        <v>721</v>
      </c>
      <c r="DU53" s="1">
        <v>11037</v>
      </c>
      <c r="DV53" s="1">
        <v>5001</v>
      </c>
      <c r="DW53" s="1">
        <v>5337</v>
      </c>
      <c r="DX53" s="1">
        <v>8507</v>
      </c>
      <c r="DY53" s="1">
        <v>1587</v>
      </c>
      <c r="DZ53" s="1">
        <v>5335</v>
      </c>
      <c r="EA53" s="1">
        <v>8689</v>
      </c>
      <c r="EB53" s="1">
        <v>4455</v>
      </c>
      <c r="EC53" s="1">
        <v>633</v>
      </c>
      <c r="ED53" s="1">
        <v>1190</v>
      </c>
      <c r="EE53" s="1">
        <v>35109</v>
      </c>
      <c r="EF53" s="1">
        <v>2803</v>
      </c>
      <c r="EG53" s="1">
        <v>14081</v>
      </c>
      <c r="EH53" s="1">
        <v>22059</v>
      </c>
      <c r="EJ53" s="1">
        <f t="shared" si="0"/>
        <v>1503158</v>
      </c>
    </row>
    <row r="54" spans="1:140" x14ac:dyDescent="0.25">
      <c r="A54" s="1" t="s">
        <v>190</v>
      </c>
      <c r="B54" s="1">
        <v>2510</v>
      </c>
      <c r="C54" s="1">
        <v>5299</v>
      </c>
      <c r="D54" s="1">
        <v>93</v>
      </c>
      <c r="E54" s="1">
        <v>2022</v>
      </c>
      <c r="F54" s="1">
        <v>8</v>
      </c>
      <c r="G54" s="1">
        <v>48</v>
      </c>
      <c r="H54" s="1">
        <v>15142</v>
      </c>
      <c r="I54" s="1">
        <v>109</v>
      </c>
      <c r="J54" s="1">
        <v>884</v>
      </c>
      <c r="K54" s="1">
        <v>29</v>
      </c>
      <c r="L54" s="1">
        <v>1516</v>
      </c>
      <c r="M54" s="1">
        <v>80</v>
      </c>
      <c r="N54" s="1">
        <v>10207</v>
      </c>
      <c r="O54" s="1">
        <v>1362</v>
      </c>
      <c r="P54" s="1">
        <v>501</v>
      </c>
      <c r="Q54" s="1">
        <v>8330</v>
      </c>
      <c r="R54" s="1">
        <v>28</v>
      </c>
      <c r="S54" s="1">
        <v>1717</v>
      </c>
      <c r="T54" s="1">
        <v>3604</v>
      </c>
      <c r="U54" s="1">
        <v>1993</v>
      </c>
      <c r="V54" s="1">
        <v>5978</v>
      </c>
      <c r="W54" s="1">
        <v>2687</v>
      </c>
      <c r="X54" s="1">
        <v>566</v>
      </c>
      <c r="Y54" s="1">
        <v>753</v>
      </c>
      <c r="Z54" s="1">
        <v>1482</v>
      </c>
      <c r="AA54" s="1">
        <v>493</v>
      </c>
      <c r="AB54" s="1">
        <v>4658</v>
      </c>
      <c r="AC54" s="1">
        <v>641</v>
      </c>
      <c r="AD54" s="1">
        <v>378</v>
      </c>
      <c r="AE54" s="1">
        <v>1060</v>
      </c>
      <c r="AF54" s="1">
        <v>951</v>
      </c>
      <c r="AG54">
        <v>21844</v>
      </c>
      <c r="AH54" s="1">
        <v>411</v>
      </c>
      <c r="AI54" s="1">
        <v>1180</v>
      </c>
      <c r="AJ54" s="1">
        <v>249</v>
      </c>
      <c r="AK54" s="1">
        <v>1482</v>
      </c>
      <c r="AL54" s="1">
        <v>2359</v>
      </c>
      <c r="AM54" s="1">
        <v>670</v>
      </c>
      <c r="AN54" s="1">
        <v>236</v>
      </c>
      <c r="AO54" s="1">
        <v>8853</v>
      </c>
      <c r="AP54" s="1">
        <v>562</v>
      </c>
      <c r="AQ54" s="1">
        <v>88</v>
      </c>
      <c r="AR54" s="1">
        <v>1976</v>
      </c>
      <c r="AS54" s="1">
        <v>4553</v>
      </c>
      <c r="AT54" s="1">
        <v>859</v>
      </c>
      <c r="AU54" s="1">
        <v>4043</v>
      </c>
      <c r="AV54" s="1">
        <v>3525</v>
      </c>
      <c r="AW54" s="1">
        <v>1820</v>
      </c>
      <c r="AX54" s="1">
        <v>19806</v>
      </c>
      <c r="AY54" s="1">
        <v>115</v>
      </c>
      <c r="AZ54" s="1">
        <v>479</v>
      </c>
      <c r="BA54" s="1">
        <v>5626</v>
      </c>
      <c r="BB54" s="1">
        <v>192</v>
      </c>
      <c r="BC54" s="1">
        <v>625</v>
      </c>
      <c r="BD54" s="1">
        <v>6228</v>
      </c>
      <c r="BE54" s="1">
        <v>3890</v>
      </c>
      <c r="BF54" s="1">
        <v>4487</v>
      </c>
      <c r="BG54" s="1">
        <v>4284</v>
      </c>
      <c r="BH54" s="1">
        <v>1860</v>
      </c>
      <c r="BI54" s="1">
        <v>29562</v>
      </c>
      <c r="BJ54" s="1">
        <v>4521</v>
      </c>
      <c r="BK54" s="1">
        <v>8495</v>
      </c>
      <c r="BL54" s="1">
        <v>3912</v>
      </c>
      <c r="BM54" s="1">
        <v>5458</v>
      </c>
      <c r="BN54" s="1">
        <v>1269</v>
      </c>
      <c r="BO54" s="1">
        <v>2106</v>
      </c>
      <c r="BP54" s="1">
        <v>27200</v>
      </c>
      <c r="BQ54" s="1">
        <v>3852</v>
      </c>
      <c r="BR54" s="1">
        <v>74448</v>
      </c>
      <c r="BS54" s="1">
        <v>10005</v>
      </c>
      <c r="BT54" s="1">
        <v>10834</v>
      </c>
      <c r="BU54" s="1">
        <v>25292</v>
      </c>
      <c r="BV54" s="1">
        <v>2458</v>
      </c>
      <c r="BW54" s="1">
        <v>15571</v>
      </c>
      <c r="BX54" s="1">
        <v>4986</v>
      </c>
      <c r="BY54" s="1">
        <v>14181</v>
      </c>
      <c r="BZ54" s="1">
        <v>19353</v>
      </c>
      <c r="CA54" s="1">
        <v>2803</v>
      </c>
      <c r="CB54" s="1">
        <v>830</v>
      </c>
      <c r="CC54" s="1">
        <v>9307</v>
      </c>
      <c r="CD54" s="1">
        <v>3582</v>
      </c>
      <c r="CE54" s="1">
        <v>3031</v>
      </c>
      <c r="CF54" s="1">
        <v>6803</v>
      </c>
      <c r="CG54" s="1">
        <v>87447</v>
      </c>
      <c r="CH54" s="1">
        <v>19238</v>
      </c>
      <c r="CI54" s="1">
        <v>33363</v>
      </c>
      <c r="CJ54" s="1">
        <v>9071</v>
      </c>
      <c r="CK54" s="1">
        <v>19111</v>
      </c>
      <c r="CL54" s="1">
        <v>10170</v>
      </c>
      <c r="CM54" s="1">
        <v>18985</v>
      </c>
      <c r="CN54" s="1">
        <v>43877</v>
      </c>
      <c r="CO54" s="1">
        <v>7338</v>
      </c>
      <c r="CP54" s="1">
        <v>3984</v>
      </c>
      <c r="CQ54" s="1">
        <v>5938</v>
      </c>
      <c r="CR54" s="1">
        <v>6559</v>
      </c>
      <c r="CS54" s="1">
        <v>27495</v>
      </c>
      <c r="CT54" s="1">
        <v>17814</v>
      </c>
      <c r="CU54" s="1">
        <v>1674</v>
      </c>
      <c r="CV54" s="1">
        <v>226993</v>
      </c>
      <c r="CW54" s="1">
        <v>6597</v>
      </c>
      <c r="CX54" s="1">
        <v>1553</v>
      </c>
      <c r="CY54" s="1">
        <v>23157</v>
      </c>
      <c r="CZ54" s="1">
        <v>4677</v>
      </c>
      <c r="DA54" s="1">
        <v>5258</v>
      </c>
      <c r="DB54" s="1">
        <v>10658</v>
      </c>
      <c r="DC54" s="1">
        <v>3437</v>
      </c>
      <c r="DD54" s="1">
        <v>2488</v>
      </c>
      <c r="DE54" s="1">
        <v>1772</v>
      </c>
      <c r="DF54" s="1">
        <v>43415</v>
      </c>
      <c r="DG54" s="1">
        <v>12962</v>
      </c>
      <c r="DH54" s="1">
        <v>15306</v>
      </c>
      <c r="DI54" s="1">
        <v>3089</v>
      </c>
      <c r="DJ54" s="1">
        <v>22354</v>
      </c>
      <c r="DK54" s="1">
        <v>12699</v>
      </c>
      <c r="DL54" s="1">
        <v>8228</v>
      </c>
      <c r="DM54" s="1">
        <v>12281</v>
      </c>
      <c r="DN54" s="1">
        <v>14756</v>
      </c>
      <c r="DO54" s="1">
        <v>2445</v>
      </c>
      <c r="DP54" s="1">
        <v>7514</v>
      </c>
      <c r="DQ54" s="1">
        <v>46264</v>
      </c>
      <c r="DR54" s="1">
        <v>2143</v>
      </c>
      <c r="DS54" s="1">
        <v>3785</v>
      </c>
      <c r="DT54" s="1">
        <v>732</v>
      </c>
      <c r="DU54" s="1">
        <v>9134</v>
      </c>
      <c r="DV54" s="1">
        <v>5128</v>
      </c>
      <c r="DW54" s="1">
        <v>6852</v>
      </c>
      <c r="DX54" s="1">
        <v>8786</v>
      </c>
      <c r="DY54" s="1">
        <v>1652</v>
      </c>
      <c r="DZ54" s="1">
        <v>2853</v>
      </c>
      <c r="EA54" s="1">
        <v>9021</v>
      </c>
      <c r="EB54" s="1">
        <v>4913</v>
      </c>
      <c r="EC54" s="1">
        <v>655</v>
      </c>
      <c r="ED54" s="1">
        <v>917</v>
      </c>
      <c r="EE54" s="1">
        <v>29244</v>
      </c>
      <c r="EF54" s="1">
        <v>2498</v>
      </c>
      <c r="EG54" s="1">
        <v>13494</v>
      </c>
      <c r="EH54" s="1">
        <v>20525</v>
      </c>
      <c r="EJ54" s="1">
        <f t="shared" si="0"/>
        <v>1389589</v>
      </c>
    </row>
    <row r="55" spans="1:140" x14ac:dyDescent="0.25">
      <c r="A55" s="1" t="s">
        <v>191</v>
      </c>
      <c r="B55" s="1">
        <v>2691</v>
      </c>
      <c r="C55" s="1">
        <v>5286</v>
      </c>
      <c r="D55" s="1">
        <v>145</v>
      </c>
      <c r="E55" s="1">
        <v>1813</v>
      </c>
      <c r="F55" s="1">
        <v>6</v>
      </c>
      <c r="G55" s="1">
        <v>21</v>
      </c>
      <c r="H55" s="1">
        <v>18009</v>
      </c>
      <c r="I55" s="1">
        <v>91</v>
      </c>
      <c r="J55" s="1">
        <v>874</v>
      </c>
      <c r="K55" s="1">
        <v>27</v>
      </c>
      <c r="L55" s="1">
        <v>1908</v>
      </c>
      <c r="M55" s="1">
        <v>149</v>
      </c>
      <c r="N55" s="1">
        <v>10362</v>
      </c>
      <c r="O55" s="1">
        <v>1712</v>
      </c>
      <c r="P55" s="1">
        <v>877</v>
      </c>
      <c r="Q55" s="1">
        <v>9792</v>
      </c>
      <c r="R55" s="1">
        <v>29</v>
      </c>
      <c r="S55" s="1">
        <v>1827</v>
      </c>
      <c r="T55" s="1">
        <v>3872</v>
      </c>
      <c r="U55" s="1">
        <v>2387</v>
      </c>
      <c r="V55" s="1">
        <v>6673</v>
      </c>
      <c r="W55" s="1">
        <v>3177</v>
      </c>
      <c r="X55" s="1">
        <v>802</v>
      </c>
      <c r="Y55" s="1">
        <v>1265</v>
      </c>
      <c r="Z55" s="1">
        <v>1802</v>
      </c>
      <c r="AA55" s="1">
        <v>548</v>
      </c>
      <c r="AB55" s="1">
        <v>5551</v>
      </c>
      <c r="AC55" s="1">
        <v>691</v>
      </c>
      <c r="AD55" s="1">
        <v>383</v>
      </c>
      <c r="AE55" s="1">
        <v>2916</v>
      </c>
      <c r="AF55" s="1">
        <v>1077</v>
      </c>
      <c r="AG55">
        <v>23740</v>
      </c>
      <c r="AH55" s="1">
        <v>580</v>
      </c>
      <c r="AI55" s="1">
        <v>2238</v>
      </c>
      <c r="AJ55" s="1">
        <v>308</v>
      </c>
      <c r="AK55" s="1">
        <v>1505</v>
      </c>
      <c r="AL55" s="1">
        <v>3422</v>
      </c>
      <c r="AM55" s="1">
        <v>851</v>
      </c>
      <c r="AN55" s="1">
        <v>367</v>
      </c>
      <c r="AO55" s="1">
        <v>9742</v>
      </c>
      <c r="AP55" s="1">
        <v>529</v>
      </c>
      <c r="AQ55" s="1">
        <v>81</v>
      </c>
      <c r="AR55" s="1">
        <v>1914</v>
      </c>
      <c r="AS55" s="1">
        <v>5338</v>
      </c>
      <c r="AT55" s="1">
        <v>917</v>
      </c>
      <c r="AU55" s="1">
        <v>7249</v>
      </c>
      <c r="AV55" s="1">
        <v>3664</v>
      </c>
      <c r="AW55" s="1">
        <v>2296</v>
      </c>
      <c r="AX55" s="1">
        <v>19138</v>
      </c>
      <c r="AY55" s="1">
        <v>72</v>
      </c>
      <c r="AZ55" s="1">
        <v>856</v>
      </c>
      <c r="BA55" s="1">
        <v>4897</v>
      </c>
      <c r="BB55" s="1">
        <v>201</v>
      </c>
      <c r="BC55" s="1">
        <v>557</v>
      </c>
      <c r="BD55" s="1">
        <v>6163</v>
      </c>
      <c r="BE55" s="1">
        <v>5048</v>
      </c>
      <c r="BF55" s="1">
        <v>3818</v>
      </c>
      <c r="BG55" s="1">
        <v>3740</v>
      </c>
      <c r="BH55" s="1">
        <v>1575</v>
      </c>
      <c r="BI55" s="1">
        <v>26809</v>
      </c>
      <c r="BJ55" s="1">
        <v>3939</v>
      </c>
      <c r="BK55" s="1">
        <v>7513</v>
      </c>
      <c r="BL55" s="1">
        <v>5267</v>
      </c>
      <c r="BM55" s="1">
        <v>6424</v>
      </c>
      <c r="BN55" s="1">
        <v>1425</v>
      </c>
      <c r="BO55" s="1">
        <v>1496</v>
      </c>
      <c r="BP55" s="1">
        <v>36394</v>
      </c>
      <c r="BQ55" s="1">
        <v>3898</v>
      </c>
      <c r="BR55" s="1">
        <v>78721</v>
      </c>
      <c r="BS55" s="1">
        <v>9634</v>
      </c>
      <c r="BT55" s="1">
        <v>14509</v>
      </c>
      <c r="BU55" s="1">
        <v>42628</v>
      </c>
      <c r="BV55" s="1">
        <v>4060</v>
      </c>
      <c r="BW55" s="1">
        <v>15791</v>
      </c>
      <c r="BX55" s="1">
        <v>3016</v>
      </c>
      <c r="BY55" s="1">
        <v>7411</v>
      </c>
      <c r="BZ55" s="1">
        <v>24256</v>
      </c>
      <c r="CA55" s="1">
        <v>2791</v>
      </c>
      <c r="CB55" s="1">
        <v>943</v>
      </c>
      <c r="CC55" s="1">
        <v>7709</v>
      </c>
      <c r="CD55" s="1">
        <v>4139</v>
      </c>
      <c r="CE55" s="1">
        <v>3242</v>
      </c>
      <c r="CF55" s="1">
        <v>7527</v>
      </c>
      <c r="CG55" s="1">
        <v>93880</v>
      </c>
      <c r="CH55" s="1">
        <v>17109</v>
      </c>
      <c r="CI55" s="1">
        <v>40206</v>
      </c>
      <c r="CJ55" s="1">
        <v>7904</v>
      </c>
      <c r="CK55" s="1">
        <v>19450</v>
      </c>
      <c r="CL55" s="1">
        <v>14134</v>
      </c>
      <c r="CM55" s="1">
        <v>18338</v>
      </c>
      <c r="CN55" s="1">
        <v>49284</v>
      </c>
      <c r="CO55" s="1">
        <v>6890</v>
      </c>
      <c r="CP55" s="1">
        <v>3768</v>
      </c>
      <c r="CQ55" s="1">
        <v>5522</v>
      </c>
      <c r="CR55" s="1">
        <v>6938</v>
      </c>
      <c r="CS55" s="1">
        <v>30104</v>
      </c>
      <c r="CT55" s="1">
        <v>18188</v>
      </c>
      <c r="CU55" s="1">
        <v>1674</v>
      </c>
      <c r="CV55" s="1">
        <v>240862</v>
      </c>
      <c r="CW55" s="1">
        <v>6453</v>
      </c>
      <c r="CX55" s="1">
        <v>1648</v>
      </c>
      <c r="CY55" s="1">
        <v>24625</v>
      </c>
      <c r="CZ55" s="1">
        <v>4402</v>
      </c>
      <c r="DA55" s="1">
        <v>5225</v>
      </c>
      <c r="DB55" s="1">
        <v>10657</v>
      </c>
      <c r="DC55" s="1">
        <v>3482</v>
      </c>
      <c r="DD55" s="1">
        <v>2656</v>
      </c>
      <c r="DE55" s="1">
        <v>1760</v>
      </c>
      <c r="DF55" s="1">
        <v>45589</v>
      </c>
      <c r="DG55" s="1">
        <v>13343</v>
      </c>
      <c r="DH55" s="1">
        <v>15947</v>
      </c>
      <c r="DI55" s="1">
        <v>3650</v>
      </c>
      <c r="DJ55" s="1">
        <v>23171</v>
      </c>
      <c r="DK55" s="1">
        <v>13660</v>
      </c>
      <c r="DL55" s="1">
        <v>9260</v>
      </c>
      <c r="DM55" s="1">
        <v>12056</v>
      </c>
      <c r="DN55" s="1">
        <v>15261</v>
      </c>
      <c r="DO55" s="1">
        <v>2283</v>
      </c>
      <c r="DP55" s="1">
        <v>6602</v>
      </c>
      <c r="DQ55" s="1">
        <v>46995</v>
      </c>
      <c r="DR55" s="1">
        <v>2233</v>
      </c>
      <c r="DS55" s="1">
        <v>4553</v>
      </c>
      <c r="DT55" s="1">
        <v>732</v>
      </c>
      <c r="DU55" s="1">
        <v>10293</v>
      </c>
      <c r="DV55" s="1">
        <v>4936</v>
      </c>
      <c r="DW55" s="1">
        <v>5503</v>
      </c>
      <c r="DX55" s="1">
        <v>11371</v>
      </c>
      <c r="DY55" s="1">
        <v>2002</v>
      </c>
      <c r="DZ55" s="1">
        <v>2780</v>
      </c>
      <c r="EA55" s="1">
        <v>9387</v>
      </c>
      <c r="EB55" s="1">
        <v>5602</v>
      </c>
      <c r="EC55" s="1">
        <v>653</v>
      </c>
      <c r="ED55" s="1">
        <v>1261</v>
      </c>
      <c r="EE55" s="1">
        <v>30164</v>
      </c>
      <c r="EF55" s="1">
        <v>3692</v>
      </c>
      <c r="EG55" s="1">
        <v>14034</v>
      </c>
      <c r="EH55" s="1">
        <v>22768</v>
      </c>
      <c r="EJ55" s="1">
        <f t="shared" si="0"/>
        <v>1492051</v>
      </c>
    </row>
    <row r="56" spans="1:140" x14ac:dyDescent="0.25">
      <c r="A56" s="1" t="s">
        <v>192</v>
      </c>
      <c r="B56" s="1">
        <v>3394</v>
      </c>
      <c r="C56" s="1">
        <v>5691</v>
      </c>
      <c r="D56" s="1">
        <v>156</v>
      </c>
      <c r="E56" s="1">
        <v>1903</v>
      </c>
      <c r="F56" s="1">
        <v>22</v>
      </c>
      <c r="G56" s="1">
        <v>21</v>
      </c>
      <c r="H56" s="1">
        <v>17772</v>
      </c>
      <c r="I56" s="1">
        <v>58</v>
      </c>
      <c r="J56" s="1">
        <v>1015</v>
      </c>
      <c r="K56" s="1">
        <v>11</v>
      </c>
      <c r="L56" s="1">
        <v>1891</v>
      </c>
      <c r="M56" s="1">
        <v>130</v>
      </c>
      <c r="N56" s="1">
        <v>11529</v>
      </c>
      <c r="O56" s="1">
        <v>1767</v>
      </c>
      <c r="P56" s="1">
        <v>765</v>
      </c>
      <c r="Q56" s="1">
        <v>10097</v>
      </c>
      <c r="R56" s="1">
        <v>123</v>
      </c>
      <c r="S56" s="1">
        <v>1923</v>
      </c>
      <c r="T56" s="1">
        <v>3203</v>
      </c>
      <c r="U56" s="1">
        <v>2147</v>
      </c>
      <c r="V56" s="1">
        <v>7905</v>
      </c>
      <c r="W56" s="1">
        <v>2993</v>
      </c>
      <c r="X56" s="1">
        <v>467</v>
      </c>
      <c r="Y56" s="1">
        <v>2104</v>
      </c>
      <c r="Z56" s="1">
        <v>2639</v>
      </c>
      <c r="AA56" s="1">
        <v>498</v>
      </c>
      <c r="AB56" s="1">
        <v>4973</v>
      </c>
      <c r="AC56" s="1">
        <v>788</v>
      </c>
      <c r="AD56" s="1">
        <v>470</v>
      </c>
      <c r="AE56" s="1">
        <v>3267</v>
      </c>
      <c r="AF56" s="1">
        <v>1131</v>
      </c>
      <c r="AG56">
        <v>26510</v>
      </c>
      <c r="AH56" s="1">
        <v>609</v>
      </c>
      <c r="AI56" s="1">
        <v>2274</v>
      </c>
      <c r="AJ56" s="1">
        <v>255</v>
      </c>
      <c r="AK56" s="1">
        <v>2317</v>
      </c>
      <c r="AL56" s="1">
        <v>4472</v>
      </c>
      <c r="AM56" s="1">
        <v>896</v>
      </c>
      <c r="AN56" s="1">
        <v>779</v>
      </c>
      <c r="AO56" s="1">
        <v>10492</v>
      </c>
      <c r="AP56" s="1">
        <v>668</v>
      </c>
      <c r="AQ56" s="1">
        <v>95</v>
      </c>
      <c r="AR56" s="1">
        <v>2704</v>
      </c>
      <c r="AS56" s="1">
        <v>7198</v>
      </c>
      <c r="AT56" s="1">
        <v>1055</v>
      </c>
      <c r="AU56" s="1">
        <v>5363</v>
      </c>
      <c r="AV56" s="1">
        <v>3740</v>
      </c>
      <c r="AW56" s="1">
        <v>1610</v>
      </c>
      <c r="AX56" s="1">
        <v>21620</v>
      </c>
      <c r="AY56" s="1">
        <v>95</v>
      </c>
      <c r="AZ56" s="1">
        <v>2242</v>
      </c>
      <c r="BA56" s="1">
        <v>5695</v>
      </c>
      <c r="BB56" s="1">
        <v>237</v>
      </c>
      <c r="BC56" s="1">
        <v>697</v>
      </c>
      <c r="BD56" s="1">
        <v>6344</v>
      </c>
      <c r="BE56" s="1">
        <v>5380</v>
      </c>
      <c r="BF56" s="1">
        <v>3846</v>
      </c>
      <c r="BG56" s="1">
        <v>4244</v>
      </c>
      <c r="BH56" s="1">
        <v>1678</v>
      </c>
      <c r="BI56" s="1">
        <v>28359</v>
      </c>
      <c r="BJ56" s="1">
        <v>6120</v>
      </c>
      <c r="BK56" s="1">
        <v>6314</v>
      </c>
      <c r="BL56" s="1">
        <v>5082</v>
      </c>
      <c r="BM56" s="1">
        <v>6023</v>
      </c>
      <c r="BN56" s="1">
        <v>3520</v>
      </c>
      <c r="BO56" s="1">
        <v>1346</v>
      </c>
      <c r="BP56" s="1">
        <v>32056</v>
      </c>
      <c r="BQ56" s="1">
        <v>3484</v>
      </c>
      <c r="BR56" s="1">
        <v>81730</v>
      </c>
      <c r="BS56" s="1">
        <v>10774</v>
      </c>
      <c r="BT56" s="1">
        <v>11541</v>
      </c>
      <c r="BU56" s="1">
        <v>30820</v>
      </c>
      <c r="BV56" s="1">
        <v>3629</v>
      </c>
      <c r="BW56" s="1">
        <v>13996</v>
      </c>
      <c r="BX56" s="1">
        <v>2774</v>
      </c>
      <c r="BY56" s="1">
        <v>5406</v>
      </c>
      <c r="BZ56" s="1">
        <v>23135</v>
      </c>
      <c r="CA56" s="1">
        <v>2976</v>
      </c>
      <c r="CB56" s="1">
        <v>986</v>
      </c>
      <c r="CC56" s="1">
        <v>8041</v>
      </c>
      <c r="CD56" s="1">
        <v>4145</v>
      </c>
      <c r="CE56" s="1">
        <v>3573</v>
      </c>
      <c r="CF56" s="1">
        <v>7566</v>
      </c>
      <c r="CG56" s="1">
        <v>99902</v>
      </c>
      <c r="CH56" s="1">
        <v>15255</v>
      </c>
      <c r="CI56" s="1">
        <v>33559</v>
      </c>
      <c r="CJ56" s="1">
        <v>7705</v>
      </c>
      <c r="CK56" s="1">
        <v>17742</v>
      </c>
      <c r="CL56" s="1">
        <v>14794</v>
      </c>
      <c r="CM56" s="1">
        <v>17802</v>
      </c>
      <c r="CN56" s="1">
        <v>46793</v>
      </c>
      <c r="CO56" s="1">
        <v>7555</v>
      </c>
      <c r="CP56" s="1">
        <v>3641</v>
      </c>
      <c r="CQ56" s="1">
        <v>4933</v>
      </c>
      <c r="CR56" s="1">
        <v>7144</v>
      </c>
      <c r="CS56" s="1">
        <v>30729</v>
      </c>
      <c r="CT56" s="1">
        <v>18481</v>
      </c>
      <c r="CU56" s="1">
        <v>1655</v>
      </c>
      <c r="CV56" s="1">
        <v>246901</v>
      </c>
      <c r="CW56" s="1">
        <v>6846</v>
      </c>
      <c r="CX56" s="1">
        <v>1533</v>
      </c>
      <c r="CY56" s="1">
        <v>25366</v>
      </c>
      <c r="CZ56" s="1">
        <v>4163</v>
      </c>
      <c r="DA56" s="1">
        <v>6359</v>
      </c>
      <c r="DB56" s="1">
        <v>11992</v>
      </c>
      <c r="DC56" s="1">
        <v>3924</v>
      </c>
      <c r="DD56" s="1">
        <v>2652</v>
      </c>
      <c r="DE56" s="1">
        <v>1756</v>
      </c>
      <c r="DF56" s="1">
        <v>48303</v>
      </c>
      <c r="DG56" s="1">
        <v>14493</v>
      </c>
      <c r="DH56" s="1">
        <v>16482</v>
      </c>
      <c r="DI56" s="1">
        <v>3377</v>
      </c>
      <c r="DJ56" s="1">
        <v>24531</v>
      </c>
      <c r="DK56" s="1">
        <v>13139</v>
      </c>
      <c r="DL56" s="1">
        <v>9383</v>
      </c>
      <c r="DM56" s="1">
        <v>13103</v>
      </c>
      <c r="DN56" s="1">
        <v>16130</v>
      </c>
      <c r="DO56" s="1">
        <v>2431</v>
      </c>
      <c r="DP56" s="1">
        <v>6642</v>
      </c>
      <c r="DQ56" s="1">
        <v>51315</v>
      </c>
      <c r="DR56" s="1">
        <v>2741</v>
      </c>
      <c r="DS56" s="1">
        <v>4452</v>
      </c>
      <c r="DT56" s="1">
        <v>738</v>
      </c>
      <c r="DU56" s="1">
        <v>10091</v>
      </c>
      <c r="DV56" s="1">
        <v>4340</v>
      </c>
      <c r="DW56" s="1">
        <v>5440</v>
      </c>
      <c r="DX56" s="1">
        <v>10761</v>
      </c>
      <c r="DY56" s="1">
        <v>1783</v>
      </c>
      <c r="DZ56" s="1">
        <v>2655</v>
      </c>
      <c r="EA56" s="1">
        <v>10159</v>
      </c>
      <c r="EB56" s="1">
        <v>5752</v>
      </c>
      <c r="EC56" s="1">
        <v>627</v>
      </c>
      <c r="ED56" s="1">
        <v>1247</v>
      </c>
      <c r="EE56" s="1">
        <v>28536</v>
      </c>
      <c r="EF56" s="1">
        <v>3446</v>
      </c>
      <c r="EG56" s="1">
        <v>12580</v>
      </c>
      <c r="EH56" s="1">
        <v>21585</v>
      </c>
      <c r="EJ56" s="1">
        <f t="shared" si="0"/>
        <v>1502808</v>
      </c>
    </row>
    <row r="57" spans="1:140" x14ac:dyDescent="0.25">
      <c r="A57" s="1" t="s">
        <v>193</v>
      </c>
      <c r="B57" s="1">
        <v>3389</v>
      </c>
      <c r="C57" s="1">
        <v>5407</v>
      </c>
      <c r="D57" s="1">
        <v>130</v>
      </c>
      <c r="E57" s="1">
        <v>1724</v>
      </c>
      <c r="F57" s="1">
        <v>17</v>
      </c>
      <c r="G57" s="1">
        <v>16</v>
      </c>
      <c r="H57" s="1">
        <v>18633</v>
      </c>
      <c r="I57" s="1">
        <v>41</v>
      </c>
      <c r="J57" s="1">
        <v>960</v>
      </c>
      <c r="K57" s="1">
        <v>32</v>
      </c>
      <c r="L57" s="1">
        <v>1736</v>
      </c>
      <c r="M57" s="1">
        <v>122</v>
      </c>
      <c r="N57" s="1">
        <v>13138</v>
      </c>
      <c r="O57" s="1">
        <v>2456</v>
      </c>
      <c r="P57" s="1">
        <v>685</v>
      </c>
      <c r="Q57" s="1">
        <v>9647</v>
      </c>
      <c r="R57" s="1">
        <v>178</v>
      </c>
      <c r="S57" s="1">
        <v>2228</v>
      </c>
      <c r="T57" s="1">
        <v>2976</v>
      </c>
      <c r="U57" s="1">
        <v>2072</v>
      </c>
      <c r="V57" s="1">
        <v>7728</v>
      </c>
      <c r="W57" s="1">
        <v>3422</v>
      </c>
      <c r="X57" s="1">
        <v>665</v>
      </c>
      <c r="Y57" s="1">
        <v>807</v>
      </c>
      <c r="Z57" s="1">
        <v>2043</v>
      </c>
      <c r="AA57" s="1">
        <v>647</v>
      </c>
      <c r="AB57" s="1">
        <v>5367</v>
      </c>
      <c r="AC57" s="1">
        <v>754</v>
      </c>
      <c r="AD57" s="1">
        <v>544</v>
      </c>
      <c r="AE57" s="1">
        <v>1656</v>
      </c>
      <c r="AF57" s="1">
        <v>1568</v>
      </c>
      <c r="AG57">
        <v>23570</v>
      </c>
      <c r="AH57" s="1">
        <v>645</v>
      </c>
      <c r="AI57" s="1">
        <v>3798</v>
      </c>
      <c r="AJ57" s="1">
        <v>451</v>
      </c>
      <c r="AK57" s="1">
        <v>1922</v>
      </c>
      <c r="AL57" s="1">
        <v>4320</v>
      </c>
      <c r="AM57" s="1">
        <v>1112</v>
      </c>
      <c r="AN57" s="1">
        <v>413</v>
      </c>
      <c r="AO57" s="1">
        <v>13473</v>
      </c>
      <c r="AP57" s="1">
        <v>800</v>
      </c>
      <c r="AQ57" s="1">
        <v>103</v>
      </c>
      <c r="AR57" s="1">
        <v>2910</v>
      </c>
      <c r="AS57" s="1">
        <v>11496</v>
      </c>
      <c r="AT57" s="1">
        <v>1172</v>
      </c>
      <c r="AU57" s="1">
        <v>3879</v>
      </c>
      <c r="AV57" s="1">
        <v>4070</v>
      </c>
      <c r="AW57" s="1">
        <v>8467</v>
      </c>
      <c r="AX57" s="1">
        <v>21937</v>
      </c>
      <c r="AY57" s="1">
        <v>108</v>
      </c>
      <c r="AZ57" s="1">
        <v>772</v>
      </c>
      <c r="BA57" s="1">
        <v>7133</v>
      </c>
      <c r="BB57" s="1">
        <v>190</v>
      </c>
      <c r="BC57" s="1">
        <v>700</v>
      </c>
      <c r="BD57" s="1">
        <v>7353</v>
      </c>
      <c r="BE57" s="1">
        <v>4671</v>
      </c>
      <c r="BF57" s="1">
        <v>3102</v>
      </c>
      <c r="BG57" s="1">
        <v>4758</v>
      </c>
      <c r="BH57" s="1">
        <v>1451</v>
      </c>
      <c r="BI57" s="1">
        <v>28338</v>
      </c>
      <c r="BJ57" s="1">
        <v>5053</v>
      </c>
      <c r="BK57" s="1">
        <v>6683</v>
      </c>
      <c r="BL57" s="1">
        <v>3798</v>
      </c>
      <c r="BM57" s="1">
        <v>6104</v>
      </c>
      <c r="BN57" s="1">
        <v>2287</v>
      </c>
      <c r="BO57" s="1">
        <v>1266</v>
      </c>
      <c r="BP57" s="1">
        <v>27090</v>
      </c>
      <c r="BQ57" s="1">
        <v>3387</v>
      </c>
      <c r="BR57" s="1">
        <v>81604</v>
      </c>
      <c r="BS57" s="1">
        <v>9893</v>
      </c>
      <c r="BT57" s="1">
        <v>10636</v>
      </c>
      <c r="BU57" s="1">
        <v>22446</v>
      </c>
      <c r="BV57" s="1">
        <v>3461</v>
      </c>
      <c r="BW57" s="1">
        <v>14193</v>
      </c>
      <c r="BX57" s="1">
        <v>2770</v>
      </c>
      <c r="BY57" s="1">
        <v>5735</v>
      </c>
      <c r="BZ57" s="1">
        <v>22731</v>
      </c>
      <c r="CA57" s="1">
        <v>2669</v>
      </c>
      <c r="CB57" s="1">
        <v>938</v>
      </c>
      <c r="CC57" s="1">
        <v>7251</v>
      </c>
      <c r="CD57" s="1">
        <v>3669</v>
      </c>
      <c r="CE57" s="1">
        <v>3077</v>
      </c>
      <c r="CF57" s="1">
        <v>8326</v>
      </c>
      <c r="CG57" s="1">
        <v>94616</v>
      </c>
      <c r="CH57" s="1">
        <v>14659</v>
      </c>
      <c r="CI57" s="1">
        <v>27957</v>
      </c>
      <c r="CJ57" s="1">
        <v>7693</v>
      </c>
      <c r="CK57" s="1">
        <v>17882</v>
      </c>
      <c r="CL57" s="1">
        <v>10754</v>
      </c>
      <c r="CM57" s="1">
        <v>17820</v>
      </c>
      <c r="CN57" s="1">
        <v>47999</v>
      </c>
      <c r="CO57" s="1">
        <v>6647</v>
      </c>
      <c r="CP57" s="1">
        <v>3632</v>
      </c>
      <c r="CQ57" s="1">
        <v>4539</v>
      </c>
      <c r="CR57" s="1">
        <v>6815</v>
      </c>
      <c r="CS57" s="1">
        <v>31480</v>
      </c>
      <c r="CT57" s="1">
        <v>19850</v>
      </c>
      <c r="CU57" s="1">
        <v>1973</v>
      </c>
      <c r="CV57" s="1">
        <v>254972</v>
      </c>
      <c r="CW57" s="1">
        <v>6013</v>
      </c>
      <c r="CX57" s="1">
        <v>1745</v>
      </c>
      <c r="CY57" s="1">
        <v>24333</v>
      </c>
      <c r="CZ57" s="1">
        <v>3449</v>
      </c>
      <c r="DA57" s="1">
        <v>5282</v>
      </c>
      <c r="DB57" s="1">
        <v>11536</v>
      </c>
      <c r="DC57" s="1">
        <v>3766</v>
      </c>
      <c r="DD57" s="1">
        <v>2434</v>
      </c>
      <c r="DE57" s="1">
        <v>1834</v>
      </c>
      <c r="DF57" s="1">
        <v>47512</v>
      </c>
      <c r="DG57" s="1">
        <v>14710</v>
      </c>
      <c r="DH57" s="1">
        <v>16000</v>
      </c>
      <c r="DI57" s="1">
        <v>3338</v>
      </c>
      <c r="DJ57" s="1">
        <v>23827</v>
      </c>
      <c r="DK57" s="1">
        <v>14997</v>
      </c>
      <c r="DL57" s="1">
        <v>9290</v>
      </c>
      <c r="DM57" s="1">
        <v>13221</v>
      </c>
      <c r="DN57" s="1">
        <v>15115</v>
      </c>
      <c r="DO57" s="1">
        <v>2605</v>
      </c>
      <c r="DP57" s="1">
        <v>6832</v>
      </c>
      <c r="DQ57" s="1">
        <v>50736</v>
      </c>
      <c r="DR57" s="1">
        <v>2794</v>
      </c>
      <c r="DS57" s="1">
        <v>3932</v>
      </c>
      <c r="DT57" s="1">
        <v>828</v>
      </c>
      <c r="DU57" s="1">
        <v>9754</v>
      </c>
      <c r="DV57" s="1">
        <v>4970</v>
      </c>
      <c r="DW57" s="1">
        <v>4839</v>
      </c>
      <c r="DX57" s="1">
        <v>10113</v>
      </c>
      <c r="DY57" s="1">
        <v>1838</v>
      </c>
      <c r="DZ57" s="1">
        <v>2559</v>
      </c>
      <c r="EA57" s="1">
        <v>10183</v>
      </c>
      <c r="EB57" s="1">
        <v>4288</v>
      </c>
      <c r="EC57" s="1">
        <v>563</v>
      </c>
      <c r="ED57" s="1">
        <v>1140</v>
      </c>
      <c r="EE57" s="1">
        <v>30425</v>
      </c>
      <c r="EF57" s="1">
        <v>2993</v>
      </c>
      <c r="EG57" s="1">
        <v>12025</v>
      </c>
      <c r="EH57" s="1">
        <v>23931</v>
      </c>
      <c r="EJ57" s="1">
        <f t="shared" si="0"/>
        <v>1484007</v>
      </c>
    </row>
    <row r="58" spans="1:140" x14ac:dyDescent="0.25">
      <c r="A58" s="1" t="s">
        <v>194</v>
      </c>
      <c r="B58" s="1">
        <v>3680</v>
      </c>
      <c r="C58" s="1">
        <v>5191</v>
      </c>
      <c r="D58" s="1">
        <v>176</v>
      </c>
      <c r="E58" s="1">
        <v>1705</v>
      </c>
      <c r="F58" s="1">
        <v>12</v>
      </c>
      <c r="G58" s="1">
        <v>22</v>
      </c>
      <c r="H58" s="1">
        <v>19293</v>
      </c>
      <c r="I58" s="1">
        <v>44</v>
      </c>
      <c r="J58" s="1">
        <v>1129</v>
      </c>
      <c r="K58" s="1">
        <v>32</v>
      </c>
      <c r="L58" s="1">
        <v>1628</v>
      </c>
      <c r="M58" s="1">
        <v>128</v>
      </c>
      <c r="N58" s="1">
        <v>12832</v>
      </c>
      <c r="O58" s="1">
        <v>2152</v>
      </c>
      <c r="P58" s="1">
        <v>761</v>
      </c>
      <c r="Q58" s="1">
        <v>8677</v>
      </c>
      <c r="R58" s="1">
        <v>81</v>
      </c>
      <c r="S58" s="1">
        <v>1992</v>
      </c>
      <c r="T58" s="1">
        <v>3044</v>
      </c>
      <c r="U58" s="1">
        <v>2846</v>
      </c>
      <c r="V58" s="1">
        <v>7232</v>
      </c>
      <c r="W58" s="1">
        <v>3185</v>
      </c>
      <c r="X58" s="1">
        <v>560</v>
      </c>
      <c r="Y58" s="1">
        <v>825</v>
      </c>
      <c r="Z58" s="1">
        <v>1397</v>
      </c>
      <c r="AA58" s="1">
        <v>558</v>
      </c>
      <c r="AB58" s="1">
        <v>5577</v>
      </c>
      <c r="AC58" s="1">
        <v>655</v>
      </c>
      <c r="AD58" s="1">
        <v>391</v>
      </c>
      <c r="AE58" s="1">
        <v>1528</v>
      </c>
      <c r="AF58" s="1">
        <v>1081</v>
      </c>
      <c r="AG58">
        <v>24214</v>
      </c>
      <c r="AH58" s="1">
        <v>565</v>
      </c>
      <c r="AI58" s="1">
        <v>2091</v>
      </c>
      <c r="AJ58" s="1">
        <v>417</v>
      </c>
      <c r="AK58" s="1">
        <v>1720</v>
      </c>
      <c r="AL58" s="1">
        <v>4458</v>
      </c>
      <c r="AM58" s="1">
        <v>594</v>
      </c>
      <c r="AN58" s="1">
        <v>325</v>
      </c>
      <c r="AO58" s="1">
        <v>10366</v>
      </c>
      <c r="AP58" s="1">
        <v>644</v>
      </c>
      <c r="AQ58" s="1">
        <v>121</v>
      </c>
      <c r="AR58" s="1">
        <v>2607</v>
      </c>
      <c r="AS58" s="1">
        <v>6782</v>
      </c>
      <c r="AT58" s="1">
        <v>1032</v>
      </c>
      <c r="AU58" s="1">
        <v>4787</v>
      </c>
      <c r="AV58" s="1">
        <v>3823</v>
      </c>
      <c r="AW58" s="1">
        <v>20960</v>
      </c>
      <c r="AX58" s="1">
        <v>33929</v>
      </c>
      <c r="AY58" s="1">
        <v>104</v>
      </c>
      <c r="AZ58" s="1">
        <v>656</v>
      </c>
      <c r="BA58" s="1">
        <v>42211</v>
      </c>
      <c r="BB58" s="1">
        <v>280</v>
      </c>
      <c r="BC58" s="1">
        <v>826</v>
      </c>
      <c r="BD58" s="1">
        <v>8281</v>
      </c>
      <c r="BE58" s="1">
        <v>3593</v>
      </c>
      <c r="BF58" s="1">
        <v>3555</v>
      </c>
      <c r="BG58" s="1">
        <v>5005</v>
      </c>
      <c r="BH58" s="1">
        <v>1537</v>
      </c>
      <c r="BI58" s="1">
        <v>30033</v>
      </c>
      <c r="BJ58" s="1">
        <v>4653</v>
      </c>
      <c r="BK58" s="1">
        <v>6519</v>
      </c>
      <c r="BL58" s="1">
        <v>3807</v>
      </c>
      <c r="BM58" s="1">
        <v>5211</v>
      </c>
      <c r="BN58" s="1">
        <v>1310</v>
      </c>
      <c r="BO58" s="1">
        <v>1211</v>
      </c>
      <c r="BP58" s="1">
        <v>25908</v>
      </c>
      <c r="BQ58" s="1">
        <v>3750</v>
      </c>
      <c r="BR58" s="1">
        <v>90478</v>
      </c>
      <c r="BS58" s="1">
        <v>11772</v>
      </c>
      <c r="BT58" s="1">
        <v>10635</v>
      </c>
      <c r="BU58" s="1">
        <v>20311</v>
      </c>
      <c r="BV58" s="1">
        <v>3052</v>
      </c>
      <c r="BW58" s="1">
        <v>13253</v>
      </c>
      <c r="BX58" s="1">
        <v>2504</v>
      </c>
      <c r="BY58" s="1">
        <v>5646</v>
      </c>
      <c r="BZ58" s="1">
        <v>22042</v>
      </c>
      <c r="CA58" s="1">
        <v>2366</v>
      </c>
      <c r="CB58" s="1">
        <v>851</v>
      </c>
      <c r="CC58" s="1">
        <v>7762</v>
      </c>
      <c r="CD58" s="1">
        <v>4051</v>
      </c>
      <c r="CE58" s="1">
        <v>3338</v>
      </c>
      <c r="CF58" s="1">
        <v>8182</v>
      </c>
      <c r="CG58" s="1">
        <v>99134</v>
      </c>
      <c r="CH58" s="1">
        <v>14255</v>
      </c>
      <c r="CI58" s="1">
        <v>26909</v>
      </c>
      <c r="CJ58" s="1">
        <v>7496</v>
      </c>
      <c r="CK58" s="1">
        <v>16524</v>
      </c>
      <c r="CL58" s="1">
        <v>10896</v>
      </c>
      <c r="CM58" s="1">
        <v>17119</v>
      </c>
      <c r="CN58" s="1">
        <v>48441</v>
      </c>
      <c r="CO58" s="1">
        <v>6128</v>
      </c>
      <c r="CP58" s="1">
        <v>3674</v>
      </c>
      <c r="CQ58" s="1">
        <v>4663</v>
      </c>
      <c r="CR58" s="1">
        <v>7630</v>
      </c>
      <c r="CS58" s="1">
        <v>31902</v>
      </c>
      <c r="CT58" s="1">
        <v>21009</v>
      </c>
      <c r="CU58" s="1">
        <v>1596</v>
      </c>
      <c r="CV58" s="1">
        <v>259595</v>
      </c>
      <c r="CW58" s="1">
        <v>6043</v>
      </c>
      <c r="CX58" s="1">
        <v>2152</v>
      </c>
      <c r="CY58" s="1">
        <v>25863</v>
      </c>
      <c r="CZ58" s="1">
        <v>3464</v>
      </c>
      <c r="DA58" s="1">
        <v>6097</v>
      </c>
      <c r="DB58" s="1">
        <v>12235</v>
      </c>
      <c r="DC58" s="1">
        <v>3991</v>
      </c>
      <c r="DD58" s="1">
        <v>2869</v>
      </c>
      <c r="DE58" s="1">
        <v>1940</v>
      </c>
      <c r="DF58" s="1">
        <v>49003</v>
      </c>
      <c r="DG58" s="1">
        <v>14500</v>
      </c>
      <c r="DH58" s="1">
        <v>16447</v>
      </c>
      <c r="DI58" s="1">
        <v>3216</v>
      </c>
      <c r="DJ58" s="1">
        <v>24423</v>
      </c>
      <c r="DK58" s="1">
        <v>14929</v>
      </c>
      <c r="DL58" s="1">
        <v>9263</v>
      </c>
      <c r="DM58" s="1">
        <v>12741</v>
      </c>
      <c r="DN58" s="1">
        <v>15717</v>
      </c>
      <c r="DO58" s="1">
        <v>2574</v>
      </c>
      <c r="DP58" s="1">
        <v>7287</v>
      </c>
      <c r="DQ58" s="1">
        <v>52131</v>
      </c>
      <c r="DR58" s="1">
        <v>2877</v>
      </c>
      <c r="DS58" s="1">
        <v>4573</v>
      </c>
      <c r="DT58" s="1">
        <v>857</v>
      </c>
      <c r="DU58" s="1">
        <v>10482</v>
      </c>
      <c r="DV58" s="1">
        <v>4400</v>
      </c>
      <c r="DW58" s="1">
        <v>4853</v>
      </c>
      <c r="DX58" s="1">
        <v>11097</v>
      </c>
      <c r="DY58" s="1">
        <v>1727</v>
      </c>
      <c r="DZ58" s="1">
        <v>2540</v>
      </c>
      <c r="EA58" s="1">
        <v>10090</v>
      </c>
      <c r="EB58" s="1">
        <v>5159</v>
      </c>
      <c r="EC58" s="1">
        <v>722</v>
      </c>
      <c r="ED58" s="1">
        <v>1084</v>
      </c>
      <c r="EE58" s="1">
        <v>31583</v>
      </c>
      <c r="EF58" s="1">
        <v>2812</v>
      </c>
      <c r="EG58" s="1">
        <v>11858</v>
      </c>
      <c r="EH58" s="1">
        <v>21459</v>
      </c>
      <c r="EJ58" s="1">
        <f t="shared" si="0"/>
        <v>1554571</v>
      </c>
    </row>
    <row r="59" spans="1:140" x14ac:dyDescent="0.25">
      <c r="A59" s="1" t="s">
        <v>195</v>
      </c>
      <c r="B59" s="1">
        <v>4279</v>
      </c>
      <c r="C59" s="1">
        <v>5118</v>
      </c>
      <c r="D59" s="1">
        <v>160</v>
      </c>
      <c r="E59" s="1">
        <v>1765</v>
      </c>
      <c r="F59" s="1">
        <v>3</v>
      </c>
      <c r="G59" s="1">
        <v>38</v>
      </c>
      <c r="H59" s="1">
        <v>17300</v>
      </c>
      <c r="I59" s="1">
        <v>53</v>
      </c>
      <c r="J59" s="1">
        <v>1431</v>
      </c>
      <c r="K59" s="1">
        <v>46</v>
      </c>
      <c r="L59" s="1">
        <v>1531</v>
      </c>
      <c r="M59" s="1">
        <v>141</v>
      </c>
      <c r="N59" s="1">
        <v>11720</v>
      </c>
      <c r="O59" s="1">
        <v>1600</v>
      </c>
      <c r="P59" s="1">
        <v>677</v>
      </c>
      <c r="Q59" s="1">
        <v>9155</v>
      </c>
      <c r="R59" s="1">
        <v>70</v>
      </c>
      <c r="S59" s="1">
        <v>2154</v>
      </c>
      <c r="T59" s="1">
        <v>2533</v>
      </c>
      <c r="U59" s="1">
        <v>2710</v>
      </c>
      <c r="V59" s="1">
        <v>7514</v>
      </c>
      <c r="W59" s="1">
        <v>2702</v>
      </c>
      <c r="X59" s="1">
        <v>732</v>
      </c>
      <c r="Y59" s="1">
        <v>750</v>
      </c>
      <c r="Z59" s="1">
        <v>1826</v>
      </c>
      <c r="AA59" s="1">
        <v>618</v>
      </c>
      <c r="AB59" s="1">
        <v>4995</v>
      </c>
      <c r="AC59" s="1">
        <v>855</v>
      </c>
      <c r="AD59" s="1">
        <v>436</v>
      </c>
      <c r="AE59" s="1">
        <v>1133</v>
      </c>
      <c r="AF59" s="1">
        <v>1398</v>
      </c>
      <c r="AG59">
        <v>24571</v>
      </c>
      <c r="AH59" s="1">
        <v>459</v>
      </c>
      <c r="AI59" s="1">
        <v>1796</v>
      </c>
      <c r="AJ59" s="1">
        <v>332</v>
      </c>
      <c r="AK59" s="1">
        <v>1830</v>
      </c>
      <c r="AL59" s="1">
        <v>3365</v>
      </c>
      <c r="AM59" s="1">
        <v>754</v>
      </c>
      <c r="AN59" s="1">
        <v>431</v>
      </c>
      <c r="AO59" s="1">
        <v>9419</v>
      </c>
      <c r="AP59" s="1">
        <v>576</v>
      </c>
      <c r="AQ59" s="1">
        <v>127</v>
      </c>
      <c r="AR59" s="1">
        <v>2140</v>
      </c>
      <c r="AS59" s="1">
        <v>5430</v>
      </c>
      <c r="AT59" s="1">
        <v>918</v>
      </c>
      <c r="AU59" s="1">
        <v>2857</v>
      </c>
      <c r="AV59" s="1">
        <v>3708</v>
      </c>
      <c r="AW59" s="1">
        <v>5468</v>
      </c>
      <c r="AX59" s="1">
        <v>25783</v>
      </c>
      <c r="AY59" s="1">
        <v>88</v>
      </c>
      <c r="AZ59" s="1">
        <v>784</v>
      </c>
      <c r="BA59" s="1">
        <v>13872</v>
      </c>
      <c r="BB59" s="1">
        <v>338</v>
      </c>
      <c r="BC59" s="1">
        <v>804</v>
      </c>
      <c r="BD59" s="1">
        <v>7493</v>
      </c>
      <c r="BE59" s="1">
        <v>4429</v>
      </c>
      <c r="BF59" s="1">
        <v>2436</v>
      </c>
      <c r="BG59" s="1">
        <v>4940</v>
      </c>
      <c r="BH59" s="1">
        <v>1354</v>
      </c>
      <c r="BI59" s="1">
        <v>31039</v>
      </c>
      <c r="BJ59" s="1">
        <v>3524</v>
      </c>
      <c r="BK59" s="1">
        <v>5994</v>
      </c>
      <c r="BL59" s="1">
        <v>3987</v>
      </c>
      <c r="BM59" s="1">
        <v>5322</v>
      </c>
      <c r="BN59" s="1">
        <v>1234</v>
      </c>
      <c r="BO59" s="1">
        <v>1262</v>
      </c>
      <c r="BP59" s="1">
        <v>24707</v>
      </c>
      <c r="BQ59" s="1">
        <v>3248</v>
      </c>
      <c r="BR59" s="1">
        <v>79098</v>
      </c>
      <c r="BS59" s="1">
        <v>10607</v>
      </c>
      <c r="BT59" s="1">
        <v>9307</v>
      </c>
      <c r="BU59" s="1">
        <v>18594</v>
      </c>
      <c r="BV59" s="1">
        <v>2684</v>
      </c>
      <c r="BW59" s="1">
        <v>12766</v>
      </c>
      <c r="BX59" s="1">
        <v>2338</v>
      </c>
      <c r="BY59" s="1">
        <v>4975</v>
      </c>
      <c r="BZ59" s="1">
        <v>21909</v>
      </c>
      <c r="CA59" s="1">
        <v>2052</v>
      </c>
      <c r="CB59" s="1">
        <v>761</v>
      </c>
      <c r="CC59" s="1">
        <v>6799</v>
      </c>
      <c r="CD59" s="1">
        <v>3806</v>
      </c>
      <c r="CE59" s="1">
        <v>3510</v>
      </c>
      <c r="CF59" s="1">
        <v>7544</v>
      </c>
      <c r="CG59" s="1">
        <v>98928</v>
      </c>
      <c r="CH59" s="1">
        <v>13113</v>
      </c>
      <c r="CI59" s="1">
        <v>24639</v>
      </c>
      <c r="CJ59" s="1">
        <v>6659</v>
      </c>
      <c r="CK59" s="1">
        <v>15819</v>
      </c>
      <c r="CL59" s="1">
        <v>9241</v>
      </c>
      <c r="CM59" s="1">
        <v>16502</v>
      </c>
      <c r="CN59" s="1">
        <v>46091</v>
      </c>
      <c r="CO59" s="1">
        <v>6140</v>
      </c>
      <c r="CP59" s="1">
        <v>3887</v>
      </c>
      <c r="CQ59" s="1">
        <v>3908</v>
      </c>
      <c r="CR59" s="1">
        <v>7457</v>
      </c>
      <c r="CS59" s="1">
        <v>30807</v>
      </c>
      <c r="CT59" s="1">
        <v>19589</v>
      </c>
      <c r="CU59" s="1">
        <v>1783</v>
      </c>
      <c r="CV59" s="1">
        <v>248523</v>
      </c>
      <c r="CW59" s="1">
        <v>5628</v>
      </c>
      <c r="CX59" s="1">
        <v>1838</v>
      </c>
      <c r="CY59" s="1">
        <v>25200</v>
      </c>
      <c r="CZ59" s="1">
        <v>3169</v>
      </c>
      <c r="DA59" s="1">
        <v>5855</v>
      </c>
      <c r="DB59" s="1">
        <v>11547</v>
      </c>
      <c r="DC59" s="1">
        <v>3584</v>
      </c>
      <c r="DD59" s="1">
        <v>2757</v>
      </c>
      <c r="DE59" s="1">
        <v>1701</v>
      </c>
      <c r="DF59" s="1">
        <v>49731</v>
      </c>
      <c r="DG59" s="1">
        <v>15685</v>
      </c>
      <c r="DH59" s="1">
        <v>16213</v>
      </c>
      <c r="DI59" s="1">
        <v>5140</v>
      </c>
      <c r="DJ59" s="1">
        <v>25332</v>
      </c>
      <c r="DK59" s="1">
        <v>14374</v>
      </c>
      <c r="DL59" s="1">
        <v>9039</v>
      </c>
      <c r="DM59" s="1">
        <v>13934</v>
      </c>
      <c r="DN59" s="1">
        <v>17238</v>
      </c>
      <c r="DO59" s="1">
        <v>2755</v>
      </c>
      <c r="DP59" s="1">
        <v>7641</v>
      </c>
      <c r="DQ59" s="1">
        <v>51945</v>
      </c>
      <c r="DR59" s="1">
        <v>3287</v>
      </c>
      <c r="DS59" s="1">
        <v>5817</v>
      </c>
      <c r="DT59" s="1">
        <v>824</v>
      </c>
      <c r="DU59" s="1">
        <v>11009</v>
      </c>
      <c r="DV59" s="1">
        <v>4545</v>
      </c>
      <c r="DW59" s="1">
        <v>5112</v>
      </c>
      <c r="DX59" s="1">
        <v>9938</v>
      </c>
      <c r="DY59" s="1">
        <v>1634</v>
      </c>
      <c r="DZ59" s="1">
        <v>2564</v>
      </c>
      <c r="EA59" s="1">
        <v>9782</v>
      </c>
      <c r="EB59" s="1">
        <v>5166</v>
      </c>
      <c r="EC59" s="1">
        <v>601</v>
      </c>
      <c r="ED59" s="1">
        <v>1037</v>
      </c>
      <c r="EE59" s="1">
        <v>30175</v>
      </c>
      <c r="EF59" s="1">
        <v>3079</v>
      </c>
      <c r="EG59" s="1">
        <v>12487</v>
      </c>
      <c r="EH59" s="1">
        <v>21744</v>
      </c>
      <c r="EJ59" s="1">
        <f t="shared" si="0"/>
        <v>1451205</v>
      </c>
    </row>
    <row r="60" spans="1:140" x14ac:dyDescent="0.25">
      <c r="A60" s="1" t="s">
        <v>196</v>
      </c>
      <c r="B60" s="1">
        <v>3371</v>
      </c>
      <c r="C60" s="1">
        <v>4863</v>
      </c>
      <c r="D60" s="1">
        <v>114</v>
      </c>
      <c r="E60" s="1">
        <v>1470</v>
      </c>
      <c r="F60" s="1">
        <v>25</v>
      </c>
      <c r="G60" s="1">
        <v>8</v>
      </c>
      <c r="H60" s="1">
        <v>12618</v>
      </c>
      <c r="I60" s="1">
        <v>15</v>
      </c>
      <c r="J60" s="1">
        <v>1188</v>
      </c>
      <c r="K60" s="1">
        <v>42</v>
      </c>
      <c r="L60" s="1">
        <v>1089</v>
      </c>
      <c r="M60" s="1">
        <v>68</v>
      </c>
      <c r="N60" s="1">
        <v>10352</v>
      </c>
      <c r="O60" s="1">
        <v>1552</v>
      </c>
      <c r="P60" s="1">
        <v>548</v>
      </c>
      <c r="Q60" s="1">
        <v>7802</v>
      </c>
      <c r="R60" s="1">
        <v>32</v>
      </c>
      <c r="S60" s="1">
        <v>1806</v>
      </c>
      <c r="T60" s="1">
        <v>2462</v>
      </c>
      <c r="U60" s="1">
        <v>2049</v>
      </c>
      <c r="V60" s="1">
        <v>7096</v>
      </c>
      <c r="W60" s="1">
        <v>2261</v>
      </c>
      <c r="X60" s="1">
        <v>756</v>
      </c>
      <c r="Y60" s="1">
        <v>721</v>
      </c>
      <c r="Z60" s="1">
        <v>1711</v>
      </c>
      <c r="AA60" s="1">
        <v>618</v>
      </c>
      <c r="AB60" s="1">
        <v>5114</v>
      </c>
      <c r="AC60" s="1">
        <v>824</v>
      </c>
      <c r="AD60" s="1">
        <v>416</v>
      </c>
      <c r="AE60" s="1">
        <v>1338</v>
      </c>
      <c r="AF60" s="1">
        <v>2275</v>
      </c>
      <c r="AG60">
        <v>24365</v>
      </c>
      <c r="AH60" s="1">
        <v>297</v>
      </c>
      <c r="AI60" s="1">
        <v>1501</v>
      </c>
      <c r="AJ60" s="1">
        <v>326</v>
      </c>
      <c r="AK60" s="1">
        <v>1506</v>
      </c>
      <c r="AL60" s="1">
        <v>2894</v>
      </c>
      <c r="AM60" s="1">
        <v>659</v>
      </c>
      <c r="AN60" s="1">
        <v>220</v>
      </c>
      <c r="AO60" s="1">
        <v>8937</v>
      </c>
      <c r="AP60" s="1">
        <v>702</v>
      </c>
      <c r="AQ60" s="1">
        <v>92</v>
      </c>
      <c r="AR60" s="1">
        <v>2107</v>
      </c>
      <c r="AS60" s="1">
        <v>5303</v>
      </c>
      <c r="AT60" s="1">
        <v>842</v>
      </c>
      <c r="AU60" s="1">
        <v>2829</v>
      </c>
      <c r="AV60" s="1">
        <v>3955</v>
      </c>
      <c r="AW60" s="1">
        <v>3310</v>
      </c>
      <c r="AX60" s="1">
        <v>23890</v>
      </c>
      <c r="AY60" s="1">
        <v>58</v>
      </c>
      <c r="AZ60" s="1">
        <v>882</v>
      </c>
      <c r="BA60" s="1">
        <v>5966</v>
      </c>
      <c r="BB60" s="1">
        <v>304</v>
      </c>
      <c r="BC60" s="1">
        <v>941</v>
      </c>
      <c r="BD60" s="1">
        <v>6682</v>
      </c>
      <c r="BE60" s="1">
        <v>3582</v>
      </c>
      <c r="BF60" s="1">
        <v>1660</v>
      </c>
      <c r="BG60" s="1">
        <v>4609</v>
      </c>
      <c r="BH60" s="1">
        <v>1537</v>
      </c>
      <c r="BI60" s="1">
        <v>28252</v>
      </c>
      <c r="BJ60" s="1">
        <v>3486</v>
      </c>
      <c r="BK60" s="1">
        <v>5733</v>
      </c>
      <c r="BL60" s="1">
        <v>2747</v>
      </c>
      <c r="BM60" s="1">
        <v>5074</v>
      </c>
      <c r="BN60" s="1">
        <v>1057</v>
      </c>
      <c r="BO60" s="1">
        <v>1106</v>
      </c>
      <c r="BP60" s="1">
        <v>21899</v>
      </c>
      <c r="BQ60" s="1">
        <v>2579</v>
      </c>
      <c r="BR60" s="1">
        <v>66956</v>
      </c>
      <c r="BS60" s="1">
        <v>8611</v>
      </c>
      <c r="BT60" s="1">
        <v>7700</v>
      </c>
      <c r="BU60" s="1">
        <v>15972</v>
      </c>
      <c r="BV60" s="1">
        <v>2719</v>
      </c>
      <c r="BW60" s="1">
        <v>11676</v>
      </c>
      <c r="BX60" s="1">
        <v>2120</v>
      </c>
      <c r="BY60" s="1">
        <v>4775</v>
      </c>
      <c r="BZ60" s="1">
        <v>20192</v>
      </c>
      <c r="CA60" s="1">
        <v>1981</v>
      </c>
      <c r="CB60" s="1">
        <v>760</v>
      </c>
      <c r="CC60" s="1">
        <v>6895</v>
      </c>
      <c r="CD60" s="1">
        <v>3756</v>
      </c>
      <c r="CE60" s="1">
        <v>3721</v>
      </c>
      <c r="CF60" s="1">
        <v>6619</v>
      </c>
      <c r="CG60" s="1">
        <v>96173</v>
      </c>
      <c r="CH60" s="1">
        <v>10766</v>
      </c>
      <c r="CI60" s="1">
        <v>20356</v>
      </c>
      <c r="CJ60" s="1">
        <v>5374</v>
      </c>
      <c r="CK60" s="1">
        <v>13859</v>
      </c>
      <c r="CL60" s="1">
        <v>7509</v>
      </c>
      <c r="CM60" s="1">
        <v>13280</v>
      </c>
      <c r="CN60" s="1">
        <v>39524</v>
      </c>
      <c r="CO60" s="1">
        <v>5191</v>
      </c>
      <c r="CP60" s="1">
        <v>2735</v>
      </c>
      <c r="CQ60" s="1">
        <v>3651</v>
      </c>
      <c r="CR60" s="1">
        <v>6162</v>
      </c>
      <c r="CS60" s="1">
        <v>26268</v>
      </c>
      <c r="CT60" s="1">
        <v>19101</v>
      </c>
      <c r="CU60" s="1">
        <v>1834</v>
      </c>
      <c r="CV60" s="1">
        <v>218840</v>
      </c>
      <c r="CW60" s="1">
        <v>4415</v>
      </c>
      <c r="CX60" s="1">
        <v>1435</v>
      </c>
      <c r="CY60" s="1">
        <v>20778</v>
      </c>
      <c r="CZ60" s="1">
        <v>2826</v>
      </c>
      <c r="DA60" s="1">
        <v>5369</v>
      </c>
      <c r="DB60" s="1">
        <v>10514</v>
      </c>
      <c r="DC60" s="1">
        <v>2852</v>
      </c>
      <c r="DD60" s="1">
        <v>2375</v>
      </c>
      <c r="DE60" s="1">
        <v>1463</v>
      </c>
      <c r="DF60" s="1">
        <v>41648</v>
      </c>
      <c r="DG60" s="1">
        <v>13263</v>
      </c>
      <c r="DH60" s="1">
        <v>12518</v>
      </c>
      <c r="DI60" s="1">
        <v>4923</v>
      </c>
      <c r="DJ60" s="1">
        <v>18958</v>
      </c>
      <c r="DK60" s="1">
        <v>13738</v>
      </c>
      <c r="DL60" s="1">
        <v>8772</v>
      </c>
      <c r="DM60" s="1">
        <v>12207</v>
      </c>
      <c r="DN60" s="1">
        <v>14982</v>
      </c>
      <c r="DO60" s="1">
        <v>2653</v>
      </c>
      <c r="DP60" s="1">
        <v>6961</v>
      </c>
      <c r="DQ60" s="1">
        <v>48573</v>
      </c>
      <c r="DR60" s="1">
        <v>3182</v>
      </c>
      <c r="DS60" s="1">
        <v>6951</v>
      </c>
      <c r="DT60" s="1">
        <v>602</v>
      </c>
      <c r="DU60" s="1">
        <v>9487</v>
      </c>
      <c r="DV60" s="1">
        <v>3859</v>
      </c>
      <c r="DW60" s="1">
        <v>4042</v>
      </c>
      <c r="DX60" s="1">
        <v>7187</v>
      </c>
      <c r="DY60" s="1">
        <v>1470</v>
      </c>
      <c r="DZ60" s="1">
        <v>2028</v>
      </c>
      <c r="EA60" s="1">
        <v>8121</v>
      </c>
      <c r="EB60" s="1">
        <v>3240</v>
      </c>
      <c r="EC60" s="1">
        <v>488</v>
      </c>
      <c r="ED60" s="1">
        <v>862</v>
      </c>
      <c r="EE60" s="1">
        <v>26398</v>
      </c>
      <c r="EF60" s="1">
        <v>2784</v>
      </c>
      <c r="EG60" s="1">
        <v>10073</v>
      </c>
      <c r="EH60" s="1">
        <v>22108</v>
      </c>
      <c r="EJ60" s="1">
        <f t="shared" si="0"/>
        <v>1275674</v>
      </c>
    </row>
    <row r="61" spans="1:140" x14ac:dyDescent="0.25">
      <c r="A61" s="1" t="s">
        <v>197</v>
      </c>
      <c r="B61" s="1">
        <v>2756</v>
      </c>
      <c r="C61" s="1">
        <v>3351</v>
      </c>
      <c r="D61" s="1">
        <v>88</v>
      </c>
      <c r="E61" s="1">
        <v>960</v>
      </c>
      <c r="F61" s="1">
        <v>5</v>
      </c>
      <c r="G61" s="1">
        <v>9</v>
      </c>
      <c r="H61" s="1">
        <v>7577</v>
      </c>
      <c r="I61" s="1">
        <v>28</v>
      </c>
      <c r="J61" s="1">
        <v>638</v>
      </c>
      <c r="K61" s="1">
        <v>11</v>
      </c>
      <c r="L61" s="1">
        <v>599</v>
      </c>
      <c r="M61" s="1">
        <v>51</v>
      </c>
      <c r="N61" s="1">
        <v>8442</v>
      </c>
      <c r="O61" s="1">
        <v>728</v>
      </c>
      <c r="P61" s="1">
        <v>381</v>
      </c>
      <c r="Q61" s="1">
        <v>4272</v>
      </c>
      <c r="R61" s="1">
        <v>15</v>
      </c>
      <c r="S61" s="1">
        <v>1276</v>
      </c>
      <c r="T61" s="1">
        <v>1848</v>
      </c>
      <c r="U61" s="1">
        <v>1295</v>
      </c>
      <c r="V61" s="1">
        <v>4760</v>
      </c>
      <c r="W61" s="1">
        <v>1689</v>
      </c>
      <c r="X61" s="1">
        <v>329</v>
      </c>
      <c r="Y61" s="1">
        <v>339</v>
      </c>
      <c r="Z61" s="1">
        <v>829</v>
      </c>
      <c r="AA61" s="1">
        <v>364</v>
      </c>
      <c r="AB61" s="1">
        <v>3353</v>
      </c>
      <c r="AC61" s="1">
        <v>394</v>
      </c>
      <c r="AD61" s="1">
        <v>214</v>
      </c>
      <c r="AE61" s="1">
        <v>756</v>
      </c>
      <c r="AF61" s="1">
        <v>549</v>
      </c>
      <c r="AG61">
        <v>16926</v>
      </c>
      <c r="AH61" s="1">
        <v>229</v>
      </c>
      <c r="AI61" s="1">
        <v>906</v>
      </c>
      <c r="AJ61" s="1">
        <v>166</v>
      </c>
      <c r="AK61" s="1">
        <v>1081</v>
      </c>
      <c r="AL61" s="1">
        <v>2220</v>
      </c>
      <c r="AM61" s="1">
        <v>527</v>
      </c>
      <c r="AN61" s="1">
        <v>197</v>
      </c>
      <c r="AO61" s="1">
        <v>6607</v>
      </c>
      <c r="AP61" s="1">
        <v>314</v>
      </c>
      <c r="AQ61" s="1">
        <v>52</v>
      </c>
      <c r="AR61" s="1">
        <v>1461</v>
      </c>
      <c r="AS61" s="1">
        <v>3742</v>
      </c>
      <c r="AT61" s="1">
        <v>621</v>
      </c>
      <c r="AU61" s="1">
        <v>2083</v>
      </c>
      <c r="AV61" s="1">
        <v>2554</v>
      </c>
      <c r="AW61" s="1">
        <v>1500</v>
      </c>
      <c r="AX61" s="1">
        <v>16921</v>
      </c>
      <c r="AY61" s="1">
        <v>62</v>
      </c>
      <c r="AZ61" s="1">
        <v>442</v>
      </c>
      <c r="BA61" s="1">
        <v>4286</v>
      </c>
      <c r="BB61" s="1">
        <v>92</v>
      </c>
      <c r="BC61" s="1">
        <v>445</v>
      </c>
      <c r="BD61" s="1">
        <v>4515</v>
      </c>
      <c r="BE61" s="1">
        <v>1713</v>
      </c>
      <c r="BF61" s="1">
        <v>1172</v>
      </c>
      <c r="BG61" s="1">
        <v>2743</v>
      </c>
      <c r="BH61" s="1">
        <v>931</v>
      </c>
      <c r="BI61" s="1">
        <v>20644</v>
      </c>
      <c r="BJ61" s="1">
        <v>2828</v>
      </c>
      <c r="BK61" s="1">
        <v>4773</v>
      </c>
      <c r="BL61" s="1">
        <v>1837</v>
      </c>
      <c r="BM61" s="1">
        <v>3390</v>
      </c>
      <c r="BN61" s="1">
        <v>561</v>
      </c>
      <c r="BO61" s="1">
        <v>796</v>
      </c>
      <c r="BP61" s="1">
        <v>15816</v>
      </c>
      <c r="BQ61" s="1">
        <v>1742</v>
      </c>
      <c r="BR61" s="1">
        <v>47929</v>
      </c>
      <c r="BS61" s="1">
        <v>6366</v>
      </c>
      <c r="BT61" s="1">
        <v>4928</v>
      </c>
      <c r="BU61" s="1">
        <v>10627</v>
      </c>
      <c r="BV61" s="1">
        <v>1936</v>
      </c>
      <c r="BW61" s="1">
        <v>8632</v>
      </c>
      <c r="BX61" s="1">
        <v>1262</v>
      </c>
      <c r="BY61" s="1">
        <v>3873</v>
      </c>
      <c r="BZ61" s="1">
        <v>14550</v>
      </c>
      <c r="CA61" s="1">
        <v>1320</v>
      </c>
      <c r="CB61" s="1">
        <v>477</v>
      </c>
      <c r="CC61" s="1">
        <v>5279</v>
      </c>
      <c r="CD61" s="1">
        <v>2374</v>
      </c>
      <c r="CE61" s="1">
        <v>3398</v>
      </c>
      <c r="CF61" s="1">
        <v>5357</v>
      </c>
      <c r="CG61" s="1">
        <v>73975</v>
      </c>
      <c r="CH61" s="1">
        <v>6872</v>
      </c>
      <c r="CI61" s="1">
        <v>13899</v>
      </c>
      <c r="CJ61" s="1">
        <v>2575</v>
      </c>
      <c r="CK61" s="1">
        <v>8788</v>
      </c>
      <c r="CL61" s="1">
        <v>5024</v>
      </c>
      <c r="CM61" s="1">
        <v>8884</v>
      </c>
      <c r="CN61" s="1">
        <v>25868</v>
      </c>
      <c r="CO61" s="1">
        <v>3266</v>
      </c>
      <c r="CP61" s="1">
        <v>1904</v>
      </c>
      <c r="CQ61" s="1">
        <v>2278</v>
      </c>
      <c r="CR61" s="1">
        <v>3915</v>
      </c>
      <c r="CS61" s="1">
        <v>17181</v>
      </c>
      <c r="CT61" s="1">
        <v>13579</v>
      </c>
      <c r="CU61" s="1">
        <v>1612</v>
      </c>
      <c r="CV61" s="1">
        <v>155756</v>
      </c>
      <c r="CW61" s="1">
        <v>2261</v>
      </c>
      <c r="CX61" s="1">
        <v>997</v>
      </c>
      <c r="CY61" s="1">
        <v>12654</v>
      </c>
      <c r="CZ61" s="1">
        <v>1631</v>
      </c>
      <c r="DA61" s="1">
        <v>3627</v>
      </c>
      <c r="DB61" s="1">
        <v>6538</v>
      </c>
      <c r="DC61" s="1">
        <v>1761</v>
      </c>
      <c r="DD61" s="1">
        <v>1275</v>
      </c>
      <c r="DE61" s="1">
        <v>1207</v>
      </c>
      <c r="DF61" s="1">
        <v>29524</v>
      </c>
      <c r="DG61" s="1">
        <v>7696</v>
      </c>
      <c r="DH61" s="1">
        <v>6974</v>
      </c>
      <c r="DI61" s="1">
        <v>1847</v>
      </c>
      <c r="DJ61" s="1">
        <v>13221</v>
      </c>
      <c r="DK61" s="1">
        <v>12429</v>
      </c>
      <c r="DL61" s="1">
        <v>6212</v>
      </c>
      <c r="DM61" s="1">
        <v>9133</v>
      </c>
      <c r="DN61" s="1">
        <v>7568</v>
      </c>
      <c r="DO61" s="1">
        <v>1855</v>
      </c>
      <c r="DP61" s="1">
        <v>4211</v>
      </c>
      <c r="DQ61" s="1">
        <v>38194</v>
      </c>
      <c r="DR61" s="1">
        <v>2337</v>
      </c>
      <c r="DS61" s="1">
        <v>5130</v>
      </c>
      <c r="DT61" s="1">
        <v>399</v>
      </c>
      <c r="DU61" s="1">
        <v>5913</v>
      </c>
      <c r="DV61" s="1">
        <v>2095</v>
      </c>
      <c r="DW61" s="1">
        <v>2642</v>
      </c>
      <c r="DX61" s="1">
        <v>4639</v>
      </c>
      <c r="DY61" s="1">
        <v>759</v>
      </c>
      <c r="DZ61" s="1">
        <v>1683</v>
      </c>
      <c r="EA61" s="1">
        <v>5926</v>
      </c>
      <c r="EB61" s="1">
        <v>2442</v>
      </c>
      <c r="EC61" s="1">
        <v>361</v>
      </c>
      <c r="ED61" s="1">
        <v>567</v>
      </c>
      <c r="EE61" s="1">
        <v>19060</v>
      </c>
      <c r="EF61" s="1">
        <v>1721</v>
      </c>
      <c r="EG61" s="1">
        <v>6785</v>
      </c>
      <c r="EH61" s="1">
        <v>15540</v>
      </c>
      <c r="EJ61" s="1">
        <f t="shared" si="0"/>
        <v>887299</v>
      </c>
    </row>
    <row r="62" spans="1:140" x14ac:dyDescent="0.25">
      <c r="A62" s="1" t="s">
        <v>198</v>
      </c>
      <c r="B62" s="1">
        <v>3703</v>
      </c>
      <c r="C62" s="1">
        <v>4870</v>
      </c>
      <c r="D62" s="1">
        <v>88</v>
      </c>
      <c r="E62" s="1">
        <v>1483</v>
      </c>
      <c r="F62" s="1">
        <v>340</v>
      </c>
      <c r="G62" s="1">
        <v>25</v>
      </c>
      <c r="H62" s="1">
        <v>10157</v>
      </c>
      <c r="I62" s="1">
        <v>49</v>
      </c>
      <c r="J62" s="1">
        <v>988</v>
      </c>
      <c r="K62" s="1">
        <v>32</v>
      </c>
      <c r="L62" s="1">
        <v>934</v>
      </c>
      <c r="M62" s="1">
        <v>85</v>
      </c>
      <c r="N62" s="1">
        <v>9984</v>
      </c>
      <c r="O62" s="1">
        <v>1283</v>
      </c>
      <c r="P62" s="1">
        <v>689</v>
      </c>
      <c r="Q62" s="1">
        <v>7055</v>
      </c>
      <c r="R62" s="1">
        <v>14</v>
      </c>
      <c r="S62" s="1">
        <v>1305</v>
      </c>
      <c r="T62" s="1">
        <v>2465</v>
      </c>
      <c r="U62" s="1">
        <v>2026</v>
      </c>
      <c r="V62" s="1">
        <v>5711</v>
      </c>
      <c r="W62" s="1">
        <v>2803</v>
      </c>
      <c r="X62" s="1">
        <v>437</v>
      </c>
      <c r="Y62" s="1">
        <v>623</v>
      </c>
      <c r="Z62" s="1">
        <v>638</v>
      </c>
      <c r="AA62" s="1">
        <v>505</v>
      </c>
      <c r="AB62" s="1">
        <v>4173</v>
      </c>
      <c r="AC62" s="1">
        <v>370</v>
      </c>
      <c r="AD62" s="1">
        <v>374</v>
      </c>
      <c r="AE62" s="1">
        <v>953</v>
      </c>
      <c r="AF62" s="1">
        <v>726</v>
      </c>
      <c r="AG62">
        <v>20984</v>
      </c>
      <c r="AH62" s="1">
        <v>378</v>
      </c>
      <c r="AI62" s="1">
        <v>924</v>
      </c>
      <c r="AJ62" s="1">
        <v>243</v>
      </c>
      <c r="AK62" s="1">
        <v>1239</v>
      </c>
      <c r="AL62" s="1">
        <v>2887</v>
      </c>
      <c r="AM62" s="1">
        <v>682</v>
      </c>
      <c r="AN62" s="1">
        <v>327</v>
      </c>
      <c r="AO62" s="1">
        <v>8050</v>
      </c>
      <c r="AP62" s="1">
        <v>550</v>
      </c>
      <c r="AQ62" s="1">
        <v>138</v>
      </c>
      <c r="AR62" s="1">
        <v>2160</v>
      </c>
      <c r="AS62" s="1">
        <v>4719</v>
      </c>
      <c r="AT62" s="1">
        <v>974</v>
      </c>
      <c r="AU62" s="1">
        <v>1712</v>
      </c>
      <c r="AV62" s="1">
        <v>3956</v>
      </c>
      <c r="AW62" s="1">
        <v>2658</v>
      </c>
      <c r="AX62" s="1">
        <v>20890</v>
      </c>
      <c r="AY62" s="1">
        <v>101</v>
      </c>
      <c r="AZ62" s="1">
        <v>629</v>
      </c>
      <c r="BA62" s="1">
        <v>6565</v>
      </c>
      <c r="BB62" s="1">
        <v>141</v>
      </c>
      <c r="BC62" s="1">
        <v>635</v>
      </c>
      <c r="BD62" s="1">
        <v>5662</v>
      </c>
      <c r="BE62" s="1">
        <v>4304</v>
      </c>
      <c r="BF62" s="1">
        <v>1264</v>
      </c>
      <c r="BG62" s="1">
        <v>3921</v>
      </c>
      <c r="BH62" s="1">
        <v>2036</v>
      </c>
      <c r="BI62" s="1">
        <v>26381</v>
      </c>
      <c r="BJ62" s="1">
        <v>3320</v>
      </c>
      <c r="BK62" s="1">
        <v>6451</v>
      </c>
      <c r="BL62" s="1">
        <v>2952</v>
      </c>
      <c r="BM62" s="1">
        <v>4437</v>
      </c>
      <c r="BN62" s="1">
        <v>953</v>
      </c>
      <c r="BO62" s="1">
        <v>1034</v>
      </c>
      <c r="BP62" s="1">
        <v>19009</v>
      </c>
      <c r="BQ62" s="1">
        <v>2189</v>
      </c>
      <c r="BR62" s="1">
        <v>57996</v>
      </c>
      <c r="BS62" s="1">
        <v>7432</v>
      </c>
      <c r="BT62" s="1">
        <v>7055</v>
      </c>
      <c r="BU62" s="1">
        <v>15905</v>
      </c>
      <c r="BV62" s="1">
        <v>2046</v>
      </c>
      <c r="BW62" s="1">
        <v>10171</v>
      </c>
      <c r="BX62" s="1">
        <v>1745</v>
      </c>
      <c r="BY62" s="1">
        <v>4571</v>
      </c>
      <c r="BZ62" s="1">
        <v>17494</v>
      </c>
      <c r="CA62" s="1">
        <v>1981</v>
      </c>
      <c r="CB62" s="1">
        <v>980</v>
      </c>
      <c r="CC62" s="1">
        <v>5607</v>
      </c>
      <c r="CD62" s="1">
        <v>2678</v>
      </c>
      <c r="CE62" s="1">
        <v>4405</v>
      </c>
      <c r="CF62" s="1">
        <v>5324</v>
      </c>
      <c r="CG62" s="1">
        <v>80753</v>
      </c>
      <c r="CH62" s="1">
        <v>13323</v>
      </c>
      <c r="CI62" s="1">
        <v>27135</v>
      </c>
      <c r="CJ62" s="1">
        <v>5577</v>
      </c>
      <c r="CK62" s="1">
        <v>14055</v>
      </c>
      <c r="CL62" s="1">
        <v>8598</v>
      </c>
      <c r="CM62" s="1">
        <v>13348</v>
      </c>
      <c r="CN62" s="1">
        <v>37875</v>
      </c>
      <c r="CO62" s="1">
        <v>5216</v>
      </c>
      <c r="CP62" s="1">
        <v>2906</v>
      </c>
      <c r="CQ62" s="1">
        <v>4625</v>
      </c>
      <c r="CR62" s="1">
        <v>6010</v>
      </c>
      <c r="CS62" s="1">
        <v>23485</v>
      </c>
      <c r="CT62" s="1">
        <v>16141</v>
      </c>
      <c r="CU62" s="1">
        <v>1958</v>
      </c>
      <c r="CV62" s="1">
        <v>202890</v>
      </c>
      <c r="CW62" s="1">
        <v>5578</v>
      </c>
      <c r="CX62" s="1">
        <v>1412</v>
      </c>
      <c r="CY62" s="1">
        <v>22097</v>
      </c>
      <c r="CZ62" s="1">
        <v>2884</v>
      </c>
      <c r="DA62" s="1">
        <v>5426</v>
      </c>
      <c r="DB62" s="1">
        <v>10350</v>
      </c>
      <c r="DC62" s="1">
        <v>2858</v>
      </c>
      <c r="DD62" s="1">
        <v>3180</v>
      </c>
      <c r="DE62" s="1">
        <v>1728</v>
      </c>
      <c r="DF62" s="1">
        <v>40110</v>
      </c>
      <c r="DG62" s="1">
        <v>15251</v>
      </c>
      <c r="DH62" s="1">
        <v>13484</v>
      </c>
      <c r="DI62" s="1">
        <v>4541</v>
      </c>
      <c r="DJ62" s="1">
        <v>23238</v>
      </c>
      <c r="DK62" s="1">
        <v>15201</v>
      </c>
      <c r="DL62" s="1">
        <v>8759</v>
      </c>
      <c r="DM62" s="1">
        <v>11658</v>
      </c>
      <c r="DN62" s="1">
        <v>15900</v>
      </c>
      <c r="DO62" s="1">
        <v>2346</v>
      </c>
      <c r="DP62" s="1">
        <v>7229</v>
      </c>
      <c r="DQ62" s="1">
        <v>45890</v>
      </c>
      <c r="DR62" s="1">
        <v>2626</v>
      </c>
      <c r="DS62" s="1">
        <v>3758</v>
      </c>
      <c r="DT62" s="1">
        <v>601</v>
      </c>
      <c r="DU62" s="1">
        <v>9394</v>
      </c>
      <c r="DV62" s="1">
        <v>4322</v>
      </c>
      <c r="DW62" s="1">
        <v>5890</v>
      </c>
      <c r="DX62" s="1">
        <v>10474</v>
      </c>
      <c r="DY62" s="1">
        <v>1776</v>
      </c>
      <c r="DZ62" s="1">
        <v>2012</v>
      </c>
      <c r="EA62" s="1">
        <v>7579</v>
      </c>
      <c r="EB62" s="1">
        <v>5810</v>
      </c>
      <c r="EC62" s="1">
        <v>585</v>
      </c>
      <c r="ED62" s="1">
        <v>919</v>
      </c>
      <c r="EE62" s="1">
        <v>26319</v>
      </c>
      <c r="EF62" s="1">
        <v>2645</v>
      </c>
      <c r="EG62" s="1">
        <v>11663</v>
      </c>
      <c r="EH62" s="1">
        <v>21429</v>
      </c>
      <c r="EJ62" s="1">
        <f t="shared" si="0"/>
        <v>1216550</v>
      </c>
    </row>
    <row r="63" spans="1:140" x14ac:dyDescent="0.25">
      <c r="A63" s="1" t="s">
        <v>199</v>
      </c>
      <c r="B63" s="1">
        <v>4227</v>
      </c>
      <c r="C63" s="1">
        <v>4567</v>
      </c>
      <c r="D63" s="1">
        <v>124</v>
      </c>
      <c r="E63" s="1">
        <v>1412</v>
      </c>
      <c r="F63" s="1">
        <v>11</v>
      </c>
      <c r="G63" s="1">
        <v>29</v>
      </c>
      <c r="H63" s="1">
        <v>9117</v>
      </c>
      <c r="I63" s="1">
        <v>45</v>
      </c>
      <c r="J63" s="1">
        <v>1000</v>
      </c>
      <c r="K63" s="1">
        <v>30</v>
      </c>
      <c r="L63" s="1">
        <v>948</v>
      </c>
      <c r="M63" s="1">
        <v>126</v>
      </c>
      <c r="N63" s="1">
        <v>9815</v>
      </c>
      <c r="O63" s="1">
        <v>1015</v>
      </c>
      <c r="P63" s="1">
        <v>507</v>
      </c>
      <c r="Q63" s="1">
        <v>6305</v>
      </c>
      <c r="R63" s="1">
        <v>7</v>
      </c>
      <c r="S63" s="1">
        <v>1407</v>
      </c>
      <c r="T63" s="1">
        <v>2803</v>
      </c>
      <c r="U63" s="1">
        <v>1996</v>
      </c>
      <c r="V63" s="1">
        <v>5217</v>
      </c>
      <c r="W63" s="1">
        <v>2352</v>
      </c>
      <c r="X63" s="1">
        <v>330</v>
      </c>
      <c r="Y63" s="1">
        <v>511</v>
      </c>
      <c r="Z63" s="1">
        <v>1254</v>
      </c>
      <c r="AA63" s="1">
        <v>549</v>
      </c>
      <c r="AB63" s="1">
        <v>4125</v>
      </c>
      <c r="AC63" s="1">
        <v>505</v>
      </c>
      <c r="AD63" s="1">
        <v>347</v>
      </c>
      <c r="AE63" s="1">
        <v>1678</v>
      </c>
      <c r="AF63" s="1">
        <v>870</v>
      </c>
      <c r="AG63">
        <v>18985</v>
      </c>
      <c r="AH63" s="1">
        <v>436</v>
      </c>
      <c r="AI63" s="1">
        <v>920</v>
      </c>
      <c r="AJ63" s="1">
        <v>349</v>
      </c>
      <c r="AK63" s="1">
        <v>1484</v>
      </c>
      <c r="AL63" s="1">
        <v>2011</v>
      </c>
      <c r="AM63" s="1">
        <v>597</v>
      </c>
      <c r="AN63" s="1">
        <v>242</v>
      </c>
      <c r="AO63" s="1">
        <v>7299</v>
      </c>
      <c r="AP63" s="1">
        <v>610</v>
      </c>
      <c r="AQ63" s="1">
        <v>110</v>
      </c>
      <c r="AR63" s="1">
        <v>1998</v>
      </c>
      <c r="AS63" s="1">
        <v>4856</v>
      </c>
      <c r="AT63" s="1">
        <v>1001</v>
      </c>
      <c r="AU63" s="1">
        <v>1641</v>
      </c>
      <c r="AV63" s="1">
        <v>3335</v>
      </c>
      <c r="AW63" s="1">
        <v>2240</v>
      </c>
      <c r="AX63" s="1">
        <v>17891</v>
      </c>
      <c r="AY63" s="1">
        <v>82</v>
      </c>
      <c r="AZ63" s="1">
        <v>503</v>
      </c>
      <c r="BA63" s="1">
        <v>4375</v>
      </c>
      <c r="BB63" s="1">
        <v>160</v>
      </c>
      <c r="BC63" s="1">
        <v>658</v>
      </c>
      <c r="BD63" s="1">
        <v>6252</v>
      </c>
      <c r="BE63" s="1">
        <v>3524</v>
      </c>
      <c r="BF63" s="1">
        <v>1502</v>
      </c>
      <c r="BG63" s="1">
        <v>3846</v>
      </c>
      <c r="BH63" s="1">
        <v>1637</v>
      </c>
      <c r="BI63" s="1">
        <v>22923</v>
      </c>
      <c r="BJ63" s="1">
        <v>3287</v>
      </c>
      <c r="BK63" s="1">
        <v>5743</v>
      </c>
      <c r="BL63" s="1">
        <v>3413</v>
      </c>
      <c r="BM63" s="1">
        <v>4494</v>
      </c>
      <c r="BN63" s="1">
        <v>1125</v>
      </c>
      <c r="BO63" s="1">
        <v>1053</v>
      </c>
      <c r="BP63" s="1">
        <v>21992</v>
      </c>
      <c r="BQ63" s="1">
        <v>2173</v>
      </c>
      <c r="BR63" s="1">
        <v>64149</v>
      </c>
      <c r="BS63" s="1">
        <v>7157</v>
      </c>
      <c r="BT63" s="1">
        <v>8479</v>
      </c>
      <c r="BU63" s="1">
        <v>15203</v>
      </c>
      <c r="BV63" s="1">
        <v>2460</v>
      </c>
      <c r="BW63" s="1">
        <v>11168</v>
      </c>
      <c r="BX63" s="1">
        <v>1990</v>
      </c>
      <c r="BY63" s="1">
        <v>4979</v>
      </c>
      <c r="BZ63" s="1">
        <v>18929</v>
      </c>
      <c r="CA63" s="1">
        <v>2203</v>
      </c>
      <c r="CB63" s="1">
        <v>1151</v>
      </c>
      <c r="CC63" s="1">
        <v>5165</v>
      </c>
      <c r="CD63" s="1">
        <v>2821</v>
      </c>
      <c r="CE63" s="1">
        <v>3679</v>
      </c>
      <c r="CF63" s="1">
        <v>6333</v>
      </c>
      <c r="CG63" s="1">
        <v>84645</v>
      </c>
      <c r="CH63" s="1">
        <v>15643</v>
      </c>
      <c r="CI63" s="1">
        <v>26345</v>
      </c>
      <c r="CJ63" s="1">
        <v>7279</v>
      </c>
      <c r="CK63" s="1">
        <v>13965</v>
      </c>
      <c r="CL63" s="1">
        <v>8457</v>
      </c>
      <c r="CM63" s="1">
        <v>13824</v>
      </c>
      <c r="CN63" s="1">
        <v>36900</v>
      </c>
      <c r="CO63" s="1">
        <v>5996</v>
      </c>
      <c r="CP63" s="1">
        <v>2884</v>
      </c>
      <c r="CQ63" s="1">
        <v>5404</v>
      </c>
      <c r="CR63" s="1">
        <v>6341</v>
      </c>
      <c r="CS63" s="1">
        <v>23499</v>
      </c>
      <c r="CT63" s="1">
        <v>17488</v>
      </c>
      <c r="CU63" s="1">
        <v>2094</v>
      </c>
      <c r="CV63" s="1">
        <v>205966</v>
      </c>
      <c r="CW63" s="1">
        <v>6431</v>
      </c>
      <c r="CX63" s="1">
        <v>1990</v>
      </c>
      <c r="CY63" s="1">
        <v>21213</v>
      </c>
      <c r="CZ63" s="1">
        <v>2818</v>
      </c>
      <c r="DA63" s="1">
        <v>4628</v>
      </c>
      <c r="DB63" s="1">
        <v>10558</v>
      </c>
      <c r="DC63" s="1">
        <v>3499</v>
      </c>
      <c r="DD63" s="1">
        <v>2722</v>
      </c>
      <c r="DE63" s="1">
        <v>1860</v>
      </c>
      <c r="DF63" s="1">
        <v>39441</v>
      </c>
      <c r="DG63" s="1">
        <v>15799</v>
      </c>
      <c r="DH63" s="1">
        <v>13964</v>
      </c>
      <c r="DI63" s="1">
        <v>5831</v>
      </c>
      <c r="DJ63" s="1">
        <v>26160</v>
      </c>
      <c r="DK63" s="1">
        <v>13316</v>
      </c>
      <c r="DL63" s="1">
        <v>9069</v>
      </c>
      <c r="DM63" s="1">
        <v>11033</v>
      </c>
      <c r="DN63" s="1">
        <v>17582</v>
      </c>
      <c r="DO63" s="1">
        <v>2052</v>
      </c>
      <c r="DP63" s="1">
        <v>9429</v>
      </c>
      <c r="DQ63" s="1">
        <v>41523</v>
      </c>
      <c r="DR63" s="1">
        <v>2932</v>
      </c>
      <c r="DS63" s="1">
        <v>3731</v>
      </c>
      <c r="DT63" s="1">
        <v>674</v>
      </c>
      <c r="DU63" s="1">
        <v>9027</v>
      </c>
      <c r="DV63" s="1">
        <v>4671</v>
      </c>
      <c r="DW63" s="1">
        <v>5358</v>
      </c>
      <c r="DX63" s="1">
        <v>10633</v>
      </c>
      <c r="DY63" s="1">
        <v>1709</v>
      </c>
      <c r="DZ63" s="1">
        <v>2424</v>
      </c>
      <c r="EA63" s="1">
        <v>7963</v>
      </c>
      <c r="EB63" s="1">
        <v>5515</v>
      </c>
      <c r="EC63" s="1">
        <v>1013</v>
      </c>
      <c r="ED63" s="1">
        <v>907</v>
      </c>
      <c r="EE63" s="1">
        <v>25954</v>
      </c>
      <c r="EF63" s="1">
        <v>2804</v>
      </c>
      <c r="EG63" s="1">
        <v>13297</v>
      </c>
      <c r="EH63" s="1">
        <v>23452</v>
      </c>
      <c r="EJ63" s="1">
        <f t="shared" si="0"/>
        <v>1233554</v>
      </c>
    </row>
    <row r="64" spans="1:140" x14ac:dyDescent="0.25">
      <c r="A64" s="1" t="s">
        <v>200</v>
      </c>
      <c r="B64" s="1">
        <v>4519</v>
      </c>
      <c r="C64" s="1">
        <v>4694</v>
      </c>
      <c r="D64" s="1">
        <v>165</v>
      </c>
      <c r="E64" s="1">
        <v>1613</v>
      </c>
      <c r="F64" s="1">
        <v>7</v>
      </c>
      <c r="G64" s="1">
        <v>39</v>
      </c>
      <c r="H64" s="1">
        <v>11234</v>
      </c>
      <c r="I64" s="1">
        <v>80</v>
      </c>
      <c r="J64" s="1">
        <v>1104</v>
      </c>
      <c r="K64" s="1">
        <v>53</v>
      </c>
      <c r="L64" s="1">
        <v>1187</v>
      </c>
      <c r="M64" s="1">
        <v>112</v>
      </c>
      <c r="N64" s="1">
        <v>8868</v>
      </c>
      <c r="O64" s="1">
        <v>1169</v>
      </c>
      <c r="P64" s="1">
        <v>510</v>
      </c>
      <c r="Q64" s="1">
        <v>5333</v>
      </c>
      <c r="R64" s="1">
        <v>15</v>
      </c>
      <c r="S64" s="1">
        <v>1754</v>
      </c>
      <c r="T64" s="1">
        <v>2736</v>
      </c>
      <c r="U64" s="1">
        <v>2239</v>
      </c>
      <c r="V64" s="1">
        <v>5617</v>
      </c>
      <c r="W64" s="1">
        <v>2377</v>
      </c>
      <c r="X64" s="1">
        <v>483</v>
      </c>
      <c r="Y64" s="1">
        <v>593</v>
      </c>
      <c r="Z64" s="1">
        <v>3083</v>
      </c>
      <c r="AA64" s="1">
        <v>473</v>
      </c>
      <c r="AB64" s="1">
        <v>4117</v>
      </c>
      <c r="AC64" s="1">
        <v>664</v>
      </c>
      <c r="AD64" s="1">
        <v>363</v>
      </c>
      <c r="AE64" s="1">
        <v>2337</v>
      </c>
      <c r="AF64" s="1">
        <v>1527</v>
      </c>
      <c r="AG64">
        <v>20814</v>
      </c>
      <c r="AH64" s="1">
        <v>444</v>
      </c>
      <c r="AI64" s="1">
        <v>913</v>
      </c>
      <c r="AJ64" s="1">
        <v>278</v>
      </c>
      <c r="AK64" s="1">
        <v>1818</v>
      </c>
      <c r="AL64" s="1">
        <v>2092</v>
      </c>
      <c r="AM64" s="1">
        <v>698</v>
      </c>
      <c r="AN64" s="1">
        <v>432</v>
      </c>
      <c r="AO64" s="1">
        <v>7354</v>
      </c>
      <c r="AP64" s="1">
        <v>541</v>
      </c>
      <c r="AQ64" s="1">
        <v>124</v>
      </c>
      <c r="AR64" s="1">
        <v>2046</v>
      </c>
      <c r="AS64" s="1">
        <v>5253</v>
      </c>
      <c r="AT64" s="1">
        <v>945</v>
      </c>
      <c r="AU64" s="1">
        <v>1919</v>
      </c>
      <c r="AV64" s="1">
        <v>3757</v>
      </c>
      <c r="AW64" s="1">
        <v>1779</v>
      </c>
      <c r="AX64" s="1">
        <v>20564</v>
      </c>
      <c r="AY64" s="1">
        <v>141</v>
      </c>
      <c r="AZ64" s="1">
        <v>636</v>
      </c>
      <c r="BA64" s="1">
        <v>4613</v>
      </c>
      <c r="BB64" s="1">
        <v>124</v>
      </c>
      <c r="BC64" s="1">
        <v>607</v>
      </c>
      <c r="BD64" s="1">
        <v>6323</v>
      </c>
      <c r="BE64" s="1">
        <v>3730</v>
      </c>
      <c r="BF64" s="1">
        <v>1348</v>
      </c>
      <c r="BG64" s="1">
        <v>4384</v>
      </c>
      <c r="BH64" s="1">
        <v>1546</v>
      </c>
      <c r="BI64" s="1">
        <v>27687</v>
      </c>
      <c r="BJ64" s="1">
        <v>4181</v>
      </c>
      <c r="BK64" s="1">
        <v>8649</v>
      </c>
      <c r="BL64" s="1">
        <v>3184</v>
      </c>
      <c r="BM64" s="1">
        <v>5635</v>
      </c>
      <c r="BN64" s="1">
        <v>1307</v>
      </c>
      <c r="BO64" s="1">
        <v>1032</v>
      </c>
      <c r="BP64" s="1">
        <v>26440</v>
      </c>
      <c r="BQ64" s="1">
        <v>2806</v>
      </c>
      <c r="BR64" s="1">
        <v>75330</v>
      </c>
      <c r="BS64" s="1">
        <v>9190</v>
      </c>
      <c r="BT64" s="1">
        <v>9166</v>
      </c>
      <c r="BU64" s="1">
        <v>18394</v>
      </c>
      <c r="BV64" s="1">
        <v>3130</v>
      </c>
      <c r="BW64" s="1">
        <v>13114</v>
      </c>
      <c r="BX64" s="1">
        <v>2528</v>
      </c>
      <c r="BY64" s="1">
        <v>5631</v>
      </c>
      <c r="BZ64" s="1">
        <v>21002</v>
      </c>
      <c r="CA64" s="1">
        <v>2068</v>
      </c>
      <c r="CB64" s="1">
        <v>1319</v>
      </c>
      <c r="CC64" s="1">
        <v>6703</v>
      </c>
      <c r="CD64" s="1">
        <v>3582</v>
      </c>
      <c r="CE64" s="1">
        <v>3827</v>
      </c>
      <c r="CF64" s="1">
        <v>6700</v>
      </c>
      <c r="CG64" s="1">
        <v>100063</v>
      </c>
      <c r="CH64" s="1">
        <v>24098</v>
      </c>
      <c r="CI64" s="1">
        <v>34067</v>
      </c>
      <c r="CJ64" s="1">
        <v>17729</v>
      </c>
      <c r="CK64" s="1">
        <v>19346</v>
      </c>
      <c r="CL64" s="1">
        <v>12777</v>
      </c>
      <c r="CM64" s="1">
        <v>17409</v>
      </c>
      <c r="CN64" s="1">
        <v>42325</v>
      </c>
      <c r="CO64" s="1">
        <v>9957</v>
      </c>
      <c r="CP64" s="1">
        <v>2999</v>
      </c>
      <c r="CQ64" s="1">
        <v>8219</v>
      </c>
      <c r="CR64" s="1">
        <v>5924</v>
      </c>
      <c r="CS64" s="1">
        <v>25739</v>
      </c>
      <c r="CT64" s="1">
        <v>17989</v>
      </c>
      <c r="CU64" s="1">
        <v>1837</v>
      </c>
      <c r="CV64" s="1">
        <v>219424</v>
      </c>
      <c r="CW64" s="1">
        <v>11706</v>
      </c>
      <c r="CX64" s="1">
        <v>2346</v>
      </c>
      <c r="CY64" s="1">
        <v>26437</v>
      </c>
      <c r="CZ64" s="1">
        <v>3427</v>
      </c>
      <c r="DA64" s="1">
        <v>5980</v>
      </c>
      <c r="DB64" s="1">
        <v>11754</v>
      </c>
      <c r="DC64" s="1">
        <v>3811</v>
      </c>
      <c r="DD64" s="1">
        <v>3163</v>
      </c>
      <c r="DE64" s="1">
        <v>1769</v>
      </c>
      <c r="DF64" s="1">
        <v>45119</v>
      </c>
      <c r="DG64" s="1">
        <v>14253</v>
      </c>
      <c r="DH64" s="1">
        <v>14361</v>
      </c>
      <c r="DI64" s="1">
        <v>4372</v>
      </c>
      <c r="DJ64" s="1">
        <v>26885</v>
      </c>
      <c r="DK64" s="1">
        <v>15869</v>
      </c>
      <c r="DL64" s="1">
        <v>10096</v>
      </c>
      <c r="DM64" s="1">
        <v>14696</v>
      </c>
      <c r="DN64" s="1">
        <v>16490</v>
      </c>
      <c r="DO64" s="1">
        <v>3544</v>
      </c>
      <c r="DP64" s="1">
        <v>11731</v>
      </c>
      <c r="DQ64" s="1">
        <v>50313</v>
      </c>
      <c r="DR64" s="1">
        <v>3700</v>
      </c>
      <c r="DS64" s="1">
        <v>5068</v>
      </c>
      <c r="DT64" s="1">
        <v>627</v>
      </c>
      <c r="DU64" s="1">
        <v>11661</v>
      </c>
      <c r="DV64" s="1">
        <v>4781</v>
      </c>
      <c r="DW64" s="1">
        <v>8003</v>
      </c>
      <c r="DX64" s="1">
        <v>9790</v>
      </c>
      <c r="DY64" s="1">
        <v>1514</v>
      </c>
      <c r="DZ64" s="1">
        <v>2776</v>
      </c>
      <c r="EA64" s="1">
        <v>9214</v>
      </c>
      <c r="EB64" s="1">
        <v>4678</v>
      </c>
      <c r="EC64" s="1">
        <v>656</v>
      </c>
      <c r="ED64" s="1">
        <v>1046</v>
      </c>
      <c r="EE64" s="1">
        <v>27921</v>
      </c>
      <c r="EF64" s="1">
        <v>3799</v>
      </c>
      <c r="EG64" s="1">
        <v>14105</v>
      </c>
      <c r="EH64" s="1">
        <v>25255</v>
      </c>
      <c r="EJ64" s="1">
        <f t="shared" si="0"/>
        <v>1419511</v>
      </c>
    </row>
    <row r="65" spans="1:140" x14ac:dyDescent="0.25">
      <c r="A65" s="1" t="s">
        <v>201</v>
      </c>
      <c r="B65" s="1">
        <v>4556</v>
      </c>
      <c r="C65" s="1">
        <v>4555</v>
      </c>
      <c r="D65" s="1">
        <v>190</v>
      </c>
      <c r="E65" s="1">
        <v>1966</v>
      </c>
      <c r="F65" s="1">
        <v>6</v>
      </c>
      <c r="G65" s="1">
        <v>25</v>
      </c>
      <c r="H65" s="1">
        <v>12971</v>
      </c>
      <c r="I65" s="1">
        <v>53</v>
      </c>
      <c r="J65" s="1">
        <v>1101</v>
      </c>
      <c r="K65" s="1">
        <v>57</v>
      </c>
      <c r="L65" s="1">
        <v>1341</v>
      </c>
      <c r="M65" s="1">
        <v>72</v>
      </c>
      <c r="N65" s="1">
        <v>9466</v>
      </c>
      <c r="O65" s="1">
        <v>1070</v>
      </c>
      <c r="P65" s="1">
        <v>474</v>
      </c>
      <c r="Q65" s="1">
        <v>6221</v>
      </c>
      <c r="R65" s="1">
        <v>31</v>
      </c>
      <c r="S65" s="1">
        <v>1983</v>
      </c>
      <c r="T65" s="1">
        <v>2736</v>
      </c>
      <c r="U65" s="1">
        <v>2125</v>
      </c>
      <c r="V65" s="1">
        <v>5241</v>
      </c>
      <c r="W65" s="1">
        <v>1889</v>
      </c>
      <c r="X65" s="1">
        <v>322</v>
      </c>
      <c r="Y65" s="1">
        <v>1078</v>
      </c>
      <c r="Z65" s="1">
        <v>1565</v>
      </c>
      <c r="AA65" s="1">
        <v>386</v>
      </c>
      <c r="AB65" s="1">
        <v>4416</v>
      </c>
      <c r="AC65" s="1">
        <v>592</v>
      </c>
      <c r="AD65" s="1">
        <v>278</v>
      </c>
      <c r="AE65" s="1">
        <v>2600</v>
      </c>
      <c r="AF65" s="1">
        <v>963</v>
      </c>
      <c r="AG65">
        <v>21005</v>
      </c>
      <c r="AH65" s="1">
        <v>305</v>
      </c>
      <c r="AI65" s="1">
        <v>890</v>
      </c>
      <c r="AJ65" s="1">
        <v>325</v>
      </c>
      <c r="AK65" s="1">
        <v>1617</v>
      </c>
      <c r="AL65" s="1">
        <v>1923</v>
      </c>
      <c r="AM65" s="1">
        <v>642</v>
      </c>
      <c r="AN65" s="1">
        <v>277</v>
      </c>
      <c r="AO65" s="1">
        <v>7533</v>
      </c>
      <c r="AP65" s="1">
        <v>672</v>
      </c>
      <c r="AQ65" s="1">
        <v>128</v>
      </c>
      <c r="AR65" s="1">
        <v>1904</v>
      </c>
      <c r="AS65" s="1">
        <v>4687</v>
      </c>
      <c r="AT65" s="1">
        <v>1001</v>
      </c>
      <c r="AU65" s="1">
        <v>2524</v>
      </c>
      <c r="AV65" s="1">
        <v>3447</v>
      </c>
      <c r="AW65" s="1">
        <v>1534</v>
      </c>
      <c r="AX65" s="1">
        <v>20750</v>
      </c>
      <c r="AY65" s="1">
        <v>115</v>
      </c>
      <c r="AZ65" s="1">
        <v>648</v>
      </c>
      <c r="BA65" s="1">
        <v>4566</v>
      </c>
      <c r="BB65" s="1">
        <v>157</v>
      </c>
      <c r="BC65" s="1">
        <v>577</v>
      </c>
      <c r="BD65" s="1">
        <v>5587</v>
      </c>
      <c r="BE65" s="1">
        <v>3617</v>
      </c>
      <c r="BF65" s="1">
        <v>1578</v>
      </c>
      <c r="BG65" s="1">
        <v>3635</v>
      </c>
      <c r="BH65" s="1">
        <v>1739</v>
      </c>
      <c r="BI65" s="1">
        <v>28418</v>
      </c>
      <c r="BJ65" s="1">
        <v>3234</v>
      </c>
      <c r="BK65" s="1">
        <v>8531</v>
      </c>
      <c r="BL65" s="1">
        <v>2628</v>
      </c>
      <c r="BM65" s="1">
        <v>5359</v>
      </c>
      <c r="BN65" s="1">
        <v>1116</v>
      </c>
      <c r="BO65" s="1">
        <v>1305</v>
      </c>
      <c r="BP65" s="1">
        <v>27716</v>
      </c>
      <c r="BQ65" s="1">
        <v>2833</v>
      </c>
      <c r="BR65" s="1">
        <v>67208</v>
      </c>
      <c r="BS65" s="1">
        <v>8659</v>
      </c>
      <c r="BT65" s="1">
        <v>9397</v>
      </c>
      <c r="BU65" s="1">
        <v>20971</v>
      </c>
      <c r="BV65" s="1">
        <v>2627</v>
      </c>
      <c r="BW65" s="1">
        <v>12212</v>
      </c>
      <c r="BX65" s="1">
        <v>2713</v>
      </c>
      <c r="BY65" s="1">
        <v>7871</v>
      </c>
      <c r="BZ65" s="1">
        <v>18126</v>
      </c>
      <c r="CA65" s="1">
        <v>2721</v>
      </c>
      <c r="CB65" s="1">
        <v>897</v>
      </c>
      <c r="CC65" s="1">
        <v>6479</v>
      </c>
      <c r="CD65" s="1">
        <v>3549</v>
      </c>
      <c r="CE65" s="1">
        <v>3661</v>
      </c>
      <c r="CF65" s="1">
        <v>6885</v>
      </c>
      <c r="CG65" s="1">
        <v>87676</v>
      </c>
      <c r="CH65" s="1">
        <v>22008</v>
      </c>
      <c r="CI65" s="1">
        <v>40749</v>
      </c>
      <c r="CJ65" s="1">
        <v>12543</v>
      </c>
      <c r="CK65" s="1">
        <v>23398</v>
      </c>
      <c r="CL65" s="1">
        <v>11299</v>
      </c>
      <c r="CM65" s="1">
        <v>17304</v>
      </c>
      <c r="CN65" s="1">
        <v>43269</v>
      </c>
      <c r="CO65" s="1">
        <v>9354</v>
      </c>
      <c r="CP65" s="1">
        <v>3237</v>
      </c>
      <c r="CQ65" s="1">
        <v>5880</v>
      </c>
      <c r="CR65" s="1">
        <v>6102</v>
      </c>
      <c r="CS65" s="1">
        <v>23200</v>
      </c>
      <c r="CT65" s="1">
        <v>17326</v>
      </c>
      <c r="CU65" s="1">
        <v>1814</v>
      </c>
      <c r="CV65" s="1">
        <v>210474</v>
      </c>
      <c r="CW65" s="1">
        <v>7266</v>
      </c>
      <c r="CX65" s="1">
        <v>1733</v>
      </c>
      <c r="CY65" s="1">
        <v>24835</v>
      </c>
      <c r="CZ65" s="1">
        <v>4221</v>
      </c>
      <c r="DA65" s="1">
        <v>4923</v>
      </c>
      <c r="DB65" s="1">
        <v>10279</v>
      </c>
      <c r="DC65" s="1">
        <v>3496</v>
      </c>
      <c r="DD65" s="1">
        <v>2333</v>
      </c>
      <c r="DE65" s="1">
        <v>1871</v>
      </c>
      <c r="DF65" s="1">
        <v>42241</v>
      </c>
      <c r="DG65" s="1">
        <v>12167</v>
      </c>
      <c r="DH65" s="1">
        <v>12904</v>
      </c>
      <c r="DI65" s="1">
        <v>3501</v>
      </c>
      <c r="DJ65" s="1">
        <v>23603</v>
      </c>
      <c r="DK65" s="1">
        <v>13768</v>
      </c>
      <c r="DL65" s="1">
        <v>8409</v>
      </c>
      <c r="DM65" s="1">
        <v>12213</v>
      </c>
      <c r="DN65" s="1">
        <v>15852</v>
      </c>
      <c r="DO65" s="1">
        <v>2818</v>
      </c>
      <c r="DP65" s="1">
        <v>10283</v>
      </c>
      <c r="DQ65" s="1">
        <v>46430</v>
      </c>
      <c r="DR65" s="1">
        <v>2735</v>
      </c>
      <c r="DS65" s="1">
        <v>4247</v>
      </c>
      <c r="DT65" s="1">
        <v>609</v>
      </c>
      <c r="DU65" s="1">
        <v>9616</v>
      </c>
      <c r="DV65" s="1">
        <v>3886</v>
      </c>
      <c r="DW65" s="1">
        <v>6283</v>
      </c>
      <c r="DX65" s="1">
        <v>7881</v>
      </c>
      <c r="DY65" s="1">
        <v>1786</v>
      </c>
      <c r="DZ65" s="1">
        <v>4556</v>
      </c>
      <c r="EA65" s="1">
        <v>7998</v>
      </c>
      <c r="EB65" s="1">
        <v>3640</v>
      </c>
      <c r="EC65" s="1">
        <v>789</v>
      </c>
      <c r="ED65" s="1">
        <v>1075</v>
      </c>
      <c r="EE65" s="1">
        <v>35304</v>
      </c>
      <c r="EF65" s="1">
        <v>3153</v>
      </c>
      <c r="EG65" s="1">
        <v>14164</v>
      </c>
      <c r="EH65" s="1">
        <v>23117</v>
      </c>
      <c r="EJ65" s="1">
        <f t="shared" si="0"/>
        <v>1350446</v>
      </c>
    </row>
    <row r="66" spans="1:140" x14ac:dyDescent="0.25">
      <c r="A66" s="1" t="s">
        <v>202</v>
      </c>
      <c r="B66" s="1">
        <v>7797</v>
      </c>
      <c r="C66" s="1">
        <v>5675</v>
      </c>
      <c r="D66" s="1">
        <v>119</v>
      </c>
      <c r="E66" s="1">
        <v>1801</v>
      </c>
      <c r="F66" s="1">
        <v>14</v>
      </c>
      <c r="G66" s="1">
        <v>43</v>
      </c>
      <c r="H66" s="1">
        <v>12218</v>
      </c>
      <c r="I66" s="1">
        <v>30</v>
      </c>
      <c r="J66" s="1">
        <v>1120</v>
      </c>
      <c r="K66" s="1">
        <v>34</v>
      </c>
      <c r="L66" s="1">
        <v>1222</v>
      </c>
      <c r="M66" s="1">
        <v>86</v>
      </c>
      <c r="N66" s="1">
        <v>9703</v>
      </c>
      <c r="O66" s="1">
        <v>911</v>
      </c>
      <c r="P66" s="1">
        <v>490</v>
      </c>
      <c r="Q66" s="1">
        <v>6859</v>
      </c>
      <c r="R66" s="1">
        <v>37</v>
      </c>
      <c r="S66" s="1">
        <v>1655</v>
      </c>
      <c r="T66" s="1">
        <v>2599</v>
      </c>
      <c r="U66" s="1">
        <v>2040</v>
      </c>
      <c r="V66" s="1">
        <v>5187</v>
      </c>
      <c r="W66" s="1">
        <v>1824</v>
      </c>
      <c r="X66" s="1">
        <v>432</v>
      </c>
      <c r="Y66" s="1">
        <v>734</v>
      </c>
      <c r="Z66" s="1">
        <v>2346</v>
      </c>
      <c r="AA66" s="1">
        <v>427</v>
      </c>
      <c r="AB66" s="1">
        <v>4709</v>
      </c>
      <c r="AC66" s="1">
        <v>529</v>
      </c>
      <c r="AD66" s="1">
        <v>278</v>
      </c>
      <c r="AE66" s="1">
        <v>1530</v>
      </c>
      <c r="AF66" s="1">
        <v>924</v>
      </c>
      <c r="AG66">
        <v>22378</v>
      </c>
      <c r="AH66" s="1">
        <v>471</v>
      </c>
      <c r="AI66" s="1">
        <v>795</v>
      </c>
      <c r="AJ66" s="1">
        <v>247</v>
      </c>
      <c r="AK66" s="1">
        <v>1665</v>
      </c>
      <c r="AL66" s="1">
        <v>2143</v>
      </c>
      <c r="AM66" s="1">
        <v>1313</v>
      </c>
      <c r="AN66" s="1">
        <v>318</v>
      </c>
      <c r="AO66" s="1">
        <v>7562</v>
      </c>
      <c r="AP66" s="1">
        <v>628</v>
      </c>
      <c r="AQ66" s="1">
        <v>126</v>
      </c>
      <c r="AR66" s="1">
        <v>2125</v>
      </c>
      <c r="AS66" s="1">
        <v>5192</v>
      </c>
      <c r="AT66" s="1">
        <v>1065</v>
      </c>
      <c r="AU66" s="1">
        <v>3966</v>
      </c>
      <c r="AV66" s="1">
        <v>4164</v>
      </c>
      <c r="AW66" s="1">
        <v>2609</v>
      </c>
      <c r="AX66" s="1">
        <v>21100</v>
      </c>
      <c r="AY66" s="1">
        <v>74</v>
      </c>
      <c r="AZ66" s="1">
        <v>741</v>
      </c>
      <c r="BA66" s="1">
        <v>5307</v>
      </c>
      <c r="BB66" s="1">
        <v>153</v>
      </c>
      <c r="BC66" s="1">
        <v>494</v>
      </c>
      <c r="BD66" s="1">
        <v>5703</v>
      </c>
      <c r="BE66" s="1">
        <v>4006</v>
      </c>
      <c r="BF66" s="1">
        <v>4062</v>
      </c>
      <c r="BG66" s="1">
        <v>4516</v>
      </c>
      <c r="BH66" s="1">
        <v>1784</v>
      </c>
      <c r="BI66" s="1">
        <v>26618</v>
      </c>
      <c r="BJ66" s="1">
        <v>4175</v>
      </c>
      <c r="BK66" s="1">
        <v>8467</v>
      </c>
      <c r="BL66" s="1">
        <v>3104</v>
      </c>
      <c r="BM66" s="1">
        <v>5050</v>
      </c>
      <c r="BN66" s="1">
        <v>1048</v>
      </c>
      <c r="BO66" s="1">
        <v>1284</v>
      </c>
      <c r="BP66" s="1">
        <v>24271</v>
      </c>
      <c r="BQ66" s="1">
        <v>2981</v>
      </c>
      <c r="BR66" s="1">
        <v>70104</v>
      </c>
      <c r="BS66" s="1">
        <v>9123</v>
      </c>
      <c r="BT66" s="1">
        <v>13444</v>
      </c>
      <c r="BU66" s="1">
        <v>34575</v>
      </c>
      <c r="BV66" s="1">
        <v>3847</v>
      </c>
      <c r="BW66" s="1">
        <v>16031</v>
      </c>
      <c r="BX66" s="1">
        <v>4560</v>
      </c>
      <c r="BY66" s="1">
        <v>14036</v>
      </c>
      <c r="BZ66" s="1">
        <v>19094</v>
      </c>
      <c r="CA66" s="1">
        <v>2612</v>
      </c>
      <c r="CB66" s="1">
        <v>1140</v>
      </c>
      <c r="CC66" s="1">
        <v>7168</v>
      </c>
      <c r="CD66" s="1">
        <v>3571</v>
      </c>
      <c r="CE66" s="1">
        <v>3755</v>
      </c>
      <c r="CF66" s="1">
        <v>7069</v>
      </c>
      <c r="CG66" s="1">
        <v>92210</v>
      </c>
      <c r="CH66" s="1">
        <v>16745</v>
      </c>
      <c r="CI66" s="1">
        <v>32892</v>
      </c>
      <c r="CJ66" s="1">
        <v>8574</v>
      </c>
      <c r="CK66" s="1">
        <v>15392</v>
      </c>
      <c r="CL66" s="1">
        <v>8864</v>
      </c>
      <c r="CM66" s="1">
        <v>15959</v>
      </c>
      <c r="CN66" s="1">
        <v>41721</v>
      </c>
      <c r="CO66" s="1">
        <v>5957</v>
      </c>
      <c r="CP66" s="1">
        <v>4238</v>
      </c>
      <c r="CQ66" s="1">
        <v>5075</v>
      </c>
      <c r="CR66" s="1">
        <v>6114</v>
      </c>
      <c r="CS66" s="1">
        <v>24202</v>
      </c>
      <c r="CT66" s="1">
        <v>17716</v>
      </c>
      <c r="CU66" s="1">
        <v>1814</v>
      </c>
      <c r="CV66" s="1">
        <v>213942</v>
      </c>
      <c r="CW66" s="1">
        <v>5782</v>
      </c>
      <c r="CX66" s="1">
        <v>2148</v>
      </c>
      <c r="CY66" s="1">
        <v>22800</v>
      </c>
      <c r="CZ66" s="1">
        <v>3858</v>
      </c>
      <c r="DA66" s="1">
        <v>5061</v>
      </c>
      <c r="DB66" s="1">
        <v>10260</v>
      </c>
      <c r="DC66" s="1">
        <v>3090</v>
      </c>
      <c r="DD66" s="1">
        <v>2473</v>
      </c>
      <c r="DE66" s="1">
        <v>1779</v>
      </c>
      <c r="DF66" s="1">
        <v>43540</v>
      </c>
      <c r="DG66" s="1">
        <v>11439</v>
      </c>
      <c r="DH66" s="1">
        <v>13233</v>
      </c>
      <c r="DI66" s="1">
        <v>2831</v>
      </c>
      <c r="DJ66" s="1">
        <v>22633</v>
      </c>
      <c r="DK66" s="1">
        <v>13009</v>
      </c>
      <c r="DL66" s="1">
        <v>8067</v>
      </c>
      <c r="DM66" s="1">
        <v>11534</v>
      </c>
      <c r="DN66" s="1">
        <v>12527</v>
      </c>
      <c r="DO66" s="1">
        <v>2521</v>
      </c>
      <c r="DP66" s="1">
        <v>6660</v>
      </c>
      <c r="DQ66" s="1">
        <v>44306</v>
      </c>
      <c r="DR66" s="1">
        <v>2658</v>
      </c>
      <c r="DS66" s="1">
        <v>4027</v>
      </c>
      <c r="DT66" s="1">
        <v>764</v>
      </c>
      <c r="DU66" s="1">
        <v>9167</v>
      </c>
      <c r="DV66" s="1">
        <v>3582</v>
      </c>
      <c r="DW66" s="1">
        <v>5620</v>
      </c>
      <c r="DX66" s="1">
        <v>9513</v>
      </c>
      <c r="DY66" s="1">
        <v>1559</v>
      </c>
      <c r="DZ66" s="1">
        <v>2951</v>
      </c>
      <c r="EA66" s="1">
        <v>9002</v>
      </c>
      <c r="EB66" s="1">
        <v>4093</v>
      </c>
      <c r="EC66" s="1">
        <v>584</v>
      </c>
      <c r="ED66" s="1">
        <v>1533</v>
      </c>
      <c r="EE66" s="1">
        <v>28540</v>
      </c>
      <c r="EF66" s="1">
        <v>3700</v>
      </c>
      <c r="EG66" s="1">
        <v>12467</v>
      </c>
      <c r="EH66" s="1">
        <v>22642</v>
      </c>
      <c r="EJ66" s="1">
        <f t="shared" si="0"/>
        <v>1348575</v>
      </c>
    </row>
    <row r="67" spans="1:140" x14ac:dyDescent="0.25">
      <c r="A67" s="1" t="s">
        <v>203</v>
      </c>
      <c r="B67" s="1">
        <v>5588</v>
      </c>
      <c r="C67" s="1">
        <v>5657</v>
      </c>
      <c r="D67" s="1">
        <v>229</v>
      </c>
      <c r="E67" s="1">
        <v>2122</v>
      </c>
      <c r="F67" s="1">
        <v>20</v>
      </c>
      <c r="G67" s="1">
        <v>25</v>
      </c>
      <c r="H67" s="1">
        <v>13184</v>
      </c>
      <c r="I67" s="1">
        <v>64</v>
      </c>
      <c r="J67" s="1">
        <v>1003</v>
      </c>
      <c r="K67" s="1">
        <v>36</v>
      </c>
      <c r="L67" s="1">
        <v>1143</v>
      </c>
      <c r="M67" s="1">
        <v>88</v>
      </c>
      <c r="N67" s="1">
        <v>10495</v>
      </c>
      <c r="O67" s="1">
        <v>1665</v>
      </c>
      <c r="P67" s="1">
        <v>642</v>
      </c>
      <c r="Q67" s="1">
        <v>7293</v>
      </c>
      <c r="R67" s="1">
        <v>17</v>
      </c>
      <c r="S67" s="1">
        <v>1623</v>
      </c>
      <c r="T67" s="1">
        <v>2948</v>
      </c>
      <c r="U67" s="1">
        <v>2346</v>
      </c>
      <c r="V67" s="1">
        <v>5838</v>
      </c>
      <c r="W67" s="1">
        <v>2150</v>
      </c>
      <c r="X67" s="1">
        <v>467</v>
      </c>
      <c r="Y67" s="1">
        <v>778</v>
      </c>
      <c r="Z67" s="1">
        <v>2237</v>
      </c>
      <c r="AA67" s="1">
        <v>457</v>
      </c>
      <c r="AB67" s="1">
        <v>5901</v>
      </c>
      <c r="AC67" s="1">
        <v>700</v>
      </c>
      <c r="AD67" s="1">
        <v>378</v>
      </c>
      <c r="AE67" s="1">
        <v>2545</v>
      </c>
      <c r="AF67" s="1">
        <v>1189</v>
      </c>
      <c r="AG67">
        <v>24507</v>
      </c>
      <c r="AH67" s="1">
        <v>474</v>
      </c>
      <c r="AI67" s="1">
        <v>1429</v>
      </c>
      <c r="AJ67" s="1">
        <v>360</v>
      </c>
      <c r="AK67" s="1">
        <v>1853</v>
      </c>
      <c r="AL67" s="1">
        <v>2597</v>
      </c>
      <c r="AM67" s="1">
        <v>624</v>
      </c>
      <c r="AN67" s="1">
        <v>443</v>
      </c>
      <c r="AO67" s="1">
        <v>7981</v>
      </c>
      <c r="AP67" s="1">
        <v>780</v>
      </c>
      <c r="AQ67" s="1">
        <v>120</v>
      </c>
      <c r="AR67" s="1">
        <v>1918</v>
      </c>
      <c r="AS67" s="1">
        <v>5178</v>
      </c>
      <c r="AT67" s="1">
        <v>1069</v>
      </c>
      <c r="AU67" s="1">
        <v>6724</v>
      </c>
      <c r="AV67" s="1">
        <v>4328</v>
      </c>
      <c r="AW67" s="1">
        <v>2749</v>
      </c>
      <c r="AX67" s="1">
        <v>22010</v>
      </c>
      <c r="AY67" s="1">
        <v>108</v>
      </c>
      <c r="AZ67" s="1">
        <v>694</v>
      </c>
      <c r="BA67" s="1">
        <v>5883</v>
      </c>
      <c r="BB67" s="1">
        <v>124</v>
      </c>
      <c r="BC67" s="1">
        <v>680</v>
      </c>
      <c r="BD67" s="1">
        <v>6356</v>
      </c>
      <c r="BE67" s="1">
        <v>5995</v>
      </c>
      <c r="BF67" s="1">
        <v>3363</v>
      </c>
      <c r="BG67" s="1">
        <v>3993</v>
      </c>
      <c r="BH67" s="1">
        <v>1805</v>
      </c>
      <c r="BI67" s="1">
        <v>27230</v>
      </c>
      <c r="BJ67" s="1">
        <v>4464</v>
      </c>
      <c r="BK67" s="1">
        <v>5818</v>
      </c>
      <c r="BL67" s="1">
        <v>5446</v>
      </c>
      <c r="BM67" s="1">
        <v>6035</v>
      </c>
      <c r="BN67" s="1">
        <v>2850</v>
      </c>
      <c r="BO67" s="1">
        <v>1814</v>
      </c>
      <c r="BP67" s="1">
        <v>34973</v>
      </c>
      <c r="BQ67" s="1">
        <v>3083</v>
      </c>
      <c r="BR67" s="1">
        <v>70890</v>
      </c>
      <c r="BS67" s="1">
        <v>9765</v>
      </c>
      <c r="BT67" s="1">
        <v>10463</v>
      </c>
      <c r="BU67" s="1">
        <v>33522</v>
      </c>
      <c r="BV67" s="1">
        <v>4000</v>
      </c>
      <c r="BW67" s="1">
        <v>14099</v>
      </c>
      <c r="BX67" s="1">
        <v>2779</v>
      </c>
      <c r="BY67" s="1">
        <v>6612</v>
      </c>
      <c r="BZ67" s="1">
        <v>18724</v>
      </c>
      <c r="CA67" s="1">
        <v>2453</v>
      </c>
      <c r="CB67" s="1">
        <v>1116</v>
      </c>
      <c r="CC67" s="1">
        <v>7547</v>
      </c>
      <c r="CD67" s="1">
        <v>3921</v>
      </c>
      <c r="CE67" s="1">
        <v>3485</v>
      </c>
      <c r="CF67" s="1">
        <v>6946</v>
      </c>
      <c r="CG67" s="1">
        <v>89595</v>
      </c>
      <c r="CH67" s="1">
        <v>12472</v>
      </c>
      <c r="CI67" s="1">
        <v>31042</v>
      </c>
      <c r="CJ67" s="1">
        <v>6159</v>
      </c>
      <c r="CK67" s="1">
        <v>16281</v>
      </c>
      <c r="CL67" s="1">
        <v>10401</v>
      </c>
      <c r="CM67" s="1">
        <v>13664</v>
      </c>
      <c r="CN67" s="1">
        <v>41501</v>
      </c>
      <c r="CO67" s="1">
        <v>5239</v>
      </c>
      <c r="CP67" s="1">
        <v>3289</v>
      </c>
      <c r="CQ67" s="1">
        <v>4438</v>
      </c>
      <c r="CR67" s="1">
        <v>6357</v>
      </c>
      <c r="CS67" s="1">
        <v>25214</v>
      </c>
      <c r="CT67" s="1">
        <v>17216</v>
      </c>
      <c r="CU67" s="1">
        <v>1605</v>
      </c>
      <c r="CV67" s="1">
        <v>217535</v>
      </c>
      <c r="CW67" s="1">
        <v>6219</v>
      </c>
      <c r="CX67" s="1">
        <v>1873</v>
      </c>
      <c r="CY67" s="1">
        <v>21574</v>
      </c>
      <c r="CZ67" s="1">
        <v>3994</v>
      </c>
      <c r="DA67" s="1">
        <v>4794</v>
      </c>
      <c r="DB67" s="1">
        <v>10013</v>
      </c>
      <c r="DC67" s="1">
        <v>3485</v>
      </c>
      <c r="DD67" s="1">
        <v>2477</v>
      </c>
      <c r="DE67" s="1">
        <v>1885</v>
      </c>
      <c r="DF67" s="1">
        <v>42321</v>
      </c>
      <c r="DG67" s="1">
        <v>10806</v>
      </c>
      <c r="DH67" s="1">
        <v>13183</v>
      </c>
      <c r="DI67" s="1">
        <v>2622</v>
      </c>
      <c r="DJ67" s="1">
        <v>22229</v>
      </c>
      <c r="DK67" s="1">
        <v>13080</v>
      </c>
      <c r="DL67" s="1">
        <v>8466</v>
      </c>
      <c r="DM67" s="1">
        <v>10965</v>
      </c>
      <c r="DN67" s="1">
        <v>12315</v>
      </c>
      <c r="DO67" s="1">
        <v>2191</v>
      </c>
      <c r="DP67" s="1">
        <v>6711</v>
      </c>
      <c r="DQ67" s="1">
        <v>44234</v>
      </c>
      <c r="DR67" s="1">
        <v>2616</v>
      </c>
      <c r="DS67" s="1">
        <v>4055</v>
      </c>
      <c r="DT67" s="1">
        <v>662</v>
      </c>
      <c r="DU67" s="1">
        <v>9333</v>
      </c>
      <c r="DV67" s="1">
        <v>3773</v>
      </c>
      <c r="DW67" s="1">
        <v>4945</v>
      </c>
      <c r="DX67" s="1">
        <v>10601</v>
      </c>
      <c r="DY67" s="1">
        <v>1622</v>
      </c>
      <c r="DZ67" s="1">
        <v>2432</v>
      </c>
      <c r="EA67" s="1">
        <v>9648</v>
      </c>
      <c r="EB67" s="1">
        <v>5642</v>
      </c>
      <c r="EC67" s="1">
        <v>638</v>
      </c>
      <c r="ED67" s="1">
        <v>1141</v>
      </c>
      <c r="EE67" s="1">
        <v>28448</v>
      </c>
      <c r="EF67" s="1">
        <v>3852</v>
      </c>
      <c r="EG67" s="1">
        <v>13946</v>
      </c>
      <c r="EH67" s="1">
        <v>24542</v>
      </c>
      <c r="EJ67" s="1">
        <f t="shared" ref="EJ67:EJ130" si="1">SUM(B67:EH67)</f>
        <v>1356349</v>
      </c>
    </row>
    <row r="68" spans="1:140" x14ac:dyDescent="0.25">
      <c r="A68" s="1" t="s">
        <v>204</v>
      </c>
      <c r="B68" s="1">
        <v>5514</v>
      </c>
      <c r="C68" s="1">
        <v>6277</v>
      </c>
      <c r="D68" s="1">
        <v>234</v>
      </c>
      <c r="E68" s="1">
        <v>2047</v>
      </c>
      <c r="F68" s="1">
        <v>13</v>
      </c>
      <c r="G68" s="1">
        <v>31</v>
      </c>
      <c r="H68" s="1">
        <v>15563</v>
      </c>
      <c r="I68" s="1">
        <v>52</v>
      </c>
      <c r="J68" s="1">
        <v>1132</v>
      </c>
      <c r="K68" s="1">
        <v>37</v>
      </c>
      <c r="L68" s="1">
        <v>1303</v>
      </c>
      <c r="M68" s="1">
        <v>172</v>
      </c>
      <c r="N68" s="1">
        <v>11079</v>
      </c>
      <c r="O68" s="1">
        <v>1501</v>
      </c>
      <c r="P68" s="1">
        <v>796</v>
      </c>
      <c r="Q68" s="1">
        <v>9040</v>
      </c>
      <c r="R68" s="1">
        <v>217</v>
      </c>
      <c r="S68" s="1">
        <v>1492</v>
      </c>
      <c r="T68" s="1">
        <v>3063</v>
      </c>
      <c r="U68" s="1">
        <v>2445</v>
      </c>
      <c r="V68" s="1">
        <v>6516</v>
      </c>
      <c r="W68" s="1">
        <v>2791</v>
      </c>
      <c r="X68" s="1">
        <v>516</v>
      </c>
      <c r="Y68" s="1">
        <v>1697</v>
      </c>
      <c r="Z68" s="1">
        <v>1504</v>
      </c>
      <c r="AA68" s="1">
        <v>558</v>
      </c>
      <c r="AB68" s="1">
        <v>5552</v>
      </c>
      <c r="AC68" s="1">
        <v>520</v>
      </c>
      <c r="AD68" s="1">
        <v>388</v>
      </c>
      <c r="AE68" s="1">
        <v>3184</v>
      </c>
      <c r="AF68" s="1">
        <v>1297</v>
      </c>
      <c r="AG68">
        <v>26886</v>
      </c>
      <c r="AH68" s="1">
        <v>511</v>
      </c>
      <c r="AI68" s="1">
        <v>2315</v>
      </c>
      <c r="AJ68" s="1">
        <v>369</v>
      </c>
      <c r="AK68" s="1">
        <v>2662</v>
      </c>
      <c r="AL68" s="1">
        <v>3347</v>
      </c>
      <c r="AM68" s="1">
        <v>930</v>
      </c>
      <c r="AN68" s="1">
        <v>315</v>
      </c>
      <c r="AO68" s="1">
        <v>9769</v>
      </c>
      <c r="AP68" s="1">
        <v>783</v>
      </c>
      <c r="AQ68" s="1">
        <v>108</v>
      </c>
      <c r="AR68" s="1">
        <v>2528</v>
      </c>
      <c r="AS68" s="1">
        <v>8446</v>
      </c>
      <c r="AT68" s="1">
        <v>1336</v>
      </c>
      <c r="AU68" s="1">
        <v>6094</v>
      </c>
      <c r="AV68" s="1">
        <v>4411</v>
      </c>
      <c r="AW68" s="1">
        <v>2274</v>
      </c>
      <c r="AX68" s="1">
        <v>23405</v>
      </c>
      <c r="AY68" s="1">
        <v>169</v>
      </c>
      <c r="AZ68" s="1">
        <v>1528</v>
      </c>
      <c r="BA68" s="1">
        <v>5946</v>
      </c>
      <c r="BB68" s="1">
        <v>244</v>
      </c>
      <c r="BC68" s="1">
        <v>690</v>
      </c>
      <c r="BD68" s="1">
        <v>6609</v>
      </c>
      <c r="BE68" s="1">
        <v>4733</v>
      </c>
      <c r="BF68" s="1">
        <v>3716</v>
      </c>
      <c r="BG68" s="1">
        <v>4680</v>
      </c>
      <c r="BH68" s="1">
        <v>1745</v>
      </c>
      <c r="BI68" s="1">
        <v>30201</v>
      </c>
      <c r="BJ68" s="1">
        <v>6202</v>
      </c>
      <c r="BK68" s="1">
        <v>6447</v>
      </c>
      <c r="BL68" s="1">
        <v>3421</v>
      </c>
      <c r="BM68" s="1">
        <v>5576</v>
      </c>
      <c r="BN68" s="1">
        <v>1935</v>
      </c>
      <c r="BO68" s="1">
        <v>1382</v>
      </c>
      <c r="BP68" s="1">
        <v>30649</v>
      </c>
      <c r="BQ68" s="1">
        <v>2848</v>
      </c>
      <c r="BR68" s="1">
        <v>75528</v>
      </c>
      <c r="BS68" s="1">
        <v>9462</v>
      </c>
      <c r="BT68" s="1">
        <v>9813</v>
      </c>
      <c r="BU68" s="1">
        <v>22229</v>
      </c>
      <c r="BV68" s="1">
        <v>3357</v>
      </c>
      <c r="BW68" s="1">
        <v>12998</v>
      </c>
      <c r="BX68" s="1">
        <v>2652</v>
      </c>
      <c r="BY68" s="1">
        <v>6239</v>
      </c>
      <c r="BZ68" s="1">
        <v>20717</v>
      </c>
      <c r="CA68" s="1">
        <v>2238</v>
      </c>
      <c r="CB68" s="1">
        <v>1166</v>
      </c>
      <c r="CC68" s="1">
        <v>6646</v>
      </c>
      <c r="CD68" s="1">
        <v>5969</v>
      </c>
      <c r="CE68" s="1">
        <v>3588</v>
      </c>
      <c r="CF68" s="1">
        <v>7818</v>
      </c>
      <c r="CG68" s="1">
        <v>92005</v>
      </c>
      <c r="CH68" s="1">
        <v>14211</v>
      </c>
      <c r="CI68" s="1">
        <v>34075</v>
      </c>
      <c r="CJ68" s="1">
        <v>6659</v>
      </c>
      <c r="CK68" s="1">
        <v>14845</v>
      </c>
      <c r="CL68" s="1">
        <v>15169</v>
      </c>
      <c r="CM68" s="1">
        <v>15057</v>
      </c>
      <c r="CN68" s="1">
        <v>45563</v>
      </c>
      <c r="CO68" s="1">
        <v>5213</v>
      </c>
      <c r="CP68" s="1">
        <v>3120</v>
      </c>
      <c r="CQ68" s="1">
        <v>4644</v>
      </c>
      <c r="CR68" s="1">
        <v>6589</v>
      </c>
      <c r="CS68" s="1">
        <v>25037</v>
      </c>
      <c r="CT68" s="1">
        <v>16854</v>
      </c>
      <c r="CU68" s="1">
        <v>1535</v>
      </c>
      <c r="CV68" s="1">
        <v>222994</v>
      </c>
      <c r="CW68" s="1">
        <v>5948</v>
      </c>
      <c r="CX68" s="1">
        <v>1699</v>
      </c>
      <c r="CY68" s="1">
        <v>22810</v>
      </c>
      <c r="CZ68" s="1">
        <v>2895</v>
      </c>
      <c r="DA68" s="1">
        <v>4914</v>
      </c>
      <c r="DB68" s="1">
        <v>10833</v>
      </c>
      <c r="DC68" s="1">
        <v>3596</v>
      </c>
      <c r="DD68" s="1">
        <v>2688</v>
      </c>
      <c r="DE68" s="1">
        <v>1668</v>
      </c>
      <c r="DF68" s="1">
        <v>43068</v>
      </c>
      <c r="DG68" s="1">
        <v>11765</v>
      </c>
      <c r="DH68" s="1">
        <v>13972</v>
      </c>
      <c r="DI68" s="1">
        <v>2816</v>
      </c>
      <c r="DJ68" s="1">
        <v>23642</v>
      </c>
      <c r="DK68" s="1">
        <v>14485</v>
      </c>
      <c r="DL68" s="1">
        <v>8754</v>
      </c>
      <c r="DM68" s="1">
        <v>11389</v>
      </c>
      <c r="DN68" s="1">
        <v>13238</v>
      </c>
      <c r="DO68" s="1">
        <v>2433</v>
      </c>
      <c r="DP68" s="1">
        <v>5932</v>
      </c>
      <c r="DQ68" s="1">
        <v>45429</v>
      </c>
      <c r="DR68" s="1">
        <v>2523</v>
      </c>
      <c r="DS68" s="1">
        <v>3927</v>
      </c>
      <c r="DT68" s="1">
        <v>714</v>
      </c>
      <c r="DU68" s="1">
        <v>8710</v>
      </c>
      <c r="DV68" s="1">
        <v>3885</v>
      </c>
      <c r="DW68" s="1">
        <v>4605</v>
      </c>
      <c r="DX68" s="1">
        <v>11135</v>
      </c>
      <c r="DY68" s="1">
        <v>1806</v>
      </c>
      <c r="DZ68" s="1">
        <v>2420</v>
      </c>
      <c r="EA68" s="1">
        <v>9956</v>
      </c>
      <c r="EB68" s="1">
        <v>6117</v>
      </c>
      <c r="EC68" s="1">
        <v>707</v>
      </c>
      <c r="ED68" s="1">
        <v>963</v>
      </c>
      <c r="EE68" s="1">
        <v>28097</v>
      </c>
      <c r="EF68" s="1">
        <v>4328</v>
      </c>
      <c r="EG68" s="1">
        <v>11870</v>
      </c>
      <c r="EH68" s="1">
        <v>26713</v>
      </c>
      <c r="EJ68" s="1">
        <f t="shared" si="1"/>
        <v>1398181</v>
      </c>
    </row>
    <row r="69" spans="1:140" x14ac:dyDescent="0.25">
      <c r="A69" s="1" t="s">
        <v>205</v>
      </c>
      <c r="B69" s="1">
        <v>5563</v>
      </c>
      <c r="C69" s="1">
        <v>6257</v>
      </c>
      <c r="D69" s="1">
        <v>272</v>
      </c>
      <c r="E69" s="1">
        <v>2226</v>
      </c>
      <c r="F69" s="1">
        <v>4</v>
      </c>
      <c r="G69" s="1">
        <v>14</v>
      </c>
      <c r="H69" s="1">
        <v>18339</v>
      </c>
      <c r="I69" s="1">
        <v>108</v>
      </c>
      <c r="J69" s="1">
        <v>1165</v>
      </c>
      <c r="K69" s="1">
        <v>29</v>
      </c>
      <c r="L69" s="1">
        <v>1499</v>
      </c>
      <c r="M69" s="1">
        <v>141</v>
      </c>
      <c r="N69" s="1">
        <v>12962</v>
      </c>
      <c r="O69" s="1">
        <v>2003</v>
      </c>
      <c r="P69" s="1">
        <v>772</v>
      </c>
      <c r="Q69" s="1">
        <v>8919</v>
      </c>
      <c r="R69" s="1">
        <v>114</v>
      </c>
      <c r="S69" s="1">
        <v>1853</v>
      </c>
      <c r="T69" s="1">
        <v>2717</v>
      </c>
      <c r="U69" s="1">
        <v>2188</v>
      </c>
      <c r="V69" s="1">
        <v>7273</v>
      </c>
      <c r="W69" s="1">
        <v>2670</v>
      </c>
      <c r="X69" s="1">
        <v>581</v>
      </c>
      <c r="Y69" s="1">
        <v>2492</v>
      </c>
      <c r="Z69" s="1">
        <v>1383</v>
      </c>
      <c r="AA69" s="1">
        <v>954</v>
      </c>
      <c r="AB69" s="1">
        <v>6262</v>
      </c>
      <c r="AC69" s="1">
        <v>706</v>
      </c>
      <c r="AD69" s="1">
        <v>394</v>
      </c>
      <c r="AE69" s="1">
        <v>3736</v>
      </c>
      <c r="AF69" s="1">
        <v>1200</v>
      </c>
      <c r="AG69">
        <v>26847</v>
      </c>
      <c r="AH69" s="1">
        <v>688</v>
      </c>
      <c r="AI69" s="1">
        <v>3756</v>
      </c>
      <c r="AJ69" s="1">
        <v>510</v>
      </c>
      <c r="AK69" s="1">
        <v>2530</v>
      </c>
      <c r="AL69" s="1">
        <v>3966</v>
      </c>
      <c r="AM69" s="1">
        <v>825</v>
      </c>
      <c r="AN69" s="1">
        <v>280</v>
      </c>
      <c r="AO69" s="1">
        <v>12881</v>
      </c>
      <c r="AP69" s="1">
        <v>795</v>
      </c>
      <c r="AQ69" s="1">
        <v>122</v>
      </c>
      <c r="AR69" s="1">
        <v>2324</v>
      </c>
      <c r="AS69" s="1">
        <v>11020</v>
      </c>
      <c r="AT69" s="1">
        <v>1462</v>
      </c>
      <c r="AU69" s="1">
        <v>4215</v>
      </c>
      <c r="AV69" s="1">
        <v>4672</v>
      </c>
      <c r="AW69" s="1">
        <v>9967</v>
      </c>
      <c r="AX69" s="1">
        <v>27863</v>
      </c>
      <c r="AY69" s="1">
        <v>161</v>
      </c>
      <c r="AZ69" s="1">
        <v>1051</v>
      </c>
      <c r="BA69" s="1">
        <v>6498</v>
      </c>
      <c r="BB69" s="1">
        <v>389</v>
      </c>
      <c r="BC69" s="1">
        <v>736</v>
      </c>
      <c r="BD69" s="1">
        <v>7147</v>
      </c>
      <c r="BE69" s="1">
        <v>3761</v>
      </c>
      <c r="BF69" s="1">
        <v>2864</v>
      </c>
      <c r="BG69" s="1">
        <v>5529</v>
      </c>
      <c r="BH69" s="1">
        <v>2048</v>
      </c>
      <c r="BI69" s="1">
        <v>33077</v>
      </c>
      <c r="BJ69" s="1">
        <v>4913</v>
      </c>
      <c r="BK69" s="1">
        <v>6707</v>
      </c>
      <c r="BL69" s="1">
        <v>3720</v>
      </c>
      <c r="BM69" s="1">
        <v>5762</v>
      </c>
      <c r="BN69" s="1">
        <v>1304</v>
      </c>
      <c r="BO69" s="1">
        <v>1495</v>
      </c>
      <c r="BP69" s="1">
        <v>27405</v>
      </c>
      <c r="BQ69" s="1">
        <v>3227</v>
      </c>
      <c r="BR69" s="1">
        <v>80113</v>
      </c>
      <c r="BS69" s="1">
        <v>9270</v>
      </c>
      <c r="BT69" s="1">
        <v>9748</v>
      </c>
      <c r="BU69" s="1">
        <v>20164</v>
      </c>
      <c r="BV69" s="1">
        <v>3564</v>
      </c>
      <c r="BW69" s="1">
        <v>13758</v>
      </c>
      <c r="BX69" s="1">
        <v>2527</v>
      </c>
      <c r="BY69" s="1">
        <v>5776</v>
      </c>
      <c r="BZ69" s="1">
        <v>20453</v>
      </c>
      <c r="CA69" s="1">
        <v>2258</v>
      </c>
      <c r="CB69" s="1">
        <v>1334</v>
      </c>
      <c r="CC69" s="1">
        <v>6089</v>
      </c>
      <c r="CD69" s="1">
        <v>4043</v>
      </c>
      <c r="CE69" s="1">
        <v>3442</v>
      </c>
      <c r="CF69" s="1">
        <v>7806</v>
      </c>
      <c r="CG69" s="1">
        <v>94364</v>
      </c>
      <c r="CH69" s="1">
        <v>13758</v>
      </c>
      <c r="CI69" s="1">
        <v>29323</v>
      </c>
      <c r="CJ69" s="1">
        <v>7200</v>
      </c>
      <c r="CK69" s="1">
        <v>15321</v>
      </c>
      <c r="CL69" s="1">
        <v>12899</v>
      </c>
      <c r="CM69" s="1">
        <v>15669</v>
      </c>
      <c r="CN69" s="1">
        <v>45545</v>
      </c>
      <c r="CO69" s="1">
        <v>5322</v>
      </c>
      <c r="CP69" s="1">
        <v>3403</v>
      </c>
      <c r="CQ69" s="1">
        <v>4786</v>
      </c>
      <c r="CR69" s="1">
        <v>6801</v>
      </c>
      <c r="CS69" s="1">
        <v>27973</v>
      </c>
      <c r="CT69" s="1">
        <v>19064</v>
      </c>
      <c r="CU69" s="1">
        <v>1787</v>
      </c>
      <c r="CV69" s="1">
        <v>241085</v>
      </c>
      <c r="CW69" s="1">
        <v>5646</v>
      </c>
      <c r="CX69" s="1">
        <v>1663</v>
      </c>
      <c r="CY69" s="1">
        <v>22900</v>
      </c>
      <c r="CZ69" s="1">
        <v>3485</v>
      </c>
      <c r="DA69" s="1">
        <v>5171</v>
      </c>
      <c r="DB69" s="1">
        <v>10540</v>
      </c>
      <c r="DC69" s="1">
        <v>3764</v>
      </c>
      <c r="DD69" s="1">
        <v>2606</v>
      </c>
      <c r="DE69" s="1">
        <v>2050</v>
      </c>
      <c r="DF69" s="1">
        <v>44836</v>
      </c>
      <c r="DG69" s="1">
        <v>12564</v>
      </c>
      <c r="DH69" s="1">
        <v>14829</v>
      </c>
      <c r="DI69" s="1">
        <v>2956</v>
      </c>
      <c r="DJ69" s="1">
        <v>23541</v>
      </c>
      <c r="DK69" s="1">
        <v>15122</v>
      </c>
      <c r="DL69" s="1">
        <v>8920</v>
      </c>
      <c r="DM69" s="1">
        <v>11888</v>
      </c>
      <c r="DN69" s="1">
        <v>14224</v>
      </c>
      <c r="DO69" s="1">
        <v>2580</v>
      </c>
      <c r="DP69" s="1">
        <v>6765</v>
      </c>
      <c r="DQ69" s="1">
        <v>51479</v>
      </c>
      <c r="DR69" s="1">
        <v>2695</v>
      </c>
      <c r="DS69" s="1">
        <v>4347</v>
      </c>
      <c r="DT69" s="1">
        <v>752</v>
      </c>
      <c r="DU69" s="1">
        <v>9743</v>
      </c>
      <c r="DV69" s="1">
        <v>3563</v>
      </c>
      <c r="DW69" s="1">
        <v>4915</v>
      </c>
      <c r="DX69" s="1">
        <v>10312</v>
      </c>
      <c r="DY69" s="1">
        <v>1614</v>
      </c>
      <c r="DZ69" s="1">
        <v>2581</v>
      </c>
      <c r="EA69" s="1">
        <v>9766</v>
      </c>
      <c r="EB69" s="1">
        <v>4749</v>
      </c>
      <c r="EC69" s="1">
        <v>761</v>
      </c>
      <c r="ED69" s="1">
        <v>1084</v>
      </c>
      <c r="EE69" s="1">
        <v>30773</v>
      </c>
      <c r="EF69" s="1">
        <v>3719</v>
      </c>
      <c r="EG69" s="1">
        <v>11026</v>
      </c>
      <c r="EH69" s="1">
        <v>25568</v>
      </c>
      <c r="EJ69" s="1">
        <f t="shared" si="1"/>
        <v>1457455</v>
      </c>
    </row>
    <row r="70" spans="1:140" x14ac:dyDescent="0.25">
      <c r="A70" s="1" t="s">
        <v>206</v>
      </c>
      <c r="B70" s="1">
        <v>6018</v>
      </c>
      <c r="C70" s="1">
        <v>5310</v>
      </c>
      <c r="D70" s="1">
        <v>316</v>
      </c>
      <c r="E70" s="1">
        <v>1980</v>
      </c>
      <c r="F70" s="1">
        <v>12</v>
      </c>
      <c r="G70" s="1">
        <v>31</v>
      </c>
      <c r="H70" s="1">
        <v>17665</v>
      </c>
      <c r="I70" s="1">
        <v>53</v>
      </c>
      <c r="J70" s="1">
        <v>1225</v>
      </c>
      <c r="K70" s="1">
        <v>69</v>
      </c>
      <c r="L70" s="1">
        <v>1457</v>
      </c>
      <c r="M70" s="1">
        <v>180</v>
      </c>
      <c r="N70" s="1">
        <v>12084</v>
      </c>
      <c r="O70" s="1">
        <v>2441</v>
      </c>
      <c r="P70" s="1">
        <v>768</v>
      </c>
      <c r="Q70" s="1">
        <v>8305</v>
      </c>
      <c r="R70" s="1">
        <v>31</v>
      </c>
      <c r="S70" s="1">
        <v>1731</v>
      </c>
      <c r="T70" s="1">
        <v>2742</v>
      </c>
      <c r="U70" s="1">
        <v>2189</v>
      </c>
      <c r="V70" s="1">
        <v>6068</v>
      </c>
      <c r="W70" s="1">
        <v>2753</v>
      </c>
      <c r="X70" s="1">
        <v>774</v>
      </c>
      <c r="Y70" s="1">
        <v>940</v>
      </c>
      <c r="Z70" s="1">
        <v>1329</v>
      </c>
      <c r="AA70" s="1">
        <v>793</v>
      </c>
      <c r="AB70" s="1">
        <v>5929</v>
      </c>
      <c r="AC70" s="1">
        <v>593</v>
      </c>
      <c r="AD70" s="1">
        <v>417</v>
      </c>
      <c r="AE70" s="1">
        <v>2405</v>
      </c>
      <c r="AF70" s="1">
        <v>1738</v>
      </c>
      <c r="AG70">
        <v>27988</v>
      </c>
      <c r="AH70" s="1">
        <v>623</v>
      </c>
      <c r="AI70" s="1">
        <v>2490</v>
      </c>
      <c r="AJ70" s="1">
        <v>437</v>
      </c>
      <c r="AK70" s="1">
        <v>2558</v>
      </c>
      <c r="AL70" s="1">
        <v>4428</v>
      </c>
      <c r="AM70" s="1">
        <v>905</v>
      </c>
      <c r="AN70" s="1">
        <v>507</v>
      </c>
      <c r="AO70" s="1">
        <v>9114</v>
      </c>
      <c r="AP70" s="1">
        <v>540</v>
      </c>
      <c r="AQ70" s="1">
        <v>102</v>
      </c>
      <c r="AR70" s="1">
        <v>2422</v>
      </c>
      <c r="AS70" s="1">
        <v>8217</v>
      </c>
      <c r="AT70" s="1">
        <v>1299</v>
      </c>
      <c r="AU70" s="1">
        <v>5165</v>
      </c>
      <c r="AV70" s="1">
        <v>4467</v>
      </c>
      <c r="AW70" s="1">
        <v>15577</v>
      </c>
      <c r="AX70" s="1">
        <v>29013</v>
      </c>
      <c r="AY70" s="1">
        <v>134</v>
      </c>
      <c r="AZ70" s="1">
        <v>710</v>
      </c>
      <c r="BA70" s="1">
        <v>40680</v>
      </c>
      <c r="BB70" s="1">
        <v>439</v>
      </c>
      <c r="BC70" s="1">
        <v>1143</v>
      </c>
      <c r="BD70" s="1">
        <v>8191</v>
      </c>
      <c r="BE70" s="1">
        <v>3475</v>
      </c>
      <c r="BF70" s="1">
        <v>3512</v>
      </c>
      <c r="BG70" s="1">
        <v>5554</v>
      </c>
      <c r="BH70" s="1">
        <v>1750</v>
      </c>
      <c r="BI70" s="1">
        <v>33505</v>
      </c>
      <c r="BJ70" s="1">
        <v>4540</v>
      </c>
      <c r="BK70" s="1">
        <v>6157</v>
      </c>
      <c r="BL70" s="1">
        <v>3900</v>
      </c>
      <c r="BM70" s="1">
        <v>6178</v>
      </c>
      <c r="BN70" s="1">
        <v>1296</v>
      </c>
      <c r="BO70" s="1">
        <v>1265</v>
      </c>
      <c r="BP70" s="1">
        <v>24746</v>
      </c>
      <c r="BQ70" s="1">
        <v>3137</v>
      </c>
      <c r="BR70" s="1">
        <v>82620</v>
      </c>
      <c r="BS70" s="1">
        <v>10634</v>
      </c>
      <c r="BT70" s="1">
        <v>10649</v>
      </c>
      <c r="BU70" s="1">
        <v>19299</v>
      </c>
      <c r="BV70" s="1">
        <v>3308</v>
      </c>
      <c r="BW70" s="1">
        <v>13816</v>
      </c>
      <c r="BX70" s="1">
        <v>2567</v>
      </c>
      <c r="BY70" s="1">
        <v>6173</v>
      </c>
      <c r="BZ70" s="1">
        <v>19348</v>
      </c>
      <c r="CA70" s="1">
        <v>2421</v>
      </c>
      <c r="CB70" s="1">
        <v>1065</v>
      </c>
      <c r="CC70" s="1">
        <v>5869</v>
      </c>
      <c r="CD70" s="1">
        <v>4165</v>
      </c>
      <c r="CE70" s="1">
        <v>3392</v>
      </c>
      <c r="CF70" s="1">
        <v>7537</v>
      </c>
      <c r="CG70" s="1">
        <v>94627</v>
      </c>
      <c r="CH70" s="1">
        <v>14475</v>
      </c>
      <c r="CI70" s="1">
        <v>26737</v>
      </c>
      <c r="CJ70" s="1">
        <v>6868</v>
      </c>
      <c r="CK70" s="1">
        <v>15472</v>
      </c>
      <c r="CL70" s="1">
        <v>11880</v>
      </c>
      <c r="CM70" s="1">
        <v>15789</v>
      </c>
      <c r="CN70" s="1">
        <v>46253</v>
      </c>
      <c r="CO70" s="1">
        <v>5860</v>
      </c>
      <c r="CP70" s="1">
        <v>3160</v>
      </c>
      <c r="CQ70" s="1">
        <v>4398</v>
      </c>
      <c r="CR70" s="1">
        <v>7199</v>
      </c>
      <c r="CS70" s="1">
        <v>28239</v>
      </c>
      <c r="CT70" s="1">
        <v>19445</v>
      </c>
      <c r="CU70" s="1">
        <v>1946</v>
      </c>
      <c r="CV70" s="1">
        <v>238063</v>
      </c>
      <c r="CW70" s="1">
        <v>6008</v>
      </c>
      <c r="CX70" s="1">
        <v>1825</v>
      </c>
      <c r="CY70" s="1">
        <v>23466</v>
      </c>
      <c r="CZ70" s="1">
        <v>3191</v>
      </c>
      <c r="DA70" s="1">
        <v>5121</v>
      </c>
      <c r="DB70" s="1">
        <v>11469</v>
      </c>
      <c r="DC70" s="1">
        <v>3825</v>
      </c>
      <c r="DD70" s="1">
        <v>2555</v>
      </c>
      <c r="DE70" s="1">
        <v>1850</v>
      </c>
      <c r="DF70" s="1">
        <v>46741</v>
      </c>
      <c r="DG70" s="1">
        <v>13018</v>
      </c>
      <c r="DH70" s="1">
        <v>15888</v>
      </c>
      <c r="DI70" s="1">
        <v>2997</v>
      </c>
      <c r="DJ70" s="1">
        <v>24258</v>
      </c>
      <c r="DK70" s="1">
        <v>15001</v>
      </c>
      <c r="DL70" s="1">
        <v>9077</v>
      </c>
      <c r="DM70" s="1">
        <v>12600</v>
      </c>
      <c r="DN70" s="1">
        <v>15041</v>
      </c>
      <c r="DO70" s="1">
        <v>2627</v>
      </c>
      <c r="DP70" s="1">
        <v>6934</v>
      </c>
      <c r="DQ70" s="1">
        <v>51500</v>
      </c>
      <c r="DR70" s="1">
        <v>2741</v>
      </c>
      <c r="DS70" s="1">
        <v>4494</v>
      </c>
      <c r="DT70" s="1">
        <v>758</v>
      </c>
      <c r="DU70" s="1">
        <v>9710</v>
      </c>
      <c r="DV70" s="1">
        <v>3861</v>
      </c>
      <c r="DW70" s="1">
        <v>4488</v>
      </c>
      <c r="DX70" s="1">
        <v>11177</v>
      </c>
      <c r="DY70" s="1">
        <v>1629</v>
      </c>
      <c r="DZ70" s="1">
        <v>2451</v>
      </c>
      <c r="EA70" s="1">
        <v>9375</v>
      </c>
      <c r="EB70" s="1">
        <v>4635</v>
      </c>
      <c r="EC70" s="1">
        <v>705</v>
      </c>
      <c r="ED70" s="1">
        <v>1197</v>
      </c>
      <c r="EE70" s="1">
        <v>30763</v>
      </c>
      <c r="EF70" s="1">
        <v>3267</v>
      </c>
      <c r="EG70" s="1">
        <v>10763</v>
      </c>
      <c r="EH70" s="1">
        <v>26790</v>
      </c>
      <c r="EJ70" s="1">
        <f t="shared" si="1"/>
        <v>1491580</v>
      </c>
    </row>
    <row r="71" spans="1:140" x14ac:dyDescent="0.25">
      <c r="A71" s="1" t="s">
        <v>207</v>
      </c>
      <c r="B71" s="1">
        <v>6675</v>
      </c>
      <c r="C71" s="1">
        <v>5134</v>
      </c>
      <c r="D71" s="1">
        <v>210</v>
      </c>
      <c r="E71" s="1">
        <v>1701</v>
      </c>
      <c r="F71" s="1">
        <v>11</v>
      </c>
      <c r="G71" s="1">
        <v>16</v>
      </c>
      <c r="H71" s="1">
        <v>17902</v>
      </c>
      <c r="I71" s="1">
        <v>40</v>
      </c>
      <c r="J71" s="1">
        <v>1361</v>
      </c>
      <c r="K71" s="1">
        <v>48</v>
      </c>
      <c r="L71" s="1">
        <v>1453</v>
      </c>
      <c r="M71" s="1">
        <v>130</v>
      </c>
      <c r="N71" s="1">
        <v>12752</v>
      </c>
      <c r="O71" s="1">
        <v>1843</v>
      </c>
      <c r="P71" s="1">
        <v>774</v>
      </c>
      <c r="Q71" s="1">
        <v>7499</v>
      </c>
      <c r="R71" s="1">
        <v>56</v>
      </c>
      <c r="S71" s="1">
        <v>1961</v>
      </c>
      <c r="T71" s="1">
        <v>2483</v>
      </c>
      <c r="U71" s="1">
        <v>2721</v>
      </c>
      <c r="V71" s="1">
        <v>6150</v>
      </c>
      <c r="W71" s="1">
        <v>2512</v>
      </c>
      <c r="X71" s="1">
        <v>505</v>
      </c>
      <c r="Y71" s="1">
        <v>977</v>
      </c>
      <c r="Z71" s="1">
        <v>1612</v>
      </c>
      <c r="AA71" s="1">
        <v>575</v>
      </c>
      <c r="AB71" s="1">
        <v>5412</v>
      </c>
      <c r="AC71" s="1">
        <v>561</v>
      </c>
      <c r="AD71" s="1">
        <v>424</v>
      </c>
      <c r="AE71" s="1">
        <v>2018</v>
      </c>
      <c r="AF71" s="1">
        <v>1261</v>
      </c>
      <c r="AG71">
        <v>28065</v>
      </c>
      <c r="AH71" s="1">
        <v>525</v>
      </c>
      <c r="AI71" s="1">
        <v>1857</v>
      </c>
      <c r="AJ71" s="1">
        <v>492</v>
      </c>
      <c r="AK71" s="1">
        <v>2420</v>
      </c>
      <c r="AL71" s="1">
        <v>2963</v>
      </c>
      <c r="AM71" s="1">
        <v>871</v>
      </c>
      <c r="AN71" s="1">
        <v>424</v>
      </c>
      <c r="AO71" s="1">
        <v>9162</v>
      </c>
      <c r="AP71" s="1">
        <v>671</v>
      </c>
      <c r="AQ71" s="1">
        <v>153</v>
      </c>
      <c r="AR71" s="1">
        <v>2095</v>
      </c>
      <c r="AS71" s="1">
        <v>6098</v>
      </c>
      <c r="AT71" s="1">
        <v>1324</v>
      </c>
      <c r="AU71" s="1">
        <v>3022</v>
      </c>
      <c r="AV71" s="1">
        <v>4084</v>
      </c>
      <c r="AW71" s="1">
        <v>6418</v>
      </c>
      <c r="AX71" s="1">
        <v>27815</v>
      </c>
      <c r="AY71" s="1">
        <v>113</v>
      </c>
      <c r="AZ71" s="1">
        <v>803</v>
      </c>
      <c r="BA71" s="1">
        <v>13008</v>
      </c>
      <c r="BB71" s="1">
        <v>371</v>
      </c>
      <c r="BC71" s="1">
        <v>998</v>
      </c>
      <c r="BD71" s="1">
        <v>7633</v>
      </c>
      <c r="BE71" s="1">
        <v>4751</v>
      </c>
      <c r="BF71" s="1">
        <v>2191</v>
      </c>
      <c r="BG71" s="1">
        <v>5421</v>
      </c>
      <c r="BH71" s="1">
        <v>1862</v>
      </c>
      <c r="BI71" s="1">
        <v>31972</v>
      </c>
      <c r="BJ71" s="1">
        <v>4482</v>
      </c>
      <c r="BK71" s="1">
        <v>6422</v>
      </c>
      <c r="BL71" s="1">
        <v>3728</v>
      </c>
      <c r="BM71" s="1">
        <v>5684</v>
      </c>
      <c r="BN71" s="1">
        <v>1133</v>
      </c>
      <c r="BO71" s="1">
        <v>1528</v>
      </c>
      <c r="BP71" s="1">
        <v>23632</v>
      </c>
      <c r="BQ71" s="1">
        <v>2978</v>
      </c>
      <c r="BR71" s="1">
        <v>78803</v>
      </c>
      <c r="BS71" s="1">
        <v>9952</v>
      </c>
      <c r="BT71" s="1">
        <v>10014</v>
      </c>
      <c r="BU71" s="1">
        <v>18430</v>
      </c>
      <c r="BV71" s="1">
        <v>3178</v>
      </c>
      <c r="BW71" s="1">
        <v>13096</v>
      </c>
      <c r="BX71" s="1">
        <v>2346</v>
      </c>
      <c r="BY71" s="1">
        <v>6221</v>
      </c>
      <c r="BZ71" s="1">
        <v>20879</v>
      </c>
      <c r="CA71" s="1">
        <v>2276</v>
      </c>
      <c r="CB71" s="1">
        <v>1059</v>
      </c>
      <c r="CC71" s="1">
        <v>5620</v>
      </c>
      <c r="CD71" s="1">
        <v>3754</v>
      </c>
      <c r="CE71" s="1">
        <v>3206</v>
      </c>
      <c r="CF71" s="1">
        <v>7881</v>
      </c>
      <c r="CG71" s="1">
        <v>94713</v>
      </c>
      <c r="CH71" s="1">
        <v>13696</v>
      </c>
      <c r="CI71" s="1">
        <v>25164</v>
      </c>
      <c r="CJ71" s="1">
        <v>6419</v>
      </c>
      <c r="CK71" s="1">
        <v>14709</v>
      </c>
      <c r="CL71" s="1">
        <v>10258</v>
      </c>
      <c r="CM71" s="1">
        <v>15451</v>
      </c>
      <c r="CN71" s="1">
        <v>44022</v>
      </c>
      <c r="CO71" s="1">
        <v>5517</v>
      </c>
      <c r="CP71" s="1">
        <v>3269</v>
      </c>
      <c r="CQ71" s="1">
        <v>4111</v>
      </c>
      <c r="CR71" s="1">
        <v>6918</v>
      </c>
      <c r="CS71" s="1">
        <v>27843</v>
      </c>
      <c r="CT71" s="1">
        <v>19215</v>
      </c>
      <c r="CU71" s="1">
        <v>1933</v>
      </c>
      <c r="CV71" s="1">
        <v>244949</v>
      </c>
      <c r="CW71" s="1">
        <v>5386</v>
      </c>
      <c r="CX71" s="1">
        <v>1587</v>
      </c>
      <c r="CY71" s="1">
        <v>22134</v>
      </c>
      <c r="CZ71" s="1">
        <v>3141</v>
      </c>
      <c r="DA71" s="1">
        <v>5136</v>
      </c>
      <c r="DB71" s="1">
        <v>10818</v>
      </c>
      <c r="DC71" s="1">
        <v>3497</v>
      </c>
      <c r="DD71" s="1">
        <v>2726</v>
      </c>
      <c r="DE71" s="1">
        <v>1957</v>
      </c>
      <c r="DF71" s="1">
        <v>47412</v>
      </c>
      <c r="DG71" s="1">
        <v>14330</v>
      </c>
      <c r="DH71" s="1">
        <v>15765</v>
      </c>
      <c r="DI71" s="1">
        <v>4860</v>
      </c>
      <c r="DJ71" s="1">
        <v>25152</v>
      </c>
      <c r="DK71" s="1">
        <v>15004</v>
      </c>
      <c r="DL71" s="1">
        <v>9082</v>
      </c>
      <c r="DM71" s="1">
        <v>13782</v>
      </c>
      <c r="DN71" s="1">
        <v>17555</v>
      </c>
      <c r="DO71" s="1">
        <v>2761</v>
      </c>
      <c r="DP71" s="1">
        <v>7017</v>
      </c>
      <c r="DQ71" s="1">
        <v>51210</v>
      </c>
      <c r="DR71" s="1">
        <v>3532</v>
      </c>
      <c r="DS71" s="1">
        <v>5063</v>
      </c>
      <c r="DT71" s="1">
        <v>672</v>
      </c>
      <c r="DU71" s="1">
        <v>8805</v>
      </c>
      <c r="DV71" s="1">
        <v>4123</v>
      </c>
      <c r="DW71" s="1">
        <v>4828</v>
      </c>
      <c r="DX71" s="1">
        <v>10137</v>
      </c>
      <c r="DY71" s="1">
        <v>1771</v>
      </c>
      <c r="DZ71" s="1">
        <v>2166</v>
      </c>
      <c r="EA71" s="1">
        <v>8858</v>
      </c>
      <c r="EB71" s="1">
        <v>4867</v>
      </c>
      <c r="EC71" s="1">
        <v>606</v>
      </c>
      <c r="ED71" s="1">
        <v>1203</v>
      </c>
      <c r="EE71" s="1">
        <v>29386</v>
      </c>
      <c r="EF71" s="1">
        <v>3547</v>
      </c>
      <c r="EG71" s="1">
        <v>10945</v>
      </c>
      <c r="EH71" s="1">
        <v>24246</v>
      </c>
      <c r="EJ71" s="1">
        <f t="shared" si="1"/>
        <v>1433915</v>
      </c>
    </row>
    <row r="72" spans="1:140" x14ac:dyDescent="0.25">
      <c r="A72" s="1" t="s">
        <v>208</v>
      </c>
      <c r="B72" s="1">
        <v>6548</v>
      </c>
      <c r="C72" s="1">
        <v>4323</v>
      </c>
      <c r="D72" s="1">
        <v>169</v>
      </c>
      <c r="E72" s="1">
        <v>1954</v>
      </c>
      <c r="F72" s="1">
        <v>3</v>
      </c>
      <c r="G72" s="1">
        <v>28</v>
      </c>
      <c r="H72" s="1">
        <v>14452</v>
      </c>
      <c r="I72" s="1">
        <v>49</v>
      </c>
      <c r="J72" s="1">
        <v>1062</v>
      </c>
      <c r="K72" s="1">
        <v>35</v>
      </c>
      <c r="L72" s="1">
        <v>966</v>
      </c>
      <c r="M72" s="1">
        <v>154</v>
      </c>
      <c r="N72" s="1">
        <v>12810</v>
      </c>
      <c r="O72" s="1">
        <v>1489</v>
      </c>
      <c r="P72" s="1">
        <v>620</v>
      </c>
      <c r="Q72" s="1">
        <v>6705</v>
      </c>
      <c r="R72" s="1">
        <v>51</v>
      </c>
      <c r="S72" s="1">
        <v>1653</v>
      </c>
      <c r="T72" s="1">
        <v>2690</v>
      </c>
      <c r="U72" s="1">
        <v>2070</v>
      </c>
      <c r="V72" s="1">
        <v>6176</v>
      </c>
      <c r="W72" s="1">
        <v>2679</v>
      </c>
      <c r="X72" s="1">
        <v>538</v>
      </c>
      <c r="Y72" s="1">
        <v>922</v>
      </c>
      <c r="Z72" s="1">
        <v>2541</v>
      </c>
      <c r="AA72" s="1">
        <v>630</v>
      </c>
      <c r="AB72" s="1">
        <v>6117</v>
      </c>
      <c r="AC72" s="1">
        <v>792</v>
      </c>
      <c r="AD72" s="1">
        <v>704</v>
      </c>
      <c r="AE72" s="1">
        <v>1889</v>
      </c>
      <c r="AF72" s="1">
        <v>1997</v>
      </c>
      <c r="AG72">
        <v>27893</v>
      </c>
      <c r="AH72" s="1">
        <v>489</v>
      </c>
      <c r="AI72" s="1">
        <v>1492</v>
      </c>
      <c r="AJ72" s="1">
        <v>370</v>
      </c>
      <c r="AK72" s="1">
        <v>2226</v>
      </c>
      <c r="AL72" s="1">
        <v>3107</v>
      </c>
      <c r="AM72" s="1">
        <v>814</v>
      </c>
      <c r="AN72" s="1">
        <v>329</v>
      </c>
      <c r="AO72" s="1">
        <v>9951</v>
      </c>
      <c r="AP72" s="1">
        <v>744</v>
      </c>
      <c r="AQ72" s="1">
        <v>201</v>
      </c>
      <c r="AR72" s="1">
        <v>2211</v>
      </c>
      <c r="AS72" s="1">
        <v>5984</v>
      </c>
      <c r="AT72" s="1">
        <v>1468</v>
      </c>
      <c r="AU72" s="1">
        <v>3288</v>
      </c>
      <c r="AV72" s="1">
        <v>4278</v>
      </c>
      <c r="AW72" s="1">
        <v>5461</v>
      </c>
      <c r="AX72" s="1">
        <v>26987</v>
      </c>
      <c r="AY72" s="1">
        <v>163</v>
      </c>
      <c r="AZ72" s="1">
        <v>689</v>
      </c>
      <c r="BA72" s="1">
        <v>7784</v>
      </c>
      <c r="BB72" s="1">
        <v>397</v>
      </c>
      <c r="BC72" s="1">
        <v>752</v>
      </c>
      <c r="BD72" s="1">
        <v>7214</v>
      </c>
      <c r="BE72" s="1">
        <v>3236</v>
      </c>
      <c r="BF72" s="1">
        <v>2431</v>
      </c>
      <c r="BG72" s="1">
        <v>6114</v>
      </c>
      <c r="BH72" s="1">
        <v>1962</v>
      </c>
      <c r="BI72" s="1">
        <v>33578</v>
      </c>
      <c r="BJ72" s="1">
        <v>4441</v>
      </c>
      <c r="BK72" s="1">
        <v>5893</v>
      </c>
      <c r="BL72" s="1">
        <v>2741</v>
      </c>
      <c r="BM72" s="1">
        <v>5869</v>
      </c>
      <c r="BN72" s="1">
        <v>1035</v>
      </c>
      <c r="BO72" s="1">
        <v>1282</v>
      </c>
      <c r="BP72" s="1">
        <v>21881</v>
      </c>
      <c r="BQ72" s="1">
        <v>2677</v>
      </c>
      <c r="BR72" s="1">
        <v>77179</v>
      </c>
      <c r="BS72" s="1">
        <v>10245</v>
      </c>
      <c r="BT72" s="1">
        <v>8708</v>
      </c>
      <c r="BU72" s="1">
        <v>18589</v>
      </c>
      <c r="BV72" s="1">
        <v>3275</v>
      </c>
      <c r="BW72" s="1">
        <v>12403</v>
      </c>
      <c r="BX72" s="1">
        <v>2151</v>
      </c>
      <c r="BY72" s="1">
        <v>5813</v>
      </c>
      <c r="BZ72" s="1">
        <v>20732</v>
      </c>
      <c r="CA72" s="1">
        <v>2192</v>
      </c>
      <c r="CB72" s="1">
        <v>1119</v>
      </c>
      <c r="CC72" s="1">
        <v>6045</v>
      </c>
      <c r="CD72" s="1">
        <v>3993</v>
      </c>
      <c r="CE72" s="1">
        <v>3797</v>
      </c>
      <c r="CF72" s="1">
        <v>7966</v>
      </c>
      <c r="CG72" s="1">
        <v>96981</v>
      </c>
      <c r="CH72" s="1">
        <v>12229</v>
      </c>
      <c r="CI72" s="1">
        <v>23387</v>
      </c>
      <c r="CJ72" s="1">
        <v>5823</v>
      </c>
      <c r="CK72" s="1">
        <v>14828</v>
      </c>
      <c r="CL72" s="1">
        <v>9231</v>
      </c>
      <c r="CM72" s="1">
        <v>15303</v>
      </c>
      <c r="CN72" s="1">
        <v>43930</v>
      </c>
      <c r="CO72" s="1">
        <v>5459</v>
      </c>
      <c r="CP72" s="1">
        <v>2949</v>
      </c>
      <c r="CQ72" s="1">
        <v>4051</v>
      </c>
      <c r="CR72" s="1">
        <v>6580</v>
      </c>
      <c r="CS72" s="1">
        <v>29080</v>
      </c>
      <c r="CT72" s="1">
        <v>20198</v>
      </c>
      <c r="CU72" s="1">
        <v>1979</v>
      </c>
      <c r="CV72" s="1">
        <v>239835</v>
      </c>
      <c r="CW72" s="1">
        <v>4857</v>
      </c>
      <c r="CX72" s="1">
        <v>1417</v>
      </c>
      <c r="CY72" s="1">
        <v>21391</v>
      </c>
      <c r="CZ72" s="1">
        <v>2637</v>
      </c>
      <c r="DA72" s="1">
        <v>5800</v>
      </c>
      <c r="DB72" s="1">
        <v>10455</v>
      </c>
      <c r="DC72" s="1">
        <v>3722</v>
      </c>
      <c r="DD72" s="1">
        <v>2809</v>
      </c>
      <c r="DE72" s="1">
        <v>1830</v>
      </c>
      <c r="DF72" s="1">
        <v>48660</v>
      </c>
      <c r="DG72" s="1">
        <v>14453</v>
      </c>
      <c r="DH72" s="1">
        <v>15783</v>
      </c>
      <c r="DI72" s="1">
        <v>5695</v>
      </c>
      <c r="DJ72" s="1">
        <v>23437</v>
      </c>
      <c r="DK72" s="1">
        <v>16855</v>
      </c>
      <c r="DL72" s="1">
        <v>9891</v>
      </c>
      <c r="DM72" s="1">
        <v>13449</v>
      </c>
      <c r="DN72" s="1">
        <v>17906</v>
      </c>
      <c r="DO72" s="1">
        <v>2898</v>
      </c>
      <c r="DP72" s="1">
        <v>6952</v>
      </c>
      <c r="DQ72" s="1">
        <v>55220</v>
      </c>
      <c r="DR72" s="1">
        <v>3536</v>
      </c>
      <c r="DS72" s="1">
        <v>7632</v>
      </c>
      <c r="DT72" s="1">
        <v>594</v>
      </c>
      <c r="DU72" s="1">
        <v>9396</v>
      </c>
      <c r="DV72" s="1">
        <v>3482</v>
      </c>
      <c r="DW72" s="1">
        <v>5130</v>
      </c>
      <c r="DX72" s="1">
        <v>7829</v>
      </c>
      <c r="DY72" s="1">
        <v>1221</v>
      </c>
      <c r="DZ72" s="1">
        <v>2112</v>
      </c>
      <c r="EA72" s="1">
        <v>8455</v>
      </c>
      <c r="EB72" s="1">
        <v>3517</v>
      </c>
      <c r="EC72" s="1">
        <v>469</v>
      </c>
      <c r="ED72" s="1">
        <v>1037</v>
      </c>
      <c r="EE72" s="1">
        <v>29438</v>
      </c>
      <c r="EF72" s="1">
        <v>3052</v>
      </c>
      <c r="EG72" s="1">
        <v>9515</v>
      </c>
      <c r="EH72" s="1">
        <v>24213</v>
      </c>
      <c r="EJ72" s="1">
        <f t="shared" si="1"/>
        <v>1413043</v>
      </c>
    </row>
    <row r="73" spans="1:140" x14ac:dyDescent="0.25">
      <c r="A73" s="1" t="s">
        <v>209</v>
      </c>
      <c r="B73" s="1">
        <v>4397</v>
      </c>
      <c r="C73" s="1">
        <v>3485</v>
      </c>
      <c r="D73" s="1">
        <v>73</v>
      </c>
      <c r="E73" s="1">
        <v>1296</v>
      </c>
      <c r="F73" s="1">
        <v>1</v>
      </c>
      <c r="G73" s="1">
        <v>14</v>
      </c>
      <c r="H73" s="1">
        <v>9437</v>
      </c>
      <c r="I73" s="1">
        <v>56</v>
      </c>
      <c r="J73" s="1">
        <v>806</v>
      </c>
      <c r="K73" s="1">
        <v>65</v>
      </c>
      <c r="L73" s="1">
        <v>860</v>
      </c>
      <c r="M73" s="1">
        <v>159</v>
      </c>
      <c r="N73" s="1">
        <v>9966</v>
      </c>
      <c r="O73" s="1">
        <v>1118</v>
      </c>
      <c r="P73" s="1">
        <v>408</v>
      </c>
      <c r="Q73" s="1">
        <v>4676</v>
      </c>
      <c r="R73" s="1">
        <v>51</v>
      </c>
      <c r="S73" s="1">
        <v>1371</v>
      </c>
      <c r="T73" s="1">
        <v>1886</v>
      </c>
      <c r="U73" s="1">
        <v>1538</v>
      </c>
      <c r="V73" s="1">
        <v>4664</v>
      </c>
      <c r="W73" s="1">
        <v>1821</v>
      </c>
      <c r="X73" s="1">
        <v>376</v>
      </c>
      <c r="Y73" s="1">
        <v>672</v>
      </c>
      <c r="Z73" s="1">
        <v>2096</v>
      </c>
      <c r="AA73" s="1">
        <v>630</v>
      </c>
      <c r="AB73" s="1">
        <v>4220</v>
      </c>
      <c r="AC73" s="1">
        <v>470</v>
      </c>
      <c r="AD73" s="1">
        <v>273</v>
      </c>
      <c r="AE73" s="1">
        <v>994</v>
      </c>
      <c r="AF73" s="1">
        <v>1073</v>
      </c>
      <c r="AG73">
        <v>20008</v>
      </c>
      <c r="AH73" s="1">
        <v>494</v>
      </c>
      <c r="AI73" s="1">
        <v>874</v>
      </c>
      <c r="AJ73" s="1">
        <v>255</v>
      </c>
      <c r="AK73" s="1">
        <v>1410</v>
      </c>
      <c r="AL73" s="1">
        <v>2210</v>
      </c>
      <c r="AM73" s="1">
        <v>633</v>
      </c>
      <c r="AN73" s="1">
        <v>197</v>
      </c>
      <c r="AO73" s="1">
        <v>7675</v>
      </c>
      <c r="AP73" s="1">
        <v>538</v>
      </c>
      <c r="AQ73" s="1">
        <v>157</v>
      </c>
      <c r="AR73" s="1">
        <v>1865</v>
      </c>
      <c r="AS73" s="1">
        <v>4452</v>
      </c>
      <c r="AT73" s="1">
        <v>808</v>
      </c>
      <c r="AU73" s="1">
        <v>2299</v>
      </c>
      <c r="AV73" s="1">
        <v>3159</v>
      </c>
      <c r="AW73" s="1">
        <v>1777</v>
      </c>
      <c r="AX73" s="1">
        <v>22094</v>
      </c>
      <c r="AY73" s="1">
        <v>89</v>
      </c>
      <c r="AZ73" s="1">
        <v>591</v>
      </c>
      <c r="BA73" s="1">
        <v>5172</v>
      </c>
      <c r="BB73" s="1">
        <v>181</v>
      </c>
      <c r="BC73" s="1">
        <v>617</v>
      </c>
      <c r="BD73" s="1">
        <v>5731</v>
      </c>
      <c r="BE73" s="1">
        <v>2134</v>
      </c>
      <c r="BF73" s="1">
        <v>1479</v>
      </c>
      <c r="BG73" s="1">
        <v>4328</v>
      </c>
      <c r="BH73" s="1">
        <v>1665</v>
      </c>
      <c r="BI73" s="1">
        <v>27086</v>
      </c>
      <c r="BJ73" s="1">
        <v>3110</v>
      </c>
      <c r="BK73" s="1">
        <v>6161</v>
      </c>
      <c r="BL73" s="1">
        <v>1899</v>
      </c>
      <c r="BM73" s="1">
        <v>4340</v>
      </c>
      <c r="BN73" s="1">
        <v>805</v>
      </c>
      <c r="BO73" s="1">
        <v>1388</v>
      </c>
      <c r="BP73" s="1">
        <v>16728</v>
      </c>
      <c r="BQ73" s="1">
        <v>1901</v>
      </c>
      <c r="BR73" s="1">
        <v>58947</v>
      </c>
      <c r="BS73" s="1">
        <v>8850</v>
      </c>
      <c r="BT73" s="1">
        <v>5838</v>
      </c>
      <c r="BU73" s="1">
        <v>13053</v>
      </c>
      <c r="BV73" s="1">
        <v>2455</v>
      </c>
      <c r="BW73" s="1">
        <v>9774</v>
      </c>
      <c r="BX73" s="1">
        <v>1548</v>
      </c>
      <c r="BY73" s="1">
        <v>4696</v>
      </c>
      <c r="BZ73" s="1">
        <v>19201</v>
      </c>
      <c r="CA73" s="1">
        <v>1702</v>
      </c>
      <c r="CB73" s="1">
        <v>773</v>
      </c>
      <c r="CC73" s="1">
        <v>4941</v>
      </c>
      <c r="CD73" s="1">
        <v>2917</v>
      </c>
      <c r="CE73" s="1">
        <v>3697</v>
      </c>
      <c r="CF73" s="1">
        <v>6983</v>
      </c>
      <c r="CG73" s="1">
        <v>84832</v>
      </c>
      <c r="CH73" s="1">
        <v>9065</v>
      </c>
      <c r="CI73" s="1">
        <v>16031</v>
      </c>
      <c r="CJ73" s="1">
        <v>3604</v>
      </c>
      <c r="CK73" s="1">
        <v>11045</v>
      </c>
      <c r="CL73" s="1">
        <v>6480</v>
      </c>
      <c r="CM73" s="1">
        <v>11400</v>
      </c>
      <c r="CN73" s="1">
        <v>31265</v>
      </c>
      <c r="CO73" s="1">
        <v>4343</v>
      </c>
      <c r="CP73" s="1">
        <v>2186</v>
      </c>
      <c r="CQ73" s="1">
        <v>2489</v>
      </c>
      <c r="CR73" s="1">
        <v>4831</v>
      </c>
      <c r="CS73" s="1">
        <v>22452</v>
      </c>
      <c r="CT73" s="1">
        <v>15940</v>
      </c>
      <c r="CU73" s="1">
        <v>1447</v>
      </c>
      <c r="CV73" s="1">
        <v>188370</v>
      </c>
      <c r="CW73" s="1">
        <v>2752</v>
      </c>
      <c r="CX73" s="1">
        <v>982</v>
      </c>
      <c r="CY73" s="1">
        <v>13848</v>
      </c>
      <c r="CZ73" s="1">
        <v>1673</v>
      </c>
      <c r="DA73" s="1">
        <v>4209</v>
      </c>
      <c r="DB73" s="1">
        <v>7803</v>
      </c>
      <c r="DC73" s="1">
        <v>2219</v>
      </c>
      <c r="DD73" s="1">
        <v>1548</v>
      </c>
      <c r="DE73" s="1">
        <v>1258</v>
      </c>
      <c r="DF73" s="1">
        <v>34230</v>
      </c>
      <c r="DG73" s="1">
        <v>8729</v>
      </c>
      <c r="DH73" s="1">
        <v>9602</v>
      </c>
      <c r="DI73" s="1">
        <v>2426</v>
      </c>
      <c r="DJ73" s="1">
        <v>16469</v>
      </c>
      <c r="DK73" s="1">
        <v>13549</v>
      </c>
      <c r="DL73" s="1">
        <v>7310</v>
      </c>
      <c r="DM73" s="1">
        <v>11636</v>
      </c>
      <c r="DN73" s="1">
        <v>10957</v>
      </c>
      <c r="DO73" s="1">
        <v>2121</v>
      </c>
      <c r="DP73" s="1">
        <v>5383</v>
      </c>
      <c r="DQ73" s="1">
        <v>45766</v>
      </c>
      <c r="DR73" s="1">
        <v>2566</v>
      </c>
      <c r="DS73" s="1">
        <v>5369</v>
      </c>
      <c r="DT73" s="1">
        <v>463</v>
      </c>
      <c r="DU73" s="1">
        <v>6976</v>
      </c>
      <c r="DV73" s="1">
        <v>2302</v>
      </c>
      <c r="DW73" s="1">
        <v>3662</v>
      </c>
      <c r="DX73" s="1">
        <v>5440</v>
      </c>
      <c r="DY73" s="1">
        <v>906</v>
      </c>
      <c r="DZ73" s="1">
        <v>1502</v>
      </c>
      <c r="EA73" s="1">
        <v>6283</v>
      </c>
      <c r="EB73" s="1">
        <v>2582</v>
      </c>
      <c r="EC73" s="1">
        <v>384</v>
      </c>
      <c r="ED73" s="1">
        <v>596</v>
      </c>
      <c r="EE73" s="1">
        <v>21493</v>
      </c>
      <c r="EF73" s="1">
        <v>2266</v>
      </c>
      <c r="EG73" s="1">
        <v>6848</v>
      </c>
      <c r="EH73" s="1">
        <v>17956</v>
      </c>
      <c r="EJ73" s="1">
        <f t="shared" si="1"/>
        <v>1068481</v>
      </c>
    </row>
    <row r="74" spans="1:140" x14ac:dyDescent="0.25">
      <c r="A74" s="1" t="s">
        <v>210</v>
      </c>
      <c r="B74" s="1">
        <v>5699</v>
      </c>
      <c r="C74" s="1">
        <v>4994</v>
      </c>
      <c r="D74" s="1">
        <v>133</v>
      </c>
      <c r="E74" s="1">
        <v>1433</v>
      </c>
      <c r="F74" s="1">
        <v>4</v>
      </c>
      <c r="G74" s="1">
        <v>14</v>
      </c>
      <c r="H74" s="1">
        <v>14123</v>
      </c>
      <c r="I74" s="1">
        <v>58</v>
      </c>
      <c r="J74" s="1">
        <v>1437</v>
      </c>
      <c r="K74" s="1">
        <v>35</v>
      </c>
      <c r="L74" s="1">
        <v>1219</v>
      </c>
      <c r="M74" s="1">
        <v>195</v>
      </c>
      <c r="N74" s="1">
        <v>10458</v>
      </c>
      <c r="O74" s="1">
        <v>1592</v>
      </c>
      <c r="P74" s="1">
        <v>523</v>
      </c>
      <c r="Q74" s="1">
        <v>6873</v>
      </c>
      <c r="R74" s="1">
        <v>75</v>
      </c>
      <c r="S74" s="1">
        <v>1616</v>
      </c>
      <c r="T74" s="1">
        <v>2711</v>
      </c>
      <c r="U74" s="1">
        <v>1934</v>
      </c>
      <c r="V74" s="1">
        <v>6265</v>
      </c>
      <c r="W74" s="1">
        <v>2429</v>
      </c>
      <c r="X74" s="1">
        <v>464</v>
      </c>
      <c r="Y74" s="1">
        <v>824</v>
      </c>
      <c r="Z74" s="1">
        <v>1307</v>
      </c>
      <c r="AA74" s="1">
        <v>822</v>
      </c>
      <c r="AB74" s="1">
        <v>4816</v>
      </c>
      <c r="AC74" s="1">
        <v>527</v>
      </c>
      <c r="AD74" s="1">
        <v>814</v>
      </c>
      <c r="AE74" s="1">
        <v>1306</v>
      </c>
      <c r="AF74" s="1">
        <v>1394</v>
      </c>
      <c r="AG74">
        <v>24645</v>
      </c>
      <c r="AH74" s="1">
        <v>522</v>
      </c>
      <c r="AI74" s="1">
        <v>860</v>
      </c>
      <c r="AJ74" s="1">
        <v>387</v>
      </c>
      <c r="AK74" s="1">
        <v>1725</v>
      </c>
      <c r="AL74" s="1">
        <v>2995</v>
      </c>
      <c r="AM74" s="1">
        <v>778</v>
      </c>
      <c r="AN74" s="1">
        <v>353</v>
      </c>
      <c r="AO74" s="1">
        <v>8555</v>
      </c>
      <c r="AP74" s="1">
        <v>679</v>
      </c>
      <c r="AQ74" s="1">
        <v>134</v>
      </c>
      <c r="AR74" s="1">
        <v>2084</v>
      </c>
      <c r="AS74" s="1">
        <v>5632</v>
      </c>
      <c r="AT74" s="1">
        <v>1247</v>
      </c>
      <c r="AU74" s="1">
        <v>2473</v>
      </c>
      <c r="AV74" s="1">
        <v>4072</v>
      </c>
      <c r="AW74" s="1">
        <v>2324</v>
      </c>
      <c r="AX74" s="1">
        <v>24821</v>
      </c>
      <c r="AY74" s="1">
        <v>134</v>
      </c>
      <c r="AZ74" s="1">
        <v>790</v>
      </c>
      <c r="BA74" s="1">
        <v>5294</v>
      </c>
      <c r="BB74" s="1">
        <v>254</v>
      </c>
      <c r="BC74" s="1">
        <v>955</v>
      </c>
      <c r="BD74" s="1">
        <v>6225</v>
      </c>
      <c r="BE74" s="1">
        <v>4457</v>
      </c>
      <c r="BF74" s="1">
        <v>1818</v>
      </c>
      <c r="BG74" s="1">
        <v>5677</v>
      </c>
      <c r="BH74" s="1">
        <v>2144</v>
      </c>
      <c r="BI74" s="1">
        <v>33665</v>
      </c>
      <c r="BJ74" s="1">
        <v>4774</v>
      </c>
      <c r="BK74" s="1">
        <v>6205</v>
      </c>
      <c r="BL74" s="1">
        <v>3247</v>
      </c>
      <c r="BM74" s="1">
        <v>5100</v>
      </c>
      <c r="BN74" s="1">
        <v>1041</v>
      </c>
      <c r="BO74" s="1">
        <v>1340</v>
      </c>
      <c r="BP74" s="1">
        <v>22619</v>
      </c>
      <c r="BQ74" s="1">
        <v>2740</v>
      </c>
      <c r="BR74" s="1">
        <v>71955</v>
      </c>
      <c r="BS74" s="1">
        <v>9754</v>
      </c>
      <c r="BT74" s="1">
        <v>8943</v>
      </c>
      <c r="BU74" s="1">
        <v>17526</v>
      </c>
      <c r="BV74" s="1">
        <v>3172</v>
      </c>
      <c r="BW74" s="1">
        <v>11582</v>
      </c>
      <c r="BX74" s="1">
        <v>2148</v>
      </c>
      <c r="BY74" s="1">
        <v>5822</v>
      </c>
      <c r="BZ74" s="1">
        <v>20984</v>
      </c>
      <c r="CA74" s="1">
        <v>2134</v>
      </c>
      <c r="CB74" s="1">
        <v>948</v>
      </c>
      <c r="CC74" s="1">
        <v>6013</v>
      </c>
      <c r="CD74" s="1">
        <v>3777</v>
      </c>
      <c r="CE74" s="1">
        <v>3900</v>
      </c>
      <c r="CF74" s="1">
        <v>8195</v>
      </c>
      <c r="CG74" s="1">
        <v>93181</v>
      </c>
      <c r="CH74" s="1">
        <v>15118</v>
      </c>
      <c r="CI74" s="1">
        <v>28815</v>
      </c>
      <c r="CJ74" s="1">
        <v>7334</v>
      </c>
      <c r="CK74" s="1">
        <v>15884</v>
      </c>
      <c r="CL74" s="1">
        <v>10641</v>
      </c>
      <c r="CM74" s="1">
        <v>17089</v>
      </c>
      <c r="CN74" s="1">
        <v>44552</v>
      </c>
      <c r="CO74" s="1">
        <v>5376</v>
      </c>
      <c r="CP74" s="1">
        <v>3159</v>
      </c>
      <c r="CQ74" s="1">
        <v>3822</v>
      </c>
      <c r="CR74" s="1">
        <v>7247</v>
      </c>
      <c r="CS74" s="1">
        <v>29444</v>
      </c>
      <c r="CT74" s="1">
        <v>19447</v>
      </c>
      <c r="CU74" s="1">
        <v>2133</v>
      </c>
      <c r="CV74" s="1">
        <v>235502</v>
      </c>
      <c r="CW74" s="1">
        <v>6271</v>
      </c>
      <c r="CX74" s="1">
        <v>1906</v>
      </c>
      <c r="CY74" s="1">
        <v>23324</v>
      </c>
      <c r="CZ74" s="1">
        <v>2804</v>
      </c>
      <c r="DA74" s="1">
        <v>5372</v>
      </c>
      <c r="DB74" s="1">
        <v>10978</v>
      </c>
      <c r="DC74" s="1">
        <v>3750</v>
      </c>
      <c r="DD74" s="1">
        <v>2987</v>
      </c>
      <c r="DE74" s="1">
        <v>2087</v>
      </c>
      <c r="DF74" s="1">
        <v>47309</v>
      </c>
      <c r="DG74" s="1">
        <v>16629</v>
      </c>
      <c r="DH74" s="1">
        <v>16954</v>
      </c>
      <c r="DI74" s="1">
        <v>5853</v>
      </c>
      <c r="DJ74" s="1">
        <v>26643</v>
      </c>
      <c r="DK74" s="1">
        <v>16136</v>
      </c>
      <c r="DL74" s="1">
        <v>10010</v>
      </c>
      <c r="DM74" s="1">
        <v>13908</v>
      </c>
      <c r="DN74" s="1">
        <v>21665</v>
      </c>
      <c r="DO74" s="1">
        <v>2471</v>
      </c>
      <c r="DP74" s="1">
        <v>8084</v>
      </c>
      <c r="DQ74" s="1">
        <v>53165</v>
      </c>
      <c r="DR74" s="1">
        <v>3019</v>
      </c>
      <c r="DS74" s="1">
        <v>4650</v>
      </c>
      <c r="DT74" s="1">
        <v>776</v>
      </c>
      <c r="DU74" s="1">
        <v>7665</v>
      </c>
      <c r="DV74" s="1">
        <v>4763</v>
      </c>
      <c r="DW74" s="1">
        <v>5067</v>
      </c>
      <c r="DX74" s="1">
        <v>12223</v>
      </c>
      <c r="DY74" s="1">
        <v>1778</v>
      </c>
      <c r="DZ74" s="1">
        <v>2118</v>
      </c>
      <c r="EA74" s="1">
        <v>8241</v>
      </c>
      <c r="EB74" s="1">
        <v>6526</v>
      </c>
      <c r="EC74" s="1">
        <v>620</v>
      </c>
      <c r="ED74" s="1">
        <v>981</v>
      </c>
      <c r="EE74" s="1">
        <v>30965</v>
      </c>
      <c r="EF74" s="1">
        <v>2743</v>
      </c>
      <c r="EG74" s="1">
        <v>11796</v>
      </c>
      <c r="EH74" s="1">
        <v>23769</v>
      </c>
      <c r="EJ74" s="1">
        <f t="shared" si="1"/>
        <v>1410462</v>
      </c>
    </row>
    <row r="75" spans="1:140" x14ac:dyDescent="0.25">
      <c r="A75" s="1" t="s">
        <v>211</v>
      </c>
      <c r="B75" s="1">
        <v>6420</v>
      </c>
      <c r="C75" s="1">
        <v>5207</v>
      </c>
      <c r="D75" s="1">
        <v>161</v>
      </c>
      <c r="E75" s="1">
        <v>2078</v>
      </c>
      <c r="F75" s="1">
        <v>2</v>
      </c>
      <c r="G75" s="1">
        <v>15</v>
      </c>
      <c r="H75" s="1">
        <v>14054</v>
      </c>
      <c r="I75" s="1">
        <v>69</v>
      </c>
      <c r="J75" s="1">
        <v>1298</v>
      </c>
      <c r="K75" s="1">
        <v>53</v>
      </c>
      <c r="L75" s="1">
        <v>1290</v>
      </c>
      <c r="M75" s="1">
        <v>158</v>
      </c>
      <c r="N75" s="1">
        <v>11860</v>
      </c>
      <c r="O75" s="1">
        <v>1448</v>
      </c>
      <c r="P75" s="1">
        <v>465</v>
      </c>
      <c r="Q75" s="1">
        <v>7223</v>
      </c>
      <c r="R75" s="1">
        <v>84</v>
      </c>
      <c r="S75" s="1">
        <v>1980</v>
      </c>
      <c r="T75" s="1">
        <v>3300</v>
      </c>
      <c r="U75" s="1">
        <v>2496</v>
      </c>
      <c r="V75" s="1">
        <v>6232</v>
      </c>
      <c r="W75" s="1">
        <v>2293</v>
      </c>
      <c r="X75" s="1">
        <v>424</v>
      </c>
      <c r="Y75" s="1">
        <v>713</v>
      </c>
      <c r="Z75" s="1">
        <v>2366</v>
      </c>
      <c r="AA75" s="1">
        <v>820</v>
      </c>
      <c r="AB75" s="1">
        <v>4869</v>
      </c>
      <c r="AC75" s="1">
        <v>713</v>
      </c>
      <c r="AD75" s="1">
        <v>786</v>
      </c>
      <c r="AE75" s="1">
        <v>1474</v>
      </c>
      <c r="AF75" s="1">
        <v>1546</v>
      </c>
      <c r="AG75">
        <v>27174</v>
      </c>
      <c r="AH75" s="1">
        <v>601</v>
      </c>
      <c r="AI75" s="1">
        <v>1367</v>
      </c>
      <c r="AJ75" s="1">
        <v>780</v>
      </c>
      <c r="AK75" s="1">
        <v>2032</v>
      </c>
      <c r="AL75" s="1">
        <v>2560</v>
      </c>
      <c r="AM75" s="1">
        <v>964</v>
      </c>
      <c r="AN75" s="1">
        <v>231</v>
      </c>
      <c r="AO75" s="1">
        <v>8449</v>
      </c>
      <c r="AP75" s="1">
        <v>728</v>
      </c>
      <c r="AQ75" s="1">
        <v>166</v>
      </c>
      <c r="AR75" s="1">
        <v>2692</v>
      </c>
      <c r="AS75" s="1">
        <v>6219</v>
      </c>
      <c r="AT75" s="1">
        <v>1733</v>
      </c>
      <c r="AU75" s="1">
        <v>2106</v>
      </c>
      <c r="AV75" s="1">
        <v>4148</v>
      </c>
      <c r="AW75" s="1">
        <v>2136</v>
      </c>
      <c r="AX75" s="1">
        <v>22524</v>
      </c>
      <c r="AY75" s="1">
        <v>81</v>
      </c>
      <c r="AZ75" s="1">
        <v>617</v>
      </c>
      <c r="BA75" s="1">
        <v>5199</v>
      </c>
      <c r="BB75" s="1">
        <v>202</v>
      </c>
      <c r="BC75" s="1">
        <v>1080</v>
      </c>
      <c r="BD75" s="1">
        <v>7119</v>
      </c>
      <c r="BE75" s="1">
        <v>3371</v>
      </c>
      <c r="BF75" s="1">
        <v>1392</v>
      </c>
      <c r="BG75" s="1">
        <v>6071</v>
      </c>
      <c r="BH75" s="1">
        <v>2239</v>
      </c>
      <c r="BI75" s="1">
        <v>29141</v>
      </c>
      <c r="BJ75" s="1">
        <v>4615</v>
      </c>
      <c r="BK75" s="1">
        <v>5579</v>
      </c>
      <c r="BL75" s="1">
        <v>2971</v>
      </c>
      <c r="BM75" s="1">
        <v>5393</v>
      </c>
      <c r="BN75" s="1">
        <v>1083</v>
      </c>
      <c r="BO75" s="1">
        <v>1375</v>
      </c>
      <c r="BP75" s="1">
        <v>26041</v>
      </c>
      <c r="BQ75" s="1">
        <v>2965</v>
      </c>
      <c r="BR75" s="1">
        <v>76853</v>
      </c>
      <c r="BS75" s="1">
        <v>10220</v>
      </c>
      <c r="BT75" s="1">
        <v>10902</v>
      </c>
      <c r="BU75" s="1">
        <v>18759</v>
      </c>
      <c r="BV75" s="1">
        <v>3542</v>
      </c>
      <c r="BW75" s="1">
        <v>12445</v>
      </c>
      <c r="BX75" s="1">
        <v>2535</v>
      </c>
      <c r="BY75" s="1">
        <v>6641</v>
      </c>
      <c r="BZ75" s="1">
        <v>21644</v>
      </c>
      <c r="CA75" s="1">
        <v>2559</v>
      </c>
      <c r="CB75" s="1">
        <v>1174</v>
      </c>
      <c r="CC75" s="1">
        <v>6604</v>
      </c>
      <c r="CD75" s="1">
        <v>3563</v>
      </c>
      <c r="CE75" s="1">
        <v>3437</v>
      </c>
      <c r="CF75" s="1">
        <v>7981</v>
      </c>
      <c r="CG75" s="1">
        <v>97135</v>
      </c>
      <c r="CH75" s="1">
        <v>23147</v>
      </c>
      <c r="CI75" s="1">
        <v>35705</v>
      </c>
      <c r="CJ75" s="1">
        <v>9762</v>
      </c>
      <c r="CK75" s="1">
        <v>16815</v>
      </c>
      <c r="CL75" s="1">
        <v>11169</v>
      </c>
      <c r="CM75" s="1">
        <v>18102</v>
      </c>
      <c r="CN75" s="1">
        <v>48252</v>
      </c>
      <c r="CO75" s="1">
        <v>6413</v>
      </c>
      <c r="CP75" s="1">
        <v>3173</v>
      </c>
      <c r="CQ75" s="1">
        <v>4869</v>
      </c>
      <c r="CR75" s="1">
        <v>7182</v>
      </c>
      <c r="CS75" s="1">
        <v>32393</v>
      </c>
      <c r="CT75" s="1">
        <v>19560</v>
      </c>
      <c r="CU75" s="1">
        <v>2051</v>
      </c>
      <c r="CV75" s="1">
        <v>261943</v>
      </c>
      <c r="CW75" s="1">
        <v>6333</v>
      </c>
      <c r="CX75" s="1">
        <v>2024</v>
      </c>
      <c r="CY75" s="1">
        <v>25728</v>
      </c>
      <c r="CZ75" s="1">
        <v>2942</v>
      </c>
      <c r="DA75" s="1">
        <v>5901</v>
      </c>
      <c r="DB75" s="1">
        <v>12482</v>
      </c>
      <c r="DC75" s="1">
        <v>4457</v>
      </c>
      <c r="DD75" s="1">
        <v>3051</v>
      </c>
      <c r="DE75" s="1">
        <v>2098</v>
      </c>
      <c r="DF75" s="1">
        <v>49639</v>
      </c>
      <c r="DG75" s="1">
        <v>17061</v>
      </c>
      <c r="DH75" s="1">
        <v>20774</v>
      </c>
      <c r="DI75" s="1">
        <v>6029</v>
      </c>
      <c r="DJ75" s="1">
        <v>32203</v>
      </c>
      <c r="DK75" s="1">
        <v>15942</v>
      </c>
      <c r="DL75" s="1">
        <v>11011</v>
      </c>
      <c r="DM75" s="1">
        <v>14801</v>
      </c>
      <c r="DN75" s="1">
        <v>25314</v>
      </c>
      <c r="DO75" s="1">
        <v>2866</v>
      </c>
      <c r="DP75" s="1">
        <v>11278</v>
      </c>
      <c r="DQ75" s="1">
        <v>54533</v>
      </c>
      <c r="DR75" s="1">
        <v>3392</v>
      </c>
      <c r="DS75" s="1">
        <v>4744</v>
      </c>
      <c r="DT75" s="1">
        <v>788</v>
      </c>
      <c r="DU75" s="1">
        <v>9591</v>
      </c>
      <c r="DV75" s="1">
        <v>4840</v>
      </c>
      <c r="DW75" s="1">
        <v>6574</v>
      </c>
      <c r="DX75" s="1">
        <v>12293</v>
      </c>
      <c r="DY75" s="1">
        <v>1566</v>
      </c>
      <c r="DZ75" s="1">
        <v>2715</v>
      </c>
      <c r="EA75" s="1">
        <v>9623</v>
      </c>
      <c r="EB75" s="1">
        <v>5223</v>
      </c>
      <c r="EC75" s="1">
        <v>648</v>
      </c>
      <c r="ED75" s="1">
        <v>1300</v>
      </c>
      <c r="EE75" s="1">
        <v>31029</v>
      </c>
      <c r="EF75" s="1">
        <v>3539</v>
      </c>
      <c r="EG75" s="1">
        <v>14668</v>
      </c>
      <c r="EH75" s="1">
        <v>25749</v>
      </c>
      <c r="EJ75" s="1">
        <f t="shared" si="1"/>
        <v>1526320</v>
      </c>
    </row>
    <row r="76" spans="1:140" x14ac:dyDescent="0.25">
      <c r="A76" s="1" t="s">
        <v>212</v>
      </c>
      <c r="B76" s="1">
        <v>8035</v>
      </c>
      <c r="C76" s="1">
        <v>6039</v>
      </c>
      <c r="D76" s="1">
        <v>124</v>
      </c>
      <c r="E76" s="1">
        <v>2076</v>
      </c>
      <c r="F76" s="1">
        <v>10</v>
      </c>
      <c r="G76" s="1">
        <v>22</v>
      </c>
      <c r="H76" s="1">
        <v>17836</v>
      </c>
      <c r="I76" s="1">
        <v>62</v>
      </c>
      <c r="J76" s="1">
        <v>1511</v>
      </c>
      <c r="K76" s="1">
        <v>82</v>
      </c>
      <c r="L76" s="1">
        <v>1270</v>
      </c>
      <c r="M76" s="1">
        <v>89</v>
      </c>
      <c r="N76" s="1">
        <v>12073</v>
      </c>
      <c r="O76" s="1">
        <v>1467</v>
      </c>
      <c r="P76" s="1">
        <v>685</v>
      </c>
      <c r="Q76" s="1">
        <v>6998</v>
      </c>
      <c r="R76" s="1">
        <v>38</v>
      </c>
      <c r="S76" s="1">
        <v>1534</v>
      </c>
      <c r="T76" s="1">
        <v>3232</v>
      </c>
      <c r="U76" s="1">
        <v>2754</v>
      </c>
      <c r="V76" s="1">
        <v>8467</v>
      </c>
      <c r="W76" s="1">
        <v>2697</v>
      </c>
      <c r="X76" s="1">
        <v>552</v>
      </c>
      <c r="Y76" s="1">
        <v>1008</v>
      </c>
      <c r="Z76" s="1">
        <v>3008</v>
      </c>
      <c r="AA76" s="1">
        <v>800</v>
      </c>
      <c r="AB76" s="1">
        <v>6528</v>
      </c>
      <c r="AC76" s="1">
        <v>1220</v>
      </c>
      <c r="AD76" s="1">
        <v>2005</v>
      </c>
      <c r="AE76" s="1">
        <v>1748</v>
      </c>
      <c r="AF76" s="1">
        <v>1679</v>
      </c>
      <c r="AG76">
        <v>29617</v>
      </c>
      <c r="AH76" s="1">
        <v>797</v>
      </c>
      <c r="AI76" s="1">
        <v>1655</v>
      </c>
      <c r="AJ76" s="1">
        <v>614</v>
      </c>
      <c r="AK76" s="1">
        <v>2122</v>
      </c>
      <c r="AL76" s="1">
        <v>3167</v>
      </c>
      <c r="AM76" s="1">
        <v>1213</v>
      </c>
      <c r="AN76" s="1">
        <v>370</v>
      </c>
      <c r="AO76" s="1">
        <v>10906</v>
      </c>
      <c r="AP76" s="1">
        <v>762</v>
      </c>
      <c r="AQ76" s="1">
        <v>210</v>
      </c>
      <c r="AR76" s="1">
        <v>2801</v>
      </c>
      <c r="AS76" s="1">
        <v>6381</v>
      </c>
      <c r="AT76" s="1">
        <v>1937</v>
      </c>
      <c r="AU76" s="1">
        <v>2572</v>
      </c>
      <c r="AV76" s="1">
        <v>4640</v>
      </c>
      <c r="AW76" s="1">
        <v>2063</v>
      </c>
      <c r="AX76" s="1">
        <v>28109</v>
      </c>
      <c r="AY76" s="1">
        <v>157</v>
      </c>
      <c r="AZ76" s="1">
        <v>1002</v>
      </c>
      <c r="BA76" s="1">
        <v>6482</v>
      </c>
      <c r="BB76" s="1">
        <v>320</v>
      </c>
      <c r="BC76" s="1">
        <v>981</v>
      </c>
      <c r="BD76" s="1">
        <v>7652</v>
      </c>
      <c r="BE76" s="1">
        <v>3643</v>
      </c>
      <c r="BF76" s="1">
        <v>2084</v>
      </c>
      <c r="BG76" s="1">
        <v>6525</v>
      </c>
      <c r="BH76" s="1">
        <v>2813</v>
      </c>
      <c r="BI76" s="1">
        <v>36163</v>
      </c>
      <c r="BJ76" s="1">
        <v>4813</v>
      </c>
      <c r="BK76" s="1">
        <v>8437</v>
      </c>
      <c r="BL76" s="1">
        <v>3304</v>
      </c>
      <c r="BM76" s="1">
        <v>6820</v>
      </c>
      <c r="BN76" s="1">
        <v>1476</v>
      </c>
      <c r="BO76" s="1">
        <v>1458</v>
      </c>
      <c r="BP76" s="1">
        <v>35499</v>
      </c>
      <c r="BQ76" s="1">
        <v>4120</v>
      </c>
      <c r="BR76" s="1">
        <v>96765</v>
      </c>
      <c r="BS76" s="1">
        <v>12144</v>
      </c>
      <c r="BT76" s="1">
        <v>13386</v>
      </c>
      <c r="BU76" s="1">
        <v>22356</v>
      </c>
      <c r="BV76" s="1">
        <v>3787</v>
      </c>
      <c r="BW76" s="1">
        <v>17369</v>
      </c>
      <c r="BX76" s="1">
        <v>2888</v>
      </c>
      <c r="BY76" s="1">
        <v>7293</v>
      </c>
      <c r="BZ76" s="1">
        <v>24488</v>
      </c>
      <c r="CA76" s="1">
        <v>2759</v>
      </c>
      <c r="CB76" s="1">
        <v>1263</v>
      </c>
      <c r="CC76" s="1">
        <v>8105</v>
      </c>
      <c r="CD76" s="1">
        <v>4587</v>
      </c>
      <c r="CE76" s="1">
        <v>4513</v>
      </c>
      <c r="CF76" s="1">
        <v>9503</v>
      </c>
      <c r="CG76" s="1">
        <v>117965</v>
      </c>
      <c r="CH76" s="1">
        <v>26134</v>
      </c>
      <c r="CI76" s="1">
        <v>45720</v>
      </c>
      <c r="CJ76" s="1">
        <v>16738</v>
      </c>
      <c r="CK76" s="1">
        <v>24905</v>
      </c>
      <c r="CL76" s="1">
        <v>14026</v>
      </c>
      <c r="CM76" s="1">
        <v>23617</v>
      </c>
      <c r="CN76" s="1">
        <v>59005</v>
      </c>
      <c r="CO76" s="1">
        <v>8579</v>
      </c>
      <c r="CP76" s="1">
        <v>3617</v>
      </c>
      <c r="CQ76" s="1">
        <v>7502</v>
      </c>
      <c r="CR76" s="1">
        <v>8502</v>
      </c>
      <c r="CS76" s="1">
        <v>35287</v>
      </c>
      <c r="CT76" s="1">
        <v>22361</v>
      </c>
      <c r="CU76" s="1">
        <v>2197</v>
      </c>
      <c r="CV76" s="1">
        <v>302263</v>
      </c>
      <c r="CW76" s="1">
        <v>11490</v>
      </c>
      <c r="CX76" s="1">
        <v>2009</v>
      </c>
      <c r="CY76" s="1">
        <v>28993</v>
      </c>
      <c r="CZ76" s="1">
        <v>3573</v>
      </c>
      <c r="DA76" s="1">
        <v>7007</v>
      </c>
      <c r="DB76" s="1">
        <v>14333</v>
      </c>
      <c r="DC76" s="1">
        <v>4795</v>
      </c>
      <c r="DD76" s="1">
        <v>3153</v>
      </c>
      <c r="DE76" s="1">
        <v>2491</v>
      </c>
      <c r="DF76" s="1">
        <v>62359</v>
      </c>
      <c r="DG76" s="1">
        <v>15937</v>
      </c>
      <c r="DH76" s="1">
        <v>22070</v>
      </c>
      <c r="DI76" s="1">
        <v>4769</v>
      </c>
      <c r="DJ76" s="1">
        <v>32405</v>
      </c>
      <c r="DK76" s="1">
        <v>20170</v>
      </c>
      <c r="DL76" s="1">
        <v>13129</v>
      </c>
      <c r="DM76" s="1">
        <v>19360</v>
      </c>
      <c r="DN76" s="1">
        <v>23801</v>
      </c>
      <c r="DO76" s="1">
        <v>4061</v>
      </c>
      <c r="DP76" s="1">
        <v>15377</v>
      </c>
      <c r="DQ76" s="1">
        <v>71574</v>
      </c>
      <c r="DR76" s="1">
        <v>5120</v>
      </c>
      <c r="DS76" s="1">
        <v>7176</v>
      </c>
      <c r="DT76" s="1">
        <v>947</v>
      </c>
      <c r="DU76" s="1">
        <v>10775</v>
      </c>
      <c r="DV76" s="1">
        <v>5716</v>
      </c>
      <c r="DW76" s="1">
        <v>7407</v>
      </c>
      <c r="DX76" s="1">
        <v>10240</v>
      </c>
      <c r="DY76" s="1">
        <v>1471</v>
      </c>
      <c r="DZ76" s="1">
        <v>3603</v>
      </c>
      <c r="EA76" s="1">
        <v>10296</v>
      </c>
      <c r="EB76" s="1">
        <v>5498</v>
      </c>
      <c r="EC76" s="1">
        <v>754</v>
      </c>
      <c r="ED76" s="1">
        <v>1656</v>
      </c>
      <c r="EE76" s="1">
        <v>37695</v>
      </c>
      <c r="EF76" s="1">
        <v>5239</v>
      </c>
      <c r="EG76" s="1">
        <v>14741</v>
      </c>
      <c r="EH76" s="1">
        <v>29897</v>
      </c>
      <c r="EJ76" s="1">
        <f t="shared" si="1"/>
        <v>1820045</v>
      </c>
    </row>
    <row r="77" spans="1:140" x14ac:dyDescent="0.25">
      <c r="A77" s="1" t="s">
        <v>213</v>
      </c>
      <c r="B77" s="1">
        <v>7489</v>
      </c>
      <c r="C77" s="1">
        <v>5854</v>
      </c>
      <c r="D77" s="1">
        <v>130</v>
      </c>
      <c r="E77" s="1">
        <v>2089</v>
      </c>
      <c r="F77" s="1">
        <v>9</v>
      </c>
      <c r="G77" s="1">
        <v>16</v>
      </c>
      <c r="H77" s="1">
        <v>15769</v>
      </c>
      <c r="I77" s="1">
        <v>69</v>
      </c>
      <c r="J77" s="1">
        <v>1334</v>
      </c>
      <c r="K77" s="1">
        <v>106</v>
      </c>
      <c r="L77" s="1">
        <v>1224</v>
      </c>
      <c r="M77" s="1">
        <v>126</v>
      </c>
      <c r="N77" s="1">
        <v>11823</v>
      </c>
      <c r="O77" s="1">
        <v>1226</v>
      </c>
      <c r="P77" s="1">
        <v>631</v>
      </c>
      <c r="Q77" s="1">
        <v>7460</v>
      </c>
      <c r="R77" s="1">
        <v>58</v>
      </c>
      <c r="S77" s="1">
        <v>1974</v>
      </c>
      <c r="T77" s="1">
        <v>2821</v>
      </c>
      <c r="U77" s="1">
        <v>2416</v>
      </c>
      <c r="V77" s="1">
        <v>8263</v>
      </c>
      <c r="W77" s="1">
        <v>2944</v>
      </c>
      <c r="X77" s="1">
        <v>616</v>
      </c>
      <c r="Y77" s="1">
        <v>1033</v>
      </c>
      <c r="Z77" s="1">
        <v>3199</v>
      </c>
      <c r="AA77" s="1">
        <v>644</v>
      </c>
      <c r="AB77" s="1">
        <v>5651</v>
      </c>
      <c r="AC77" s="1">
        <v>1085</v>
      </c>
      <c r="AD77" s="1">
        <v>1691</v>
      </c>
      <c r="AE77" s="1">
        <v>1724</v>
      </c>
      <c r="AF77" s="1">
        <v>1370</v>
      </c>
      <c r="AG77">
        <v>29573</v>
      </c>
      <c r="AH77" s="1">
        <v>496</v>
      </c>
      <c r="AI77" s="1">
        <v>1285</v>
      </c>
      <c r="AJ77" s="1">
        <v>393</v>
      </c>
      <c r="AK77" s="1">
        <v>2026</v>
      </c>
      <c r="AL77" s="1">
        <v>2783</v>
      </c>
      <c r="AM77" s="1">
        <v>1042</v>
      </c>
      <c r="AN77" s="1">
        <v>347</v>
      </c>
      <c r="AO77" s="1">
        <v>10541</v>
      </c>
      <c r="AP77" s="1">
        <v>742</v>
      </c>
      <c r="AQ77" s="1">
        <v>151</v>
      </c>
      <c r="AR77" s="1">
        <v>2955</v>
      </c>
      <c r="AS77" s="1">
        <v>6551</v>
      </c>
      <c r="AT77" s="1">
        <v>1302</v>
      </c>
      <c r="AU77" s="1">
        <v>2379</v>
      </c>
      <c r="AV77" s="1">
        <v>4722</v>
      </c>
      <c r="AW77" s="1">
        <v>2804</v>
      </c>
      <c r="AX77" s="1">
        <v>26771</v>
      </c>
      <c r="AY77" s="1">
        <v>115</v>
      </c>
      <c r="AZ77" s="1">
        <v>831</v>
      </c>
      <c r="BA77" s="1">
        <v>6596</v>
      </c>
      <c r="BB77" s="1">
        <v>279</v>
      </c>
      <c r="BC77" s="1">
        <v>762</v>
      </c>
      <c r="BD77" s="1">
        <v>6924</v>
      </c>
      <c r="BE77" s="1">
        <v>3691</v>
      </c>
      <c r="BF77" s="1">
        <v>2419</v>
      </c>
      <c r="BG77" s="1">
        <v>5796</v>
      </c>
      <c r="BH77" s="1">
        <v>2462</v>
      </c>
      <c r="BI77" s="1">
        <v>33702</v>
      </c>
      <c r="BJ77" s="1">
        <v>4999</v>
      </c>
      <c r="BK77" s="1">
        <v>9273</v>
      </c>
      <c r="BL77" s="1">
        <v>3555</v>
      </c>
      <c r="BM77" s="1">
        <v>7015</v>
      </c>
      <c r="BN77" s="1">
        <v>1383</v>
      </c>
      <c r="BO77" s="1">
        <v>1314</v>
      </c>
      <c r="BP77" s="1">
        <v>32122</v>
      </c>
      <c r="BQ77" s="1">
        <v>3416</v>
      </c>
      <c r="BR77" s="1">
        <v>84709</v>
      </c>
      <c r="BS77" s="1">
        <v>11547</v>
      </c>
      <c r="BT77" s="1">
        <v>13802</v>
      </c>
      <c r="BU77" s="1">
        <v>27046</v>
      </c>
      <c r="BV77" s="1">
        <v>3464</v>
      </c>
      <c r="BW77" s="1">
        <v>16864</v>
      </c>
      <c r="BX77" s="1">
        <v>3105</v>
      </c>
      <c r="BY77" s="1">
        <v>9838</v>
      </c>
      <c r="BZ77" s="1">
        <v>24648</v>
      </c>
      <c r="CA77" s="1">
        <v>2608</v>
      </c>
      <c r="CB77" s="1">
        <v>1105</v>
      </c>
      <c r="CC77" s="1">
        <v>7670</v>
      </c>
      <c r="CD77" s="1">
        <v>4155</v>
      </c>
      <c r="CE77" s="1">
        <v>3609</v>
      </c>
      <c r="CF77" s="1">
        <v>8810</v>
      </c>
      <c r="CG77" s="1">
        <v>97577</v>
      </c>
      <c r="CH77" s="1">
        <v>21642</v>
      </c>
      <c r="CI77" s="1">
        <v>42284</v>
      </c>
      <c r="CJ77" s="1">
        <v>10624</v>
      </c>
      <c r="CK77" s="1">
        <v>22593</v>
      </c>
      <c r="CL77" s="1">
        <v>11769</v>
      </c>
      <c r="CM77" s="1">
        <v>21825</v>
      </c>
      <c r="CN77" s="1">
        <v>55137</v>
      </c>
      <c r="CO77" s="1">
        <v>8671</v>
      </c>
      <c r="CP77" s="1">
        <v>3651</v>
      </c>
      <c r="CQ77" s="1">
        <v>5839</v>
      </c>
      <c r="CR77" s="1">
        <v>7490</v>
      </c>
      <c r="CS77" s="1">
        <v>34201</v>
      </c>
      <c r="CT77" s="1">
        <v>20551</v>
      </c>
      <c r="CU77" s="1">
        <v>2025</v>
      </c>
      <c r="CV77" s="1">
        <v>275814</v>
      </c>
      <c r="CW77" s="1">
        <v>8577</v>
      </c>
      <c r="CX77" s="1">
        <v>2188</v>
      </c>
      <c r="CY77" s="1">
        <v>27301</v>
      </c>
      <c r="CZ77" s="1">
        <v>3804</v>
      </c>
      <c r="DA77" s="1">
        <v>5592</v>
      </c>
      <c r="DB77" s="1">
        <v>12487</v>
      </c>
      <c r="DC77" s="1">
        <v>4470</v>
      </c>
      <c r="DD77" s="1">
        <v>2802</v>
      </c>
      <c r="DE77" s="1">
        <v>2201</v>
      </c>
      <c r="DF77" s="1">
        <v>53330</v>
      </c>
      <c r="DG77" s="1">
        <v>14813</v>
      </c>
      <c r="DH77" s="1">
        <v>19548</v>
      </c>
      <c r="DI77" s="1">
        <v>4062</v>
      </c>
      <c r="DJ77" s="1">
        <v>27405</v>
      </c>
      <c r="DK77" s="1">
        <v>17537</v>
      </c>
      <c r="DL77" s="1">
        <v>11043</v>
      </c>
      <c r="DM77" s="1">
        <v>14952</v>
      </c>
      <c r="DN77" s="1">
        <v>20723</v>
      </c>
      <c r="DO77" s="1">
        <v>3305</v>
      </c>
      <c r="DP77" s="1">
        <v>9932</v>
      </c>
      <c r="DQ77" s="1">
        <v>62658</v>
      </c>
      <c r="DR77" s="1">
        <v>3129</v>
      </c>
      <c r="DS77" s="1">
        <v>4919</v>
      </c>
      <c r="DT77" s="1">
        <v>864</v>
      </c>
      <c r="DU77" s="1">
        <v>11009</v>
      </c>
      <c r="DV77" s="1">
        <v>5901</v>
      </c>
      <c r="DW77" s="1">
        <v>6042</v>
      </c>
      <c r="DX77" s="1">
        <v>10619</v>
      </c>
      <c r="DY77" s="1">
        <v>1244</v>
      </c>
      <c r="DZ77" s="1">
        <v>4870</v>
      </c>
      <c r="EA77" s="1">
        <v>10102</v>
      </c>
      <c r="EB77" s="1">
        <v>4921</v>
      </c>
      <c r="EC77" s="1">
        <v>658</v>
      </c>
      <c r="ED77" s="1">
        <v>1320</v>
      </c>
      <c r="EE77" s="1">
        <v>40751</v>
      </c>
      <c r="EF77" s="1">
        <v>3913</v>
      </c>
      <c r="EG77" s="1">
        <v>14200</v>
      </c>
      <c r="EH77" s="1">
        <v>27849</v>
      </c>
      <c r="EJ77" s="1">
        <f t="shared" si="1"/>
        <v>1660075</v>
      </c>
    </row>
    <row r="78" spans="1:140" x14ac:dyDescent="0.25">
      <c r="A78" s="1" t="s">
        <v>214</v>
      </c>
      <c r="B78" s="1">
        <v>8065</v>
      </c>
      <c r="C78" s="1">
        <v>6472</v>
      </c>
      <c r="D78" s="1">
        <v>304</v>
      </c>
      <c r="E78" s="1">
        <v>2294</v>
      </c>
      <c r="F78" s="1">
        <v>7</v>
      </c>
      <c r="G78" s="1">
        <v>25</v>
      </c>
      <c r="H78" s="1">
        <v>17849</v>
      </c>
      <c r="I78" s="1">
        <v>77</v>
      </c>
      <c r="J78" s="1">
        <v>1324</v>
      </c>
      <c r="K78" s="1">
        <v>52</v>
      </c>
      <c r="L78" s="1">
        <v>978</v>
      </c>
      <c r="M78" s="1">
        <v>77</v>
      </c>
      <c r="N78" s="1">
        <v>12267</v>
      </c>
      <c r="O78" s="1">
        <v>1398</v>
      </c>
      <c r="P78" s="1">
        <v>610</v>
      </c>
      <c r="Q78" s="1">
        <v>8927</v>
      </c>
      <c r="R78" s="1">
        <v>64</v>
      </c>
      <c r="S78" s="1">
        <v>1777</v>
      </c>
      <c r="T78" s="1">
        <v>3763</v>
      </c>
      <c r="U78" s="1">
        <v>2734</v>
      </c>
      <c r="V78" s="1">
        <v>8182</v>
      </c>
      <c r="W78" s="1">
        <v>2714</v>
      </c>
      <c r="X78" s="1">
        <v>691</v>
      </c>
      <c r="Y78" s="1">
        <v>1003</v>
      </c>
      <c r="Z78" s="1">
        <v>1522</v>
      </c>
      <c r="AA78" s="1">
        <v>723</v>
      </c>
      <c r="AB78" s="1">
        <v>6265</v>
      </c>
      <c r="AC78" s="1">
        <v>890</v>
      </c>
      <c r="AD78" s="1">
        <v>688</v>
      </c>
      <c r="AE78" s="1">
        <v>1554</v>
      </c>
      <c r="AF78" s="1">
        <v>1462</v>
      </c>
      <c r="AG78">
        <v>30425</v>
      </c>
      <c r="AH78" s="1">
        <v>533</v>
      </c>
      <c r="AI78" s="1">
        <v>1128</v>
      </c>
      <c r="AJ78" s="1">
        <v>479</v>
      </c>
      <c r="AK78" s="1">
        <v>2038</v>
      </c>
      <c r="AL78" s="1">
        <v>3278</v>
      </c>
      <c r="AM78" s="1">
        <v>1065</v>
      </c>
      <c r="AN78" s="1">
        <v>338</v>
      </c>
      <c r="AO78" s="1">
        <v>10834</v>
      </c>
      <c r="AP78" s="1">
        <v>900</v>
      </c>
      <c r="AQ78" s="1">
        <v>226</v>
      </c>
      <c r="AR78" s="1">
        <v>2961</v>
      </c>
      <c r="AS78" s="1">
        <v>6639</v>
      </c>
      <c r="AT78" s="1">
        <v>3090</v>
      </c>
      <c r="AU78" s="1">
        <v>5134</v>
      </c>
      <c r="AV78" s="1">
        <v>5038</v>
      </c>
      <c r="AW78" s="1">
        <v>3543</v>
      </c>
      <c r="AX78" s="1">
        <v>29637</v>
      </c>
      <c r="AY78" s="1">
        <v>156</v>
      </c>
      <c r="AZ78" s="1">
        <v>884</v>
      </c>
      <c r="BA78" s="1">
        <v>7569</v>
      </c>
      <c r="BB78" s="1">
        <v>253</v>
      </c>
      <c r="BC78" s="1">
        <v>876</v>
      </c>
      <c r="BD78" s="1">
        <v>7086</v>
      </c>
      <c r="BE78" s="1">
        <v>4570</v>
      </c>
      <c r="BF78" s="1">
        <v>4051</v>
      </c>
      <c r="BG78" s="1">
        <v>6091</v>
      </c>
      <c r="BH78" s="1">
        <v>2401</v>
      </c>
      <c r="BI78" s="1">
        <v>35825</v>
      </c>
      <c r="BJ78" s="1">
        <v>6739</v>
      </c>
      <c r="BK78" s="1">
        <v>9204</v>
      </c>
      <c r="BL78" s="1">
        <v>3998</v>
      </c>
      <c r="BM78" s="1">
        <v>6567</v>
      </c>
      <c r="BN78" s="1">
        <v>1862</v>
      </c>
      <c r="BO78" s="1">
        <v>2022</v>
      </c>
      <c r="BP78" s="1">
        <v>34124</v>
      </c>
      <c r="BQ78" s="1">
        <v>3482</v>
      </c>
      <c r="BR78" s="1">
        <v>88016</v>
      </c>
      <c r="BS78" s="1">
        <v>11340</v>
      </c>
      <c r="BT78" s="1">
        <v>14462</v>
      </c>
      <c r="BU78" s="1">
        <v>36777</v>
      </c>
      <c r="BV78" s="1">
        <v>4502</v>
      </c>
      <c r="BW78" s="1">
        <v>18857</v>
      </c>
      <c r="BX78" s="1">
        <v>4449</v>
      </c>
      <c r="BY78" s="1">
        <v>13188</v>
      </c>
      <c r="BZ78" s="1">
        <v>23105</v>
      </c>
      <c r="CA78" s="1">
        <v>3406</v>
      </c>
      <c r="CB78" s="1">
        <v>1282</v>
      </c>
      <c r="CC78" s="1">
        <v>11268</v>
      </c>
      <c r="CD78" s="1">
        <v>4229</v>
      </c>
      <c r="CE78" s="1">
        <v>3822</v>
      </c>
      <c r="CF78" s="1">
        <v>8258</v>
      </c>
      <c r="CG78" s="1">
        <v>107160</v>
      </c>
      <c r="CH78" s="1">
        <v>18765</v>
      </c>
      <c r="CI78" s="1">
        <v>37441</v>
      </c>
      <c r="CJ78" s="1">
        <v>8187</v>
      </c>
      <c r="CK78" s="1">
        <v>19438</v>
      </c>
      <c r="CL78" s="1">
        <v>14778</v>
      </c>
      <c r="CM78" s="1">
        <v>19725</v>
      </c>
      <c r="CN78" s="1">
        <v>55616</v>
      </c>
      <c r="CO78" s="1">
        <v>7122</v>
      </c>
      <c r="CP78" s="1">
        <v>4535</v>
      </c>
      <c r="CQ78" s="1">
        <v>5650</v>
      </c>
      <c r="CR78" s="1">
        <v>8581</v>
      </c>
      <c r="CS78" s="1">
        <v>35336</v>
      </c>
      <c r="CT78" s="1">
        <v>21537</v>
      </c>
      <c r="CU78" s="1">
        <v>1914</v>
      </c>
      <c r="CV78" s="1">
        <v>282240</v>
      </c>
      <c r="CW78" s="1">
        <v>6878</v>
      </c>
      <c r="CX78" s="1">
        <v>1960</v>
      </c>
      <c r="CY78" s="1">
        <v>25958</v>
      </c>
      <c r="CZ78" s="1">
        <v>4107</v>
      </c>
      <c r="DA78" s="1">
        <v>6234</v>
      </c>
      <c r="DB78" s="1">
        <v>12445</v>
      </c>
      <c r="DC78" s="1">
        <v>4256</v>
      </c>
      <c r="DD78" s="1">
        <v>2679</v>
      </c>
      <c r="DE78" s="1">
        <v>2123</v>
      </c>
      <c r="DF78" s="1">
        <v>53435</v>
      </c>
      <c r="DG78" s="1">
        <v>13805</v>
      </c>
      <c r="DH78" s="1">
        <v>18889</v>
      </c>
      <c r="DI78" s="1">
        <v>3459</v>
      </c>
      <c r="DJ78" s="1">
        <v>26636</v>
      </c>
      <c r="DK78" s="1">
        <v>16092</v>
      </c>
      <c r="DL78" s="1">
        <v>10262</v>
      </c>
      <c r="DM78" s="1">
        <v>13913</v>
      </c>
      <c r="DN78" s="1">
        <v>18106</v>
      </c>
      <c r="DO78" s="1">
        <v>2627</v>
      </c>
      <c r="DP78" s="1">
        <v>9823</v>
      </c>
      <c r="DQ78" s="1">
        <v>60624</v>
      </c>
      <c r="DR78" s="1">
        <v>2757</v>
      </c>
      <c r="DS78" s="1">
        <v>4662</v>
      </c>
      <c r="DT78" s="1">
        <v>1076</v>
      </c>
      <c r="DU78" s="1">
        <v>9936</v>
      </c>
      <c r="DV78" s="1">
        <v>5667</v>
      </c>
      <c r="DW78" s="1">
        <v>5153</v>
      </c>
      <c r="DX78" s="1">
        <v>10406</v>
      </c>
      <c r="DY78" s="1">
        <v>1406</v>
      </c>
      <c r="DZ78" s="1">
        <v>3128</v>
      </c>
      <c r="EA78" s="1">
        <v>10356</v>
      </c>
      <c r="EB78" s="1">
        <v>4647</v>
      </c>
      <c r="EC78" s="1">
        <v>743</v>
      </c>
      <c r="ED78" s="1">
        <v>1827</v>
      </c>
      <c r="EE78" s="1">
        <v>34528</v>
      </c>
      <c r="EF78" s="1">
        <v>5010</v>
      </c>
      <c r="EG78" s="1">
        <v>14600</v>
      </c>
      <c r="EH78" s="1">
        <v>28329</v>
      </c>
      <c r="EJ78" s="1">
        <f t="shared" si="1"/>
        <v>1693332</v>
      </c>
    </row>
    <row r="79" spans="1:140" x14ac:dyDescent="0.25">
      <c r="A79" s="1" t="s">
        <v>215</v>
      </c>
      <c r="B79" s="1">
        <v>6987</v>
      </c>
      <c r="C79" s="1">
        <v>6255</v>
      </c>
      <c r="D79" s="1">
        <v>418</v>
      </c>
      <c r="E79" s="1">
        <v>2404</v>
      </c>
      <c r="F79" s="1">
        <v>13</v>
      </c>
      <c r="G79" s="1">
        <v>26</v>
      </c>
      <c r="H79" s="1">
        <v>16958</v>
      </c>
      <c r="I79" s="1">
        <v>67</v>
      </c>
      <c r="J79" s="1">
        <v>1327</v>
      </c>
      <c r="K79" s="1">
        <v>55</v>
      </c>
      <c r="L79" s="1">
        <v>1230</v>
      </c>
      <c r="M79" s="1">
        <v>289</v>
      </c>
      <c r="N79" s="1">
        <v>12949</v>
      </c>
      <c r="O79" s="1">
        <v>1820</v>
      </c>
      <c r="P79" s="1">
        <v>955</v>
      </c>
      <c r="Q79" s="1">
        <v>9046</v>
      </c>
      <c r="R79" s="1">
        <v>117</v>
      </c>
      <c r="S79" s="1">
        <v>1882</v>
      </c>
      <c r="T79" s="1">
        <v>3534</v>
      </c>
      <c r="U79" s="1">
        <v>3138</v>
      </c>
      <c r="V79" s="1">
        <v>8379</v>
      </c>
      <c r="W79" s="1">
        <v>3242</v>
      </c>
      <c r="X79" s="1">
        <v>679</v>
      </c>
      <c r="Y79" s="1">
        <v>1270</v>
      </c>
      <c r="Z79" s="1">
        <v>3378</v>
      </c>
      <c r="AA79" s="1">
        <v>937</v>
      </c>
      <c r="AB79" s="1">
        <v>7352</v>
      </c>
      <c r="AC79" s="1">
        <v>857</v>
      </c>
      <c r="AD79" s="1">
        <v>588</v>
      </c>
      <c r="AE79" s="1">
        <v>1377</v>
      </c>
      <c r="AF79" s="1">
        <v>1668</v>
      </c>
      <c r="AG79">
        <v>30267</v>
      </c>
      <c r="AH79" s="1">
        <v>553</v>
      </c>
      <c r="AI79" s="1">
        <v>1638</v>
      </c>
      <c r="AJ79" s="1">
        <v>359</v>
      </c>
      <c r="AK79" s="1">
        <v>2068</v>
      </c>
      <c r="AL79" s="1">
        <v>3563</v>
      </c>
      <c r="AM79" s="1">
        <v>991</v>
      </c>
      <c r="AN79" s="1">
        <v>384</v>
      </c>
      <c r="AO79" s="1">
        <v>10611</v>
      </c>
      <c r="AP79" s="1">
        <v>772</v>
      </c>
      <c r="AQ79" s="1">
        <v>259</v>
      </c>
      <c r="AR79" s="1">
        <v>2705</v>
      </c>
      <c r="AS79" s="1">
        <v>6430</v>
      </c>
      <c r="AT79" s="1">
        <v>2862</v>
      </c>
      <c r="AU79" s="1">
        <v>7227</v>
      </c>
      <c r="AV79" s="1">
        <v>4630</v>
      </c>
      <c r="AW79" s="1">
        <v>2495</v>
      </c>
      <c r="AX79" s="1">
        <v>28734</v>
      </c>
      <c r="AY79" s="1">
        <v>117</v>
      </c>
      <c r="AZ79" s="1">
        <v>791</v>
      </c>
      <c r="BA79" s="1">
        <v>5975</v>
      </c>
      <c r="BB79" s="1">
        <v>211</v>
      </c>
      <c r="BC79" s="1">
        <v>767</v>
      </c>
      <c r="BD79" s="1">
        <v>8395</v>
      </c>
      <c r="BE79" s="1">
        <v>5113</v>
      </c>
      <c r="BF79" s="1">
        <v>4191</v>
      </c>
      <c r="BG79" s="1">
        <v>5120</v>
      </c>
      <c r="BH79" s="1">
        <v>1904</v>
      </c>
      <c r="BI79" s="1">
        <v>31823</v>
      </c>
      <c r="BJ79" s="1">
        <v>5777</v>
      </c>
      <c r="BK79" s="1">
        <v>6700</v>
      </c>
      <c r="BL79" s="1">
        <v>4131</v>
      </c>
      <c r="BM79" s="1">
        <v>6796</v>
      </c>
      <c r="BN79" s="1">
        <v>3099</v>
      </c>
      <c r="BO79" s="1">
        <v>1327</v>
      </c>
      <c r="BP79" s="1">
        <v>32410</v>
      </c>
      <c r="BQ79" s="1">
        <v>3596</v>
      </c>
      <c r="BR79" s="1">
        <v>82811</v>
      </c>
      <c r="BS79" s="1">
        <v>11396</v>
      </c>
      <c r="BT79" s="1">
        <v>11728</v>
      </c>
      <c r="BU79" s="1">
        <v>33378</v>
      </c>
      <c r="BV79" s="1">
        <v>3933</v>
      </c>
      <c r="BW79" s="1">
        <v>16141</v>
      </c>
      <c r="BX79" s="1">
        <v>3640</v>
      </c>
      <c r="BY79" s="1">
        <v>8303</v>
      </c>
      <c r="BZ79" s="1">
        <v>22693</v>
      </c>
      <c r="CA79" s="1">
        <v>2717</v>
      </c>
      <c r="CB79" s="1">
        <v>1352</v>
      </c>
      <c r="CC79" s="1">
        <v>7988</v>
      </c>
      <c r="CD79" s="1">
        <v>3909</v>
      </c>
      <c r="CE79" s="1">
        <v>3525</v>
      </c>
      <c r="CF79" s="1">
        <v>8403</v>
      </c>
      <c r="CG79" s="1">
        <v>104875</v>
      </c>
      <c r="CH79" s="1">
        <v>17226</v>
      </c>
      <c r="CI79" s="1">
        <v>35225</v>
      </c>
      <c r="CJ79" s="1">
        <v>8880</v>
      </c>
      <c r="CK79" s="1">
        <v>18596</v>
      </c>
      <c r="CL79" s="1">
        <v>15864</v>
      </c>
      <c r="CM79" s="1">
        <v>19799</v>
      </c>
      <c r="CN79" s="1">
        <v>52333</v>
      </c>
      <c r="CO79" s="1">
        <v>6339</v>
      </c>
      <c r="CP79" s="1">
        <v>3941</v>
      </c>
      <c r="CQ79" s="1">
        <v>4557</v>
      </c>
      <c r="CR79" s="1">
        <v>7201</v>
      </c>
      <c r="CS79" s="1">
        <v>32779</v>
      </c>
      <c r="CT79" s="1">
        <v>20325</v>
      </c>
      <c r="CU79" s="1">
        <v>1961</v>
      </c>
      <c r="CV79" s="1">
        <v>270666</v>
      </c>
      <c r="CW79" s="1">
        <v>7365</v>
      </c>
      <c r="CX79" s="1">
        <v>1902</v>
      </c>
      <c r="CY79" s="1">
        <v>25701</v>
      </c>
      <c r="CZ79" s="1">
        <v>3711</v>
      </c>
      <c r="DA79" s="1">
        <v>6209</v>
      </c>
      <c r="DB79" s="1">
        <v>11976</v>
      </c>
      <c r="DC79" s="1">
        <v>4093</v>
      </c>
      <c r="DD79" s="1">
        <v>2826</v>
      </c>
      <c r="DE79" s="1">
        <v>2208</v>
      </c>
      <c r="DF79" s="1">
        <v>51194</v>
      </c>
      <c r="DG79" s="1">
        <v>14056</v>
      </c>
      <c r="DH79" s="1">
        <v>17460</v>
      </c>
      <c r="DI79" s="1">
        <v>3063</v>
      </c>
      <c r="DJ79" s="1">
        <v>25672</v>
      </c>
      <c r="DK79" s="1">
        <v>15523</v>
      </c>
      <c r="DL79" s="1">
        <v>10115</v>
      </c>
      <c r="DM79" s="1">
        <v>14595</v>
      </c>
      <c r="DN79" s="1">
        <v>17409</v>
      </c>
      <c r="DO79" s="1">
        <v>3070</v>
      </c>
      <c r="DP79" s="1">
        <v>8372</v>
      </c>
      <c r="DQ79" s="1">
        <v>59854</v>
      </c>
      <c r="DR79" s="1">
        <v>3151</v>
      </c>
      <c r="DS79" s="1">
        <v>4411</v>
      </c>
      <c r="DT79" s="1">
        <v>980</v>
      </c>
      <c r="DU79" s="1">
        <v>9570</v>
      </c>
      <c r="DV79" s="1">
        <v>5684</v>
      </c>
      <c r="DW79" s="1">
        <v>5394</v>
      </c>
      <c r="DX79" s="1">
        <v>11737</v>
      </c>
      <c r="DY79" s="1">
        <v>1712</v>
      </c>
      <c r="DZ79" s="1">
        <v>2451</v>
      </c>
      <c r="EA79" s="1">
        <v>9607</v>
      </c>
      <c r="EB79" s="1">
        <v>6262</v>
      </c>
      <c r="EC79" s="1">
        <v>845</v>
      </c>
      <c r="ED79" s="1">
        <v>1654</v>
      </c>
      <c r="EE79" s="1">
        <v>33795</v>
      </c>
      <c r="EF79" s="1">
        <v>4734</v>
      </c>
      <c r="EG79" s="1">
        <v>12858</v>
      </c>
      <c r="EH79" s="1">
        <v>25388</v>
      </c>
      <c r="EJ79" s="1">
        <f t="shared" si="1"/>
        <v>1623079</v>
      </c>
    </row>
    <row r="80" spans="1:140" x14ac:dyDescent="0.25">
      <c r="A80" s="1" t="s">
        <v>216</v>
      </c>
      <c r="B80" s="1">
        <v>8299</v>
      </c>
      <c r="C80" s="1">
        <v>6426</v>
      </c>
      <c r="D80" s="1">
        <v>324</v>
      </c>
      <c r="E80" s="1">
        <v>2400</v>
      </c>
      <c r="F80" s="1">
        <v>6</v>
      </c>
      <c r="G80" s="1">
        <v>19</v>
      </c>
      <c r="H80" s="1">
        <v>17262</v>
      </c>
      <c r="I80" s="1">
        <v>128</v>
      </c>
      <c r="J80" s="1">
        <v>1305</v>
      </c>
      <c r="K80" s="1">
        <v>71</v>
      </c>
      <c r="L80" s="1">
        <v>1368</v>
      </c>
      <c r="M80" s="1">
        <v>135</v>
      </c>
      <c r="N80" s="1">
        <v>13460</v>
      </c>
      <c r="O80" s="1">
        <v>1745</v>
      </c>
      <c r="P80" s="1">
        <v>970</v>
      </c>
      <c r="Q80" s="1">
        <v>9055</v>
      </c>
      <c r="R80" s="1">
        <v>96</v>
      </c>
      <c r="S80" s="1">
        <v>1868</v>
      </c>
      <c r="T80" s="1">
        <v>3342</v>
      </c>
      <c r="U80" s="1">
        <v>3236</v>
      </c>
      <c r="V80" s="1">
        <v>9124</v>
      </c>
      <c r="W80" s="1">
        <v>2855</v>
      </c>
      <c r="X80" s="1">
        <v>843</v>
      </c>
      <c r="Y80" s="1">
        <v>2187</v>
      </c>
      <c r="Z80" s="1">
        <v>1807</v>
      </c>
      <c r="AA80" s="1">
        <v>854</v>
      </c>
      <c r="AB80" s="1">
        <v>6370</v>
      </c>
      <c r="AC80" s="1">
        <v>910</v>
      </c>
      <c r="AD80" s="1">
        <v>713</v>
      </c>
      <c r="AE80" s="1">
        <v>1967</v>
      </c>
      <c r="AF80" s="1">
        <v>1435</v>
      </c>
      <c r="AG80">
        <v>30812</v>
      </c>
      <c r="AH80" s="1">
        <v>695</v>
      </c>
      <c r="AI80" s="1">
        <v>2030</v>
      </c>
      <c r="AJ80" s="1">
        <v>449</v>
      </c>
      <c r="AK80" s="1">
        <v>2037</v>
      </c>
      <c r="AL80" s="1">
        <v>3987</v>
      </c>
      <c r="AM80" s="1">
        <v>1082</v>
      </c>
      <c r="AN80" s="1">
        <v>405</v>
      </c>
      <c r="AO80" s="1">
        <v>10688</v>
      </c>
      <c r="AP80" s="1">
        <v>836</v>
      </c>
      <c r="AQ80" s="1">
        <v>375</v>
      </c>
      <c r="AR80" s="1">
        <v>2869</v>
      </c>
      <c r="AS80" s="1">
        <v>7303</v>
      </c>
      <c r="AT80" s="1">
        <v>3050</v>
      </c>
      <c r="AU80" s="1">
        <v>4958</v>
      </c>
      <c r="AV80" s="1">
        <v>4590</v>
      </c>
      <c r="AW80" s="1">
        <v>2824</v>
      </c>
      <c r="AX80" s="1">
        <v>28260</v>
      </c>
      <c r="AY80" s="1">
        <v>141</v>
      </c>
      <c r="AZ80" s="1">
        <v>1217</v>
      </c>
      <c r="BA80" s="1">
        <v>6800</v>
      </c>
      <c r="BB80" s="1">
        <v>337</v>
      </c>
      <c r="BC80" s="1">
        <v>1280</v>
      </c>
      <c r="BD80" s="1">
        <v>8039</v>
      </c>
      <c r="BE80" s="1">
        <v>3568</v>
      </c>
      <c r="BF80" s="1">
        <v>3727</v>
      </c>
      <c r="BG80" s="1">
        <v>5484</v>
      </c>
      <c r="BH80" s="1">
        <v>2298</v>
      </c>
      <c r="BI80" s="1">
        <v>36661</v>
      </c>
      <c r="BJ80" s="1">
        <v>6082</v>
      </c>
      <c r="BK80" s="1">
        <v>7243</v>
      </c>
      <c r="BL80" s="1">
        <v>3959</v>
      </c>
      <c r="BM80" s="1">
        <v>6536</v>
      </c>
      <c r="BN80" s="1">
        <v>1531</v>
      </c>
      <c r="BO80" s="1">
        <v>1860</v>
      </c>
      <c r="BP80" s="1">
        <v>31054</v>
      </c>
      <c r="BQ80" s="1">
        <v>3068</v>
      </c>
      <c r="BR80" s="1">
        <v>86373</v>
      </c>
      <c r="BS80" s="1">
        <v>11551</v>
      </c>
      <c r="BT80" s="1">
        <v>11836</v>
      </c>
      <c r="BU80" s="1">
        <v>25505</v>
      </c>
      <c r="BV80" s="1">
        <v>3655</v>
      </c>
      <c r="BW80" s="1">
        <v>14684</v>
      </c>
      <c r="BX80" s="1">
        <v>2996</v>
      </c>
      <c r="BY80" s="1">
        <v>5850</v>
      </c>
      <c r="BZ80" s="1">
        <v>23046</v>
      </c>
      <c r="CA80" s="1">
        <v>2874</v>
      </c>
      <c r="CB80" s="1">
        <v>1197</v>
      </c>
      <c r="CC80" s="1">
        <v>7290</v>
      </c>
      <c r="CD80" s="1">
        <v>4462</v>
      </c>
      <c r="CE80" s="1">
        <v>3967</v>
      </c>
      <c r="CF80" s="1">
        <v>9188</v>
      </c>
      <c r="CG80" s="1">
        <v>107954</v>
      </c>
      <c r="CH80" s="1">
        <v>15395</v>
      </c>
      <c r="CI80" s="1">
        <v>29941</v>
      </c>
      <c r="CJ80" s="1">
        <v>7435</v>
      </c>
      <c r="CK80" s="1">
        <v>17707</v>
      </c>
      <c r="CL80" s="1">
        <v>12627</v>
      </c>
      <c r="CM80" s="1">
        <v>18696</v>
      </c>
      <c r="CN80" s="1">
        <v>52470</v>
      </c>
      <c r="CO80" s="1">
        <v>6198</v>
      </c>
      <c r="CP80" s="1">
        <v>3530</v>
      </c>
      <c r="CQ80" s="1">
        <v>5062</v>
      </c>
      <c r="CR80" s="1">
        <v>7234</v>
      </c>
      <c r="CS80" s="1">
        <v>32527</v>
      </c>
      <c r="CT80" s="1">
        <v>19619</v>
      </c>
      <c r="CU80" s="1">
        <v>1733</v>
      </c>
      <c r="CV80" s="1">
        <v>270016</v>
      </c>
      <c r="CW80" s="1">
        <v>6621</v>
      </c>
      <c r="CX80" s="1">
        <v>2037</v>
      </c>
      <c r="CY80" s="1">
        <v>26932</v>
      </c>
      <c r="CZ80" s="1">
        <v>3923</v>
      </c>
      <c r="DA80" s="1">
        <v>6066</v>
      </c>
      <c r="DB80" s="1">
        <v>12418</v>
      </c>
      <c r="DC80" s="1">
        <v>4466</v>
      </c>
      <c r="DD80" s="1">
        <v>2904</v>
      </c>
      <c r="DE80" s="1">
        <v>2281</v>
      </c>
      <c r="DF80" s="1">
        <v>54309</v>
      </c>
      <c r="DG80" s="1">
        <v>13889</v>
      </c>
      <c r="DH80" s="1">
        <v>16938</v>
      </c>
      <c r="DI80" s="1">
        <v>3631</v>
      </c>
      <c r="DJ80" s="1">
        <v>26392</v>
      </c>
      <c r="DK80" s="1">
        <v>16316</v>
      </c>
      <c r="DL80" s="1">
        <v>10528</v>
      </c>
      <c r="DM80" s="1">
        <v>13903</v>
      </c>
      <c r="DN80" s="1">
        <v>17334</v>
      </c>
      <c r="DO80" s="1">
        <v>3214</v>
      </c>
      <c r="DP80" s="1">
        <v>8126</v>
      </c>
      <c r="DQ80" s="1">
        <v>60075</v>
      </c>
      <c r="DR80" s="1">
        <v>3215</v>
      </c>
      <c r="DS80" s="1">
        <v>5072</v>
      </c>
      <c r="DT80" s="1">
        <v>865</v>
      </c>
      <c r="DU80" s="1">
        <v>9773</v>
      </c>
      <c r="DV80" s="1">
        <v>5314</v>
      </c>
      <c r="DW80" s="1">
        <v>4952</v>
      </c>
      <c r="DX80" s="1">
        <v>10589</v>
      </c>
      <c r="DY80" s="1">
        <v>1429</v>
      </c>
      <c r="DZ80" s="1">
        <v>2511</v>
      </c>
      <c r="EA80" s="1">
        <v>10348</v>
      </c>
      <c r="EB80" s="1">
        <v>5858</v>
      </c>
      <c r="EC80" s="1">
        <v>675</v>
      </c>
      <c r="ED80" s="1">
        <v>1783</v>
      </c>
      <c r="EE80" s="1">
        <v>34566</v>
      </c>
      <c r="EF80" s="1">
        <v>4749</v>
      </c>
      <c r="EG80" s="1">
        <v>12840</v>
      </c>
      <c r="EH80" s="1">
        <v>26144</v>
      </c>
      <c r="EJ80" s="1">
        <f t="shared" si="1"/>
        <v>1614319</v>
      </c>
    </row>
    <row r="81" spans="1:140" x14ac:dyDescent="0.25">
      <c r="A81" s="1" t="s">
        <v>217</v>
      </c>
      <c r="B81" s="1">
        <v>8644</v>
      </c>
      <c r="C81" s="1">
        <v>6203</v>
      </c>
      <c r="D81" s="1">
        <v>289</v>
      </c>
      <c r="E81" s="1">
        <v>2609</v>
      </c>
      <c r="F81" s="1">
        <v>5</v>
      </c>
      <c r="G81" s="1">
        <v>88</v>
      </c>
      <c r="H81" s="1">
        <v>19924</v>
      </c>
      <c r="I81" s="1">
        <v>58</v>
      </c>
      <c r="J81" s="1">
        <v>1551</v>
      </c>
      <c r="K81" s="1">
        <v>36</v>
      </c>
      <c r="L81" s="1">
        <v>1451</v>
      </c>
      <c r="M81" s="1">
        <v>188</v>
      </c>
      <c r="N81" s="1">
        <v>16147</v>
      </c>
      <c r="O81" s="1">
        <v>2291</v>
      </c>
      <c r="P81" s="1">
        <v>1181</v>
      </c>
      <c r="Q81" s="1">
        <v>8748</v>
      </c>
      <c r="R81" s="1">
        <v>108</v>
      </c>
      <c r="S81" s="1">
        <v>2141</v>
      </c>
      <c r="T81" s="1">
        <v>3325</v>
      </c>
      <c r="U81" s="1">
        <v>3723</v>
      </c>
      <c r="V81" s="1">
        <v>9522</v>
      </c>
      <c r="W81" s="1">
        <v>3107</v>
      </c>
      <c r="X81" s="1">
        <v>672</v>
      </c>
      <c r="Y81" s="1">
        <v>1926</v>
      </c>
      <c r="Z81" s="1">
        <v>1571</v>
      </c>
      <c r="AA81" s="1">
        <v>800</v>
      </c>
      <c r="AB81" s="1">
        <v>6787</v>
      </c>
      <c r="AC81" s="1">
        <v>947</v>
      </c>
      <c r="AD81" s="1">
        <v>840</v>
      </c>
      <c r="AE81" s="1">
        <v>2122</v>
      </c>
      <c r="AF81" s="1">
        <v>1701</v>
      </c>
      <c r="AG81">
        <v>32840</v>
      </c>
      <c r="AH81" s="1">
        <v>625</v>
      </c>
      <c r="AI81" s="1">
        <v>2787</v>
      </c>
      <c r="AJ81" s="1">
        <v>663</v>
      </c>
      <c r="AK81" s="1">
        <v>2498</v>
      </c>
      <c r="AL81" s="1">
        <v>4390</v>
      </c>
      <c r="AM81" s="1">
        <v>1193</v>
      </c>
      <c r="AN81" s="1">
        <v>334</v>
      </c>
      <c r="AO81" s="1">
        <v>13912</v>
      </c>
      <c r="AP81" s="1">
        <v>911</v>
      </c>
      <c r="AQ81" s="1">
        <v>149</v>
      </c>
      <c r="AR81" s="1">
        <v>3538</v>
      </c>
      <c r="AS81" s="1">
        <v>12069</v>
      </c>
      <c r="AT81" s="1">
        <v>2382</v>
      </c>
      <c r="AU81" s="1">
        <v>4389</v>
      </c>
      <c r="AV81" s="1">
        <v>4998</v>
      </c>
      <c r="AW81" s="1">
        <v>10346</v>
      </c>
      <c r="AX81" s="1">
        <v>34784</v>
      </c>
      <c r="AY81" s="1">
        <v>124</v>
      </c>
      <c r="AZ81" s="1">
        <v>946</v>
      </c>
      <c r="BA81" s="1">
        <v>8060</v>
      </c>
      <c r="BB81" s="1">
        <v>326</v>
      </c>
      <c r="BC81" s="1">
        <v>1199</v>
      </c>
      <c r="BD81" s="1">
        <v>8202</v>
      </c>
      <c r="BE81" s="1">
        <v>3344</v>
      </c>
      <c r="BF81" s="1">
        <v>3629</v>
      </c>
      <c r="BG81" s="1">
        <v>6150</v>
      </c>
      <c r="BH81" s="1">
        <v>2146</v>
      </c>
      <c r="BI81" s="1">
        <v>40989</v>
      </c>
      <c r="BJ81" s="1">
        <v>5869</v>
      </c>
      <c r="BK81" s="1">
        <v>6828</v>
      </c>
      <c r="BL81" s="1">
        <v>3715</v>
      </c>
      <c r="BM81" s="1">
        <v>6007</v>
      </c>
      <c r="BN81" s="1">
        <v>2082</v>
      </c>
      <c r="BO81" s="1">
        <v>1930</v>
      </c>
      <c r="BP81" s="1">
        <v>30616</v>
      </c>
      <c r="BQ81" s="1">
        <v>3370</v>
      </c>
      <c r="BR81" s="1">
        <v>104419</v>
      </c>
      <c r="BS81" s="1">
        <v>11946</v>
      </c>
      <c r="BT81" s="1">
        <v>12224</v>
      </c>
      <c r="BU81" s="1">
        <v>22914</v>
      </c>
      <c r="BV81" s="1">
        <v>3741</v>
      </c>
      <c r="BW81" s="1">
        <v>16364</v>
      </c>
      <c r="BX81" s="1">
        <v>2758</v>
      </c>
      <c r="BY81" s="1">
        <v>5993</v>
      </c>
      <c r="BZ81" s="1">
        <v>24857</v>
      </c>
      <c r="CA81" s="1">
        <v>2760</v>
      </c>
      <c r="CB81" s="1">
        <v>1333</v>
      </c>
      <c r="CC81" s="1">
        <v>9009</v>
      </c>
      <c r="CD81" s="1">
        <v>4362</v>
      </c>
      <c r="CE81" s="1">
        <v>4046</v>
      </c>
      <c r="CF81" s="1">
        <v>10285</v>
      </c>
      <c r="CG81" s="1">
        <v>115770</v>
      </c>
      <c r="CH81" s="1">
        <v>16305</v>
      </c>
      <c r="CI81" s="1">
        <v>29624</v>
      </c>
      <c r="CJ81" s="1">
        <v>8304</v>
      </c>
      <c r="CK81" s="1">
        <v>21904</v>
      </c>
      <c r="CL81" s="1">
        <v>11398</v>
      </c>
      <c r="CM81" s="1">
        <v>20042</v>
      </c>
      <c r="CN81" s="1">
        <v>55139</v>
      </c>
      <c r="CO81" s="1">
        <v>6457</v>
      </c>
      <c r="CP81" s="1">
        <v>3830</v>
      </c>
      <c r="CQ81" s="1">
        <v>5205</v>
      </c>
      <c r="CR81" s="1">
        <v>8542</v>
      </c>
      <c r="CS81" s="1">
        <v>36436</v>
      </c>
      <c r="CT81" s="1">
        <v>21374</v>
      </c>
      <c r="CU81" s="1">
        <v>1772</v>
      </c>
      <c r="CV81" s="1">
        <v>290363</v>
      </c>
      <c r="CW81" s="1">
        <v>6610</v>
      </c>
      <c r="CX81" s="1">
        <v>2113</v>
      </c>
      <c r="CY81" s="1">
        <v>26813</v>
      </c>
      <c r="CZ81" s="1">
        <v>3944</v>
      </c>
      <c r="DA81" s="1">
        <v>6111</v>
      </c>
      <c r="DB81" s="1">
        <v>13095</v>
      </c>
      <c r="DC81" s="1">
        <v>4436</v>
      </c>
      <c r="DD81" s="1">
        <v>3145</v>
      </c>
      <c r="DE81" s="1">
        <v>2216</v>
      </c>
      <c r="DF81" s="1">
        <v>56383</v>
      </c>
      <c r="DG81" s="1">
        <v>15006</v>
      </c>
      <c r="DH81" s="1">
        <v>18042</v>
      </c>
      <c r="DI81" s="1">
        <v>4061</v>
      </c>
      <c r="DJ81" s="1">
        <v>28050</v>
      </c>
      <c r="DK81" s="1">
        <v>17290</v>
      </c>
      <c r="DL81" s="1">
        <v>11226</v>
      </c>
      <c r="DM81" s="1">
        <v>14612</v>
      </c>
      <c r="DN81" s="1">
        <v>18373</v>
      </c>
      <c r="DO81" s="1">
        <v>3187</v>
      </c>
      <c r="DP81" s="1">
        <v>8835</v>
      </c>
      <c r="DQ81" s="1">
        <v>65759</v>
      </c>
      <c r="DR81" s="1">
        <v>3231</v>
      </c>
      <c r="DS81" s="1">
        <v>5180</v>
      </c>
      <c r="DT81" s="1">
        <v>809</v>
      </c>
      <c r="DU81" s="1">
        <v>10066</v>
      </c>
      <c r="DV81" s="1">
        <v>5288</v>
      </c>
      <c r="DW81" s="1">
        <v>5431</v>
      </c>
      <c r="DX81" s="1">
        <v>10453</v>
      </c>
      <c r="DY81" s="1">
        <v>1522</v>
      </c>
      <c r="DZ81" s="1">
        <v>2470</v>
      </c>
      <c r="EA81" s="1">
        <v>11145</v>
      </c>
      <c r="EB81" s="1">
        <v>4987</v>
      </c>
      <c r="EC81" s="1">
        <v>819</v>
      </c>
      <c r="ED81" s="1">
        <v>1803</v>
      </c>
      <c r="EE81" s="1">
        <v>36106</v>
      </c>
      <c r="EF81" s="1">
        <v>4006</v>
      </c>
      <c r="EG81" s="1">
        <v>12463</v>
      </c>
      <c r="EH81" s="1">
        <v>29052</v>
      </c>
      <c r="EJ81" s="1">
        <f t="shared" si="1"/>
        <v>1740659</v>
      </c>
    </row>
    <row r="82" spans="1:140" x14ac:dyDescent="0.25">
      <c r="A82" s="1" t="s">
        <v>218</v>
      </c>
      <c r="B82" s="1">
        <v>8048</v>
      </c>
      <c r="C82" s="1">
        <v>6001</v>
      </c>
      <c r="D82" s="1">
        <v>217</v>
      </c>
      <c r="E82" s="1">
        <v>2314</v>
      </c>
      <c r="F82" s="1">
        <v>7</v>
      </c>
      <c r="G82" s="1">
        <v>24</v>
      </c>
      <c r="H82" s="1">
        <v>18069</v>
      </c>
      <c r="I82" s="1">
        <v>62</v>
      </c>
      <c r="J82" s="1">
        <v>1559</v>
      </c>
      <c r="K82" s="1">
        <v>55</v>
      </c>
      <c r="L82" s="1">
        <v>1528</v>
      </c>
      <c r="M82" s="1">
        <v>115</v>
      </c>
      <c r="N82" s="1">
        <v>14084</v>
      </c>
      <c r="O82" s="1">
        <v>2253</v>
      </c>
      <c r="P82" s="1">
        <v>910</v>
      </c>
      <c r="Q82" s="1">
        <v>8495</v>
      </c>
      <c r="R82" s="1">
        <v>169</v>
      </c>
      <c r="S82" s="1">
        <v>1984</v>
      </c>
      <c r="T82" s="1">
        <v>3128</v>
      </c>
      <c r="U82" s="1">
        <v>2744</v>
      </c>
      <c r="V82" s="1">
        <v>9829</v>
      </c>
      <c r="W82" s="1">
        <v>2637</v>
      </c>
      <c r="X82" s="1">
        <v>597</v>
      </c>
      <c r="Y82" s="1">
        <v>1104</v>
      </c>
      <c r="Z82" s="1">
        <v>1873</v>
      </c>
      <c r="AA82" s="1">
        <v>850</v>
      </c>
      <c r="AB82" s="1">
        <v>6385</v>
      </c>
      <c r="AC82" s="1">
        <v>1023</v>
      </c>
      <c r="AD82" s="1">
        <v>768</v>
      </c>
      <c r="AE82" s="1">
        <v>1574</v>
      </c>
      <c r="AF82" s="1">
        <v>2287</v>
      </c>
      <c r="AG82">
        <v>32404</v>
      </c>
      <c r="AH82" s="1">
        <v>637</v>
      </c>
      <c r="AI82" s="1">
        <v>1988</v>
      </c>
      <c r="AJ82" s="1">
        <v>421</v>
      </c>
      <c r="AK82" s="1">
        <v>2582</v>
      </c>
      <c r="AL82" s="1">
        <v>3989</v>
      </c>
      <c r="AM82" s="1">
        <v>1292</v>
      </c>
      <c r="AN82" s="1">
        <v>338</v>
      </c>
      <c r="AO82" s="1">
        <v>12326</v>
      </c>
      <c r="AP82" s="1">
        <v>798</v>
      </c>
      <c r="AQ82" s="1">
        <v>152</v>
      </c>
      <c r="AR82" s="1">
        <v>3476</v>
      </c>
      <c r="AS82" s="1">
        <v>9877</v>
      </c>
      <c r="AT82" s="1">
        <v>2661</v>
      </c>
      <c r="AU82" s="1">
        <v>5302</v>
      </c>
      <c r="AV82" s="1">
        <v>5406</v>
      </c>
      <c r="AW82" s="1">
        <v>21187</v>
      </c>
      <c r="AX82" s="1">
        <v>39591</v>
      </c>
      <c r="AY82" s="1">
        <v>162</v>
      </c>
      <c r="AZ82" s="1">
        <v>1030</v>
      </c>
      <c r="BA82" s="1">
        <v>34260</v>
      </c>
      <c r="BB82" s="1">
        <v>441</v>
      </c>
      <c r="BC82" s="1">
        <v>1132</v>
      </c>
      <c r="BD82" s="1">
        <v>8169</v>
      </c>
      <c r="BE82" s="1">
        <v>3595</v>
      </c>
      <c r="BF82" s="1">
        <v>3374</v>
      </c>
      <c r="BG82" s="1">
        <v>6413</v>
      </c>
      <c r="BH82" s="1">
        <v>2059</v>
      </c>
      <c r="BI82" s="1">
        <v>39667</v>
      </c>
      <c r="BJ82" s="1">
        <v>6141</v>
      </c>
      <c r="BK82" s="1">
        <v>7398</v>
      </c>
      <c r="BL82" s="1">
        <v>2958</v>
      </c>
      <c r="BM82" s="1">
        <v>6090</v>
      </c>
      <c r="BN82" s="1">
        <v>1317</v>
      </c>
      <c r="BO82" s="1">
        <v>2134</v>
      </c>
      <c r="BP82" s="1">
        <v>27576</v>
      </c>
      <c r="BQ82" s="1">
        <v>2924</v>
      </c>
      <c r="BR82" s="1">
        <v>95086</v>
      </c>
      <c r="BS82" s="1">
        <v>11670</v>
      </c>
      <c r="BT82" s="1">
        <v>10989</v>
      </c>
      <c r="BU82" s="1">
        <v>21691</v>
      </c>
      <c r="BV82" s="1">
        <v>3516</v>
      </c>
      <c r="BW82" s="1">
        <v>15768</v>
      </c>
      <c r="BX82" s="1">
        <v>2723</v>
      </c>
      <c r="BY82" s="1">
        <v>5332</v>
      </c>
      <c r="BZ82" s="1">
        <v>21960</v>
      </c>
      <c r="CA82" s="1">
        <v>2328</v>
      </c>
      <c r="CB82" s="1">
        <v>1289</v>
      </c>
      <c r="CC82" s="1">
        <v>8305</v>
      </c>
      <c r="CD82" s="1">
        <v>4364</v>
      </c>
      <c r="CE82" s="1">
        <v>3904</v>
      </c>
      <c r="CF82" s="1">
        <v>8710</v>
      </c>
      <c r="CG82" s="1">
        <v>111954</v>
      </c>
      <c r="CH82" s="1">
        <v>14430</v>
      </c>
      <c r="CI82" s="1">
        <v>26957</v>
      </c>
      <c r="CJ82" s="1">
        <v>7272</v>
      </c>
      <c r="CK82" s="1">
        <v>17043</v>
      </c>
      <c r="CL82" s="1">
        <v>10357</v>
      </c>
      <c r="CM82" s="1">
        <v>17830</v>
      </c>
      <c r="CN82" s="1">
        <v>51521</v>
      </c>
      <c r="CO82" s="1">
        <v>5941</v>
      </c>
      <c r="CP82" s="1">
        <v>3505</v>
      </c>
      <c r="CQ82" s="1">
        <v>4791</v>
      </c>
      <c r="CR82" s="1">
        <v>8456</v>
      </c>
      <c r="CS82" s="1">
        <v>34097</v>
      </c>
      <c r="CT82" s="1">
        <v>20327</v>
      </c>
      <c r="CU82" s="1">
        <v>2163</v>
      </c>
      <c r="CV82" s="1">
        <v>278664</v>
      </c>
      <c r="CW82" s="1">
        <v>6103</v>
      </c>
      <c r="CX82" s="1">
        <v>2011</v>
      </c>
      <c r="CY82" s="1">
        <v>25519</v>
      </c>
      <c r="CZ82" s="1">
        <v>3397</v>
      </c>
      <c r="DA82" s="1">
        <v>5942</v>
      </c>
      <c r="DB82" s="1">
        <v>12635</v>
      </c>
      <c r="DC82" s="1">
        <v>4386</v>
      </c>
      <c r="DD82" s="1">
        <v>3179</v>
      </c>
      <c r="DE82" s="1">
        <v>2161</v>
      </c>
      <c r="DF82" s="1">
        <v>53383</v>
      </c>
      <c r="DG82" s="1">
        <v>14785</v>
      </c>
      <c r="DH82" s="1">
        <v>17853</v>
      </c>
      <c r="DI82" s="1">
        <v>3840</v>
      </c>
      <c r="DJ82" s="1">
        <v>28356</v>
      </c>
      <c r="DK82" s="1">
        <v>17073</v>
      </c>
      <c r="DL82" s="1">
        <v>11001</v>
      </c>
      <c r="DM82" s="1">
        <v>13271</v>
      </c>
      <c r="DN82" s="1">
        <v>16562</v>
      </c>
      <c r="DO82" s="1">
        <v>3103</v>
      </c>
      <c r="DP82" s="1">
        <v>7784</v>
      </c>
      <c r="DQ82" s="1">
        <v>59563</v>
      </c>
      <c r="DR82" s="1">
        <v>3319</v>
      </c>
      <c r="DS82" s="1">
        <v>5408</v>
      </c>
      <c r="DT82" s="1">
        <v>904</v>
      </c>
      <c r="DU82" s="1">
        <v>10054</v>
      </c>
      <c r="DV82" s="1">
        <v>5103</v>
      </c>
      <c r="DW82" s="1">
        <v>5051</v>
      </c>
      <c r="DX82" s="1">
        <v>10929</v>
      </c>
      <c r="DY82" s="1">
        <v>1673</v>
      </c>
      <c r="DZ82" s="1">
        <v>2066</v>
      </c>
      <c r="EA82" s="1">
        <v>10292</v>
      </c>
      <c r="EB82" s="1">
        <v>4951</v>
      </c>
      <c r="EC82" s="1">
        <v>649</v>
      </c>
      <c r="ED82" s="1">
        <v>1416</v>
      </c>
      <c r="EE82" s="1">
        <v>34748</v>
      </c>
      <c r="EF82" s="1">
        <v>4132</v>
      </c>
      <c r="EG82" s="1">
        <v>12084</v>
      </c>
      <c r="EH82" s="1">
        <v>28996</v>
      </c>
      <c r="EJ82" s="1">
        <f t="shared" si="1"/>
        <v>1688585</v>
      </c>
    </row>
    <row r="83" spans="1:140" x14ac:dyDescent="0.25">
      <c r="A83" s="1" t="s">
        <v>219</v>
      </c>
      <c r="B83" s="1">
        <v>8582</v>
      </c>
      <c r="C83" s="1">
        <v>5467</v>
      </c>
      <c r="D83" s="1">
        <v>184</v>
      </c>
      <c r="E83" s="1">
        <v>2087</v>
      </c>
      <c r="F83" s="1">
        <v>10</v>
      </c>
      <c r="G83" s="1">
        <v>22</v>
      </c>
      <c r="H83" s="1">
        <v>18458</v>
      </c>
      <c r="I83" s="1">
        <v>84</v>
      </c>
      <c r="J83" s="1">
        <v>1605</v>
      </c>
      <c r="K83" s="1">
        <v>79</v>
      </c>
      <c r="L83" s="1">
        <v>1146</v>
      </c>
      <c r="M83" s="1">
        <v>159</v>
      </c>
      <c r="N83" s="1">
        <v>13411</v>
      </c>
      <c r="O83" s="1">
        <v>1761</v>
      </c>
      <c r="P83" s="1">
        <v>896</v>
      </c>
      <c r="Q83" s="1">
        <v>8111</v>
      </c>
      <c r="R83" s="1">
        <v>111</v>
      </c>
      <c r="S83" s="1">
        <v>1831</v>
      </c>
      <c r="T83" s="1">
        <v>2886</v>
      </c>
      <c r="U83" s="1">
        <v>2709</v>
      </c>
      <c r="V83" s="1">
        <v>9757</v>
      </c>
      <c r="W83" s="1">
        <v>2580</v>
      </c>
      <c r="X83" s="1">
        <v>652</v>
      </c>
      <c r="Y83" s="1">
        <v>1037</v>
      </c>
      <c r="Z83" s="1">
        <v>1836</v>
      </c>
      <c r="AA83" s="1">
        <v>772</v>
      </c>
      <c r="AB83" s="1">
        <v>6537</v>
      </c>
      <c r="AC83" s="1">
        <v>1012</v>
      </c>
      <c r="AD83" s="1">
        <v>614</v>
      </c>
      <c r="AE83" s="1">
        <v>1417</v>
      </c>
      <c r="AF83" s="1">
        <v>2130</v>
      </c>
      <c r="AG83">
        <v>30104</v>
      </c>
      <c r="AH83" s="1">
        <v>492</v>
      </c>
      <c r="AI83" s="1">
        <v>1350</v>
      </c>
      <c r="AJ83" s="1">
        <v>494</v>
      </c>
      <c r="AK83" s="1">
        <v>2540</v>
      </c>
      <c r="AL83" s="1">
        <v>3109</v>
      </c>
      <c r="AM83" s="1">
        <v>959</v>
      </c>
      <c r="AN83" s="1">
        <v>360</v>
      </c>
      <c r="AO83" s="1">
        <v>10901</v>
      </c>
      <c r="AP83" s="1">
        <v>853</v>
      </c>
      <c r="AQ83" s="1">
        <v>148</v>
      </c>
      <c r="AR83" s="1">
        <v>2828</v>
      </c>
      <c r="AS83" s="1">
        <v>7151</v>
      </c>
      <c r="AT83" s="1">
        <v>2144</v>
      </c>
      <c r="AU83" s="1">
        <v>3529</v>
      </c>
      <c r="AV83" s="1">
        <v>4947</v>
      </c>
      <c r="AW83" s="1">
        <v>8845</v>
      </c>
      <c r="AX83" s="1">
        <v>35256</v>
      </c>
      <c r="AY83" s="1">
        <v>199</v>
      </c>
      <c r="AZ83" s="1">
        <v>1011</v>
      </c>
      <c r="BA83" s="1">
        <v>13546</v>
      </c>
      <c r="BB83" s="1">
        <v>406</v>
      </c>
      <c r="BC83" s="1">
        <v>1704</v>
      </c>
      <c r="BD83" s="1">
        <v>10277</v>
      </c>
      <c r="BE83" s="1">
        <v>4482</v>
      </c>
      <c r="BF83" s="1">
        <v>2169</v>
      </c>
      <c r="BG83" s="1">
        <v>6169</v>
      </c>
      <c r="BH83" s="1">
        <v>2262</v>
      </c>
      <c r="BI83" s="1">
        <v>40066</v>
      </c>
      <c r="BJ83" s="1">
        <v>5667</v>
      </c>
      <c r="BK83" s="1">
        <v>6426</v>
      </c>
      <c r="BL83" s="1">
        <v>3325</v>
      </c>
      <c r="BM83" s="1">
        <v>5881</v>
      </c>
      <c r="BN83" s="1">
        <v>1113</v>
      </c>
      <c r="BO83" s="1">
        <v>1779</v>
      </c>
      <c r="BP83" s="1">
        <v>26049</v>
      </c>
      <c r="BQ83" s="1">
        <v>2894</v>
      </c>
      <c r="BR83" s="1">
        <v>88283</v>
      </c>
      <c r="BS83" s="1">
        <v>11210</v>
      </c>
      <c r="BT83" s="1">
        <v>9932</v>
      </c>
      <c r="BU83" s="1">
        <v>19668</v>
      </c>
      <c r="BV83" s="1">
        <v>3364</v>
      </c>
      <c r="BW83" s="1">
        <v>14751</v>
      </c>
      <c r="BX83" s="1">
        <v>2273</v>
      </c>
      <c r="BY83" s="1">
        <v>5103</v>
      </c>
      <c r="BZ83" s="1">
        <v>22563</v>
      </c>
      <c r="CA83" s="1">
        <v>2447</v>
      </c>
      <c r="CB83" s="1">
        <v>1242</v>
      </c>
      <c r="CC83" s="1">
        <v>7154</v>
      </c>
      <c r="CD83" s="1">
        <v>4432</v>
      </c>
      <c r="CE83" s="1">
        <v>3775</v>
      </c>
      <c r="CF83" s="1">
        <v>8598</v>
      </c>
      <c r="CG83" s="1">
        <v>110047</v>
      </c>
      <c r="CH83" s="1">
        <v>13651</v>
      </c>
      <c r="CI83" s="1">
        <v>26736</v>
      </c>
      <c r="CJ83" s="1">
        <v>6734</v>
      </c>
      <c r="CK83" s="1">
        <v>16973</v>
      </c>
      <c r="CL83" s="1">
        <v>9994</v>
      </c>
      <c r="CM83" s="1">
        <v>18084</v>
      </c>
      <c r="CN83" s="1">
        <v>50116</v>
      </c>
      <c r="CO83" s="1">
        <v>5899</v>
      </c>
      <c r="CP83" s="1">
        <v>3414</v>
      </c>
      <c r="CQ83" s="1">
        <v>4559</v>
      </c>
      <c r="CR83" s="1">
        <v>7604</v>
      </c>
      <c r="CS83" s="1">
        <v>33195</v>
      </c>
      <c r="CT83" s="1">
        <v>20300</v>
      </c>
      <c r="CU83" s="1">
        <v>2172</v>
      </c>
      <c r="CV83" s="1">
        <v>276501</v>
      </c>
      <c r="CW83" s="1">
        <v>5674</v>
      </c>
      <c r="CX83" s="1">
        <v>1969</v>
      </c>
      <c r="CY83" s="1">
        <v>25475</v>
      </c>
      <c r="CZ83" s="1">
        <v>3118</v>
      </c>
      <c r="DA83" s="1">
        <v>5783</v>
      </c>
      <c r="DB83" s="1">
        <v>13060</v>
      </c>
      <c r="DC83" s="1">
        <v>3969</v>
      </c>
      <c r="DD83" s="1">
        <v>3099</v>
      </c>
      <c r="DE83" s="1">
        <v>2046</v>
      </c>
      <c r="DF83" s="1">
        <v>53474</v>
      </c>
      <c r="DG83" s="1">
        <v>15848</v>
      </c>
      <c r="DH83" s="1">
        <v>18117</v>
      </c>
      <c r="DI83" s="1">
        <v>4885</v>
      </c>
      <c r="DJ83" s="1">
        <v>28188</v>
      </c>
      <c r="DK83" s="1">
        <v>17359</v>
      </c>
      <c r="DL83" s="1">
        <v>10588</v>
      </c>
      <c r="DM83" s="1">
        <v>15335</v>
      </c>
      <c r="DN83" s="1">
        <v>18650</v>
      </c>
      <c r="DO83" s="1">
        <v>3458</v>
      </c>
      <c r="DP83" s="1">
        <v>8323</v>
      </c>
      <c r="DQ83" s="1">
        <v>61664</v>
      </c>
      <c r="DR83" s="1">
        <v>3458</v>
      </c>
      <c r="DS83" s="1">
        <v>5876</v>
      </c>
      <c r="DT83" s="1">
        <v>772</v>
      </c>
      <c r="DU83" s="1">
        <v>9557</v>
      </c>
      <c r="DV83" s="1">
        <v>5021</v>
      </c>
      <c r="DW83" s="1">
        <v>4951</v>
      </c>
      <c r="DX83" s="1">
        <v>11226</v>
      </c>
      <c r="DY83" s="1">
        <v>1960</v>
      </c>
      <c r="DZ83" s="1">
        <v>2328</v>
      </c>
      <c r="EA83" s="1">
        <v>10069</v>
      </c>
      <c r="EB83" s="1">
        <v>5283</v>
      </c>
      <c r="EC83" s="1">
        <v>610</v>
      </c>
      <c r="ED83" s="1">
        <v>1381</v>
      </c>
      <c r="EE83" s="1">
        <v>34484</v>
      </c>
      <c r="EF83" s="1">
        <v>4486</v>
      </c>
      <c r="EG83" s="1">
        <v>12116</v>
      </c>
      <c r="EH83" s="1">
        <v>26723</v>
      </c>
      <c r="EJ83" s="1">
        <f t="shared" si="1"/>
        <v>1620535</v>
      </c>
    </row>
    <row r="84" spans="1:140" x14ac:dyDescent="0.25">
      <c r="A84" s="1" t="s">
        <v>220</v>
      </c>
      <c r="B84" s="1">
        <v>8702</v>
      </c>
      <c r="C84" s="1">
        <v>5334</v>
      </c>
      <c r="D84" s="1">
        <v>173</v>
      </c>
      <c r="E84" s="1">
        <v>2007</v>
      </c>
      <c r="F84" s="1">
        <v>4</v>
      </c>
      <c r="G84" s="1">
        <v>65</v>
      </c>
      <c r="H84" s="1">
        <v>16418</v>
      </c>
      <c r="I84" s="1">
        <v>49</v>
      </c>
      <c r="J84" s="1">
        <v>1434</v>
      </c>
      <c r="K84" s="1">
        <v>57</v>
      </c>
      <c r="L84" s="1">
        <v>1268</v>
      </c>
      <c r="M84" s="1">
        <v>154</v>
      </c>
      <c r="N84" s="1">
        <v>13711</v>
      </c>
      <c r="O84" s="1">
        <v>1809</v>
      </c>
      <c r="P84" s="1">
        <v>762</v>
      </c>
      <c r="Q84" s="1">
        <v>8427</v>
      </c>
      <c r="R84" s="1">
        <v>124</v>
      </c>
      <c r="S84" s="1">
        <v>1850</v>
      </c>
      <c r="T84" s="1">
        <v>3067</v>
      </c>
      <c r="U84" s="1">
        <v>2391</v>
      </c>
      <c r="V84" s="1">
        <v>10351</v>
      </c>
      <c r="W84" s="1">
        <v>2677</v>
      </c>
      <c r="X84" s="1">
        <v>765</v>
      </c>
      <c r="Y84" s="1">
        <v>1030</v>
      </c>
      <c r="Z84" s="1">
        <v>1619</v>
      </c>
      <c r="AA84" s="1">
        <v>681</v>
      </c>
      <c r="AB84" s="1">
        <v>6721</v>
      </c>
      <c r="AC84" s="1">
        <v>889</v>
      </c>
      <c r="AD84" s="1">
        <v>640</v>
      </c>
      <c r="AE84" s="1">
        <v>1537</v>
      </c>
      <c r="AF84" s="1">
        <v>1999</v>
      </c>
      <c r="AG84">
        <v>30748</v>
      </c>
      <c r="AH84" s="1">
        <v>394</v>
      </c>
      <c r="AI84" s="1">
        <v>1248</v>
      </c>
      <c r="AJ84" s="1">
        <v>433</v>
      </c>
      <c r="AK84" s="1">
        <v>2313</v>
      </c>
      <c r="AL84" s="1">
        <v>3271</v>
      </c>
      <c r="AM84" s="1">
        <v>996</v>
      </c>
      <c r="AN84" s="1">
        <v>313</v>
      </c>
      <c r="AO84" s="1">
        <v>10410</v>
      </c>
      <c r="AP84" s="1">
        <v>910</v>
      </c>
      <c r="AQ84" s="1">
        <v>129</v>
      </c>
      <c r="AR84" s="1">
        <v>2710</v>
      </c>
      <c r="AS84" s="1">
        <v>7014</v>
      </c>
      <c r="AT84" s="1">
        <v>1924</v>
      </c>
      <c r="AU84" s="1">
        <v>3780</v>
      </c>
      <c r="AV84" s="1">
        <v>4597</v>
      </c>
      <c r="AW84" s="1">
        <v>4042</v>
      </c>
      <c r="AX84" s="1">
        <v>33955</v>
      </c>
      <c r="AY84" s="1">
        <v>180</v>
      </c>
      <c r="AZ84" s="1">
        <v>1020</v>
      </c>
      <c r="BA84" s="1">
        <v>11241</v>
      </c>
      <c r="BB84" s="1">
        <v>488</v>
      </c>
      <c r="BC84" s="1">
        <v>1039</v>
      </c>
      <c r="BD84" s="1">
        <v>8337</v>
      </c>
      <c r="BE84" s="1">
        <v>4130</v>
      </c>
      <c r="BF84" s="1">
        <v>2562</v>
      </c>
      <c r="BG84" s="1">
        <v>5433</v>
      </c>
      <c r="BH84" s="1">
        <v>2089</v>
      </c>
      <c r="BI84" s="1">
        <v>39080</v>
      </c>
      <c r="BJ84" s="1">
        <v>4837</v>
      </c>
      <c r="BK84" s="1">
        <v>7545</v>
      </c>
      <c r="BL84" s="1">
        <v>3211</v>
      </c>
      <c r="BM84" s="1">
        <v>5826</v>
      </c>
      <c r="BN84" s="1">
        <v>1159</v>
      </c>
      <c r="BO84" s="1">
        <v>1722</v>
      </c>
      <c r="BP84" s="1">
        <v>25851</v>
      </c>
      <c r="BQ84" s="1">
        <v>2936</v>
      </c>
      <c r="BR84" s="1">
        <v>85208</v>
      </c>
      <c r="BS84" s="1">
        <v>9498</v>
      </c>
      <c r="BT84" s="1">
        <v>9371</v>
      </c>
      <c r="BU84" s="1">
        <v>19764</v>
      </c>
      <c r="BV84" s="1">
        <v>3361</v>
      </c>
      <c r="BW84" s="1">
        <v>14825</v>
      </c>
      <c r="BX84" s="1">
        <v>2314</v>
      </c>
      <c r="BY84" s="1">
        <v>5116</v>
      </c>
      <c r="BZ84" s="1">
        <v>22357</v>
      </c>
      <c r="CA84" s="1">
        <v>2476</v>
      </c>
      <c r="CB84" s="1">
        <v>1213</v>
      </c>
      <c r="CC84" s="1">
        <v>7347</v>
      </c>
      <c r="CD84" s="1">
        <v>4355</v>
      </c>
      <c r="CE84" s="1">
        <v>4064</v>
      </c>
      <c r="CF84" s="1">
        <v>9295</v>
      </c>
      <c r="CG84" s="1">
        <v>115065</v>
      </c>
      <c r="CH84" s="1">
        <v>14242</v>
      </c>
      <c r="CI84" s="1">
        <v>25552</v>
      </c>
      <c r="CJ84" s="1">
        <v>5525</v>
      </c>
      <c r="CK84" s="1">
        <v>15948</v>
      </c>
      <c r="CL84" s="1">
        <v>10894</v>
      </c>
      <c r="CM84" s="1">
        <v>17196</v>
      </c>
      <c r="CN84" s="1">
        <v>48031</v>
      </c>
      <c r="CO84" s="1">
        <v>6201</v>
      </c>
      <c r="CP84" s="1">
        <v>3359</v>
      </c>
      <c r="CQ84" s="1">
        <v>4371</v>
      </c>
      <c r="CR84" s="1">
        <v>7832</v>
      </c>
      <c r="CS84" s="1">
        <v>32216</v>
      </c>
      <c r="CT84" s="1">
        <v>19656</v>
      </c>
      <c r="CU84" s="1">
        <v>2102</v>
      </c>
      <c r="CV84" s="1">
        <v>263586</v>
      </c>
      <c r="CW84" s="1">
        <v>5217</v>
      </c>
      <c r="CX84" s="1">
        <v>1742</v>
      </c>
      <c r="CY84" s="1">
        <v>24621</v>
      </c>
      <c r="CZ84" s="1">
        <v>3000</v>
      </c>
      <c r="DA84" s="1">
        <v>6351</v>
      </c>
      <c r="DB84" s="1">
        <v>12603</v>
      </c>
      <c r="DC84" s="1">
        <v>3687</v>
      </c>
      <c r="DD84" s="1">
        <v>3161</v>
      </c>
      <c r="DE84" s="1">
        <v>2100</v>
      </c>
      <c r="DF84" s="1">
        <v>52630</v>
      </c>
      <c r="DG84" s="1">
        <v>14820</v>
      </c>
      <c r="DH84" s="1">
        <v>16755</v>
      </c>
      <c r="DI84" s="1">
        <v>4941</v>
      </c>
      <c r="DJ84" s="1">
        <v>26602</v>
      </c>
      <c r="DK84" s="1">
        <v>17165</v>
      </c>
      <c r="DL84" s="1">
        <v>10569</v>
      </c>
      <c r="DM84" s="1">
        <v>15263</v>
      </c>
      <c r="DN84" s="1">
        <v>18880</v>
      </c>
      <c r="DO84" s="1">
        <v>3356</v>
      </c>
      <c r="DP84" s="1">
        <v>8551</v>
      </c>
      <c r="DQ84" s="1">
        <v>62109</v>
      </c>
      <c r="DR84" s="1">
        <v>3560</v>
      </c>
      <c r="DS84" s="1">
        <v>7876</v>
      </c>
      <c r="DT84" s="1">
        <v>655</v>
      </c>
      <c r="DU84" s="1">
        <v>9520</v>
      </c>
      <c r="DV84" s="1">
        <v>5212</v>
      </c>
      <c r="DW84" s="1">
        <v>5179</v>
      </c>
      <c r="DX84" s="1">
        <v>9439</v>
      </c>
      <c r="DY84" s="1">
        <v>1463</v>
      </c>
      <c r="DZ84" s="1">
        <v>2083</v>
      </c>
      <c r="EA84" s="1">
        <v>10438</v>
      </c>
      <c r="EB84" s="1">
        <v>4407</v>
      </c>
      <c r="EC84" s="1">
        <v>632</v>
      </c>
      <c r="ED84" s="1">
        <v>1190</v>
      </c>
      <c r="EE84" s="1">
        <v>33650</v>
      </c>
      <c r="EF84" s="1">
        <v>3937</v>
      </c>
      <c r="EG84" s="1">
        <v>11507</v>
      </c>
      <c r="EH84" s="1">
        <v>25073</v>
      </c>
      <c r="EJ84" s="1">
        <f t="shared" si="1"/>
        <v>1576872</v>
      </c>
    </row>
    <row r="85" spans="1:140" x14ac:dyDescent="0.25">
      <c r="A85" s="1" t="s">
        <v>221</v>
      </c>
      <c r="B85" s="1">
        <v>5077</v>
      </c>
      <c r="C85" s="1">
        <v>4315</v>
      </c>
      <c r="D85" s="1">
        <v>130</v>
      </c>
      <c r="E85" s="1">
        <v>1707</v>
      </c>
      <c r="F85" s="1">
        <v>4</v>
      </c>
      <c r="G85" s="1">
        <v>15</v>
      </c>
      <c r="H85" s="1">
        <v>11876</v>
      </c>
      <c r="I85" s="1">
        <v>26</v>
      </c>
      <c r="J85" s="1">
        <v>1117</v>
      </c>
      <c r="K85" s="1">
        <v>43</v>
      </c>
      <c r="L85" s="1">
        <v>905</v>
      </c>
      <c r="M85" s="1">
        <v>100</v>
      </c>
      <c r="N85" s="1">
        <v>10922</v>
      </c>
      <c r="O85" s="1">
        <v>1409</v>
      </c>
      <c r="P85" s="1">
        <v>375</v>
      </c>
      <c r="Q85" s="1">
        <v>6568</v>
      </c>
      <c r="R85" s="1">
        <v>58</v>
      </c>
      <c r="S85" s="1">
        <v>1443</v>
      </c>
      <c r="T85" s="1">
        <v>2424</v>
      </c>
      <c r="U85" s="1">
        <v>1662</v>
      </c>
      <c r="V85" s="1">
        <v>7762</v>
      </c>
      <c r="W85" s="1">
        <v>2388</v>
      </c>
      <c r="X85" s="1">
        <v>433</v>
      </c>
      <c r="Y85" s="1">
        <v>606</v>
      </c>
      <c r="Z85" s="1">
        <v>773</v>
      </c>
      <c r="AA85" s="1">
        <v>554</v>
      </c>
      <c r="AB85" s="1">
        <v>4949</v>
      </c>
      <c r="AC85" s="1">
        <v>507</v>
      </c>
      <c r="AD85" s="1">
        <v>312</v>
      </c>
      <c r="AE85" s="1">
        <v>954</v>
      </c>
      <c r="AF85" s="1">
        <v>1058</v>
      </c>
      <c r="AG85">
        <v>24734</v>
      </c>
      <c r="AH85" s="1">
        <v>302</v>
      </c>
      <c r="AI85" s="1">
        <v>811</v>
      </c>
      <c r="AJ85" s="1">
        <v>289</v>
      </c>
      <c r="AK85" s="1">
        <v>1839</v>
      </c>
      <c r="AL85" s="1">
        <v>2473</v>
      </c>
      <c r="AM85" s="1">
        <v>749</v>
      </c>
      <c r="AN85" s="1">
        <v>180</v>
      </c>
      <c r="AO85" s="1">
        <v>8465</v>
      </c>
      <c r="AP85" s="1">
        <v>635</v>
      </c>
      <c r="AQ85" s="1">
        <v>91</v>
      </c>
      <c r="AR85" s="1">
        <v>2149</v>
      </c>
      <c r="AS85" s="1">
        <v>5262</v>
      </c>
      <c r="AT85" s="1">
        <v>1478</v>
      </c>
      <c r="AU85" s="1">
        <v>2428</v>
      </c>
      <c r="AV85" s="1">
        <v>3853</v>
      </c>
      <c r="AW85" s="1">
        <v>2365</v>
      </c>
      <c r="AX85" s="1">
        <v>29599</v>
      </c>
      <c r="AY85" s="1">
        <v>276</v>
      </c>
      <c r="AZ85" s="1">
        <v>666</v>
      </c>
      <c r="BA85" s="1">
        <v>7548</v>
      </c>
      <c r="BB85" s="1">
        <v>91</v>
      </c>
      <c r="BC85" s="1">
        <v>801</v>
      </c>
      <c r="BD85" s="1">
        <v>6278</v>
      </c>
      <c r="BE85" s="1">
        <v>2089</v>
      </c>
      <c r="BF85" s="1">
        <v>1821</v>
      </c>
      <c r="BG85" s="1">
        <v>4409</v>
      </c>
      <c r="BH85" s="1">
        <v>1654</v>
      </c>
      <c r="BI85" s="1">
        <v>28473</v>
      </c>
      <c r="BJ85" s="1">
        <v>3394</v>
      </c>
      <c r="BK85" s="1">
        <v>7041</v>
      </c>
      <c r="BL85" s="1">
        <v>2391</v>
      </c>
      <c r="BM85" s="1">
        <v>5134</v>
      </c>
      <c r="BN85" s="1">
        <v>852</v>
      </c>
      <c r="BO85" s="1">
        <v>1154</v>
      </c>
      <c r="BP85" s="1">
        <v>21981</v>
      </c>
      <c r="BQ85" s="1">
        <v>2106</v>
      </c>
      <c r="BR85" s="1">
        <v>65972</v>
      </c>
      <c r="BS85" s="1">
        <v>7849</v>
      </c>
      <c r="BT85" s="1">
        <v>6669</v>
      </c>
      <c r="BU85" s="1">
        <v>15260</v>
      </c>
      <c r="BV85" s="1">
        <v>2581</v>
      </c>
      <c r="BW85" s="1">
        <v>11400</v>
      </c>
      <c r="BX85" s="1">
        <v>1780</v>
      </c>
      <c r="BY85" s="1">
        <v>4017</v>
      </c>
      <c r="BZ85" s="1">
        <v>19575</v>
      </c>
      <c r="CA85" s="1">
        <v>2127</v>
      </c>
      <c r="CB85" s="1">
        <v>941</v>
      </c>
      <c r="CC85" s="1">
        <v>6062</v>
      </c>
      <c r="CD85" s="1">
        <v>3364</v>
      </c>
      <c r="CE85" s="1">
        <v>4460</v>
      </c>
      <c r="CF85" s="1">
        <v>8301</v>
      </c>
      <c r="CG85" s="1">
        <v>96799</v>
      </c>
      <c r="CH85" s="1">
        <v>10323</v>
      </c>
      <c r="CI85" s="1">
        <v>20864</v>
      </c>
      <c r="CJ85" s="1">
        <v>3807</v>
      </c>
      <c r="CK85" s="1">
        <v>11714</v>
      </c>
      <c r="CL85" s="1">
        <v>7361</v>
      </c>
      <c r="CM85" s="1">
        <v>13183</v>
      </c>
      <c r="CN85" s="1">
        <v>36671</v>
      </c>
      <c r="CO85" s="1">
        <v>4194</v>
      </c>
      <c r="CP85" s="1">
        <v>2862</v>
      </c>
      <c r="CQ85" s="1">
        <v>2719</v>
      </c>
      <c r="CR85" s="1">
        <v>5564</v>
      </c>
      <c r="CS85" s="1">
        <v>25804</v>
      </c>
      <c r="CT85" s="1">
        <v>16876</v>
      </c>
      <c r="CU85" s="1">
        <v>1733</v>
      </c>
      <c r="CV85" s="1">
        <v>214908</v>
      </c>
      <c r="CW85" s="1">
        <v>3379</v>
      </c>
      <c r="CX85" s="1">
        <v>1244</v>
      </c>
      <c r="CY85" s="1">
        <v>17380</v>
      </c>
      <c r="CZ85" s="1">
        <v>2126</v>
      </c>
      <c r="DA85" s="1">
        <v>4515</v>
      </c>
      <c r="DB85" s="1">
        <v>9550</v>
      </c>
      <c r="DC85" s="1">
        <v>2756</v>
      </c>
      <c r="DD85" s="1">
        <v>1802</v>
      </c>
      <c r="DE85" s="1">
        <v>1520</v>
      </c>
      <c r="DF85" s="1">
        <v>39298</v>
      </c>
      <c r="DG85" s="1">
        <v>9731</v>
      </c>
      <c r="DH85" s="1">
        <v>10011</v>
      </c>
      <c r="DI85" s="1">
        <v>2402</v>
      </c>
      <c r="DJ85" s="1">
        <v>18584</v>
      </c>
      <c r="DK85" s="1">
        <v>15308</v>
      </c>
      <c r="DL85" s="1">
        <v>8961</v>
      </c>
      <c r="DM85" s="1">
        <v>11520</v>
      </c>
      <c r="DN85" s="1">
        <v>11420</v>
      </c>
      <c r="DO85" s="1">
        <v>2765</v>
      </c>
      <c r="DP85" s="1">
        <v>5944</v>
      </c>
      <c r="DQ85" s="1">
        <v>52347</v>
      </c>
      <c r="DR85" s="1">
        <v>2867</v>
      </c>
      <c r="DS85" s="1">
        <v>6771</v>
      </c>
      <c r="DT85" s="1">
        <v>547</v>
      </c>
      <c r="DU85" s="1">
        <v>7093</v>
      </c>
      <c r="DV85" s="1">
        <v>3302</v>
      </c>
      <c r="DW85" s="1">
        <v>3432</v>
      </c>
      <c r="DX85" s="1">
        <v>6415</v>
      </c>
      <c r="DY85" s="1">
        <v>973</v>
      </c>
      <c r="DZ85" s="1">
        <v>1756</v>
      </c>
      <c r="EA85" s="1">
        <v>8054</v>
      </c>
      <c r="EB85" s="1">
        <v>2993</v>
      </c>
      <c r="EC85" s="1">
        <v>457</v>
      </c>
      <c r="ED85" s="1">
        <v>617</v>
      </c>
      <c r="EE85" s="1">
        <v>26704</v>
      </c>
      <c r="EF85" s="1">
        <v>2720</v>
      </c>
      <c r="EG85" s="1">
        <v>9086</v>
      </c>
      <c r="EH85" s="1">
        <v>22131</v>
      </c>
      <c r="EJ85" s="1">
        <f t="shared" si="1"/>
        <v>1230554</v>
      </c>
    </row>
    <row r="86" spans="1:140" x14ac:dyDescent="0.25">
      <c r="A86" s="1" t="s">
        <v>222</v>
      </c>
      <c r="B86" s="1">
        <v>5720</v>
      </c>
      <c r="C86" s="1">
        <v>5599</v>
      </c>
      <c r="D86" s="1">
        <v>186</v>
      </c>
      <c r="E86" s="1">
        <v>1942</v>
      </c>
      <c r="F86" s="1">
        <v>11</v>
      </c>
      <c r="G86" s="1">
        <v>45</v>
      </c>
      <c r="H86" s="1">
        <v>18849</v>
      </c>
      <c r="I86" s="1">
        <v>111</v>
      </c>
      <c r="J86" s="1">
        <v>1513</v>
      </c>
      <c r="K86" s="1">
        <v>104</v>
      </c>
      <c r="L86" s="1">
        <v>1146</v>
      </c>
      <c r="M86" s="1">
        <v>235</v>
      </c>
      <c r="N86" s="1">
        <v>12480</v>
      </c>
      <c r="O86" s="1">
        <v>2413</v>
      </c>
      <c r="P86" s="1">
        <v>716</v>
      </c>
      <c r="Q86" s="1">
        <v>7793</v>
      </c>
      <c r="R86" s="1">
        <v>106</v>
      </c>
      <c r="S86" s="1">
        <v>1835</v>
      </c>
      <c r="T86" s="1">
        <v>3245</v>
      </c>
      <c r="U86" s="1">
        <v>2283</v>
      </c>
      <c r="V86" s="1">
        <v>8716</v>
      </c>
      <c r="W86" s="1">
        <v>3068</v>
      </c>
      <c r="X86" s="1">
        <v>639</v>
      </c>
      <c r="Y86" s="1">
        <v>911</v>
      </c>
      <c r="Z86" s="1">
        <v>1420</v>
      </c>
      <c r="AA86" s="1">
        <v>683</v>
      </c>
      <c r="AB86" s="1">
        <v>6338</v>
      </c>
      <c r="AC86" s="1">
        <v>752</v>
      </c>
      <c r="AD86" s="1">
        <v>526</v>
      </c>
      <c r="AE86" s="1">
        <v>1541</v>
      </c>
      <c r="AF86" s="1">
        <v>1486</v>
      </c>
      <c r="AG86">
        <v>28840</v>
      </c>
      <c r="AH86" s="1">
        <v>772</v>
      </c>
      <c r="AI86" s="1">
        <v>867</v>
      </c>
      <c r="AJ86" s="1">
        <v>385</v>
      </c>
      <c r="AK86" s="1">
        <v>2993</v>
      </c>
      <c r="AL86" s="1">
        <v>3142</v>
      </c>
      <c r="AM86" s="1">
        <v>881</v>
      </c>
      <c r="AN86" s="1">
        <v>412</v>
      </c>
      <c r="AO86" s="1">
        <v>9507</v>
      </c>
      <c r="AP86" s="1">
        <v>814</v>
      </c>
      <c r="AQ86" s="1">
        <v>184</v>
      </c>
      <c r="AR86" s="1">
        <v>2646</v>
      </c>
      <c r="AS86" s="1">
        <v>6614</v>
      </c>
      <c r="AT86" s="1">
        <v>1977</v>
      </c>
      <c r="AU86" s="1">
        <v>2935</v>
      </c>
      <c r="AV86" s="1">
        <v>5028</v>
      </c>
      <c r="AW86" s="1">
        <v>3107</v>
      </c>
      <c r="AX86" s="1">
        <v>30671</v>
      </c>
      <c r="AY86" s="1">
        <v>214</v>
      </c>
      <c r="AZ86" s="1">
        <v>948</v>
      </c>
      <c r="BA86" s="1">
        <v>9154</v>
      </c>
      <c r="BB86" s="1">
        <v>318</v>
      </c>
      <c r="BC86" s="1">
        <v>1098</v>
      </c>
      <c r="BD86" s="1">
        <v>7873</v>
      </c>
      <c r="BE86" s="1">
        <v>4875</v>
      </c>
      <c r="BF86" s="1">
        <v>1767</v>
      </c>
      <c r="BG86" s="1">
        <v>6358</v>
      </c>
      <c r="BH86" s="1">
        <v>2601</v>
      </c>
      <c r="BI86" s="1">
        <v>37197</v>
      </c>
      <c r="BJ86" s="1">
        <v>4905</v>
      </c>
      <c r="BK86" s="1">
        <v>7961</v>
      </c>
      <c r="BL86" s="1">
        <v>3342</v>
      </c>
      <c r="BM86" s="1">
        <v>5583</v>
      </c>
      <c r="BN86" s="1">
        <v>1306</v>
      </c>
      <c r="BO86" s="1">
        <v>1673</v>
      </c>
      <c r="BP86" s="1">
        <v>27237</v>
      </c>
      <c r="BQ86" s="1">
        <v>2776</v>
      </c>
      <c r="BR86" s="1">
        <v>85545</v>
      </c>
      <c r="BS86" s="1">
        <v>9170</v>
      </c>
      <c r="BT86" s="1">
        <v>9911</v>
      </c>
      <c r="BU86" s="1">
        <v>19226</v>
      </c>
      <c r="BV86" s="1">
        <v>2913</v>
      </c>
      <c r="BW86" s="1">
        <v>13477</v>
      </c>
      <c r="BX86" s="1">
        <v>2144</v>
      </c>
      <c r="BY86" s="1">
        <v>6349</v>
      </c>
      <c r="BZ86" s="1">
        <v>24391</v>
      </c>
      <c r="CA86" s="1">
        <v>2338</v>
      </c>
      <c r="CB86" s="1">
        <v>1241</v>
      </c>
      <c r="CC86" s="1">
        <v>7260</v>
      </c>
      <c r="CD86" s="1">
        <v>2994</v>
      </c>
      <c r="CE86" s="1">
        <v>4612</v>
      </c>
      <c r="CF86" s="1">
        <v>8645</v>
      </c>
      <c r="CG86" s="1">
        <v>109969</v>
      </c>
      <c r="CH86" s="1">
        <v>17019</v>
      </c>
      <c r="CI86" s="1">
        <v>34999</v>
      </c>
      <c r="CJ86" s="1">
        <v>7441</v>
      </c>
      <c r="CK86" s="1">
        <v>16800</v>
      </c>
      <c r="CL86" s="1">
        <v>12150</v>
      </c>
      <c r="CM86" s="1">
        <v>18382</v>
      </c>
      <c r="CN86" s="1">
        <v>52667</v>
      </c>
      <c r="CO86" s="1">
        <v>6331</v>
      </c>
      <c r="CP86" s="1">
        <v>3975</v>
      </c>
      <c r="CQ86" s="1">
        <v>4666</v>
      </c>
      <c r="CR86" s="1">
        <v>7509</v>
      </c>
      <c r="CS86" s="1">
        <v>34017</v>
      </c>
      <c r="CT86" s="1">
        <v>21434</v>
      </c>
      <c r="CU86" s="1">
        <v>2292</v>
      </c>
      <c r="CV86" s="1">
        <v>274903</v>
      </c>
      <c r="CW86" s="1">
        <v>5863</v>
      </c>
      <c r="CX86" s="1">
        <v>1939</v>
      </c>
      <c r="CY86" s="1">
        <v>27153</v>
      </c>
      <c r="CZ86" s="1">
        <v>3517</v>
      </c>
      <c r="DA86" s="1">
        <v>6972</v>
      </c>
      <c r="DB86" s="1">
        <v>13229</v>
      </c>
      <c r="DC86" s="1">
        <v>4444</v>
      </c>
      <c r="DD86" s="1">
        <v>3765</v>
      </c>
      <c r="DE86" s="1">
        <v>2286</v>
      </c>
      <c r="DF86" s="1">
        <v>55889</v>
      </c>
      <c r="DG86" s="1">
        <v>18592</v>
      </c>
      <c r="DH86" s="1">
        <v>18354</v>
      </c>
      <c r="DI86" s="1">
        <v>5787</v>
      </c>
      <c r="DJ86" s="1">
        <v>31278</v>
      </c>
      <c r="DK86" s="1">
        <v>19644</v>
      </c>
      <c r="DL86" s="1">
        <v>12548</v>
      </c>
      <c r="DM86" s="1">
        <v>16017</v>
      </c>
      <c r="DN86" s="1">
        <v>24002</v>
      </c>
      <c r="DO86" s="1">
        <v>3128</v>
      </c>
      <c r="DP86" s="1">
        <v>9381</v>
      </c>
      <c r="DQ86" s="1">
        <v>64607</v>
      </c>
      <c r="DR86" s="1">
        <v>3063</v>
      </c>
      <c r="DS86" s="1">
        <v>5497</v>
      </c>
      <c r="DT86" s="1">
        <v>842</v>
      </c>
      <c r="DU86" s="1">
        <v>10204</v>
      </c>
      <c r="DV86" s="1">
        <v>6621</v>
      </c>
      <c r="DW86" s="1">
        <v>5678</v>
      </c>
      <c r="DX86" s="1">
        <v>12770</v>
      </c>
      <c r="DY86" s="1">
        <v>1801</v>
      </c>
      <c r="DZ86" s="1">
        <v>2579</v>
      </c>
      <c r="EA86" s="1">
        <v>10037</v>
      </c>
      <c r="EB86" s="1">
        <v>6498</v>
      </c>
      <c r="EC86" s="1">
        <v>827</v>
      </c>
      <c r="ED86" s="1">
        <v>1042</v>
      </c>
      <c r="EE86" s="1">
        <v>37662</v>
      </c>
      <c r="EF86" s="1">
        <v>4425</v>
      </c>
      <c r="EG86" s="1">
        <v>16129</v>
      </c>
      <c r="EH86" s="1">
        <v>30159</v>
      </c>
      <c r="EJ86" s="1">
        <f t="shared" si="1"/>
        <v>1650372</v>
      </c>
    </row>
    <row r="87" spans="1:140" x14ac:dyDescent="0.25">
      <c r="A87" s="1" t="s">
        <v>223</v>
      </c>
      <c r="B87" s="1">
        <v>9507</v>
      </c>
      <c r="C87" s="1">
        <v>5855</v>
      </c>
      <c r="D87" s="1">
        <v>146</v>
      </c>
      <c r="E87" s="1">
        <v>2478</v>
      </c>
      <c r="F87" s="1">
        <v>14</v>
      </c>
      <c r="G87" s="1">
        <v>41</v>
      </c>
      <c r="H87" s="1">
        <v>18573</v>
      </c>
      <c r="I87" s="1">
        <v>106</v>
      </c>
      <c r="J87" s="1">
        <v>1445</v>
      </c>
      <c r="K87" s="1">
        <v>69</v>
      </c>
      <c r="L87" s="1">
        <v>1627</v>
      </c>
      <c r="M87" s="1">
        <v>372</v>
      </c>
      <c r="N87" s="1">
        <v>12648</v>
      </c>
      <c r="O87" s="1">
        <v>2237</v>
      </c>
      <c r="P87" s="1">
        <v>615</v>
      </c>
      <c r="Q87" s="1">
        <v>8445</v>
      </c>
      <c r="R87" s="1">
        <v>101</v>
      </c>
      <c r="S87" s="1">
        <v>1714</v>
      </c>
      <c r="T87" s="1">
        <v>3121</v>
      </c>
      <c r="U87" s="1">
        <v>2978</v>
      </c>
      <c r="V87" s="1">
        <v>7595</v>
      </c>
      <c r="W87" s="1">
        <v>2854</v>
      </c>
      <c r="X87" s="1">
        <v>602</v>
      </c>
      <c r="Y87" s="1">
        <v>795</v>
      </c>
      <c r="Z87" s="1">
        <v>2423</v>
      </c>
      <c r="AA87" s="1">
        <v>676</v>
      </c>
      <c r="AB87" s="1">
        <v>6294</v>
      </c>
      <c r="AC87" s="1">
        <v>861</v>
      </c>
      <c r="AD87" s="1">
        <v>496</v>
      </c>
      <c r="AE87" s="1">
        <v>1695</v>
      </c>
      <c r="AF87" s="1">
        <v>1705</v>
      </c>
      <c r="AG87">
        <v>31260</v>
      </c>
      <c r="AH87" s="1">
        <v>682</v>
      </c>
      <c r="AI87" s="1">
        <v>1520</v>
      </c>
      <c r="AJ87" s="1">
        <v>671</v>
      </c>
      <c r="AK87" s="1">
        <v>2500</v>
      </c>
      <c r="AL87" s="1">
        <v>3257</v>
      </c>
      <c r="AM87" s="1">
        <v>716</v>
      </c>
      <c r="AN87" s="1">
        <v>319</v>
      </c>
      <c r="AO87" s="1">
        <v>10220</v>
      </c>
      <c r="AP87" s="1">
        <v>821</v>
      </c>
      <c r="AQ87" s="1">
        <v>162</v>
      </c>
      <c r="AR87" s="1">
        <v>2794</v>
      </c>
      <c r="AS87" s="1">
        <v>6963</v>
      </c>
      <c r="AT87" s="1">
        <v>1856</v>
      </c>
      <c r="AU87" s="1">
        <v>2350</v>
      </c>
      <c r="AV87" s="1">
        <v>4897</v>
      </c>
      <c r="AW87" s="1">
        <v>2913</v>
      </c>
      <c r="AX87" s="1">
        <v>32564</v>
      </c>
      <c r="AY87" s="1">
        <v>178</v>
      </c>
      <c r="AZ87" s="1">
        <v>920</v>
      </c>
      <c r="BA87" s="1">
        <v>7706</v>
      </c>
      <c r="BB87" s="1">
        <v>250</v>
      </c>
      <c r="BC87" s="1">
        <v>1267</v>
      </c>
      <c r="BD87" s="1">
        <v>7671</v>
      </c>
      <c r="BE87" s="1">
        <v>4071</v>
      </c>
      <c r="BF87" s="1">
        <v>1704</v>
      </c>
      <c r="BG87" s="1">
        <v>6999</v>
      </c>
      <c r="BH87" s="1">
        <v>2483</v>
      </c>
      <c r="BI87" s="1">
        <v>32281</v>
      </c>
      <c r="BJ87" s="1">
        <v>5294</v>
      </c>
      <c r="BK87" s="1">
        <v>7121</v>
      </c>
      <c r="BL87" s="1">
        <v>3740</v>
      </c>
      <c r="BM87" s="1">
        <v>6916</v>
      </c>
      <c r="BN87" s="1">
        <v>1526</v>
      </c>
      <c r="BO87" s="1">
        <v>1655</v>
      </c>
      <c r="BP87" s="1">
        <v>31785</v>
      </c>
      <c r="BQ87" s="1">
        <v>3261</v>
      </c>
      <c r="BR87" s="1">
        <v>96859</v>
      </c>
      <c r="BS87" s="1">
        <v>10616</v>
      </c>
      <c r="BT87" s="1">
        <v>12630</v>
      </c>
      <c r="BU87" s="1">
        <v>22327</v>
      </c>
      <c r="BV87" s="1">
        <v>3682</v>
      </c>
      <c r="BW87" s="1">
        <v>16393</v>
      </c>
      <c r="BX87" s="1">
        <v>2856</v>
      </c>
      <c r="BY87" s="1">
        <v>6007</v>
      </c>
      <c r="BZ87" s="1">
        <v>25669</v>
      </c>
      <c r="CA87" s="1">
        <v>3046</v>
      </c>
      <c r="CB87" s="1">
        <v>1120</v>
      </c>
      <c r="CC87" s="1">
        <v>7913</v>
      </c>
      <c r="CD87" s="1">
        <v>3789</v>
      </c>
      <c r="CE87" s="1">
        <v>4184</v>
      </c>
      <c r="CF87" s="1">
        <v>9443</v>
      </c>
      <c r="CG87" s="1">
        <v>120352</v>
      </c>
      <c r="CH87" s="1">
        <v>23323</v>
      </c>
      <c r="CI87" s="1">
        <v>38041</v>
      </c>
      <c r="CJ87" s="1">
        <v>9281</v>
      </c>
      <c r="CK87" s="1">
        <v>19259</v>
      </c>
      <c r="CL87" s="1">
        <v>12993</v>
      </c>
      <c r="CM87" s="1">
        <v>20437</v>
      </c>
      <c r="CN87" s="1">
        <v>58066</v>
      </c>
      <c r="CO87" s="1">
        <v>7355</v>
      </c>
      <c r="CP87" s="1">
        <v>4304</v>
      </c>
      <c r="CQ87" s="1">
        <v>5708</v>
      </c>
      <c r="CR87" s="1">
        <v>8167</v>
      </c>
      <c r="CS87" s="1">
        <v>37838</v>
      </c>
      <c r="CT87" s="1">
        <v>24003</v>
      </c>
      <c r="CU87" s="1">
        <v>2512</v>
      </c>
      <c r="CV87" s="1">
        <v>308386</v>
      </c>
      <c r="CW87" s="1">
        <v>7313</v>
      </c>
      <c r="CX87" s="1">
        <v>2314</v>
      </c>
      <c r="CY87" s="1">
        <v>30541</v>
      </c>
      <c r="CZ87" s="1">
        <v>3651</v>
      </c>
      <c r="DA87" s="1">
        <v>7327</v>
      </c>
      <c r="DB87" s="1">
        <v>15054</v>
      </c>
      <c r="DC87" s="1">
        <v>5089</v>
      </c>
      <c r="DD87" s="1">
        <v>3604</v>
      </c>
      <c r="DE87" s="1">
        <v>2454</v>
      </c>
      <c r="DF87" s="1">
        <v>60630</v>
      </c>
      <c r="DG87" s="1">
        <v>19909</v>
      </c>
      <c r="DH87" s="1">
        <v>21851</v>
      </c>
      <c r="DI87" s="1">
        <v>5783</v>
      </c>
      <c r="DJ87" s="1">
        <v>35244</v>
      </c>
      <c r="DK87" s="1">
        <v>19351</v>
      </c>
      <c r="DL87" s="1">
        <v>13030</v>
      </c>
      <c r="DM87" s="1">
        <v>17395</v>
      </c>
      <c r="DN87" s="1">
        <v>26236</v>
      </c>
      <c r="DO87" s="1">
        <v>3354</v>
      </c>
      <c r="DP87" s="1">
        <v>11671</v>
      </c>
      <c r="DQ87" s="1">
        <v>65800</v>
      </c>
      <c r="DR87" s="1">
        <v>3906</v>
      </c>
      <c r="DS87" s="1">
        <v>5654</v>
      </c>
      <c r="DT87" s="1">
        <v>948</v>
      </c>
      <c r="DU87" s="1">
        <v>11211</v>
      </c>
      <c r="DV87" s="1">
        <v>5776</v>
      </c>
      <c r="DW87" s="1">
        <v>6987</v>
      </c>
      <c r="DX87" s="1">
        <v>14813</v>
      </c>
      <c r="DY87" s="1">
        <v>1810</v>
      </c>
      <c r="DZ87" s="1">
        <v>2918</v>
      </c>
      <c r="EA87" s="1">
        <v>10485</v>
      </c>
      <c r="EB87" s="1">
        <v>7839</v>
      </c>
      <c r="EC87" s="1">
        <v>687</v>
      </c>
      <c r="ED87" s="1">
        <v>1518</v>
      </c>
      <c r="EE87" s="1">
        <v>38226</v>
      </c>
      <c r="EF87" s="1">
        <v>4095</v>
      </c>
      <c r="EG87" s="1">
        <v>15985</v>
      </c>
      <c r="EH87" s="1">
        <v>28818</v>
      </c>
      <c r="EJ87" s="1">
        <f t="shared" si="1"/>
        <v>1797217</v>
      </c>
    </row>
    <row r="88" spans="1:140" x14ac:dyDescent="0.25">
      <c r="A88" s="1" t="s">
        <v>224</v>
      </c>
      <c r="B88" s="1">
        <v>7981</v>
      </c>
      <c r="C88" s="1">
        <v>6588</v>
      </c>
      <c r="D88" s="1">
        <v>157</v>
      </c>
      <c r="E88" s="1">
        <v>2115</v>
      </c>
      <c r="F88" s="1">
        <v>9</v>
      </c>
      <c r="G88" s="1">
        <v>41</v>
      </c>
      <c r="H88" s="1">
        <v>19136</v>
      </c>
      <c r="I88" s="1">
        <v>75</v>
      </c>
      <c r="J88" s="1">
        <v>1619</v>
      </c>
      <c r="K88" s="1">
        <v>113</v>
      </c>
      <c r="L88" s="1">
        <v>1376</v>
      </c>
      <c r="M88" s="1">
        <v>194</v>
      </c>
      <c r="N88" s="1">
        <v>12766</v>
      </c>
      <c r="O88" s="1">
        <v>2000</v>
      </c>
      <c r="P88" s="1">
        <v>772</v>
      </c>
      <c r="Q88" s="1">
        <v>8314</v>
      </c>
      <c r="R88" s="1">
        <v>30</v>
      </c>
      <c r="S88" s="1">
        <v>2569</v>
      </c>
      <c r="T88" s="1">
        <v>2740</v>
      </c>
      <c r="U88" s="1">
        <v>2697</v>
      </c>
      <c r="V88" s="1">
        <v>7610</v>
      </c>
      <c r="W88" s="1">
        <v>2827</v>
      </c>
      <c r="X88" s="1">
        <v>587</v>
      </c>
      <c r="Y88" s="1">
        <v>795</v>
      </c>
      <c r="Z88" s="1">
        <v>1776</v>
      </c>
      <c r="AA88" s="1">
        <v>628</v>
      </c>
      <c r="AB88" s="1">
        <v>5445</v>
      </c>
      <c r="AC88" s="1">
        <v>1059</v>
      </c>
      <c r="AD88" s="1">
        <v>434</v>
      </c>
      <c r="AE88" s="1">
        <v>1465</v>
      </c>
      <c r="AF88" s="1">
        <v>1230</v>
      </c>
      <c r="AG88">
        <v>30109</v>
      </c>
      <c r="AH88" s="1">
        <v>612</v>
      </c>
      <c r="AI88" s="1">
        <v>1294</v>
      </c>
      <c r="AJ88" s="1">
        <v>529</v>
      </c>
      <c r="AK88" s="1">
        <v>2325</v>
      </c>
      <c r="AL88" s="1">
        <v>2811</v>
      </c>
      <c r="AM88" s="1">
        <v>980</v>
      </c>
      <c r="AN88" s="1">
        <v>373</v>
      </c>
      <c r="AO88" s="1">
        <v>9684</v>
      </c>
      <c r="AP88" s="1">
        <v>875</v>
      </c>
      <c r="AQ88" s="1">
        <v>187</v>
      </c>
      <c r="AR88" s="1">
        <v>2700</v>
      </c>
      <c r="AS88" s="1">
        <v>6840</v>
      </c>
      <c r="AT88" s="1">
        <v>1966</v>
      </c>
      <c r="AU88" s="1">
        <v>2737</v>
      </c>
      <c r="AV88" s="1">
        <v>5289</v>
      </c>
      <c r="AW88" s="1">
        <v>2230</v>
      </c>
      <c r="AX88" s="1">
        <v>30789</v>
      </c>
      <c r="AY88" s="1">
        <v>264</v>
      </c>
      <c r="AZ88" s="1">
        <v>863</v>
      </c>
      <c r="BA88" s="1">
        <v>7733</v>
      </c>
      <c r="BB88" s="1">
        <v>283</v>
      </c>
      <c r="BC88" s="1">
        <v>1004</v>
      </c>
      <c r="BD88" s="1">
        <v>7610</v>
      </c>
      <c r="BE88" s="1">
        <v>5230</v>
      </c>
      <c r="BF88" s="1">
        <v>1998</v>
      </c>
      <c r="BG88" s="1">
        <v>6414</v>
      </c>
      <c r="BH88" s="1">
        <v>2280</v>
      </c>
      <c r="BI88" s="1">
        <v>32435</v>
      </c>
      <c r="BJ88" s="1">
        <v>5513</v>
      </c>
      <c r="BK88" s="1">
        <v>8958</v>
      </c>
      <c r="BL88" s="1">
        <v>3295</v>
      </c>
      <c r="BM88" s="1">
        <v>6525</v>
      </c>
      <c r="BN88" s="1">
        <v>1488</v>
      </c>
      <c r="BO88" s="1">
        <v>2000</v>
      </c>
      <c r="BP88" s="1">
        <v>32980</v>
      </c>
      <c r="BQ88" s="1">
        <v>3107</v>
      </c>
      <c r="BR88" s="1">
        <v>92228</v>
      </c>
      <c r="BS88" s="1">
        <v>9255</v>
      </c>
      <c r="BT88" s="1">
        <v>12073</v>
      </c>
      <c r="BU88" s="1">
        <v>21692</v>
      </c>
      <c r="BV88" s="1">
        <v>3310</v>
      </c>
      <c r="BW88" s="1">
        <v>14288</v>
      </c>
      <c r="BX88" s="1">
        <v>2460</v>
      </c>
      <c r="BY88" s="1">
        <v>6168</v>
      </c>
      <c r="BZ88" s="1">
        <v>22528</v>
      </c>
      <c r="CA88" s="1">
        <v>3061</v>
      </c>
      <c r="CB88" s="1">
        <v>1171</v>
      </c>
      <c r="CC88" s="1">
        <v>8049</v>
      </c>
      <c r="CD88" s="1">
        <v>4086</v>
      </c>
      <c r="CE88" s="1">
        <v>4071</v>
      </c>
      <c r="CF88" s="1">
        <v>9098</v>
      </c>
      <c r="CG88" s="1">
        <v>110749</v>
      </c>
      <c r="CH88" s="1">
        <v>18665</v>
      </c>
      <c r="CI88" s="1">
        <v>36691</v>
      </c>
      <c r="CJ88" s="1">
        <v>13756</v>
      </c>
      <c r="CK88" s="1">
        <v>19053</v>
      </c>
      <c r="CL88" s="1">
        <v>11201</v>
      </c>
      <c r="CM88" s="1">
        <v>20293</v>
      </c>
      <c r="CN88" s="1">
        <v>57120</v>
      </c>
      <c r="CO88" s="1">
        <v>7710</v>
      </c>
      <c r="CP88" s="1">
        <v>4116</v>
      </c>
      <c r="CQ88" s="1">
        <v>5732</v>
      </c>
      <c r="CR88" s="1">
        <v>8334</v>
      </c>
      <c r="CS88" s="1">
        <v>37426</v>
      </c>
      <c r="CT88" s="1">
        <v>21867</v>
      </c>
      <c r="CU88" s="1">
        <v>2223</v>
      </c>
      <c r="CV88" s="1">
        <v>304904</v>
      </c>
      <c r="CW88" s="1">
        <v>11649</v>
      </c>
      <c r="CX88" s="1">
        <v>2440</v>
      </c>
      <c r="CY88" s="1">
        <v>29852</v>
      </c>
      <c r="CZ88" s="1">
        <v>4067</v>
      </c>
      <c r="DA88" s="1">
        <v>7459</v>
      </c>
      <c r="DB88" s="1">
        <v>14851</v>
      </c>
      <c r="DC88" s="1">
        <v>4982</v>
      </c>
      <c r="DD88" s="1">
        <v>3292</v>
      </c>
      <c r="DE88" s="1">
        <v>2507</v>
      </c>
      <c r="DF88" s="1">
        <v>61474</v>
      </c>
      <c r="DG88" s="1">
        <v>17076</v>
      </c>
      <c r="DH88" s="1">
        <v>21465</v>
      </c>
      <c r="DI88" s="1">
        <v>5156</v>
      </c>
      <c r="DJ88" s="1">
        <v>31795</v>
      </c>
      <c r="DK88" s="1">
        <v>19549</v>
      </c>
      <c r="DL88" s="1">
        <v>13395</v>
      </c>
      <c r="DM88" s="1">
        <v>19464</v>
      </c>
      <c r="DN88" s="1">
        <v>25013</v>
      </c>
      <c r="DO88" s="1">
        <v>4472</v>
      </c>
      <c r="DP88" s="1">
        <v>16016</v>
      </c>
      <c r="DQ88" s="1">
        <v>71881</v>
      </c>
      <c r="DR88" s="1">
        <v>5082</v>
      </c>
      <c r="DS88" s="1">
        <v>6546</v>
      </c>
      <c r="DT88" s="1">
        <v>996</v>
      </c>
      <c r="DU88" s="1">
        <v>11156</v>
      </c>
      <c r="DV88" s="1">
        <v>6064</v>
      </c>
      <c r="DW88" s="1">
        <v>6906</v>
      </c>
      <c r="DX88" s="1">
        <v>10731</v>
      </c>
      <c r="DY88" s="1">
        <v>1405</v>
      </c>
      <c r="DZ88" s="1">
        <v>3035</v>
      </c>
      <c r="EA88" s="1">
        <v>10858</v>
      </c>
      <c r="EB88" s="1">
        <v>5522</v>
      </c>
      <c r="EC88" s="1">
        <v>661</v>
      </c>
      <c r="ED88" s="1">
        <v>1420</v>
      </c>
      <c r="EE88" s="1">
        <v>37607</v>
      </c>
      <c r="EF88" s="1">
        <v>5179</v>
      </c>
      <c r="EG88" s="1">
        <v>14518</v>
      </c>
      <c r="EH88" s="1">
        <v>29545</v>
      </c>
      <c r="EJ88" s="1">
        <f t="shared" si="1"/>
        <v>1765922</v>
      </c>
    </row>
    <row r="89" spans="1:140" x14ac:dyDescent="0.25">
      <c r="A89" s="1" t="s">
        <v>225</v>
      </c>
      <c r="B89" s="1">
        <v>6447</v>
      </c>
      <c r="C89" s="1">
        <v>6019</v>
      </c>
      <c r="D89" s="1">
        <v>146</v>
      </c>
      <c r="E89" s="1">
        <v>2202</v>
      </c>
      <c r="F89" s="1">
        <v>11</v>
      </c>
      <c r="G89" s="1">
        <v>28</v>
      </c>
      <c r="H89" s="1">
        <v>19805</v>
      </c>
      <c r="I89" s="1">
        <v>77</v>
      </c>
      <c r="J89" s="1">
        <v>1500</v>
      </c>
      <c r="K89" s="1">
        <v>122</v>
      </c>
      <c r="L89" s="1">
        <v>1427</v>
      </c>
      <c r="M89" s="1">
        <v>232</v>
      </c>
      <c r="N89" s="1">
        <v>12358</v>
      </c>
      <c r="O89" s="1">
        <v>1602</v>
      </c>
      <c r="P89" s="1">
        <v>939</v>
      </c>
      <c r="Q89" s="1">
        <v>8178</v>
      </c>
      <c r="R89" s="1">
        <v>32</v>
      </c>
      <c r="S89" s="1">
        <v>2149</v>
      </c>
      <c r="T89" s="1">
        <v>3054</v>
      </c>
      <c r="U89" s="1">
        <v>2819</v>
      </c>
      <c r="V89" s="1">
        <v>8567</v>
      </c>
      <c r="W89" s="1">
        <v>3185</v>
      </c>
      <c r="X89" s="1">
        <v>628</v>
      </c>
      <c r="Y89" s="1">
        <v>1093</v>
      </c>
      <c r="Z89" s="1">
        <v>1501</v>
      </c>
      <c r="AA89" s="1">
        <v>609</v>
      </c>
      <c r="AB89" s="1">
        <v>7223</v>
      </c>
      <c r="AC89" s="1">
        <v>878</v>
      </c>
      <c r="AD89" s="1">
        <v>670</v>
      </c>
      <c r="AE89" s="1">
        <v>1662</v>
      </c>
      <c r="AF89" s="1">
        <v>1584</v>
      </c>
      <c r="AG89">
        <v>32684</v>
      </c>
      <c r="AH89" s="1">
        <v>528</v>
      </c>
      <c r="AI89" s="1">
        <v>1316</v>
      </c>
      <c r="AJ89" s="1">
        <v>389</v>
      </c>
      <c r="AK89" s="1">
        <v>2462</v>
      </c>
      <c r="AL89" s="1">
        <v>2941</v>
      </c>
      <c r="AM89" s="1">
        <v>1034</v>
      </c>
      <c r="AN89" s="1">
        <v>395</v>
      </c>
      <c r="AO89" s="1">
        <v>10237</v>
      </c>
      <c r="AP89" s="1">
        <v>927</v>
      </c>
      <c r="AQ89" s="1">
        <v>165</v>
      </c>
      <c r="AR89" s="1">
        <v>2692</v>
      </c>
      <c r="AS89" s="1">
        <v>7179</v>
      </c>
      <c r="AT89" s="1">
        <v>1677</v>
      </c>
      <c r="AU89" s="1">
        <v>3231</v>
      </c>
      <c r="AV89" s="1">
        <v>5652</v>
      </c>
      <c r="AW89" s="1">
        <v>2594</v>
      </c>
      <c r="AX89" s="1">
        <v>34330</v>
      </c>
      <c r="AY89" s="1">
        <v>216</v>
      </c>
      <c r="AZ89" s="1">
        <v>832</v>
      </c>
      <c r="BA89" s="1">
        <v>7161</v>
      </c>
      <c r="BB89" s="1">
        <v>351</v>
      </c>
      <c r="BC89" s="1">
        <v>1025</v>
      </c>
      <c r="BD89" s="1">
        <v>7523</v>
      </c>
      <c r="BE89" s="1">
        <v>3810</v>
      </c>
      <c r="BF89" s="1">
        <v>2798</v>
      </c>
      <c r="BG89" s="1">
        <v>6697</v>
      </c>
      <c r="BH89" s="1">
        <v>2325</v>
      </c>
      <c r="BI89" s="1">
        <v>38266</v>
      </c>
      <c r="BJ89" s="1">
        <v>4759</v>
      </c>
      <c r="BK89" s="1">
        <v>8916</v>
      </c>
      <c r="BL89" s="1">
        <v>3417</v>
      </c>
      <c r="BM89" s="1">
        <v>6301</v>
      </c>
      <c r="BN89" s="1">
        <v>1461</v>
      </c>
      <c r="BO89" s="1">
        <v>2129</v>
      </c>
      <c r="BP89" s="1">
        <v>30603</v>
      </c>
      <c r="BQ89" s="1">
        <v>3448</v>
      </c>
      <c r="BR89" s="1">
        <v>91668</v>
      </c>
      <c r="BS89" s="1">
        <v>10079</v>
      </c>
      <c r="BT89" s="1">
        <v>12703</v>
      </c>
      <c r="BU89" s="1">
        <v>25686</v>
      </c>
      <c r="BV89" s="1">
        <v>3672</v>
      </c>
      <c r="BW89" s="1">
        <v>16441</v>
      </c>
      <c r="BX89" s="1">
        <v>3123</v>
      </c>
      <c r="BY89" s="1">
        <v>8996</v>
      </c>
      <c r="BZ89" s="1">
        <v>22572</v>
      </c>
      <c r="CA89" s="1">
        <v>3128</v>
      </c>
      <c r="CB89" s="1">
        <v>1447</v>
      </c>
      <c r="CC89" s="1">
        <v>7902</v>
      </c>
      <c r="CD89" s="1">
        <v>4460</v>
      </c>
      <c r="CE89" s="1">
        <v>3819</v>
      </c>
      <c r="CF89" s="1">
        <v>8892</v>
      </c>
      <c r="CG89" s="1">
        <v>120464</v>
      </c>
      <c r="CH89" s="1">
        <v>23812</v>
      </c>
      <c r="CI89" s="1">
        <v>42559</v>
      </c>
      <c r="CJ89" s="1">
        <v>13917</v>
      </c>
      <c r="CK89" s="1">
        <v>26267</v>
      </c>
      <c r="CL89" s="1">
        <v>14314</v>
      </c>
      <c r="CM89" s="1">
        <v>23988</v>
      </c>
      <c r="CN89" s="1">
        <v>58447</v>
      </c>
      <c r="CO89" s="1">
        <v>9800</v>
      </c>
      <c r="CP89" s="1">
        <v>3777</v>
      </c>
      <c r="CQ89" s="1">
        <v>7907</v>
      </c>
      <c r="CR89" s="1">
        <v>7897</v>
      </c>
      <c r="CS89" s="1">
        <v>35563</v>
      </c>
      <c r="CT89" s="1">
        <v>21902</v>
      </c>
      <c r="CU89" s="1">
        <v>2103</v>
      </c>
      <c r="CV89" s="1">
        <v>298155</v>
      </c>
      <c r="CW89" s="1">
        <v>8455</v>
      </c>
      <c r="CX89" s="1">
        <v>2248</v>
      </c>
      <c r="CY89" s="1">
        <v>28663</v>
      </c>
      <c r="CZ89" s="1">
        <v>3822</v>
      </c>
      <c r="DA89" s="1">
        <v>6371</v>
      </c>
      <c r="DB89" s="1">
        <v>13912</v>
      </c>
      <c r="DC89" s="1">
        <v>4473</v>
      </c>
      <c r="DD89" s="1">
        <v>2732</v>
      </c>
      <c r="DE89" s="1">
        <v>2177</v>
      </c>
      <c r="DF89" s="1">
        <v>57134</v>
      </c>
      <c r="DG89" s="1">
        <v>15257</v>
      </c>
      <c r="DH89" s="1">
        <v>19511</v>
      </c>
      <c r="DI89" s="1">
        <v>4036</v>
      </c>
      <c r="DJ89" s="1">
        <v>27393</v>
      </c>
      <c r="DK89" s="1">
        <v>17045</v>
      </c>
      <c r="DL89" s="1">
        <v>11763</v>
      </c>
      <c r="DM89" s="1">
        <v>15098</v>
      </c>
      <c r="DN89" s="1">
        <v>21662</v>
      </c>
      <c r="DO89" s="1">
        <v>3579</v>
      </c>
      <c r="DP89" s="1">
        <v>10714</v>
      </c>
      <c r="DQ89" s="1">
        <v>66643</v>
      </c>
      <c r="DR89" s="1">
        <v>3590</v>
      </c>
      <c r="DS89" s="1">
        <v>5321</v>
      </c>
      <c r="DT89" s="1">
        <v>908</v>
      </c>
      <c r="DU89" s="1">
        <v>10510</v>
      </c>
      <c r="DV89" s="1">
        <v>6199</v>
      </c>
      <c r="DW89" s="1">
        <v>6983</v>
      </c>
      <c r="DX89" s="1">
        <v>10903</v>
      </c>
      <c r="DY89" s="1">
        <v>1452</v>
      </c>
      <c r="DZ89" s="1">
        <v>4167</v>
      </c>
      <c r="EA89" s="1">
        <v>10951</v>
      </c>
      <c r="EB89" s="1">
        <v>4468</v>
      </c>
      <c r="EC89" s="1">
        <v>760</v>
      </c>
      <c r="ED89" s="1">
        <v>1434</v>
      </c>
      <c r="EE89" s="1">
        <v>39653</v>
      </c>
      <c r="EF89" s="1">
        <v>4537</v>
      </c>
      <c r="EG89" s="1">
        <v>16457</v>
      </c>
      <c r="EH89" s="1">
        <v>28719</v>
      </c>
      <c r="EJ89" s="1">
        <f t="shared" si="1"/>
        <v>1774378</v>
      </c>
    </row>
    <row r="90" spans="1:140" x14ac:dyDescent="0.25">
      <c r="A90" s="1" t="s">
        <v>226</v>
      </c>
      <c r="B90" s="1">
        <v>7937</v>
      </c>
      <c r="C90" s="1">
        <v>6915</v>
      </c>
      <c r="D90" s="1">
        <v>285</v>
      </c>
      <c r="E90" s="1">
        <v>2616</v>
      </c>
      <c r="F90" s="1">
        <v>7</v>
      </c>
      <c r="G90" s="1">
        <v>17</v>
      </c>
      <c r="H90" s="1">
        <v>21275</v>
      </c>
      <c r="I90" s="1">
        <v>74</v>
      </c>
      <c r="J90" s="1">
        <v>1550</v>
      </c>
      <c r="K90" s="1">
        <v>88</v>
      </c>
      <c r="L90" s="1">
        <v>1609</v>
      </c>
      <c r="M90" s="1">
        <v>198</v>
      </c>
      <c r="N90" s="1">
        <v>14052</v>
      </c>
      <c r="O90" s="1">
        <v>1708</v>
      </c>
      <c r="P90" s="1">
        <v>1277</v>
      </c>
      <c r="Q90" s="1">
        <v>8902</v>
      </c>
      <c r="R90" s="1">
        <v>81</v>
      </c>
      <c r="S90" s="1">
        <v>2474</v>
      </c>
      <c r="T90" s="1">
        <v>3593</v>
      </c>
      <c r="U90" s="1">
        <v>3084</v>
      </c>
      <c r="V90" s="1">
        <v>8854</v>
      </c>
      <c r="W90" s="1">
        <v>3534</v>
      </c>
      <c r="X90" s="1">
        <v>851</v>
      </c>
      <c r="Y90" s="1">
        <v>1215</v>
      </c>
      <c r="Z90" s="1">
        <v>1771</v>
      </c>
      <c r="AA90" s="1">
        <v>624</v>
      </c>
      <c r="AB90" s="1">
        <v>6501</v>
      </c>
      <c r="AC90" s="1">
        <v>1283</v>
      </c>
      <c r="AD90" s="1">
        <v>480</v>
      </c>
      <c r="AE90" s="1">
        <v>1774</v>
      </c>
      <c r="AF90" s="1">
        <v>1808</v>
      </c>
      <c r="AG90">
        <v>32954</v>
      </c>
      <c r="AH90" s="1">
        <v>680</v>
      </c>
      <c r="AI90" s="1">
        <v>1090</v>
      </c>
      <c r="AJ90" s="1">
        <v>554</v>
      </c>
      <c r="AK90" s="1">
        <v>2676</v>
      </c>
      <c r="AL90" s="1">
        <v>3150</v>
      </c>
      <c r="AM90" s="1">
        <v>915</v>
      </c>
      <c r="AN90" s="1">
        <v>414</v>
      </c>
      <c r="AO90" s="1">
        <v>10588</v>
      </c>
      <c r="AP90" s="1">
        <v>797</v>
      </c>
      <c r="AQ90" s="1">
        <v>151</v>
      </c>
      <c r="AR90" s="1">
        <v>2670</v>
      </c>
      <c r="AS90" s="1">
        <v>7526</v>
      </c>
      <c r="AT90" s="1">
        <v>2369</v>
      </c>
      <c r="AU90" s="1">
        <v>4702</v>
      </c>
      <c r="AV90" s="1">
        <v>5842</v>
      </c>
      <c r="AW90" s="1">
        <v>6926</v>
      </c>
      <c r="AX90" s="1">
        <v>31756</v>
      </c>
      <c r="AY90" s="1">
        <v>208</v>
      </c>
      <c r="AZ90" s="1">
        <v>1188</v>
      </c>
      <c r="BA90" s="1">
        <v>9026</v>
      </c>
      <c r="BB90" s="1">
        <v>236</v>
      </c>
      <c r="BC90" s="1">
        <v>1073</v>
      </c>
      <c r="BD90" s="1">
        <v>8534</v>
      </c>
      <c r="BE90" s="1">
        <v>5825</v>
      </c>
      <c r="BF90" s="1">
        <v>3930</v>
      </c>
      <c r="BG90" s="1">
        <v>7229</v>
      </c>
      <c r="BH90" s="1">
        <v>2810</v>
      </c>
      <c r="BI90" s="1">
        <v>40076</v>
      </c>
      <c r="BJ90" s="1">
        <v>5697</v>
      </c>
      <c r="BK90" s="1">
        <v>9620</v>
      </c>
      <c r="BL90" s="1">
        <v>4697</v>
      </c>
      <c r="BM90" s="1">
        <v>7722</v>
      </c>
      <c r="BN90" s="1">
        <v>1824</v>
      </c>
      <c r="BO90" s="1">
        <v>1909</v>
      </c>
      <c r="BP90" s="1">
        <v>35674</v>
      </c>
      <c r="BQ90" s="1">
        <v>3254</v>
      </c>
      <c r="BR90" s="1">
        <v>99637</v>
      </c>
      <c r="BS90" s="1">
        <v>12797</v>
      </c>
      <c r="BT90" s="1">
        <v>15917</v>
      </c>
      <c r="BU90" s="1">
        <v>41785</v>
      </c>
      <c r="BV90" s="1">
        <v>4861</v>
      </c>
      <c r="BW90" s="1">
        <v>20939</v>
      </c>
      <c r="BX90" s="1">
        <v>5155</v>
      </c>
      <c r="BY90" s="1">
        <v>15472</v>
      </c>
      <c r="BZ90" s="1">
        <v>25171</v>
      </c>
      <c r="CA90" s="1">
        <v>3574</v>
      </c>
      <c r="CB90" s="1">
        <v>1517</v>
      </c>
      <c r="CC90" s="1">
        <v>10709</v>
      </c>
      <c r="CD90" s="1">
        <v>4933</v>
      </c>
      <c r="CE90" s="1">
        <v>4269</v>
      </c>
      <c r="CF90" s="1">
        <v>9444</v>
      </c>
      <c r="CG90" s="1">
        <v>126201</v>
      </c>
      <c r="CH90" s="1">
        <v>23009</v>
      </c>
      <c r="CI90" s="1">
        <v>45554</v>
      </c>
      <c r="CJ90" s="1">
        <v>12007</v>
      </c>
      <c r="CK90" s="1">
        <v>21994</v>
      </c>
      <c r="CL90" s="1">
        <v>16212</v>
      </c>
      <c r="CM90" s="1">
        <v>22775</v>
      </c>
      <c r="CN90" s="1">
        <v>60964</v>
      </c>
      <c r="CO90" s="1">
        <v>7563</v>
      </c>
      <c r="CP90" s="1">
        <v>5305</v>
      </c>
      <c r="CQ90" s="1">
        <v>7076</v>
      </c>
      <c r="CR90" s="1">
        <v>9989</v>
      </c>
      <c r="CS90" s="1">
        <v>38954</v>
      </c>
      <c r="CT90" s="1">
        <v>23740</v>
      </c>
      <c r="CU90" s="1">
        <v>2221</v>
      </c>
      <c r="CV90" s="1">
        <v>314871</v>
      </c>
      <c r="CW90" s="1">
        <v>8008</v>
      </c>
      <c r="CX90" s="1">
        <v>2144</v>
      </c>
      <c r="CY90" s="1">
        <v>28878</v>
      </c>
      <c r="CZ90" s="1">
        <v>4765</v>
      </c>
      <c r="DA90" s="1">
        <v>7446</v>
      </c>
      <c r="DB90" s="1">
        <v>14646</v>
      </c>
      <c r="DC90" s="1">
        <v>4876</v>
      </c>
      <c r="DD90" s="1">
        <v>3209</v>
      </c>
      <c r="DE90" s="1">
        <v>2460</v>
      </c>
      <c r="DF90" s="1">
        <v>60303</v>
      </c>
      <c r="DG90" s="1">
        <v>15689</v>
      </c>
      <c r="DH90" s="1">
        <v>20873</v>
      </c>
      <c r="DI90" s="1">
        <v>3742</v>
      </c>
      <c r="DJ90" s="1">
        <v>29325</v>
      </c>
      <c r="DK90" s="1">
        <v>19998</v>
      </c>
      <c r="DL90" s="1">
        <v>11917</v>
      </c>
      <c r="DM90" s="1">
        <v>15313</v>
      </c>
      <c r="DN90" s="1">
        <v>19915</v>
      </c>
      <c r="DO90" s="1">
        <v>3484</v>
      </c>
      <c r="DP90" s="1">
        <v>10901</v>
      </c>
      <c r="DQ90" s="1">
        <v>68287</v>
      </c>
      <c r="DR90" s="1">
        <v>3170</v>
      </c>
      <c r="DS90" s="1">
        <v>5531</v>
      </c>
      <c r="DT90" s="1">
        <v>951</v>
      </c>
      <c r="DU90" s="1">
        <v>11975</v>
      </c>
      <c r="DV90" s="1">
        <v>6375</v>
      </c>
      <c r="DW90" s="1">
        <v>7742</v>
      </c>
      <c r="DX90" s="1">
        <v>12233</v>
      </c>
      <c r="DY90" s="1">
        <v>2087</v>
      </c>
      <c r="DZ90" s="1">
        <v>3374</v>
      </c>
      <c r="EA90" s="1">
        <v>12104</v>
      </c>
      <c r="EB90" s="1">
        <v>6302</v>
      </c>
      <c r="EC90" s="1">
        <v>803</v>
      </c>
      <c r="ED90" s="1">
        <v>1396</v>
      </c>
      <c r="EE90" s="1">
        <v>43232</v>
      </c>
      <c r="EF90" s="1">
        <v>5123</v>
      </c>
      <c r="EG90" s="1">
        <v>16881</v>
      </c>
      <c r="EH90" s="1">
        <v>29863</v>
      </c>
      <c r="EJ90" s="1">
        <f t="shared" si="1"/>
        <v>1912665</v>
      </c>
    </row>
    <row r="91" spans="1:140" x14ac:dyDescent="0.25">
      <c r="A91" s="1" t="s">
        <v>227</v>
      </c>
      <c r="B91" s="1">
        <v>8103</v>
      </c>
      <c r="C91" s="1">
        <v>6750</v>
      </c>
      <c r="D91" s="1">
        <v>436</v>
      </c>
      <c r="E91" s="1">
        <v>2884</v>
      </c>
      <c r="F91" s="1">
        <v>1</v>
      </c>
      <c r="G91" s="1">
        <v>20</v>
      </c>
      <c r="H91" s="1">
        <v>20335</v>
      </c>
      <c r="I91" s="1">
        <v>119</v>
      </c>
      <c r="J91" s="1">
        <v>1288</v>
      </c>
      <c r="K91" s="1">
        <v>81</v>
      </c>
      <c r="L91" s="1">
        <v>1537</v>
      </c>
      <c r="M91" s="1">
        <v>142</v>
      </c>
      <c r="N91" s="1">
        <v>13941</v>
      </c>
      <c r="O91" s="1">
        <v>2416</v>
      </c>
      <c r="P91" s="1">
        <v>1698</v>
      </c>
      <c r="Q91" s="1">
        <v>10271</v>
      </c>
      <c r="R91" s="1">
        <v>71</v>
      </c>
      <c r="S91" s="1">
        <v>2640</v>
      </c>
      <c r="T91" s="1">
        <v>3110</v>
      </c>
      <c r="U91" s="1">
        <v>2805</v>
      </c>
      <c r="V91" s="1">
        <v>10515</v>
      </c>
      <c r="W91" s="1">
        <v>3841</v>
      </c>
      <c r="X91" s="1">
        <v>996</v>
      </c>
      <c r="Y91" s="1">
        <v>1581</v>
      </c>
      <c r="Z91" s="1">
        <v>2232</v>
      </c>
      <c r="AA91" s="1">
        <v>712</v>
      </c>
      <c r="AB91" s="1">
        <v>7448</v>
      </c>
      <c r="AC91" s="1">
        <v>1169</v>
      </c>
      <c r="AD91" s="1">
        <v>602</v>
      </c>
      <c r="AE91" s="1">
        <v>1857</v>
      </c>
      <c r="AF91" s="1">
        <v>1496</v>
      </c>
      <c r="AG91">
        <v>34344</v>
      </c>
      <c r="AH91" s="1">
        <v>874</v>
      </c>
      <c r="AI91" s="1">
        <v>2008</v>
      </c>
      <c r="AJ91" s="1">
        <v>463</v>
      </c>
      <c r="AK91" s="1">
        <v>2649</v>
      </c>
      <c r="AL91" s="1">
        <v>3682</v>
      </c>
      <c r="AM91" s="1">
        <v>1005</v>
      </c>
      <c r="AN91" s="1">
        <v>372</v>
      </c>
      <c r="AO91" s="1">
        <v>10423</v>
      </c>
      <c r="AP91" s="1">
        <v>872</v>
      </c>
      <c r="AQ91" s="1">
        <v>117</v>
      </c>
      <c r="AR91" s="1">
        <v>3211</v>
      </c>
      <c r="AS91" s="1">
        <v>7240</v>
      </c>
      <c r="AT91" s="1">
        <v>2021</v>
      </c>
      <c r="AU91" s="1">
        <v>7039</v>
      </c>
      <c r="AV91" s="1">
        <v>5327</v>
      </c>
      <c r="AW91" s="1">
        <v>3609</v>
      </c>
      <c r="AX91" s="1">
        <v>32976</v>
      </c>
      <c r="AY91" s="1">
        <v>163</v>
      </c>
      <c r="AZ91" s="1">
        <v>883</v>
      </c>
      <c r="BA91" s="1">
        <v>8956</v>
      </c>
      <c r="BB91" s="1">
        <v>312</v>
      </c>
      <c r="BC91" s="1">
        <v>865</v>
      </c>
      <c r="BD91" s="1">
        <v>8003</v>
      </c>
      <c r="BE91" s="1">
        <v>6729</v>
      </c>
      <c r="BF91" s="1">
        <v>3853</v>
      </c>
      <c r="BG91" s="1">
        <v>6656</v>
      </c>
      <c r="BH91" s="1">
        <v>2077</v>
      </c>
      <c r="BI91" s="1">
        <v>36872</v>
      </c>
      <c r="BJ91" s="1">
        <v>6712</v>
      </c>
      <c r="BK91" s="1">
        <v>8273</v>
      </c>
      <c r="BL91" s="1">
        <v>4953</v>
      </c>
      <c r="BM91" s="1">
        <v>7567</v>
      </c>
      <c r="BN91" s="1">
        <v>2960</v>
      </c>
      <c r="BO91" s="1">
        <v>2139</v>
      </c>
      <c r="BP91" s="1">
        <v>38341</v>
      </c>
      <c r="BQ91" s="1">
        <v>3266</v>
      </c>
      <c r="BR91" s="1">
        <v>94505</v>
      </c>
      <c r="BS91" s="1">
        <v>11623</v>
      </c>
      <c r="BT91" s="1">
        <v>12299</v>
      </c>
      <c r="BU91" s="1">
        <v>33005</v>
      </c>
      <c r="BV91" s="1">
        <v>4343</v>
      </c>
      <c r="BW91" s="1">
        <v>16569</v>
      </c>
      <c r="BX91" s="1">
        <v>3831</v>
      </c>
      <c r="BY91" s="1">
        <v>7513</v>
      </c>
      <c r="BZ91" s="1">
        <v>25565</v>
      </c>
      <c r="CA91" s="1">
        <v>2875</v>
      </c>
      <c r="CB91" s="1">
        <v>1446</v>
      </c>
      <c r="CC91" s="1">
        <v>11568</v>
      </c>
      <c r="CD91" s="1">
        <v>5103</v>
      </c>
      <c r="CE91" s="1">
        <v>4479</v>
      </c>
      <c r="CF91" s="1">
        <v>9640</v>
      </c>
      <c r="CG91" s="1">
        <v>119194</v>
      </c>
      <c r="CH91" s="1">
        <v>19120</v>
      </c>
      <c r="CI91" s="1">
        <v>39407</v>
      </c>
      <c r="CJ91" s="1">
        <v>7671</v>
      </c>
      <c r="CK91" s="1">
        <v>20682</v>
      </c>
      <c r="CL91" s="1">
        <v>19862</v>
      </c>
      <c r="CM91" s="1">
        <v>20022</v>
      </c>
      <c r="CN91" s="1">
        <v>57230</v>
      </c>
      <c r="CO91" s="1">
        <v>6435</v>
      </c>
      <c r="CP91" s="1">
        <v>4427</v>
      </c>
      <c r="CQ91" s="1">
        <v>5277</v>
      </c>
      <c r="CR91" s="1">
        <v>7758</v>
      </c>
      <c r="CS91" s="1">
        <v>35811</v>
      </c>
      <c r="CT91" s="1">
        <v>20693</v>
      </c>
      <c r="CU91" s="1">
        <v>2208</v>
      </c>
      <c r="CV91" s="1">
        <v>290265</v>
      </c>
      <c r="CW91" s="1">
        <v>6975</v>
      </c>
      <c r="CX91" s="1">
        <v>1857</v>
      </c>
      <c r="CY91" s="1">
        <v>27734</v>
      </c>
      <c r="CZ91" s="1">
        <v>3496</v>
      </c>
      <c r="DA91" s="1">
        <v>6961</v>
      </c>
      <c r="DB91" s="1">
        <v>13421</v>
      </c>
      <c r="DC91" s="1">
        <v>4233</v>
      </c>
      <c r="DD91" s="1">
        <v>2924</v>
      </c>
      <c r="DE91" s="1">
        <v>2304</v>
      </c>
      <c r="DF91" s="1">
        <v>55879</v>
      </c>
      <c r="DG91" s="1">
        <v>14213</v>
      </c>
      <c r="DH91" s="1">
        <v>17542</v>
      </c>
      <c r="DI91" s="1">
        <v>3447</v>
      </c>
      <c r="DJ91" s="1">
        <v>26068</v>
      </c>
      <c r="DK91" s="1">
        <v>17472</v>
      </c>
      <c r="DL91" s="1">
        <v>11024</v>
      </c>
      <c r="DM91" s="1">
        <v>14802</v>
      </c>
      <c r="DN91" s="1">
        <v>18425</v>
      </c>
      <c r="DO91" s="1">
        <v>3084</v>
      </c>
      <c r="DP91" s="1">
        <v>9152</v>
      </c>
      <c r="DQ91" s="1">
        <v>62080</v>
      </c>
      <c r="DR91" s="1">
        <v>2861</v>
      </c>
      <c r="DS91" s="1">
        <v>5324</v>
      </c>
      <c r="DT91" s="1">
        <v>872</v>
      </c>
      <c r="DU91" s="1">
        <v>10782</v>
      </c>
      <c r="DV91" s="1">
        <v>6142</v>
      </c>
      <c r="DW91" s="1">
        <v>5404</v>
      </c>
      <c r="DX91" s="1">
        <v>14790</v>
      </c>
      <c r="DY91" s="1">
        <v>2241</v>
      </c>
      <c r="DZ91" s="1">
        <v>2918</v>
      </c>
      <c r="EA91" s="1">
        <v>11648</v>
      </c>
      <c r="EB91" s="1">
        <v>7275</v>
      </c>
      <c r="EC91" s="1">
        <v>784</v>
      </c>
      <c r="ED91" s="1">
        <v>1253</v>
      </c>
      <c r="EE91" s="1">
        <v>39556</v>
      </c>
      <c r="EF91" s="1">
        <v>4433</v>
      </c>
      <c r="EG91" s="1">
        <v>15151</v>
      </c>
      <c r="EH91" s="1">
        <v>27955</v>
      </c>
      <c r="EJ91" s="1">
        <f t="shared" si="1"/>
        <v>1781817</v>
      </c>
    </row>
    <row r="92" spans="1:140" x14ac:dyDescent="0.25">
      <c r="A92" s="1" t="s">
        <v>228</v>
      </c>
      <c r="B92" s="1">
        <v>8502</v>
      </c>
      <c r="C92" s="1">
        <v>6859</v>
      </c>
      <c r="D92" s="1">
        <v>461</v>
      </c>
      <c r="E92" s="1">
        <v>2780</v>
      </c>
      <c r="F92" s="1">
        <v>9</v>
      </c>
      <c r="G92" s="1">
        <v>39</v>
      </c>
      <c r="H92" s="1">
        <v>20914</v>
      </c>
      <c r="I92" s="1">
        <v>117</v>
      </c>
      <c r="J92" s="1">
        <v>1605</v>
      </c>
      <c r="K92" s="1">
        <v>67</v>
      </c>
      <c r="L92" s="1">
        <v>1454</v>
      </c>
      <c r="M92" s="1">
        <v>219</v>
      </c>
      <c r="N92" s="1">
        <v>13666</v>
      </c>
      <c r="O92" s="1">
        <v>2315</v>
      </c>
      <c r="P92" s="1">
        <v>1540</v>
      </c>
      <c r="Q92" s="1">
        <v>10160</v>
      </c>
      <c r="R92" s="1">
        <v>163</v>
      </c>
      <c r="S92" s="1">
        <v>2510</v>
      </c>
      <c r="T92" s="1">
        <v>2851</v>
      </c>
      <c r="U92" s="1">
        <v>3025</v>
      </c>
      <c r="V92" s="1">
        <v>10050</v>
      </c>
      <c r="W92" s="1">
        <v>3756</v>
      </c>
      <c r="X92" s="1">
        <v>722</v>
      </c>
      <c r="Y92" s="1">
        <v>1145</v>
      </c>
      <c r="Z92" s="1">
        <v>1452</v>
      </c>
      <c r="AA92" s="1">
        <v>789</v>
      </c>
      <c r="AB92" s="1">
        <v>6279</v>
      </c>
      <c r="AC92" s="1">
        <v>948</v>
      </c>
      <c r="AD92" s="1">
        <v>615</v>
      </c>
      <c r="AE92" s="1">
        <v>1628</v>
      </c>
      <c r="AF92" s="1">
        <v>2011</v>
      </c>
      <c r="AG92">
        <v>33891</v>
      </c>
      <c r="AH92" s="1">
        <v>749</v>
      </c>
      <c r="AI92" s="1">
        <v>2289</v>
      </c>
      <c r="AJ92" s="1">
        <v>559</v>
      </c>
      <c r="AK92" s="1">
        <v>2437</v>
      </c>
      <c r="AL92" s="1">
        <v>3663</v>
      </c>
      <c r="AM92" s="1">
        <v>1122</v>
      </c>
      <c r="AN92" s="1">
        <v>444</v>
      </c>
      <c r="AO92" s="1">
        <v>10128</v>
      </c>
      <c r="AP92" s="1">
        <v>853</v>
      </c>
      <c r="AQ92" s="1">
        <v>131</v>
      </c>
      <c r="AR92" s="1">
        <v>2604</v>
      </c>
      <c r="AS92" s="1">
        <v>7734</v>
      </c>
      <c r="AT92" s="1">
        <v>1972</v>
      </c>
      <c r="AU92" s="1">
        <v>6454</v>
      </c>
      <c r="AV92" s="1">
        <v>5100</v>
      </c>
      <c r="AW92" s="1">
        <v>4383</v>
      </c>
      <c r="AX92" s="1">
        <v>31831</v>
      </c>
      <c r="AY92" s="1">
        <v>171</v>
      </c>
      <c r="AZ92" s="1">
        <v>997</v>
      </c>
      <c r="BA92" s="1">
        <v>8446</v>
      </c>
      <c r="BB92" s="1">
        <v>272</v>
      </c>
      <c r="BC92" s="1">
        <v>1322</v>
      </c>
      <c r="BD92" s="1">
        <v>7860</v>
      </c>
      <c r="BE92" s="1">
        <v>4501</v>
      </c>
      <c r="BF92" s="1">
        <v>4043</v>
      </c>
      <c r="BG92" s="1">
        <v>6801</v>
      </c>
      <c r="BH92" s="1">
        <v>2690</v>
      </c>
      <c r="BI92" s="1">
        <v>39882</v>
      </c>
      <c r="BJ92" s="1">
        <v>7473</v>
      </c>
      <c r="BK92" s="1">
        <v>7639</v>
      </c>
      <c r="BL92" s="1">
        <v>4026</v>
      </c>
      <c r="BM92" s="1">
        <v>6826</v>
      </c>
      <c r="BN92" s="1">
        <v>1579</v>
      </c>
      <c r="BO92" s="1">
        <v>1659</v>
      </c>
      <c r="BP92" s="1">
        <v>32360</v>
      </c>
      <c r="BQ92" s="1">
        <v>3050</v>
      </c>
      <c r="BR92" s="1">
        <v>92414</v>
      </c>
      <c r="BS92" s="1">
        <v>9751</v>
      </c>
      <c r="BT92" s="1">
        <v>11528</v>
      </c>
      <c r="BU92" s="1">
        <v>24692</v>
      </c>
      <c r="BV92" s="1">
        <v>4132</v>
      </c>
      <c r="BW92" s="1">
        <v>16176</v>
      </c>
      <c r="BX92" s="1">
        <v>3056</v>
      </c>
      <c r="BY92" s="1">
        <v>6285</v>
      </c>
      <c r="BZ92" s="1">
        <v>25606</v>
      </c>
      <c r="CA92" s="1">
        <v>3117</v>
      </c>
      <c r="CB92" s="1">
        <v>1393</v>
      </c>
      <c r="CC92" s="1">
        <v>8546</v>
      </c>
      <c r="CD92" s="1">
        <v>4613</v>
      </c>
      <c r="CE92" s="1">
        <v>3764</v>
      </c>
      <c r="CF92" s="1">
        <v>9098</v>
      </c>
      <c r="CG92" s="1">
        <v>113559</v>
      </c>
      <c r="CH92" s="1">
        <v>16829</v>
      </c>
      <c r="CI92" s="1">
        <v>30789</v>
      </c>
      <c r="CJ92" s="1">
        <v>7876</v>
      </c>
      <c r="CK92" s="1">
        <v>17550</v>
      </c>
      <c r="CL92" s="1">
        <v>13231</v>
      </c>
      <c r="CM92" s="1">
        <v>19529</v>
      </c>
      <c r="CN92" s="1">
        <v>53883</v>
      </c>
      <c r="CO92" s="1">
        <v>6063</v>
      </c>
      <c r="CP92" s="1">
        <v>3703</v>
      </c>
      <c r="CQ92" s="1">
        <v>5734</v>
      </c>
      <c r="CR92" s="1">
        <v>8529</v>
      </c>
      <c r="CS92" s="1">
        <v>36052</v>
      </c>
      <c r="CT92" s="1">
        <v>19649</v>
      </c>
      <c r="CU92" s="1">
        <v>2002</v>
      </c>
      <c r="CV92" s="1">
        <v>285322</v>
      </c>
      <c r="CW92" s="1">
        <v>6656</v>
      </c>
      <c r="CX92" s="1">
        <v>1876</v>
      </c>
      <c r="CY92" s="1">
        <v>27062</v>
      </c>
      <c r="CZ92" s="1">
        <v>3274</v>
      </c>
      <c r="DA92" s="1">
        <v>6169</v>
      </c>
      <c r="DB92" s="1">
        <v>13303</v>
      </c>
      <c r="DC92" s="1">
        <v>4215</v>
      </c>
      <c r="DD92" s="1">
        <v>2861</v>
      </c>
      <c r="DE92" s="1">
        <v>2375</v>
      </c>
      <c r="DF92" s="1">
        <v>55213</v>
      </c>
      <c r="DG92" s="1">
        <v>14573</v>
      </c>
      <c r="DH92" s="1">
        <v>16576</v>
      </c>
      <c r="DI92" s="1">
        <v>3777</v>
      </c>
      <c r="DJ92" s="1">
        <v>25270</v>
      </c>
      <c r="DK92" s="1">
        <v>18058</v>
      </c>
      <c r="DL92" s="1">
        <v>10337</v>
      </c>
      <c r="DM92" s="1">
        <v>14497</v>
      </c>
      <c r="DN92" s="1">
        <v>18328</v>
      </c>
      <c r="DO92" s="1">
        <v>3034</v>
      </c>
      <c r="DP92" s="1">
        <v>8026</v>
      </c>
      <c r="DQ92" s="1">
        <v>61235</v>
      </c>
      <c r="DR92" s="1">
        <v>2992</v>
      </c>
      <c r="DS92" s="1">
        <v>4742</v>
      </c>
      <c r="DT92" s="1">
        <v>816</v>
      </c>
      <c r="DU92" s="1">
        <v>11269</v>
      </c>
      <c r="DV92" s="1">
        <v>5454</v>
      </c>
      <c r="DW92" s="1">
        <v>5202</v>
      </c>
      <c r="DX92" s="1">
        <v>11563</v>
      </c>
      <c r="DY92" s="1">
        <v>1816</v>
      </c>
      <c r="DZ92" s="1">
        <v>2426</v>
      </c>
      <c r="EA92" s="1">
        <v>11413</v>
      </c>
      <c r="EB92" s="1">
        <v>5908</v>
      </c>
      <c r="EC92" s="1">
        <v>832</v>
      </c>
      <c r="ED92" s="1">
        <v>1274</v>
      </c>
      <c r="EE92" s="1">
        <v>37631</v>
      </c>
      <c r="EF92" s="1">
        <v>5083</v>
      </c>
      <c r="EG92" s="1">
        <v>13501</v>
      </c>
      <c r="EH92" s="1">
        <v>27163</v>
      </c>
      <c r="EJ92" s="1">
        <f t="shared" si="1"/>
        <v>1696863</v>
      </c>
    </row>
    <row r="93" spans="1:140" x14ac:dyDescent="0.25">
      <c r="A93" s="1" t="s">
        <v>229</v>
      </c>
      <c r="B93" s="1">
        <v>7433</v>
      </c>
      <c r="C93" s="1">
        <v>6674</v>
      </c>
      <c r="D93" s="1">
        <v>259</v>
      </c>
      <c r="E93" s="1">
        <v>2532</v>
      </c>
      <c r="F93" s="1">
        <v>17</v>
      </c>
      <c r="G93" s="1">
        <v>33</v>
      </c>
      <c r="H93" s="1">
        <v>20569</v>
      </c>
      <c r="I93" s="1">
        <v>98</v>
      </c>
      <c r="J93" s="1">
        <v>1655</v>
      </c>
      <c r="K93" s="1">
        <v>116</v>
      </c>
      <c r="L93" s="1">
        <v>1509</v>
      </c>
      <c r="M93" s="1">
        <v>210</v>
      </c>
      <c r="N93" s="1">
        <v>14875</v>
      </c>
      <c r="O93" s="1">
        <v>2589</v>
      </c>
      <c r="P93" s="1">
        <v>2216</v>
      </c>
      <c r="Q93" s="1">
        <v>10982</v>
      </c>
      <c r="R93" s="1">
        <v>202</v>
      </c>
      <c r="S93" s="1">
        <v>2683</v>
      </c>
      <c r="T93" s="1">
        <v>3469</v>
      </c>
      <c r="U93" s="1">
        <v>3204</v>
      </c>
      <c r="V93" s="1">
        <v>11631</v>
      </c>
      <c r="W93" s="1">
        <v>3520</v>
      </c>
      <c r="X93" s="1">
        <v>912</v>
      </c>
      <c r="Y93" s="1">
        <v>1244</v>
      </c>
      <c r="Z93" s="1">
        <v>1216</v>
      </c>
      <c r="AA93" s="1">
        <v>700</v>
      </c>
      <c r="AB93" s="1">
        <v>6268</v>
      </c>
      <c r="AC93" s="1">
        <v>1266</v>
      </c>
      <c r="AD93" s="1">
        <v>651</v>
      </c>
      <c r="AE93" s="1">
        <v>2521</v>
      </c>
      <c r="AF93" s="1">
        <v>2252</v>
      </c>
      <c r="AG93">
        <v>34214</v>
      </c>
      <c r="AH93" s="1">
        <v>649</v>
      </c>
      <c r="AI93" s="1">
        <v>3013</v>
      </c>
      <c r="AJ93" s="1">
        <v>703</v>
      </c>
      <c r="AK93" s="1">
        <v>3278</v>
      </c>
      <c r="AL93" s="1">
        <v>4627</v>
      </c>
      <c r="AM93" s="1">
        <v>1197</v>
      </c>
      <c r="AN93" s="1">
        <v>431</v>
      </c>
      <c r="AO93" s="1">
        <v>13112</v>
      </c>
      <c r="AP93" s="1">
        <v>1102</v>
      </c>
      <c r="AQ93" s="1">
        <v>134</v>
      </c>
      <c r="AR93" s="1">
        <v>4201</v>
      </c>
      <c r="AS93" s="1">
        <v>15283</v>
      </c>
      <c r="AT93" s="1">
        <v>1940</v>
      </c>
      <c r="AU93" s="1">
        <v>5287</v>
      </c>
      <c r="AV93" s="1">
        <v>5784</v>
      </c>
      <c r="AW93" s="1">
        <v>12151</v>
      </c>
      <c r="AX93" s="1">
        <v>35908</v>
      </c>
      <c r="AY93" s="1">
        <v>230</v>
      </c>
      <c r="AZ93" s="1">
        <v>1478</v>
      </c>
      <c r="BA93" s="1">
        <v>11095</v>
      </c>
      <c r="BB93" s="1">
        <v>263</v>
      </c>
      <c r="BC93" s="1">
        <v>1079</v>
      </c>
      <c r="BD93" s="1">
        <v>9662</v>
      </c>
      <c r="BE93" s="1">
        <v>4521</v>
      </c>
      <c r="BF93" s="1">
        <v>3900</v>
      </c>
      <c r="BG93" s="1">
        <v>7297</v>
      </c>
      <c r="BH93" s="1">
        <v>2682</v>
      </c>
      <c r="BI93" s="1">
        <v>41264</v>
      </c>
      <c r="BJ93" s="1">
        <v>6207</v>
      </c>
      <c r="BK93" s="1">
        <v>7174</v>
      </c>
      <c r="BL93" s="1">
        <v>3637</v>
      </c>
      <c r="BM93" s="1">
        <v>6862</v>
      </c>
      <c r="BN93" s="1">
        <v>1763</v>
      </c>
      <c r="BO93" s="1">
        <v>1849</v>
      </c>
      <c r="BP93" s="1">
        <v>30193</v>
      </c>
      <c r="BQ93" s="1">
        <v>3246</v>
      </c>
      <c r="BR93" s="1">
        <v>98972</v>
      </c>
      <c r="BS93" s="1">
        <v>10401</v>
      </c>
      <c r="BT93" s="1">
        <v>11986</v>
      </c>
      <c r="BU93" s="1">
        <v>24775</v>
      </c>
      <c r="BV93" s="1">
        <v>3907</v>
      </c>
      <c r="BW93" s="1">
        <v>18449</v>
      </c>
      <c r="BX93" s="1">
        <v>3350</v>
      </c>
      <c r="BY93" s="1">
        <v>6319</v>
      </c>
      <c r="BZ93" s="1">
        <v>27148</v>
      </c>
      <c r="CA93" s="1">
        <v>3132</v>
      </c>
      <c r="CB93" s="1">
        <v>1416</v>
      </c>
      <c r="CC93" s="1">
        <v>9009</v>
      </c>
      <c r="CD93" s="1">
        <v>4539</v>
      </c>
      <c r="CE93" s="1">
        <v>4315</v>
      </c>
      <c r="CF93" s="1">
        <v>10280</v>
      </c>
      <c r="CG93" s="1">
        <v>123284</v>
      </c>
      <c r="CH93" s="1">
        <v>17387</v>
      </c>
      <c r="CI93" s="1">
        <v>30683</v>
      </c>
      <c r="CJ93" s="1">
        <v>8099</v>
      </c>
      <c r="CK93" s="1">
        <v>19128</v>
      </c>
      <c r="CL93" s="1">
        <v>12097</v>
      </c>
      <c r="CM93" s="1">
        <v>20450</v>
      </c>
      <c r="CN93" s="1">
        <v>57562</v>
      </c>
      <c r="CO93" s="1">
        <v>6458</v>
      </c>
      <c r="CP93" s="1">
        <v>3911</v>
      </c>
      <c r="CQ93" s="1">
        <v>5186</v>
      </c>
      <c r="CR93" s="1">
        <v>8507</v>
      </c>
      <c r="CS93" s="1">
        <v>38802</v>
      </c>
      <c r="CT93" s="1">
        <v>21614</v>
      </c>
      <c r="CU93" s="1">
        <v>2248</v>
      </c>
      <c r="CV93" s="1">
        <v>314157</v>
      </c>
      <c r="CW93" s="1">
        <v>6808</v>
      </c>
      <c r="CX93" s="1">
        <v>1976</v>
      </c>
      <c r="CY93" s="1">
        <v>29625</v>
      </c>
      <c r="CZ93" s="1">
        <v>3349</v>
      </c>
      <c r="DA93" s="1">
        <v>6721</v>
      </c>
      <c r="DB93" s="1">
        <v>13996</v>
      </c>
      <c r="DC93" s="1">
        <v>4477</v>
      </c>
      <c r="DD93" s="1">
        <v>3100</v>
      </c>
      <c r="DE93" s="1">
        <v>2304</v>
      </c>
      <c r="DF93" s="1">
        <v>59413</v>
      </c>
      <c r="DG93" s="1">
        <v>15671</v>
      </c>
      <c r="DH93" s="1">
        <v>18496</v>
      </c>
      <c r="DI93" s="1">
        <v>3693</v>
      </c>
      <c r="DJ93" s="1">
        <v>27674</v>
      </c>
      <c r="DK93" s="1">
        <v>19448</v>
      </c>
      <c r="DL93" s="1">
        <v>11327</v>
      </c>
      <c r="DM93" s="1">
        <v>15660</v>
      </c>
      <c r="DN93" s="1">
        <v>19537</v>
      </c>
      <c r="DO93" s="1">
        <v>3561</v>
      </c>
      <c r="DP93" s="1">
        <v>8931</v>
      </c>
      <c r="DQ93" s="1">
        <v>65844</v>
      </c>
      <c r="DR93" s="1">
        <v>3462</v>
      </c>
      <c r="DS93" s="1">
        <v>5322</v>
      </c>
      <c r="DT93" s="1">
        <v>954</v>
      </c>
      <c r="DU93" s="1">
        <v>11905</v>
      </c>
      <c r="DV93" s="1">
        <v>5603</v>
      </c>
      <c r="DW93" s="1">
        <v>6068</v>
      </c>
      <c r="DX93" s="1">
        <v>12074</v>
      </c>
      <c r="DY93" s="1">
        <v>1930</v>
      </c>
      <c r="DZ93" s="1">
        <v>2795</v>
      </c>
      <c r="EA93" s="1">
        <v>12442</v>
      </c>
      <c r="EB93" s="1">
        <v>5736</v>
      </c>
      <c r="EC93" s="1">
        <v>869</v>
      </c>
      <c r="ED93" s="1">
        <v>1270</v>
      </c>
      <c r="EE93" s="1">
        <v>41909</v>
      </c>
      <c r="EF93" s="1">
        <v>4779</v>
      </c>
      <c r="EG93" s="1">
        <v>13399</v>
      </c>
      <c r="EH93" s="1">
        <v>29700</v>
      </c>
      <c r="EJ93" s="1">
        <f t="shared" si="1"/>
        <v>1830321</v>
      </c>
    </row>
    <row r="94" spans="1:140" x14ac:dyDescent="0.25">
      <c r="A94" s="1" t="s">
        <v>230</v>
      </c>
      <c r="B94" s="1">
        <v>7158</v>
      </c>
      <c r="C94" s="1">
        <v>6077</v>
      </c>
      <c r="D94" s="1">
        <v>374</v>
      </c>
      <c r="E94" s="1">
        <v>2069</v>
      </c>
      <c r="F94" s="1">
        <v>14</v>
      </c>
      <c r="G94" s="1">
        <v>50</v>
      </c>
      <c r="H94" s="1">
        <v>19105</v>
      </c>
      <c r="I94" s="1">
        <v>81</v>
      </c>
      <c r="J94" s="1">
        <v>1902</v>
      </c>
      <c r="K94" s="1">
        <v>91</v>
      </c>
      <c r="L94" s="1">
        <v>1646</v>
      </c>
      <c r="M94" s="1">
        <v>160</v>
      </c>
      <c r="N94" s="1">
        <v>15005</v>
      </c>
      <c r="O94" s="1">
        <v>2402</v>
      </c>
      <c r="P94" s="1">
        <v>2577</v>
      </c>
      <c r="Q94" s="1">
        <v>10255</v>
      </c>
      <c r="R94" s="1">
        <v>121</v>
      </c>
      <c r="S94" s="1">
        <v>3019</v>
      </c>
      <c r="T94" s="1">
        <v>3242</v>
      </c>
      <c r="U94" s="1">
        <v>3434</v>
      </c>
      <c r="V94" s="1">
        <v>10552</v>
      </c>
      <c r="W94" s="1">
        <v>4029</v>
      </c>
      <c r="X94" s="1">
        <v>935</v>
      </c>
      <c r="Y94" s="1">
        <v>1016</v>
      </c>
      <c r="Z94" s="1">
        <v>1245</v>
      </c>
      <c r="AA94" s="1">
        <v>535</v>
      </c>
      <c r="AB94" s="1">
        <v>6265</v>
      </c>
      <c r="AC94" s="1">
        <v>1388</v>
      </c>
      <c r="AD94" s="1">
        <v>605</v>
      </c>
      <c r="AE94" s="1">
        <v>1707</v>
      </c>
      <c r="AF94" s="1">
        <v>2973</v>
      </c>
      <c r="AG94">
        <v>34369</v>
      </c>
      <c r="AH94" s="1">
        <v>556</v>
      </c>
      <c r="AI94" s="1">
        <v>2021</v>
      </c>
      <c r="AJ94" s="1">
        <v>449</v>
      </c>
      <c r="AK94" s="1">
        <v>2662</v>
      </c>
      <c r="AL94" s="1">
        <v>4310</v>
      </c>
      <c r="AM94" s="1">
        <v>1056</v>
      </c>
      <c r="AN94" s="1">
        <v>478</v>
      </c>
      <c r="AO94" s="1">
        <v>12163</v>
      </c>
      <c r="AP94" s="1">
        <v>958</v>
      </c>
      <c r="AQ94" s="1">
        <v>270</v>
      </c>
      <c r="AR94" s="1">
        <v>3469</v>
      </c>
      <c r="AS94" s="1">
        <v>8534</v>
      </c>
      <c r="AT94" s="1">
        <v>1843</v>
      </c>
      <c r="AU94" s="1">
        <v>4234</v>
      </c>
      <c r="AV94" s="1">
        <v>5705</v>
      </c>
      <c r="AW94" s="1">
        <v>16037</v>
      </c>
      <c r="AX94" s="1">
        <v>40137</v>
      </c>
      <c r="AY94" s="1">
        <v>254</v>
      </c>
      <c r="AZ94" s="1">
        <v>1063</v>
      </c>
      <c r="BA94" s="1">
        <v>39002</v>
      </c>
      <c r="BB94" s="1">
        <v>244</v>
      </c>
      <c r="BC94" s="1">
        <v>2285</v>
      </c>
      <c r="BD94" s="1">
        <v>10119</v>
      </c>
      <c r="BE94" s="1">
        <v>4055</v>
      </c>
      <c r="BF94" s="1">
        <v>2768</v>
      </c>
      <c r="BG94" s="1">
        <v>6725</v>
      </c>
      <c r="BH94" s="1">
        <v>2246</v>
      </c>
      <c r="BI94" s="1">
        <v>38229</v>
      </c>
      <c r="BJ94" s="1">
        <v>5378</v>
      </c>
      <c r="BK94" s="1">
        <v>7051</v>
      </c>
      <c r="BL94" s="1">
        <v>3593</v>
      </c>
      <c r="BM94" s="1">
        <v>6852</v>
      </c>
      <c r="BN94" s="1">
        <v>1437</v>
      </c>
      <c r="BO94" s="1">
        <v>1616</v>
      </c>
      <c r="BP94" s="1">
        <v>29230</v>
      </c>
      <c r="BQ94" s="1">
        <v>2863</v>
      </c>
      <c r="BR94" s="1">
        <v>97523</v>
      </c>
      <c r="BS94" s="1">
        <v>9828</v>
      </c>
      <c r="BT94" s="1">
        <v>11246</v>
      </c>
      <c r="BU94" s="1">
        <v>22624</v>
      </c>
      <c r="BV94" s="1">
        <v>3339</v>
      </c>
      <c r="BW94" s="1">
        <v>16796</v>
      </c>
      <c r="BX94" s="1">
        <v>2764</v>
      </c>
      <c r="BY94" s="1">
        <v>5475</v>
      </c>
      <c r="BZ94" s="1">
        <v>24075</v>
      </c>
      <c r="CA94" s="1">
        <v>2870</v>
      </c>
      <c r="CB94" s="1">
        <v>1348</v>
      </c>
      <c r="CC94" s="1">
        <v>8163</v>
      </c>
      <c r="CD94" s="1">
        <v>4328</v>
      </c>
      <c r="CE94" s="1">
        <v>4340</v>
      </c>
      <c r="CF94" s="1">
        <v>10290</v>
      </c>
      <c r="CG94" s="1">
        <v>121479</v>
      </c>
      <c r="CH94" s="1">
        <v>17152</v>
      </c>
      <c r="CI94" s="1">
        <v>28609</v>
      </c>
      <c r="CJ94" s="1">
        <v>7130</v>
      </c>
      <c r="CK94" s="1">
        <v>17966</v>
      </c>
      <c r="CL94" s="1">
        <v>10789</v>
      </c>
      <c r="CM94" s="1">
        <v>18614</v>
      </c>
      <c r="CN94" s="1">
        <v>52276</v>
      </c>
      <c r="CO94" s="1">
        <v>5809</v>
      </c>
      <c r="CP94" s="1">
        <v>3491</v>
      </c>
      <c r="CQ94" s="1">
        <v>4606</v>
      </c>
      <c r="CR94" s="1">
        <v>8013</v>
      </c>
      <c r="CS94" s="1">
        <v>35577</v>
      </c>
      <c r="CT94" s="1">
        <v>19951</v>
      </c>
      <c r="CU94" s="1">
        <v>2119</v>
      </c>
      <c r="CV94" s="1">
        <v>296493</v>
      </c>
      <c r="CW94" s="1">
        <v>6606</v>
      </c>
      <c r="CX94" s="1">
        <v>1897</v>
      </c>
      <c r="CY94" s="1">
        <v>27042</v>
      </c>
      <c r="CZ94" s="1">
        <v>3241</v>
      </c>
      <c r="DA94" s="1">
        <v>6184</v>
      </c>
      <c r="DB94" s="1">
        <v>14635</v>
      </c>
      <c r="DC94" s="1">
        <v>4817</v>
      </c>
      <c r="DD94" s="1">
        <v>3214</v>
      </c>
      <c r="DE94" s="1">
        <v>2220</v>
      </c>
      <c r="DF94" s="1">
        <v>55666</v>
      </c>
      <c r="DG94" s="1">
        <v>15581</v>
      </c>
      <c r="DH94" s="1">
        <v>18179</v>
      </c>
      <c r="DI94" s="1">
        <v>3788</v>
      </c>
      <c r="DJ94" s="1">
        <v>25026</v>
      </c>
      <c r="DK94" s="1">
        <v>18880</v>
      </c>
      <c r="DL94" s="1">
        <v>10922</v>
      </c>
      <c r="DM94" s="1">
        <v>14060</v>
      </c>
      <c r="DN94" s="1">
        <v>17547</v>
      </c>
      <c r="DO94" s="1">
        <v>3131</v>
      </c>
      <c r="DP94" s="1">
        <v>8144</v>
      </c>
      <c r="DQ94" s="1">
        <v>59571</v>
      </c>
      <c r="DR94" s="1">
        <v>3068</v>
      </c>
      <c r="DS94" s="1">
        <v>5421</v>
      </c>
      <c r="DT94" s="1">
        <v>734</v>
      </c>
      <c r="DU94" s="1">
        <v>11134</v>
      </c>
      <c r="DV94" s="1">
        <v>5487</v>
      </c>
      <c r="DW94" s="1">
        <v>4701</v>
      </c>
      <c r="DX94" s="1">
        <v>12999</v>
      </c>
      <c r="DY94" s="1">
        <v>1849</v>
      </c>
      <c r="DZ94" s="1">
        <v>2328</v>
      </c>
      <c r="EA94" s="1">
        <v>11250</v>
      </c>
      <c r="EB94" s="1">
        <v>5735</v>
      </c>
      <c r="EC94" s="1">
        <v>896</v>
      </c>
      <c r="ED94" s="1">
        <v>1142</v>
      </c>
      <c r="EE94" s="1">
        <v>40170</v>
      </c>
      <c r="EF94" s="1">
        <v>4442</v>
      </c>
      <c r="EG94" s="1">
        <v>13133</v>
      </c>
      <c r="EH94" s="1">
        <v>28810</v>
      </c>
      <c r="EJ94" s="1">
        <f t="shared" si="1"/>
        <v>1763026</v>
      </c>
    </row>
    <row r="95" spans="1:140" x14ac:dyDescent="0.25">
      <c r="A95" s="1" t="s">
        <v>231</v>
      </c>
      <c r="B95" s="1">
        <v>7040</v>
      </c>
      <c r="C95" s="1">
        <v>5720</v>
      </c>
      <c r="D95" s="1">
        <v>230</v>
      </c>
      <c r="E95" s="1">
        <v>2409</v>
      </c>
      <c r="F95" s="1">
        <v>7</v>
      </c>
      <c r="G95" s="1">
        <v>27</v>
      </c>
      <c r="H95" s="1">
        <v>18239</v>
      </c>
      <c r="I95" s="1">
        <v>71</v>
      </c>
      <c r="J95" s="1">
        <v>1558</v>
      </c>
      <c r="K95" s="1">
        <v>76</v>
      </c>
      <c r="L95" s="1">
        <v>1468</v>
      </c>
      <c r="M95" s="1">
        <v>239</v>
      </c>
      <c r="N95" s="1">
        <v>13780</v>
      </c>
      <c r="O95" s="1">
        <v>2192</v>
      </c>
      <c r="P95" s="1">
        <v>2581</v>
      </c>
      <c r="Q95" s="1">
        <v>8851</v>
      </c>
      <c r="R95" s="1">
        <v>74</v>
      </c>
      <c r="S95" s="1">
        <v>2669</v>
      </c>
      <c r="T95" s="1">
        <v>3035</v>
      </c>
      <c r="U95" s="1">
        <v>2565</v>
      </c>
      <c r="V95" s="1">
        <v>10056</v>
      </c>
      <c r="W95" s="1">
        <v>3082</v>
      </c>
      <c r="X95" s="1">
        <v>853</v>
      </c>
      <c r="Y95" s="1">
        <v>950</v>
      </c>
      <c r="Z95" s="1">
        <v>1468</v>
      </c>
      <c r="AA95" s="1">
        <v>563</v>
      </c>
      <c r="AB95" s="1">
        <v>5343</v>
      </c>
      <c r="AC95" s="1">
        <v>1053</v>
      </c>
      <c r="AD95" s="1">
        <v>592</v>
      </c>
      <c r="AE95" s="1">
        <v>1516</v>
      </c>
      <c r="AF95" s="1">
        <v>2625</v>
      </c>
      <c r="AG95">
        <v>32911</v>
      </c>
      <c r="AH95" s="1">
        <v>545</v>
      </c>
      <c r="AI95" s="1">
        <v>1649</v>
      </c>
      <c r="AJ95" s="1">
        <v>522</v>
      </c>
      <c r="AK95" s="1">
        <v>3093</v>
      </c>
      <c r="AL95" s="1">
        <v>3813</v>
      </c>
      <c r="AM95" s="1">
        <v>938</v>
      </c>
      <c r="AN95" s="1">
        <v>440</v>
      </c>
      <c r="AO95" s="1">
        <v>10501</v>
      </c>
      <c r="AP95" s="1">
        <v>949</v>
      </c>
      <c r="AQ95" s="1">
        <v>166</v>
      </c>
      <c r="AR95" s="1">
        <v>2880</v>
      </c>
      <c r="AS95" s="1">
        <v>7218</v>
      </c>
      <c r="AT95" s="1">
        <v>1770</v>
      </c>
      <c r="AU95" s="1">
        <v>3694</v>
      </c>
      <c r="AV95" s="1">
        <v>5093</v>
      </c>
      <c r="AW95" s="1">
        <v>6537</v>
      </c>
      <c r="AX95" s="1">
        <v>36143</v>
      </c>
      <c r="AY95" s="1">
        <v>247</v>
      </c>
      <c r="AZ95" s="1">
        <v>953</v>
      </c>
      <c r="BA95" s="1">
        <v>13233</v>
      </c>
      <c r="BB95" s="1">
        <v>323</v>
      </c>
      <c r="BC95" s="1">
        <v>985</v>
      </c>
      <c r="BD95" s="1">
        <v>9326</v>
      </c>
      <c r="BE95" s="1">
        <v>4461</v>
      </c>
      <c r="BF95" s="1">
        <v>2191</v>
      </c>
      <c r="BG95" s="1">
        <v>6398</v>
      </c>
      <c r="BH95" s="1">
        <v>2058</v>
      </c>
      <c r="BI95" s="1">
        <v>38147</v>
      </c>
      <c r="BJ95" s="1">
        <v>5084</v>
      </c>
      <c r="BK95" s="1">
        <v>6933</v>
      </c>
      <c r="BL95" s="1">
        <v>3846</v>
      </c>
      <c r="BM95" s="1">
        <v>6355</v>
      </c>
      <c r="BN95" s="1">
        <v>1215</v>
      </c>
      <c r="BO95" s="1">
        <v>1459</v>
      </c>
      <c r="BP95" s="1">
        <v>27150</v>
      </c>
      <c r="BQ95" s="1">
        <v>2780</v>
      </c>
      <c r="BR95" s="1">
        <v>88517</v>
      </c>
      <c r="BS95" s="1">
        <v>8704</v>
      </c>
      <c r="BT95" s="1">
        <v>10287</v>
      </c>
      <c r="BU95" s="1">
        <v>20087</v>
      </c>
      <c r="BV95" s="1">
        <v>3249</v>
      </c>
      <c r="BW95" s="1">
        <v>16400</v>
      </c>
      <c r="BX95" s="1">
        <v>2702</v>
      </c>
      <c r="BY95" s="1">
        <v>5125</v>
      </c>
      <c r="BZ95" s="1">
        <v>23921</v>
      </c>
      <c r="CA95" s="1">
        <v>2754</v>
      </c>
      <c r="CB95" s="1">
        <v>1226</v>
      </c>
      <c r="CC95" s="1">
        <v>7301</v>
      </c>
      <c r="CD95" s="1">
        <v>4636</v>
      </c>
      <c r="CE95" s="1">
        <v>3898</v>
      </c>
      <c r="CF95" s="1">
        <v>8489</v>
      </c>
      <c r="CG95" s="1">
        <v>113816</v>
      </c>
      <c r="CH95" s="1">
        <v>15635</v>
      </c>
      <c r="CI95" s="1">
        <v>27715</v>
      </c>
      <c r="CJ95" s="1">
        <v>6594</v>
      </c>
      <c r="CK95" s="1">
        <v>17401</v>
      </c>
      <c r="CL95" s="1">
        <v>10732</v>
      </c>
      <c r="CM95" s="1">
        <v>18304</v>
      </c>
      <c r="CN95" s="1">
        <v>49987</v>
      </c>
      <c r="CO95" s="1">
        <v>5757</v>
      </c>
      <c r="CP95" s="1">
        <v>3737</v>
      </c>
      <c r="CQ95" s="1">
        <v>4653</v>
      </c>
      <c r="CR95" s="1">
        <v>7848</v>
      </c>
      <c r="CS95" s="1">
        <v>36085</v>
      </c>
      <c r="CT95" s="1">
        <v>21063</v>
      </c>
      <c r="CU95" s="1">
        <v>2220</v>
      </c>
      <c r="CV95" s="1">
        <v>287492</v>
      </c>
      <c r="CW95" s="1">
        <v>5974</v>
      </c>
      <c r="CX95" s="1">
        <v>1951</v>
      </c>
      <c r="CY95" s="1">
        <v>25541</v>
      </c>
      <c r="CZ95" s="1">
        <v>2960</v>
      </c>
      <c r="DA95" s="1">
        <v>6251</v>
      </c>
      <c r="DB95" s="1">
        <v>13850</v>
      </c>
      <c r="DC95" s="1">
        <v>4595</v>
      </c>
      <c r="DD95" s="1">
        <v>3117</v>
      </c>
      <c r="DE95" s="1">
        <v>2111</v>
      </c>
      <c r="DF95" s="1">
        <v>54510</v>
      </c>
      <c r="DG95" s="1">
        <v>16185</v>
      </c>
      <c r="DH95" s="1">
        <v>17651</v>
      </c>
      <c r="DI95" s="1">
        <v>4814</v>
      </c>
      <c r="DJ95" s="1">
        <v>29358</v>
      </c>
      <c r="DK95" s="1">
        <v>18592</v>
      </c>
      <c r="DL95" s="1">
        <v>10527</v>
      </c>
      <c r="DM95" s="1">
        <v>17353</v>
      </c>
      <c r="DN95" s="1">
        <v>17689</v>
      </c>
      <c r="DO95" s="1">
        <v>3569</v>
      </c>
      <c r="DP95" s="1">
        <v>8463</v>
      </c>
      <c r="DQ95" s="1">
        <v>63994</v>
      </c>
      <c r="DR95" s="1">
        <v>3337</v>
      </c>
      <c r="DS95" s="1">
        <v>6260</v>
      </c>
      <c r="DT95" s="1">
        <v>875</v>
      </c>
      <c r="DU95" s="1">
        <v>10253</v>
      </c>
      <c r="DV95" s="1">
        <v>5303</v>
      </c>
      <c r="DW95" s="1">
        <v>4716</v>
      </c>
      <c r="DX95" s="1">
        <v>12308</v>
      </c>
      <c r="DY95" s="1">
        <v>1852</v>
      </c>
      <c r="DZ95" s="1">
        <v>2353</v>
      </c>
      <c r="EA95" s="1">
        <v>10837</v>
      </c>
      <c r="EB95" s="1">
        <v>5797</v>
      </c>
      <c r="EC95" s="1">
        <v>749</v>
      </c>
      <c r="ED95" s="1">
        <v>1046</v>
      </c>
      <c r="EE95" s="1">
        <v>36246</v>
      </c>
      <c r="EF95" s="1">
        <v>3798</v>
      </c>
      <c r="EG95" s="1">
        <v>12813</v>
      </c>
      <c r="EH95" s="1">
        <v>27695</v>
      </c>
      <c r="EJ95" s="1">
        <f t="shared" si="1"/>
        <v>1664566</v>
      </c>
    </row>
    <row r="96" spans="1:140" x14ac:dyDescent="0.25">
      <c r="A96" s="1" t="s">
        <v>232</v>
      </c>
      <c r="B96" s="1">
        <v>7081</v>
      </c>
      <c r="C96" s="1">
        <v>5692</v>
      </c>
      <c r="D96" s="1">
        <v>183</v>
      </c>
      <c r="E96" s="1">
        <v>2236</v>
      </c>
      <c r="F96" s="1">
        <v>6</v>
      </c>
      <c r="G96" s="1">
        <v>22</v>
      </c>
      <c r="H96" s="1">
        <v>16716</v>
      </c>
      <c r="I96" s="1">
        <v>105</v>
      </c>
      <c r="J96" s="1">
        <v>1487</v>
      </c>
      <c r="K96" s="1">
        <v>85</v>
      </c>
      <c r="L96" s="1">
        <v>1547</v>
      </c>
      <c r="M96" s="1">
        <v>144</v>
      </c>
      <c r="N96" s="1">
        <v>14023</v>
      </c>
      <c r="O96" s="1">
        <v>2167</v>
      </c>
      <c r="P96" s="1">
        <v>2202</v>
      </c>
      <c r="Q96" s="1">
        <v>8459</v>
      </c>
      <c r="R96" s="1">
        <v>48</v>
      </c>
      <c r="S96" s="1">
        <v>2631</v>
      </c>
      <c r="T96" s="1">
        <v>3282</v>
      </c>
      <c r="U96" s="1">
        <v>2805</v>
      </c>
      <c r="V96" s="1">
        <v>10304</v>
      </c>
      <c r="W96" s="1">
        <v>3266</v>
      </c>
      <c r="X96" s="1">
        <v>865</v>
      </c>
      <c r="Y96" s="1">
        <v>778</v>
      </c>
      <c r="Z96" s="1">
        <v>1144</v>
      </c>
      <c r="AA96" s="1">
        <v>574</v>
      </c>
      <c r="AB96" s="1">
        <v>5679</v>
      </c>
      <c r="AC96" s="1">
        <v>1150</v>
      </c>
      <c r="AD96" s="1">
        <v>601</v>
      </c>
      <c r="AE96" s="1">
        <v>1774</v>
      </c>
      <c r="AF96" s="1">
        <v>2148</v>
      </c>
      <c r="AG96">
        <v>32845</v>
      </c>
      <c r="AH96" s="1">
        <v>545</v>
      </c>
      <c r="AI96" s="1">
        <v>1198</v>
      </c>
      <c r="AJ96" s="1">
        <v>551</v>
      </c>
      <c r="AK96" s="1">
        <v>2804</v>
      </c>
      <c r="AL96" s="1">
        <v>3595</v>
      </c>
      <c r="AM96" s="1">
        <v>789</v>
      </c>
      <c r="AN96" s="1">
        <v>385</v>
      </c>
      <c r="AO96" s="1">
        <v>10278</v>
      </c>
      <c r="AP96" s="1">
        <v>931</v>
      </c>
      <c r="AQ96" s="1">
        <v>164</v>
      </c>
      <c r="AR96" s="1">
        <v>3157</v>
      </c>
      <c r="AS96" s="1">
        <v>7463</v>
      </c>
      <c r="AT96" s="1">
        <v>1620</v>
      </c>
      <c r="AU96" s="1">
        <v>3454</v>
      </c>
      <c r="AV96" s="1">
        <v>5392</v>
      </c>
      <c r="AW96" s="1">
        <v>4063</v>
      </c>
      <c r="AX96" s="1">
        <v>33859</v>
      </c>
      <c r="AY96" s="1">
        <v>239</v>
      </c>
      <c r="AZ96" s="1">
        <v>1017</v>
      </c>
      <c r="BA96" s="1">
        <v>9725</v>
      </c>
      <c r="BB96" s="1">
        <v>292</v>
      </c>
      <c r="BC96" s="1">
        <v>1033</v>
      </c>
      <c r="BD96" s="1">
        <v>8224</v>
      </c>
      <c r="BE96" s="1">
        <v>3755</v>
      </c>
      <c r="BF96" s="1">
        <v>2319</v>
      </c>
      <c r="BG96" s="1">
        <v>5571</v>
      </c>
      <c r="BH96" s="1">
        <v>2507</v>
      </c>
      <c r="BI96" s="1">
        <v>35912</v>
      </c>
      <c r="BJ96" s="1">
        <v>4317</v>
      </c>
      <c r="BK96" s="1">
        <v>6559</v>
      </c>
      <c r="BL96" s="1">
        <v>3176</v>
      </c>
      <c r="BM96" s="1">
        <v>6331</v>
      </c>
      <c r="BN96" s="1">
        <v>1172</v>
      </c>
      <c r="BO96" s="1">
        <v>1426</v>
      </c>
      <c r="BP96" s="1">
        <v>27289</v>
      </c>
      <c r="BQ96" s="1">
        <v>2854</v>
      </c>
      <c r="BR96" s="1">
        <v>87224</v>
      </c>
      <c r="BS96" s="1">
        <v>8344</v>
      </c>
      <c r="BT96" s="1">
        <v>9378</v>
      </c>
      <c r="BU96" s="1">
        <v>19356</v>
      </c>
      <c r="BV96" s="1">
        <v>3525</v>
      </c>
      <c r="BW96" s="1">
        <v>15387</v>
      </c>
      <c r="BX96" s="1">
        <v>2369</v>
      </c>
      <c r="BY96" s="1">
        <v>4821</v>
      </c>
      <c r="BZ96" s="1">
        <v>25019</v>
      </c>
      <c r="CA96" s="1">
        <v>2609</v>
      </c>
      <c r="CB96" s="1">
        <v>1183</v>
      </c>
      <c r="CC96" s="1">
        <v>7710</v>
      </c>
      <c r="CD96" s="1">
        <v>4225</v>
      </c>
      <c r="CE96" s="1">
        <v>4941</v>
      </c>
      <c r="CF96" s="1">
        <v>9104</v>
      </c>
      <c r="CG96" s="1">
        <v>122171</v>
      </c>
      <c r="CH96" s="1">
        <v>14539</v>
      </c>
      <c r="CI96" s="1">
        <v>27189</v>
      </c>
      <c r="CJ96" s="1">
        <v>6234</v>
      </c>
      <c r="CK96" s="1">
        <v>16141</v>
      </c>
      <c r="CL96" s="1">
        <v>10108</v>
      </c>
      <c r="CM96" s="1">
        <v>17508</v>
      </c>
      <c r="CN96" s="1">
        <v>47779</v>
      </c>
      <c r="CO96" s="1">
        <v>5566</v>
      </c>
      <c r="CP96" s="1">
        <v>3335</v>
      </c>
      <c r="CQ96" s="1">
        <v>4523</v>
      </c>
      <c r="CR96" s="1">
        <v>7853</v>
      </c>
      <c r="CS96" s="1">
        <v>33694</v>
      </c>
      <c r="CT96" s="1">
        <v>21254</v>
      </c>
      <c r="CU96" s="1">
        <v>2362</v>
      </c>
      <c r="CV96" s="1">
        <v>276272</v>
      </c>
      <c r="CW96" s="1">
        <v>5215</v>
      </c>
      <c r="CX96" s="1">
        <v>2016</v>
      </c>
      <c r="CY96" s="1">
        <v>25486</v>
      </c>
      <c r="CZ96" s="1">
        <v>2757</v>
      </c>
      <c r="DA96" s="1">
        <v>7005</v>
      </c>
      <c r="DB96" s="1">
        <v>12831</v>
      </c>
      <c r="DC96" s="1">
        <v>4078</v>
      </c>
      <c r="DD96" s="1">
        <v>2760</v>
      </c>
      <c r="DE96" s="1">
        <v>2165</v>
      </c>
      <c r="DF96" s="1">
        <v>54768</v>
      </c>
      <c r="DG96" s="1">
        <v>14619</v>
      </c>
      <c r="DH96" s="1">
        <v>17463</v>
      </c>
      <c r="DI96" s="1">
        <v>5157</v>
      </c>
      <c r="DJ96" s="1">
        <v>27382</v>
      </c>
      <c r="DK96" s="1">
        <v>18929</v>
      </c>
      <c r="DL96" s="1">
        <v>11172</v>
      </c>
      <c r="DM96" s="1">
        <v>16766</v>
      </c>
      <c r="DN96" s="1">
        <v>18481</v>
      </c>
      <c r="DO96" s="1">
        <v>3743</v>
      </c>
      <c r="DP96" s="1">
        <v>7487</v>
      </c>
      <c r="DQ96" s="1">
        <v>61140</v>
      </c>
      <c r="DR96" s="1">
        <v>3690</v>
      </c>
      <c r="DS96" s="1">
        <v>9094</v>
      </c>
      <c r="DT96" s="1">
        <v>732</v>
      </c>
      <c r="DU96" s="1">
        <v>10330</v>
      </c>
      <c r="DV96" s="1">
        <v>4436</v>
      </c>
      <c r="DW96" s="1">
        <v>5047</v>
      </c>
      <c r="DX96" s="1">
        <v>10241</v>
      </c>
      <c r="DY96" s="1">
        <v>1550</v>
      </c>
      <c r="DZ96" s="1">
        <v>2158</v>
      </c>
      <c r="EA96" s="1">
        <v>10657</v>
      </c>
      <c r="EB96" s="1">
        <v>4922</v>
      </c>
      <c r="EC96" s="1">
        <v>837</v>
      </c>
      <c r="ED96" s="1">
        <v>849</v>
      </c>
      <c r="EE96" s="1">
        <v>34721</v>
      </c>
      <c r="EF96" s="1">
        <v>3590</v>
      </c>
      <c r="EG96" s="1">
        <v>11830</v>
      </c>
      <c r="EH96" s="1">
        <v>26580</v>
      </c>
      <c r="EJ96" s="1">
        <f t="shared" si="1"/>
        <v>1620422</v>
      </c>
    </row>
    <row r="97" spans="1:140" x14ac:dyDescent="0.25">
      <c r="A97" s="1" t="s">
        <v>233</v>
      </c>
      <c r="B97" s="1">
        <v>5475</v>
      </c>
      <c r="C97" s="1">
        <v>4787</v>
      </c>
      <c r="D97" s="1">
        <v>154</v>
      </c>
      <c r="E97" s="1">
        <v>1704</v>
      </c>
      <c r="F97" s="1">
        <v>3</v>
      </c>
      <c r="G97" s="1">
        <v>10</v>
      </c>
      <c r="H97" s="1">
        <v>11520</v>
      </c>
      <c r="I97" s="1">
        <v>58</v>
      </c>
      <c r="J97" s="1">
        <v>1174</v>
      </c>
      <c r="K97" s="1">
        <v>34</v>
      </c>
      <c r="L97" s="1">
        <v>1218</v>
      </c>
      <c r="M97" s="1">
        <v>56</v>
      </c>
      <c r="N97" s="1">
        <v>12105</v>
      </c>
      <c r="O97" s="1">
        <v>1797</v>
      </c>
      <c r="P97" s="1">
        <v>1203</v>
      </c>
      <c r="Q97" s="1">
        <v>6134</v>
      </c>
      <c r="R97" s="1">
        <v>32</v>
      </c>
      <c r="S97" s="1">
        <v>2249</v>
      </c>
      <c r="T97" s="1">
        <v>2484</v>
      </c>
      <c r="U97" s="1">
        <v>1951</v>
      </c>
      <c r="V97" s="1">
        <v>9004</v>
      </c>
      <c r="W97" s="1">
        <v>2703</v>
      </c>
      <c r="X97" s="1">
        <v>690</v>
      </c>
      <c r="Y97" s="1">
        <v>814</v>
      </c>
      <c r="Z97" s="1">
        <v>894</v>
      </c>
      <c r="AA97" s="1">
        <v>569</v>
      </c>
      <c r="AB97" s="1">
        <v>4464</v>
      </c>
      <c r="AC97" s="1">
        <v>609</v>
      </c>
      <c r="AD97" s="1">
        <v>382</v>
      </c>
      <c r="AE97" s="1">
        <v>1327</v>
      </c>
      <c r="AF97" s="1">
        <v>1143</v>
      </c>
      <c r="AG97">
        <v>24066</v>
      </c>
      <c r="AH97" s="1">
        <v>404</v>
      </c>
      <c r="AI97" s="1">
        <v>952</v>
      </c>
      <c r="AJ97" s="1">
        <v>262</v>
      </c>
      <c r="AK97" s="1">
        <v>1774</v>
      </c>
      <c r="AL97" s="1">
        <v>2725</v>
      </c>
      <c r="AM97" s="1">
        <v>795</v>
      </c>
      <c r="AN97" s="1">
        <v>265</v>
      </c>
      <c r="AO97" s="1">
        <v>8899</v>
      </c>
      <c r="AP97" s="1">
        <v>707</v>
      </c>
      <c r="AQ97" s="1">
        <v>133</v>
      </c>
      <c r="AR97" s="1">
        <v>2130</v>
      </c>
      <c r="AS97" s="1">
        <v>6008</v>
      </c>
      <c r="AT97" s="1">
        <v>1301</v>
      </c>
      <c r="AU97" s="1">
        <v>2626</v>
      </c>
      <c r="AV97" s="1">
        <v>4035</v>
      </c>
      <c r="AW97" s="1">
        <v>2554</v>
      </c>
      <c r="AX97" s="1">
        <v>30537</v>
      </c>
      <c r="AY97" s="1">
        <v>203</v>
      </c>
      <c r="AZ97" s="1">
        <v>903</v>
      </c>
      <c r="BA97" s="1">
        <v>6797</v>
      </c>
      <c r="BB97" s="1">
        <v>141</v>
      </c>
      <c r="BC97" s="1">
        <v>829</v>
      </c>
      <c r="BD97" s="1">
        <v>6630</v>
      </c>
      <c r="BE97" s="1">
        <v>2662</v>
      </c>
      <c r="BF97" s="1">
        <v>1930</v>
      </c>
      <c r="BG97" s="1">
        <v>4835</v>
      </c>
      <c r="BH97" s="1">
        <v>2247</v>
      </c>
      <c r="BI97" s="1">
        <v>33713</v>
      </c>
      <c r="BJ97" s="1">
        <v>3935</v>
      </c>
      <c r="BK97" s="1">
        <v>6765</v>
      </c>
      <c r="BL97" s="1">
        <v>2851</v>
      </c>
      <c r="BM97" s="1">
        <v>5476</v>
      </c>
      <c r="BN97" s="1">
        <v>867</v>
      </c>
      <c r="BO97" s="1">
        <v>1483</v>
      </c>
      <c r="BP97" s="1">
        <v>22618</v>
      </c>
      <c r="BQ97" s="1">
        <v>2006</v>
      </c>
      <c r="BR97" s="1">
        <v>70167</v>
      </c>
      <c r="BS97" s="1">
        <v>7787</v>
      </c>
      <c r="BT97" s="1">
        <v>6553</v>
      </c>
      <c r="BU97" s="1">
        <v>14637</v>
      </c>
      <c r="BV97" s="1">
        <v>2808</v>
      </c>
      <c r="BW97" s="1">
        <v>11703</v>
      </c>
      <c r="BX97" s="1">
        <v>1995</v>
      </c>
      <c r="BY97" s="1">
        <v>4330</v>
      </c>
      <c r="BZ97" s="1">
        <v>22433</v>
      </c>
      <c r="CA97" s="1">
        <v>2225</v>
      </c>
      <c r="CB97" s="1">
        <v>843</v>
      </c>
      <c r="CC97" s="1">
        <v>7348</v>
      </c>
      <c r="CD97" s="1">
        <v>3661</v>
      </c>
      <c r="CE97" s="1">
        <v>4524</v>
      </c>
      <c r="CF97" s="1">
        <v>8005</v>
      </c>
      <c r="CG97" s="1">
        <v>104557</v>
      </c>
      <c r="CH97" s="1">
        <v>10600</v>
      </c>
      <c r="CI97" s="1">
        <v>21418</v>
      </c>
      <c r="CJ97" s="1">
        <v>4112</v>
      </c>
      <c r="CK97" s="1">
        <v>12915</v>
      </c>
      <c r="CL97" s="1">
        <v>8014</v>
      </c>
      <c r="CM97" s="1">
        <v>13745</v>
      </c>
      <c r="CN97" s="1">
        <v>36633</v>
      </c>
      <c r="CO97" s="1">
        <v>4190</v>
      </c>
      <c r="CP97" s="1">
        <v>2491</v>
      </c>
      <c r="CQ97" s="1">
        <v>3368</v>
      </c>
      <c r="CR97" s="1">
        <v>5332</v>
      </c>
      <c r="CS97" s="1">
        <v>26186</v>
      </c>
      <c r="CT97" s="1">
        <v>18153</v>
      </c>
      <c r="CU97" s="1">
        <v>1943</v>
      </c>
      <c r="CV97" s="1">
        <v>231309</v>
      </c>
      <c r="CW97" s="1">
        <v>3259</v>
      </c>
      <c r="CX97" s="1">
        <v>1508</v>
      </c>
      <c r="CY97" s="1">
        <v>18075</v>
      </c>
      <c r="CZ97" s="1">
        <v>1682</v>
      </c>
      <c r="DA97" s="1">
        <v>4787</v>
      </c>
      <c r="DB97" s="1">
        <v>10102</v>
      </c>
      <c r="DC97" s="1">
        <v>3042</v>
      </c>
      <c r="DD97" s="1">
        <v>1876</v>
      </c>
      <c r="DE97" s="1">
        <v>1542</v>
      </c>
      <c r="DF97" s="1">
        <v>41679</v>
      </c>
      <c r="DG97" s="1">
        <v>10609</v>
      </c>
      <c r="DH97" s="1">
        <v>12065</v>
      </c>
      <c r="DI97" s="1">
        <v>2620</v>
      </c>
      <c r="DJ97" s="1">
        <v>19658</v>
      </c>
      <c r="DK97" s="1">
        <v>16890</v>
      </c>
      <c r="DL97" s="1">
        <v>8618</v>
      </c>
      <c r="DM97" s="1">
        <v>12505</v>
      </c>
      <c r="DN97" s="1">
        <v>11437</v>
      </c>
      <c r="DO97" s="1">
        <v>3105</v>
      </c>
      <c r="DP97" s="1">
        <v>5922</v>
      </c>
      <c r="DQ97" s="1">
        <v>54923</v>
      </c>
      <c r="DR97" s="1">
        <v>3035</v>
      </c>
      <c r="DS97" s="1">
        <v>7122</v>
      </c>
      <c r="DT97" s="1">
        <v>578</v>
      </c>
      <c r="DU97" s="1">
        <v>7753</v>
      </c>
      <c r="DV97" s="1">
        <v>3528</v>
      </c>
      <c r="DW97" s="1">
        <v>3195</v>
      </c>
      <c r="DX97" s="1">
        <v>7502</v>
      </c>
      <c r="DY97" s="1">
        <v>1059</v>
      </c>
      <c r="DZ97" s="1">
        <v>1841</v>
      </c>
      <c r="EA97" s="1">
        <v>7749</v>
      </c>
      <c r="EB97" s="1">
        <v>3838</v>
      </c>
      <c r="EC97" s="1">
        <v>574</v>
      </c>
      <c r="ED97" s="1">
        <v>708</v>
      </c>
      <c r="EE97" s="1">
        <v>28097</v>
      </c>
      <c r="EF97" s="1">
        <v>2524</v>
      </c>
      <c r="EG97" s="1">
        <v>9519</v>
      </c>
      <c r="EH97" s="1">
        <v>22729</v>
      </c>
      <c r="EJ97" s="1">
        <f t="shared" si="1"/>
        <v>1305051</v>
      </c>
    </row>
    <row r="98" spans="1:140" x14ac:dyDescent="0.25">
      <c r="A98" s="1" t="s">
        <v>234</v>
      </c>
      <c r="B98" s="1">
        <v>7665</v>
      </c>
      <c r="C98" s="1">
        <v>5571</v>
      </c>
      <c r="D98" s="1">
        <v>226</v>
      </c>
      <c r="E98" s="1">
        <v>1905</v>
      </c>
      <c r="F98" s="1">
        <v>11</v>
      </c>
      <c r="G98" s="1">
        <v>14</v>
      </c>
      <c r="H98" s="1">
        <v>15595</v>
      </c>
      <c r="I98" s="1">
        <v>90</v>
      </c>
      <c r="J98" s="1">
        <v>1349</v>
      </c>
      <c r="K98" s="1">
        <v>71</v>
      </c>
      <c r="L98" s="1">
        <v>1542</v>
      </c>
      <c r="M98" s="1">
        <v>200</v>
      </c>
      <c r="N98" s="1">
        <v>13878</v>
      </c>
      <c r="O98" s="1">
        <v>2472</v>
      </c>
      <c r="P98" s="1">
        <v>1400</v>
      </c>
      <c r="Q98" s="1">
        <v>8268</v>
      </c>
      <c r="R98" s="1">
        <v>36</v>
      </c>
      <c r="S98" s="1">
        <v>2404</v>
      </c>
      <c r="T98" s="1">
        <v>3379</v>
      </c>
      <c r="U98" s="1">
        <v>2530</v>
      </c>
      <c r="V98" s="1">
        <v>9915</v>
      </c>
      <c r="W98" s="1">
        <v>3258</v>
      </c>
      <c r="X98" s="1">
        <v>901</v>
      </c>
      <c r="Y98" s="1">
        <v>992</v>
      </c>
      <c r="Z98" s="1">
        <v>1215</v>
      </c>
      <c r="AA98" s="1">
        <v>788</v>
      </c>
      <c r="AB98" s="1">
        <v>6346</v>
      </c>
      <c r="AC98" s="1">
        <v>1033</v>
      </c>
      <c r="AD98" s="1">
        <v>601</v>
      </c>
      <c r="AE98" s="1">
        <v>1639</v>
      </c>
      <c r="AF98" s="1">
        <v>1634</v>
      </c>
      <c r="AG98">
        <v>30768</v>
      </c>
      <c r="AH98" s="1">
        <v>582</v>
      </c>
      <c r="AI98" s="1">
        <v>1129</v>
      </c>
      <c r="AJ98" s="1">
        <v>549</v>
      </c>
      <c r="AK98" s="1">
        <v>2455</v>
      </c>
      <c r="AL98" s="1">
        <v>3408</v>
      </c>
      <c r="AM98" s="1">
        <v>1055</v>
      </c>
      <c r="AN98" s="1">
        <v>377</v>
      </c>
      <c r="AO98" s="1">
        <v>10397</v>
      </c>
      <c r="AP98" s="1">
        <v>989</v>
      </c>
      <c r="AQ98" s="1">
        <v>160</v>
      </c>
      <c r="AR98" s="1">
        <v>2812</v>
      </c>
      <c r="AS98" s="1">
        <v>7925</v>
      </c>
      <c r="AT98" s="1">
        <v>1858</v>
      </c>
      <c r="AU98" s="1">
        <v>3301</v>
      </c>
      <c r="AV98" s="1">
        <v>5183</v>
      </c>
      <c r="AW98" s="1">
        <v>3257</v>
      </c>
      <c r="AX98" s="1">
        <v>33132</v>
      </c>
      <c r="AY98" s="1">
        <v>299</v>
      </c>
      <c r="AZ98" s="1">
        <v>1133</v>
      </c>
      <c r="BA98" s="1">
        <v>8756</v>
      </c>
      <c r="BB98" s="1">
        <v>343</v>
      </c>
      <c r="BC98" s="1">
        <v>1269</v>
      </c>
      <c r="BD98" s="1">
        <v>9007</v>
      </c>
      <c r="BE98" s="1">
        <v>4597</v>
      </c>
      <c r="BF98" s="1">
        <v>1915</v>
      </c>
      <c r="BG98" s="1">
        <v>6619</v>
      </c>
      <c r="BH98" s="1">
        <v>2384</v>
      </c>
      <c r="BI98" s="1">
        <v>39237</v>
      </c>
      <c r="BJ98" s="1">
        <v>5198</v>
      </c>
      <c r="BK98" s="1">
        <v>7615</v>
      </c>
      <c r="BL98" s="1">
        <v>3433</v>
      </c>
      <c r="BM98" s="1">
        <v>5741</v>
      </c>
      <c r="BN98" s="1">
        <v>1459</v>
      </c>
      <c r="BO98" s="1">
        <v>1796</v>
      </c>
      <c r="BP98" s="1">
        <v>28365</v>
      </c>
      <c r="BQ98" s="1">
        <v>2939</v>
      </c>
      <c r="BR98" s="1">
        <v>89412</v>
      </c>
      <c r="BS98" s="1">
        <v>9182</v>
      </c>
      <c r="BT98" s="1">
        <v>9920</v>
      </c>
      <c r="BU98" s="1">
        <v>21696</v>
      </c>
      <c r="BV98" s="1">
        <v>3223</v>
      </c>
      <c r="BW98" s="1">
        <v>13769</v>
      </c>
      <c r="BX98" s="1">
        <v>2473</v>
      </c>
      <c r="BY98" s="1">
        <v>5652</v>
      </c>
      <c r="BZ98" s="1">
        <v>25607</v>
      </c>
      <c r="CA98" s="1">
        <v>2494</v>
      </c>
      <c r="CB98" s="1">
        <v>1140</v>
      </c>
      <c r="CC98" s="1">
        <v>7620</v>
      </c>
      <c r="CD98" s="1">
        <v>3567</v>
      </c>
      <c r="CE98" s="1">
        <v>4603</v>
      </c>
      <c r="CF98" s="1">
        <v>9314</v>
      </c>
      <c r="CG98" s="1">
        <v>115370</v>
      </c>
      <c r="CH98" s="1">
        <v>17586</v>
      </c>
      <c r="CI98" s="1">
        <v>35169</v>
      </c>
      <c r="CJ98" s="1">
        <v>7697</v>
      </c>
      <c r="CK98" s="1">
        <v>17633</v>
      </c>
      <c r="CL98" s="1">
        <v>11467</v>
      </c>
      <c r="CM98" s="1">
        <v>18784</v>
      </c>
      <c r="CN98" s="1">
        <v>53546</v>
      </c>
      <c r="CO98" s="1">
        <v>6410</v>
      </c>
      <c r="CP98" s="1">
        <v>3441</v>
      </c>
      <c r="CQ98" s="1">
        <v>4717</v>
      </c>
      <c r="CR98" s="1">
        <v>7863</v>
      </c>
      <c r="CS98" s="1">
        <v>35872</v>
      </c>
      <c r="CT98" s="1">
        <v>21667</v>
      </c>
      <c r="CU98" s="1">
        <v>2062</v>
      </c>
      <c r="CV98" s="1">
        <v>275894</v>
      </c>
      <c r="CW98" s="1">
        <v>6216</v>
      </c>
      <c r="CX98" s="1">
        <v>2020</v>
      </c>
      <c r="CY98" s="1">
        <v>29242</v>
      </c>
      <c r="CZ98" s="1">
        <v>2992</v>
      </c>
      <c r="DA98" s="1">
        <v>6814</v>
      </c>
      <c r="DB98" s="1">
        <v>14980</v>
      </c>
      <c r="DC98" s="1">
        <v>4861</v>
      </c>
      <c r="DD98" s="1">
        <v>4181</v>
      </c>
      <c r="DE98" s="1">
        <v>2246</v>
      </c>
      <c r="DF98" s="1">
        <v>61873</v>
      </c>
      <c r="DG98" s="1">
        <v>18325</v>
      </c>
      <c r="DH98" s="1">
        <v>20447</v>
      </c>
      <c r="DI98" s="1">
        <v>5652</v>
      </c>
      <c r="DJ98" s="1">
        <v>33390</v>
      </c>
      <c r="DK98" s="1">
        <v>20681</v>
      </c>
      <c r="DL98" s="1">
        <v>12325</v>
      </c>
      <c r="DM98" s="1">
        <v>16571</v>
      </c>
      <c r="DN98" s="1">
        <v>23821</v>
      </c>
      <c r="DO98" s="1">
        <v>3094</v>
      </c>
      <c r="DP98" s="1">
        <v>9593</v>
      </c>
      <c r="DQ98" s="1">
        <v>67268</v>
      </c>
      <c r="DR98" s="1">
        <v>3566</v>
      </c>
      <c r="DS98" s="1">
        <v>6568</v>
      </c>
      <c r="DT98" s="1">
        <v>854</v>
      </c>
      <c r="DU98" s="1">
        <v>11127</v>
      </c>
      <c r="DV98" s="1">
        <v>5847</v>
      </c>
      <c r="DW98" s="1">
        <v>5207</v>
      </c>
      <c r="DX98" s="1">
        <v>16158</v>
      </c>
      <c r="DY98" s="1">
        <v>2460</v>
      </c>
      <c r="DZ98" s="1">
        <v>2964</v>
      </c>
      <c r="EA98" s="1">
        <v>11198</v>
      </c>
      <c r="EB98" s="1">
        <v>7401</v>
      </c>
      <c r="EC98" s="1">
        <v>902</v>
      </c>
      <c r="ED98" s="1">
        <v>1210</v>
      </c>
      <c r="EE98" s="1">
        <v>38807</v>
      </c>
      <c r="EF98" s="1">
        <v>4159</v>
      </c>
      <c r="EG98" s="1">
        <v>14816</v>
      </c>
      <c r="EH98" s="1">
        <v>28434</v>
      </c>
      <c r="EJ98" s="1">
        <f t="shared" si="1"/>
        <v>1711490</v>
      </c>
    </row>
    <row r="99" spans="1:140" x14ac:dyDescent="0.25">
      <c r="A99" s="1" t="s">
        <v>235</v>
      </c>
      <c r="B99" s="1">
        <v>7384</v>
      </c>
      <c r="C99" s="1">
        <v>5964</v>
      </c>
      <c r="D99" s="1">
        <v>137</v>
      </c>
      <c r="E99" s="1">
        <v>2113</v>
      </c>
      <c r="F99" s="1">
        <v>9</v>
      </c>
      <c r="G99" s="1">
        <v>32</v>
      </c>
      <c r="H99" s="1">
        <v>14422</v>
      </c>
      <c r="I99" s="1">
        <v>98</v>
      </c>
      <c r="J99" s="1">
        <v>1620</v>
      </c>
      <c r="K99" s="1">
        <v>99</v>
      </c>
      <c r="L99" s="1">
        <v>1430</v>
      </c>
      <c r="M99" s="1">
        <v>141</v>
      </c>
      <c r="N99" s="1">
        <v>12190</v>
      </c>
      <c r="O99" s="1">
        <v>2103</v>
      </c>
      <c r="P99" s="1">
        <v>2591</v>
      </c>
      <c r="Q99" s="1">
        <v>8515</v>
      </c>
      <c r="R99" s="1">
        <v>24</v>
      </c>
      <c r="S99" s="1">
        <v>2088</v>
      </c>
      <c r="T99" s="1">
        <v>3330</v>
      </c>
      <c r="U99" s="1">
        <v>2836</v>
      </c>
      <c r="V99" s="1">
        <v>8427</v>
      </c>
      <c r="W99" s="1">
        <v>2981</v>
      </c>
      <c r="X99" s="1">
        <v>840</v>
      </c>
      <c r="Y99" s="1">
        <v>851</v>
      </c>
      <c r="Z99" s="1">
        <v>1764</v>
      </c>
      <c r="AA99" s="1">
        <v>942</v>
      </c>
      <c r="AB99" s="1">
        <v>5458</v>
      </c>
      <c r="AC99" s="1">
        <v>1031</v>
      </c>
      <c r="AD99" s="1">
        <v>663</v>
      </c>
      <c r="AE99" s="1">
        <v>1473</v>
      </c>
      <c r="AF99" s="1">
        <v>1670</v>
      </c>
      <c r="AG99">
        <v>30059</v>
      </c>
      <c r="AH99" s="1">
        <v>458</v>
      </c>
      <c r="AI99" s="1">
        <v>1251</v>
      </c>
      <c r="AJ99" s="1">
        <v>526</v>
      </c>
      <c r="AK99" s="1">
        <v>2327</v>
      </c>
      <c r="AL99" s="1">
        <v>2931</v>
      </c>
      <c r="AM99" s="1">
        <v>937</v>
      </c>
      <c r="AN99" s="1">
        <v>302</v>
      </c>
      <c r="AO99" s="1">
        <v>9488</v>
      </c>
      <c r="AP99" s="1">
        <v>827</v>
      </c>
      <c r="AQ99" s="1">
        <v>119</v>
      </c>
      <c r="AR99" s="1">
        <v>3007</v>
      </c>
      <c r="AS99" s="1">
        <v>7493</v>
      </c>
      <c r="AT99" s="1">
        <v>1586</v>
      </c>
      <c r="AU99" s="1">
        <v>2492</v>
      </c>
      <c r="AV99" s="1">
        <v>4282</v>
      </c>
      <c r="AW99" s="1">
        <v>2982</v>
      </c>
      <c r="AX99" s="1">
        <v>30931</v>
      </c>
      <c r="AY99" s="1">
        <v>341</v>
      </c>
      <c r="AZ99" s="1">
        <v>706</v>
      </c>
      <c r="BA99" s="1">
        <v>7197</v>
      </c>
      <c r="BB99" s="1">
        <v>260</v>
      </c>
      <c r="BC99" s="1">
        <v>1141</v>
      </c>
      <c r="BD99" s="1">
        <v>8381</v>
      </c>
      <c r="BE99" s="1">
        <v>4240</v>
      </c>
      <c r="BF99" s="1">
        <v>1712</v>
      </c>
      <c r="BG99" s="1">
        <v>6670</v>
      </c>
      <c r="BH99" s="1">
        <v>2071</v>
      </c>
      <c r="BI99" s="1">
        <v>31434</v>
      </c>
      <c r="BJ99" s="1">
        <v>5180</v>
      </c>
      <c r="BK99" s="1">
        <v>6054</v>
      </c>
      <c r="BL99" s="1">
        <v>3355</v>
      </c>
      <c r="BM99" s="1">
        <v>5576</v>
      </c>
      <c r="BN99" s="1">
        <v>1326</v>
      </c>
      <c r="BO99" s="1">
        <v>1279</v>
      </c>
      <c r="BP99" s="1">
        <v>30570</v>
      </c>
      <c r="BQ99" s="1">
        <v>2898</v>
      </c>
      <c r="BR99" s="1">
        <v>91563</v>
      </c>
      <c r="BS99" s="1">
        <v>9811</v>
      </c>
      <c r="BT99" s="1">
        <v>10934</v>
      </c>
      <c r="BU99" s="1">
        <v>20590</v>
      </c>
      <c r="BV99" s="1">
        <v>3611</v>
      </c>
      <c r="BW99" s="1">
        <v>13976</v>
      </c>
      <c r="BX99" s="1">
        <v>2578</v>
      </c>
      <c r="BY99" s="1">
        <v>5636</v>
      </c>
      <c r="BZ99" s="1">
        <v>24449</v>
      </c>
      <c r="CA99" s="1">
        <v>2727</v>
      </c>
      <c r="CB99" s="1">
        <v>1189</v>
      </c>
      <c r="CC99" s="1">
        <v>8198</v>
      </c>
      <c r="CD99" s="1">
        <v>3842</v>
      </c>
      <c r="CE99" s="1">
        <v>4001</v>
      </c>
      <c r="CF99" s="1">
        <v>9081</v>
      </c>
      <c r="CG99" s="1">
        <v>119767</v>
      </c>
      <c r="CH99" s="1">
        <v>24827</v>
      </c>
      <c r="CI99" s="1">
        <v>37408</v>
      </c>
      <c r="CJ99" s="1">
        <v>10563</v>
      </c>
      <c r="CK99" s="1">
        <v>17943</v>
      </c>
      <c r="CL99" s="1">
        <v>12625</v>
      </c>
      <c r="CM99" s="1">
        <v>20472</v>
      </c>
      <c r="CN99" s="1">
        <v>55389</v>
      </c>
      <c r="CO99" s="1">
        <v>7942</v>
      </c>
      <c r="CP99" s="1">
        <v>4004</v>
      </c>
      <c r="CQ99" s="1">
        <v>5531</v>
      </c>
      <c r="CR99" s="1">
        <v>7673</v>
      </c>
      <c r="CS99" s="1">
        <v>35587</v>
      </c>
      <c r="CT99" s="1">
        <v>21904</v>
      </c>
      <c r="CU99" s="1">
        <v>2270</v>
      </c>
      <c r="CV99" s="1">
        <v>291520</v>
      </c>
      <c r="CW99" s="1">
        <v>7063</v>
      </c>
      <c r="CX99" s="1">
        <v>2224</v>
      </c>
      <c r="CY99" s="1">
        <v>30612</v>
      </c>
      <c r="CZ99" s="1">
        <v>2824</v>
      </c>
      <c r="DA99" s="1">
        <v>7450</v>
      </c>
      <c r="DB99" s="1">
        <v>15722</v>
      </c>
      <c r="DC99" s="1">
        <v>5259</v>
      </c>
      <c r="DD99" s="1">
        <v>3788</v>
      </c>
      <c r="DE99" s="1">
        <v>2310</v>
      </c>
      <c r="DF99" s="1">
        <v>60357</v>
      </c>
      <c r="DG99" s="1">
        <v>18591</v>
      </c>
      <c r="DH99" s="1">
        <v>24085</v>
      </c>
      <c r="DI99" s="1">
        <v>6474</v>
      </c>
      <c r="DJ99" s="1">
        <v>37786</v>
      </c>
      <c r="DK99" s="1">
        <v>19312</v>
      </c>
      <c r="DL99" s="1">
        <v>12402</v>
      </c>
      <c r="DM99" s="1">
        <v>16347</v>
      </c>
      <c r="DN99" s="1">
        <v>26102</v>
      </c>
      <c r="DO99" s="1">
        <v>3056</v>
      </c>
      <c r="DP99" s="1">
        <v>10900</v>
      </c>
      <c r="DQ99" s="1">
        <v>63820</v>
      </c>
      <c r="DR99" s="1">
        <v>3933</v>
      </c>
      <c r="DS99" s="1">
        <v>5890</v>
      </c>
      <c r="DT99" s="1">
        <v>712</v>
      </c>
      <c r="DU99" s="1">
        <v>11513</v>
      </c>
      <c r="DV99" s="1">
        <v>6004</v>
      </c>
      <c r="DW99" s="1">
        <v>5775</v>
      </c>
      <c r="DX99" s="1">
        <v>14471</v>
      </c>
      <c r="DY99" s="1">
        <v>2085</v>
      </c>
      <c r="DZ99" s="1">
        <v>2921</v>
      </c>
      <c r="EA99" s="1">
        <v>10714</v>
      </c>
      <c r="EB99" s="1">
        <v>6609</v>
      </c>
      <c r="EC99" s="1">
        <v>762</v>
      </c>
      <c r="ED99" s="1">
        <v>1117</v>
      </c>
      <c r="EE99" s="1">
        <v>38194</v>
      </c>
      <c r="EF99" s="1">
        <v>4093</v>
      </c>
      <c r="EG99" s="1">
        <v>16768</v>
      </c>
      <c r="EH99" s="1">
        <v>28791</v>
      </c>
      <c r="EJ99" s="1">
        <f t="shared" si="1"/>
        <v>1740062</v>
      </c>
    </row>
    <row r="100" spans="1:140" x14ac:dyDescent="0.25">
      <c r="A100" s="1" t="s">
        <v>236</v>
      </c>
      <c r="B100" s="1">
        <v>6424</v>
      </c>
      <c r="C100" s="1">
        <v>6261</v>
      </c>
      <c r="D100" s="1">
        <v>216</v>
      </c>
      <c r="E100" s="1">
        <v>1822</v>
      </c>
      <c r="F100" s="1">
        <v>12</v>
      </c>
      <c r="G100" s="1">
        <v>25</v>
      </c>
      <c r="H100" s="1">
        <v>16177</v>
      </c>
      <c r="I100" s="1">
        <v>103</v>
      </c>
      <c r="J100" s="1">
        <v>1806</v>
      </c>
      <c r="K100" s="1">
        <v>75</v>
      </c>
      <c r="L100" s="1">
        <v>1524</v>
      </c>
      <c r="M100" s="1">
        <v>62</v>
      </c>
      <c r="N100" s="1">
        <v>12286</v>
      </c>
      <c r="O100" s="1">
        <v>2049</v>
      </c>
      <c r="P100" s="1">
        <v>2999</v>
      </c>
      <c r="Q100" s="1">
        <v>9279</v>
      </c>
      <c r="R100" s="1">
        <v>19</v>
      </c>
      <c r="S100" s="1">
        <v>2451</v>
      </c>
      <c r="T100" s="1">
        <v>2961</v>
      </c>
      <c r="U100" s="1">
        <v>3086</v>
      </c>
      <c r="V100" s="1">
        <v>8559</v>
      </c>
      <c r="W100" s="1">
        <v>2829</v>
      </c>
      <c r="X100" s="1">
        <v>767</v>
      </c>
      <c r="Y100" s="1">
        <v>931</v>
      </c>
      <c r="Z100" s="1">
        <v>1389</v>
      </c>
      <c r="AA100" s="1">
        <v>734</v>
      </c>
      <c r="AB100" s="1">
        <v>6290</v>
      </c>
      <c r="AC100" s="1">
        <v>1571</v>
      </c>
      <c r="AD100" s="1">
        <v>583</v>
      </c>
      <c r="AE100" s="1">
        <v>1563</v>
      </c>
      <c r="AF100" s="1">
        <v>1619</v>
      </c>
      <c r="AG100">
        <v>30993</v>
      </c>
      <c r="AH100" s="1">
        <v>534</v>
      </c>
      <c r="AI100" s="1">
        <v>1374</v>
      </c>
      <c r="AJ100" s="1">
        <v>478</v>
      </c>
      <c r="AK100" s="1">
        <v>2309</v>
      </c>
      <c r="AL100" s="1">
        <v>3225</v>
      </c>
      <c r="AM100" s="1">
        <v>957</v>
      </c>
      <c r="AN100" s="1">
        <v>356</v>
      </c>
      <c r="AO100" s="1">
        <v>11048</v>
      </c>
      <c r="AP100" s="1">
        <v>973</v>
      </c>
      <c r="AQ100" s="1">
        <v>142</v>
      </c>
      <c r="AR100" s="1">
        <v>3156</v>
      </c>
      <c r="AS100" s="1">
        <v>7746</v>
      </c>
      <c r="AT100" s="1">
        <v>1853</v>
      </c>
      <c r="AU100" s="1">
        <v>2960</v>
      </c>
      <c r="AV100" s="1">
        <v>5123</v>
      </c>
      <c r="AW100" s="1">
        <v>2783</v>
      </c>
      <c r="AX100" s="1">
        <v>36972</v>
      </c>
      <c r="AY100" s="1">
        <v>442</v>
      </c>
      <c r="AZ100" s="1">
        <v>962</v>
      </c>
      <c r="BA100" s="1">
        <v>6851</v>
      </c>
      <c r="BB100" s="1">
        <v>265</v>
      </c>
      <c r="BC100" s="1">
        <v>1316</v>
      </c>
      <c r="BD100" s="1">
        <v>9023</v>
      </c>
      <c r="BE100" s="1">
        <v>4797</v>
      </c>
      <c r="BF100" s="1">
        <v>2035</v>
      </c>
      <c r="BG100" s="1">
        <v>7271</v>
      </c>
      <c r="BH100" s="1">
        <v>2295</v>
      </c>
      <c r="BI100" s="1">
        <v>39290</v>
      </c>
      <c r="BJ100" s="1">
        <v>5602</v>
      </c>
      <c r="BK100" s="1">
        <v>7351</v>
      </c>
      <c r="BL100" s="1">
        <v>3722</v>
      </c>
      <c r="BM100" s="1">
        <v>6276</v>
      </c>
      <c r="BN100" s="1">
        <v>1672</v>
      </c>
      <c r="BO100" s="1">
        <v>1329</v>
      </c>
      <c r="BP100" s="1">
        <v>33996</v>
      </c>
      <c r="BQ100" s="1">
        <v>3073</v>
      </c>
      <c r="BR100" s="1">
        <v>101549</v>
      </c>
      <c r="BS100" s="1">
        <v>11687</v>
      </c>
      <c r="BT100" s="1">
        <v>12424</v>
      </c>
      <c r="BU100" s="1">
        <v>22080</v>
      </c>
      <c r="BV100" s="1">
        <v>3818</v>
      </c>
      <c r="BW100" s="1">
        <v>18374</v>
      </c>
      <c r="BX100" s="1">
        <v>3091</v>
      </c>
      <c r="BY100" s="1">
        <v>7327</v>
      </c>
      <c r="BZ100" s="1">
        <v>27390</v>
      </c>
      <c r="CA100" s="1">
        <v>2976</v>
      </c>
      <c r="CB100" s="1">
        <v>1519</v>
      </c>
      <c r="CC100" s="1">
        <v>8735</v>
      </c>
      <c r="CD100" s="1">
        <v>5107</v>
      </c>
      <c r="CE100" s="1">
        <v>4388</v>
      </c>
      <c r="CF100" s="1">
        <v>9658</v>
      </c>
      <c r="CG100" s="1">
        <v>129190</v>
      </c>
      <c r="CH100" s="1">
        <v>23316</v>
      </c>
      <c r="CI100" s="1">
        <v>36667</v>
      </c>
      <c r="CJ100" s="1">
        <v>11479</v>
      </c>
      <c r="CK100" s="1">
        <v>19495</v>
      </c>
      <c r="CL100" s="1">
        <v>13199</v>
      </c>
      <c r="CM100" s="1">
        <v>21685</v>
      </c>
      <c r="CN100" s="1">
        <v>57050</v>
      </c>
      <c r="CO100" s="1">
        <v>7690</v>
      </c>
      <c r="CP100" s="1">
        <v>4310</v>
      </c>
      <c r="CQ100" s="1">
        <v>5309</v>
      </c>
      <c r="CR100" s="1">
        <v>7889</v>
      </c>
      <c r="CS100" s="1">
        <v>39279</v>
      </c>
      <c r="CT100" s="1">
        <v>22015</v>
      </c>
      <c r="CU100" s="1">
        <v>2284</v>
      </c>
      <c r="CV100" s="1">
        <v>318314</v>
      </c>
      <c r="CW100" s="1">
        <v>9091</v>
      </c>
      <c r="CX100" s="1">
        <v>2710</v>
      </c>
      <c r="CY100" s="1">
        <v>31950</v>
      </c>
      <c r="CZ100" s="1">
        <v>3358</v>
      </c>
      <c r="DA100" s="1">
        <v>7243</v>
      </c>
      <c r="DB100" s="1">
        <v>16789</v>
      </c>
      <c r="DC100" s="1">
        <v>5269</v>
      </c>
      <c r="DD100" s="1">
        <v>3515</v>
      </c>
      <c r="DE100" s="1">
        <v>2649</v>
      </c>
      <c r="DF100" s="1">
        <v>66499</v>
      </c>
      <c r="DG100" s="1">
        <v>17551</v>
      </c>
      <c r="DH100" s="1">
        <v>23054</v>
      </c>
      <c r="DI100" s="1">
        <v>5117</v>
      </c>
      <c r="DJ100" s="1">
        <v>35456</v>
      </c>
      <c r="DK100" s="1">
        <v>21831</v>
      </c>
      <c r="DL100" s="1">
        <v>13905</v>
      </c>
      <c r="DM100" s="1">
        <v>17836</v>
      </c>
      <c r="DN100" s="1">
        <v>23978</v>
      </c>
      <c r="DO100" s="1">
        <v>4789</v>
      </c>
      <c r="DP100" s="1">
        <v>14468</v>
      </c>
      <c r="DQ100" s="1">
        <v>78148</v>
      </c>
      <c r="DR100" s="1">
        <v>4909</v>
      </c>
      <c r="DS100" s="1">
        <v>7508</v>
      </c>
      <c r="DT100" s="1">
        <v>926</v>
      </c>
      <c r="DU100" s="1">
        <v>11399</v>
      </c>
      <c r="DV100" s="1">
        <v>6759</v>
      </c>
      <c r="DW100" s="1">
        <v>6748</v>
      </c>
      <c r="DX100" s="1">
        <v>12952</v>
      </c>
      <c r="DY100" s="1">
        <v>1918</v>
      </c>
      <c r="DZ100" s="1">
        <v>3717</v>
      </c>
      <c r="EA100" s="1">
        <v>11441</v>
      </c>
      <c r="EB100" s="1">
        <v>5699</v>
      </c>
      <c r="EC100" s="1">
        <v>888</v>
      </c>
      <c r="ED100" s="1">
        <v>1278</v>
      </c>
      <c r="EE100" s="1">
        <v>42047</v>
      </c>
      <c r="EF100" s="1">
        <v>5268</v>
      </c>
      <c r="EG100" s="1">
        <v>16317</v>
      </c>
      <c r="EH100" s="1">
        <v>29831</v>
      </c>
      <c r="EJ100" s="1">
        <f t="shared" si="1"/>
        <v>1881127</v>
      </c>
    </row>
    <row r="101" spans="1:140" x14ac:dyDescent="0.25">
      <c r="A101" s="1" t="s">
        <v>237</v>
      </c>
      <c r="B101" s="1">
        <v>5601</v>
      </c>
      <c r="C101" s="1">
        <v>5888</v>
      </c>
      <c r="D101" s="1">
        <v>255</v>
      </c>
      <c r="E101" s="1">
        <v>2409</v>
      </c>
      <c r="F101" s="1">
        <v>26</v>
      </c>
      <c r="G101" s="1">
        <v>34</v>
      </c>
      <c r="H101" s="1">
        <v>16128</v>
      </c>
      <c r="I101" s="1">
        <v>75</v>
      </c>
      <c r="J101" s="1">
        <v>1529</v>
      </c>
      <c r="K101" s="1">
        <v>54</v>
      </c>
      <c r="L101" s="1">
        <v>1300</v>
      </c>
      <c r="M101" s="1">
        <v>109</v>
      </c>
      <c r="N101" s="1">
        <v>13072</v>
      </c>
      <c r="O101" s="1">
        <v>2095</v>
      </c>
      <c r="P101" s="1">
        <v>1977</v>
      </c>
      <c r="Q101" s="1">
        <v>10042</v>
      </c>
      <c r="R101" s="1">
        <v>29</v>
      </c>
      <c r="S101" s="1">
        <v>2465</v>
      </c>
      <c r="T101" s="1">
        <v>2689</v>
      </c>
      <c r="U101" s="1">
        <v>2974</v>
      </c>
      <c r="V101" s="1">
        <v>9100</v>
      </c>
      <c r="W101" s="1">
        <v>3009</v>
      </c>
      <c r="X101" s="1">
        <v>715</v>
      </c>
      <c r="Y101" s="1">
        <v>852</v>
      </c>
      <c r="Z101" s="1">
        <v>1140</v>
      </c>
      <c r="AA101" s="1">
        <v>567</v>
      </c>
      <c r="AB101" s="1">
        <v>5481</v>
      </c>
      <c r="AC101" s="1">
        <v>1258</v>
      </c>
      <c r="AD101" s="1">
        <v>407</v>
      </c>
      <c r="AE101" s="1">
        <v>1505</v>
      </c>
      <c r="AF101" s="1">
        <v>1579</v>
      </c>
      <c r="AG101">
        <v>30874</v>
      </c>
      <c r="AH101" s="1">
        <v>621</v>
      </c>
      <c r="AI101" s="1">
        <v>1296</v>
      </c>
      <c r="AJ101" s="1">
        <v>556</v>
      </c>
      <c r="AK101" s="1">
        <v>2160</v>
      </c>
      <c r="AL101" s="1">
        <v>3042</v>
      </c>
      <c r="AM101" s="1">
        <v>1060</v>
      </c>
      <c r="AN101" s="1">
        <v>308</v>
      </c>
      <c r="AO101" s="1">
        <v>10309</v>
      </c>
      <c r="AP101" s="1">
        <v>846</v>
      </c>
      <c r="AQ101" s="1">
        <v>100</v>
      </c>
      <c r="AR101" s="1">
        <v>3805</v>
      </c>
      <c r="AS101" s="1">
        <v>7896</v>
      </c>
      <c r="AT101" s="1">
        <v>1406</v>
      </c>
      <c r="AU101" s="1">
        <v>4357</v>
      </c>
      <c r="AV101" s="1">
        <v>4865</v>
      </c>
      <c r="AW101" s="1">
        <v>3376</v>
      </c>
      <c r="AX101" s="1">
        <v>33865</v>
      </c>
      <c r="AY101" s="1">
        <v>276</v>
      </c>
      <c r="AZ101" s="1">
        <v>839</v>
      </c>
      <c r="BA101" s="1">
        <v>7109</v>
      </c>
      <c r="BB101" s="1">
        <v>237</v>
      </c>
      <c r="BC101" s="1">
        <v>1043</v>
      </c>
      <c r="BD101" s="1">
        <v>7529</v>
      </c>
      <c r="BE101" s="1">
        <v>3954</v>
      </c>
      <c r="BF101" s="1">
        <v>3806</v>
      </c>
      <c r="BG101" s="1">
        <v>6424</v>
      </c>
      <c r="BH101" s="1">
        <v>1883</v>
      </c>
      <c r="BI101" s="1">
        <v>38629</v>
      </c>
      <c r="BJ101" s="1">
        <v>5352</v>
      </c>
      <c r="BK101" s="1">
        <v>9363</v>
      </c>
      <c r="BL101" s="1">
        <v>3596</v>
      </c>
      <c r="BM101" s="1">
        <v>6009</v>
      </c>
      <c r="BN101" s="1">
        <v>1410</v>
      </c>
      <c r="BO101" s="1">
        <v>1255</v>
      </c>
      <c r="BP101" s="1">
        <v>30949</v>
      </c>
      <c r="BQ101" s="1">
        <v>2747</v>
      </c>
      <c r="BR101" s="1">
        <v>96290</v>
      </c>
      <c r="BS101" s="1">
        <v>10098</v>
      </c>
      <c r="BT101" s="1">
        <v>11578</v>
      </c>
      <c r="BU101" s="1">
        <v>24504</v>
      </c>
      <c r="BV101" s="1">
        <v>3378</v>
      </c>
      <c r="BW101" s="1">
        <v>16902</v>
      </c>
      <c r="BX101" s="1">
        <v>3462</v>
      </c>
      <c r="BY101" s="1">
        <v>11347</v>
      </c>
      <c r="BZ101" s="1">
        <v>25513</v>
      </c>
      <c r="CA101" s="1">
        <v>3166</v>
      </c>
      <c r="CB101" s="1">
        <v>1242</v>
      </c>
      <c r="CC101" s="1">
        <v>8393</v>
      </c>
      <c r="CD101" s="1">
        <v>4315</v>
      </c>
      <c r="CE101" s="1">
        <v>4016</v>
      </c>
      <c r="CF101" s="1">
        <v>9014</v>
      </c>
      <c r="CG101" s="1">
        <v>122683</v>
      </c>
      <c r="CH101" s="1">
        <v>21876</v>
      </c>
      <c r="CI101" s="1">
        <v>40037</v>
      </c>
      <c r="CJ101" s="1">
        <v>12552</v>
      </c>
      <c r="CK101" s="1">
        <v>22326</v>
      </c>
      <c r="CL101" s="1">
        <v>12945</v>
      </c>
      <c r="CM101" s="1">
        <v>22553</v>
      </c>
      <c r="CN101" s="1">
        <v>57917</v>
      </c>
      <c r="CO101" s="1">
        <v>8738</v>
      </c>
      <c r="CP101" s="1">
        <v>4047</v>
      </c>
      <c r="CQ101" s="1">
        <v>5800</v>
      </c>
      <c r="CR101" s="1">
        <v>7939</v>
      </c>
      <c r="CS101" s="1">
        <v>37608</v>
      </c>
      <c r="CT101" s="1">
        <v>21196</v>
      </c>
      <c r="CU101" s="1">
        <v>1963</v>
      </c>
      <c r="CV101" s="1">
        <v>298344</v>
      </c>
      <c r="CW101" s="1">
        <v>10472</v>
      </c>
      <c r="CX101" s="1">
        <v>2148</v>
      </c>
      <c r="CY101" s="1">
        <v>29917</v>
      </c>
      <c r="CZ101" s="1">
        <v>4754</v>
      </c>
      <c r="DA101" s="1">
        <v>6634</v>
      </c>
      <c r="DB101" s="1">
        <v>14284</v>
      </c>
      <c r="DC101" s="1">
        <v>4815</v>
      </c>
      <c r="DD101" s="1">
        <v>3170</v>
      </c>
      <c r="DE101" s="1">
        <v>2098</v>
      </c>
      <c r="DF101" s="1">
        <v>59841</v>
      </c>
      <c r="DG101" s="1">
        <v>15015</v>
      </c>
      <c r="DH101" s="1">
        <v>19833</v>
      </c>
      <c r="DI101" s="1">
        <v>4005</v>
      </c>
      <c r="DJ101" s="1">
        <v>29892</v>
      </c>
      <c r="DK101" s="1">
        <v>19131</v>
      </c>
      <c r="DL101" s="1">
        <v>11157</v>
      </c>
      <c r="DM101" s="1">
        <v>15318</v>
      </c>
      <c r="DN101" s="1">
        <v>20733</v>
      </c>
      <c r="DO101" s="1">
        <v>3637</v>
      </c>
      <c r="DP101" s="1">
        <v>11099</v>
      </c>
      <c r="DQ101" s="1">
        <v>68748</v>
      </c>
      <c r="DR101" s="1">
        <v>3052</v>
      </c>
      <c r="DS101" s="1">
        <v>6173</v>
      </c>
      <c r="DT101" s="1">
        <v>892</v>
      </c>
      <c r="DU101" s="1">
        <v>12508</v>
      </c>
      <c r="DV101" s="1">
        <v>6692</v>
      </c>
      <c r="DW101" s="1">
        <v>7560</v>
      </c>
      <c r="DX101" s="1">
        <v>12872</v>
      </c>
      <c r="DY101" s="1">
        <v>1776</v>
      </c>
      <c r="DZ101" s="1">
        <v>4825</v>
      </c>
      <c r="EA101" s="1">
        <v>12006</v>
      </c>
      <c r="EB101" s="1">
        <v>5838</v>
      </c>
      <c r="EC101" s="1">
        <v>882</v>
      </c>
      <c r="ED101" s="1">
        <v>1148</v>
      </c>
      <c r="EE101" s="1">
        <v>44784</v>
      </c>
      <c r="EF101" s="1">
        <v>5458</v>
      </c>
      <c r="EG101" s="1">
        <v>16839</v>
      </c>
      <c r="EH101" s="1">
        <v>28837</v>
      </c>
      <c r="EJ101" s="1">
        <f t="shared" si="1"/>
        <v>1798101</v>
      </c>
    </row>
    <row r="102" spans="1:140" x14ac:dyDescent="0.25">
      <c r="A102" s="1" t="s">
        <v>238</v>
      </c>
      <c r="B102" s="1">
        <v>7566</v>
      </c>
      <c r="C102" s="1">
        <v>6648</v>
      </c>
      <c r="D102" s="1">
        <v>335</v>
      </c>
      <c r="E102" s="1">
        <v>2617</v>
      </c>
      <c r="F102" s="1">
        <v>7</v>
      </c>
      <c r="G102" s="1">
        <v>30</v>
      </c>
      <c r="H102" s="1">
        <v>16162</v>
      </c>
      <c r="I102" s="1">
        <v>93</v>
      </c>
      <c r="J102" s="1">
        <v>1323</v>
      </c>
      <c r="K102" s="1">
        <v>92</v>
      </c>
      <c r="L102" s="1">
        <v>1372</v>
      </c>
      <c r="M102" s="1">
        <v>107</v>
      </c>
      <c r="N102" s="1">
        <v>12622</v>
      </c>
      <c r="O102" s="1">
        <v>2284</v>
      </c>
      <c r="P102" s="1">
        <v>2210</v>
      </c>
      <c r="Q102" s="1">
        <v>10120</v>
      </c>
      <c r="R102" s="1">
        <v>45</v>
      </c>
      <c r="S102" s="1">
        <v>2167</v>
      </c>
      <c r="T102" s="1">
        <v>2944</v>
      </c>
      <c r="U102" s="1">
        <v>3419</v>
      </c>
      <c r="V102" s="1">
        <v>10227</v>
      </c>
      <c r="W102" s="1">
        <v>3659</v>
      </c>
      <c r="X102" s="1">
        <v>1077</v>
      </c>
      <c r="Y102" s="1">
        <v>1027</v>
      </c>
      <c r="Z102" s="1">
        <v>1467</v>
      </c>
      <c r="AA102" s="1">
        <v>584</v>
      </c>
      <c r="AB102" s="1">
        <v>5976</v>
      </c>
      <c r="AC102" s="1">
        <v>1104</v>
      </c>
      <c r="AD102" s="1">
        <v>517</v>
      </c>
      <c r="AE102" s="1">
        <v>1399</v>
      </c>
      <c r="AF102" s="1">
        <v>1829</v>
      </c>
      <c r="AG102">
        <v>31398</v>
      </c>
      <c r="AH102" s="1">
        <v>600</v>
      </c>
      <c r="AI102" s="1">
        <v>1374</v>
      </c>
      <c r="AJ102" s="1">
        <v>502</v>
      </c>
      <c r="AK102" s="1">
        <v>2437</v>
      </c>
      <c r="AL102" s="1">
        <v>3325</v>
      </c>
      <c r="AM102" s="1">
        <v>964</v>
      </c>
      <c r="AN102" s="1">
        <v>291</v>
      </c>
      <c r="AO102" s="1">
        <v>9787</v>
      </c>
      <c r="AP102" s="1">
        <v>897</v>
      </c>
      <c r="AQ102" s="1">
        <v>114</v>
      </c>
      <c r="AR102" s="1">
        <v>4102</v>
      </c>
      <c r="AS102" s="1">
        <v>7691</v>
      </c>
      <c r="AT102" s="1">
        <v>1491</v>
      </c>
      <c r="AU102" s="1">
        <v>5176</v>
      </c>
      <c r="AV102" s="1">
        <v>5679</v>
      </c>
      <c r="AW102" s="1">
        <v>2806</v>
      </c>
      <c r="AX102" s="1">
        <v>36176</v>
      </c>
      <c r="AY102" s="1">
        <v>302</v>
      </c>
      <c r="AZ102" s="1">
        <v>979</v>
      </c>
      <c r="BA102" s="1">
        <v>7298</v>
      </c>
      <c r="BB102" s="1">
        <v>231</v>
      </c>
      <c r="BC102" s="1">
        <v>1004</v>
      </c>
      <c r="BD102" s="1">
        <v>7988</v>
      </c>
      <c r="BE102" s="1">
        <v>5622</v>
      </c>
      <c r="BF102" s="1">
        <v>3022</v>
      </c>
      <c r="BG102" s="1">
        <v>7000</v>
      </c>
      <c r="BH102" s="1">
        <v>1801</v>
      </c>
      <c r="BI102" s="1">
        <v>36311</v>
      </c>
      <c r="BJ102" s="1">
        <v>5820</v>
      </c>
      <c r="BK102" s="1">
        <v>9737</v>
      </c>
      <c r="BL102" s="1">
        <v>4623</v>
      </c>
      <c r="BM102" s="1">
        <v>6687</v>
      </c>
      <c r="BN102" s="1">
        <v>2032</v>
      </c>
      <c r="BO102" s="1">
        <v>1661</v>
      </c>
      <c r="BP102" s="1">
        <v>32631</v>
      </c>
      <c r="BQ102" s="1">
        <v>3500</v>
      </c>
      <c r="BR102" s="1">
        <v>94327</v>
      </c>
      <c r="BS102" s="1">
        <v>9900</v>
      </c>
      <c r="BT102" s="1">
        <v>13611</v>
      </c>
      <c r="BU102" s="1">
        <v>31285</v>
      </c>
      <c r="BV102" s="1">
        <v>3923</v>
      </c>
      <c r="BW102" s="1">
        <v>18448</v>
      </c>
      <c r="BX102" s="1">
        <v>4496</v>
      </c>
      <c r="BY102" s="1">
        <v>12968</v>
      </c>
      <c r="BZ102" s="1">
        <v>23687</v>
      </c>
      <c r="CA102" s="1">
        <v>3129</v>
      </c>
      <c r="CB102" s="1">
        <v>1504</v>
      </c>
      <c r="CC102" s="1">
        <v>10446</v>
      </c>
      <c r="CD102" s="1">
        <v>4157</v>
      </c>
      <c r="CE102" s="1">
        <v>4441</v>
      </c>
      <c r="CF102" s="1">
        <v>10087</v>
      </c>
      <c r="CG102" s="1">
        <v>121068</v>
      </c>
      <c r="CH102" s="1">
        <v>20346</v>
      </c>
      <c r="CI102" s="1">
        <v>42985</v>
      </c>
      <c r="CJ102" s="1">
        <v>11802</v>
      </c>
      <c r="CK102" s="1">
        <v>22212</v>
      </c>
      <c r="CL102" s="1">
        <v>14019</v>
      </c>
      <c r="CM102" s="1">
        <v>23846</v>
      </c>
      <c r="CN102" s="1">
        <v>55118</v>
      </c>
      <c r="CO102" s="1">
        <v>8170</v>
      </c>
      <c r="CP102" s="1">
        <v>4351</v>
      </c>
      <c r="CQ102" s="1">
        <v>6108</v>
      </c>
      <c r="CR102" s="1">
        <v>7707</v>
      </c>
      <c r="CS102" s="1">
        <v>36295</v>
      </c>
      <c r="CT102" s="1">
        <v>20272</v>
      </c>
      <c r="CU102" s="1">
        <v>1982</v>
      </c>
      <c r="CV102" s="1">
        <v>289241</v>
      </c>
      <c r="CW102" s="1">
        <v>7804</v>
      </c>
      <c r="CX102" s="1">
        <v>1909</v>
      </c>
      <c r="CY102" s="1">
        <v>28571</v>
      </c>
      <c r="CZ102" s="1">
        <v>3878</v>
      </c>
      <c r="DA102" s="1">
        <v>6097</v>
      </c>
      <c r="DB102" s="1">
        <v>14329</v>
      </c>
      <c r="DC102" s="1">
        <v>4677</v>
      </c>
      <c r="DD102" s="1">
        <v>3064</v>
      </c>
      <c r="DE102" s="1">
        <v>2307</v>
      </c>
      <c r="DF102" s="1">
        <v>58105</v>
      </c>
      <c r="DG102" s="1">
        <v>14910</v>
      </c>
      <c r="DH102" s="1">
        <v>19498</v>
      </c>
      <c r="DI102" s="1">
        <v>4303</v>
      </c>
      <c r="DJ102" s="1">
        <v>28396</v>
      </c>
      <c r="DK102" s="1">
        <v>18008</v>
      </c>
      <c r="DL102" s="1">
        <v>11146</v>
      </c>
      <c r="DM102" s="1">
        <v>14681</v>
      </c>
      <c r="DN102" s="1">
        <v>18443</v>
      </c>
      <c r="DO102" s="1">
        <v>3319</v>
      </c>
      <c r="DP102" s="1">
        <v>9596</v>
      </c>
      <c r="DQ102" s="1">
        <v>64745</v>
      </c>
      <c r="DR102" s="1">
        <v>2721</v>
      </c>
      <c r="DS102" s="1">
        <v>6179</v>
      </c>
      <c r="DT102" s="1">
        <v>971</v>
      </c>
      <c r="DU102" s="1">
        <v>11000</v>
      </c>
      <c r="DV102" s="1">
        <v>6268</v>
      </c>
      <c r="DW102" s="1">
        <v>5704</v>
      </c>
      <c r="DX102" s="1">
        <v>13144</v>
      </c>
      <c r="DY102" s="1">
        <v>1998</v>
      </c>
      <c r="DZ102" s="1">
        <v>3651</v>
      </c>
      <c r="EA102" s="1">
        <v>11476</v>
      </c>
      <c r="EB102" s="1">
        <v>5920</v>
      </c>
      <c r="EC102" s="1">
        <v>853</v>
      </c>
      <c r="ED102" s="1">
        <v>1192</v>
      </c>
      <c r="EE102" s="1">
        <v>39635</v>
      </c>
      <c r="EF102" s="1">
        <v>4990</v>
      </c>
      <c r="EG102" s="1">
        <v>15889</v>
      </c>
      <c r="EH102" s="1">
        <v>29679</v>
      </c>
      <c r="EJ102" s="1">
        <f t="shared" si="1"/>
        <v>1785075</v>
      </c>
    </row>
    <row r="103" spans="1:140" x14ac:dyDescent="0.25">
      <c r="A103" s="1" t="s">
        <v>239</v>
      </c>
      <c r="B103" s="1">
        <v>7346</v>
      </c>
      <c r="C103" s="1">
        <v>7391</v>
      </c>
      <c r="D103" s="1">
        <v>399</v>
      </c>
      <c r="E103" s="1">
        <v>2348</v>
      </c>
      <c r="F103" s="1">
        <v>18</v>
      </c>
      <c r="G103" s="1">
        <v>18</v>
      </c>
      <c r="H103" s="1">
        <v>16960</v>
      </c>
      <c r="I103" s="1">
        <v>114</v>
      </c>
      <c r="J103" s="1">
        <v>1608</v>
      </c>
      <c r="K103" s="1">
        <v>38</v>
      </c>
      <c r="L103" s="1">
        <v>1383</v>
      </c>
      <c r="M103" s="1">
        <v>161</v>
      </c>
      <c r="N103" s="1">
        <v>15357</v>
      </c>
      <c r="O103" s="1">
        <v>2747</v>
      </c>
      <c r="P103" s="1">
        <v>3271</v>
      </c>
      <c r="Q103" s="1">
        <v>11175</v>
      </c>
      <c r="R103" s="1">
        <v>59</v>
      </c>
      <c r="S103" s="1">
        <v>2821</v>
      </c>
      <c r="T103" s="1">
        <v>3223</v>
      </c>
      <c r="U103" s="1">
        <v>2805</v>
      </c>
      <c r="V103" s="1">
        <v>9851</v>
      </c>
      <c r="W103" s="1">
        <v>4039</v>
      </c>
      <c r="X103" s="1">
        <v>1049</v>
      </c>
      <c r="Y103" s="1">
        <v>1566</v>
      </c>
      <c r="Z103" s="1">
        <v>1814</v>
      </c>
      <c r="AA103" s="1">
        <v>785</v>
      </c>
      <c r="AB103" s="1">
        <v>7073</v>
      </c>
      <c r="AC103" s="1">
        <v>1303</v>
      </c>
      <c r="AD103" s="1">
        <v>509</v>
      </c>
      <c r="AE103" s="1">
        <v>2293</v>
      </c>
      <c r="AF103" s="1">
        <v>1687</v>
      </c>
      <c r="AG103">
        <v>31668</v>
      </c>
      <c r="AH103" s="1">
        <v>574</v>
      </c>
      <c r="AI103" s="1">
        <v>2327</v>
      </c>
      <c r="AJ103" s="1">
        <v>463</v>
      </c>
      <c r="AK103" s="1">
        <v>2329</v>
      </c>
      <c r="AL103" s="1">
        <v>3981</v>
      </c>
      <c r="AM103" s="1">
        <v>1063</v>
      </c>
      <c r="AN103" s="1">
        <v>397</v>
      </c>
      <c r="AO103" s="1">
        <v>10425</v>
      </c>
      <c r="AP103" s="1">
        <v>966</v>
      </c>
      <c r="AQ103" s="1">
        <v>110</v>
      </c>
      <c r="AR103" s="1">
        <v>3289</v>
      </c>
      <c r="AS103" s="1">
        <v>7144</v>
      </c>
      <c r="AT103" s="1">
        <v>1414</v>
      </c>
      <c r="AU103" s="1">
        <v>7645</v>
      </c>
      <c r="AV103" s="1">
        <v>5234</v>
      </c>
      <c r="AW103" s="1">
        <v>3826</v>
      </c>
      <c r="AX103" s="1">
        <v>34800</v>
      </c>
      <c r="AY103" s="1">
        <v>232</v>
      </c>
      <c r="AZ103" s="1">
        <v>890</v>
      </c>
      <c r="BA103" s="1">
        <v>8696</v>
      </c>
      <c r="BB103" s="1">
        <v>192</v>
      </c>
      <c r="BC103" s="1">
        <v>1161</v>
      </c>
      <c r="BD103" s="1">
        <v>8517</v>
      </c>
      <c r="BE103" s="1">
        <v>6210</v>
      </c>
      <c r="BF103" s="1">
        <v>3305</v>
      </c>
      <c r="BG103" s="1">
        <v>5587</v>
      </c>
      <c r="BH103" s="1">
        <v>1677</v>
      </c>
      <c r="BI103" s="1">
        <v>33641</v>
      </c>
      <c r="BJ103" s="1">
        <v>5689</v>
      </c>
      <c r="BK103" s="1">
        <v>7851</v>
      </c>
      <c r="BL103" s="1">
        <v>5418</v>
      </c>
      <c r="BM103" s="1">
        <v>6331</v>
      </c>
      <c r="BN103" s="1">
        <v>3380</v>
      </c>
      <c r="BO103" s="1">
        <v>1609</v>
      </c>
      <c r="BP103" s="1">
        <v>36478</v>
      </c>
      <c r="BQ103" s="1">
        <v>3298</v>
      </c>
      <c r="BR103" s="1">
        <v>93421</v>
      </c>
      <c r="BS103" s="1">
        <v>10202</v>
      </c>
      <c r="BT103" s="1">
        <v>12338</v>
      </c>
      <c r="BU103" s="1">
        <v>34907</v>
      </c>
      <c r="BV103" s="1">
        <v>4860</v>
      </c>
      <c r="BW103" s="1">
        <v>16903</v>
      </c>
      <c r="BX103" s="1">
        <v>3071</v>
      </c>
      <c r="BY103" s="1">
        <v>6897</v>
      </c>
      <c r="BZ103" s="1">
        <v>24862</v>
      </c>
      <c r="CA103" s="1">
        <v>3095</v>
      </c>
      <c r="CB103" s="1">
        <v>1455</v>
      </c>
      <c r="CC103" s="1">
        <v>9861</v>
      </c>
      <c r="CD103" s="1">
        <v>4331</v>
      </c>
      <c r="CE103" s="1">
        <v>4650</v>
      </c>
      <c r="CF103" s="1">
        <v>8762</v>
      </c>
      <c r="CG103" s="1">
        <v>122084</v>
      </c>
      <c r="CH103" s="1">
        <v>16997</v>
      </c>
      <c r="CI103" s="1">
        <v>36990</v>
      </c>
      <c r="CJ103" s="1">
        <v>8065</v>
      </c>
      <c r="CK103" s="1">
        <v>19017</v>
      </c>
      <c r="CL103" s="1">
        <v>14201</v>
      </c>
      <c r="CM103" s="1">
        <v>18353</v>
      </c>
      <c r="CN103" s="1">
        <v>51341</v>
      </c>
      <c r="CO103" s="1">
        <v>7391</v>
      </c>
      <c r="CP103" s="1">
        <v>3693</v>
      </c>
      <c r="CQ103" s="1">
        <v>6354</v>
      </c>
      <c r="CR103" s="1">
        <v>6913</v>
      </c>
      <c r="CS103" s="1">
        <v>33567</v>
      </c>
      <c r="CT103" s="1">
        <v>19104</v>
      </c>
      <c r="CU103" s="1">
        <v>1855</v>
      </c>
      <c r="CV103" s="1">
        <v>277437</v>
      </c>
      <c r="CW103" s="1">
        <v>7143</v>
      </c>
      <c r="CX103" s="1">
        <v>2503</v>
      </c>
      <c r="CY103" s="1">
        <v>26568</v>
      </c>
      <c r="CZ103" s="1">
        <v>3270</v>
      </c>
      <c r="DA103" s="1">
        <v>6359</v>
      </c>
      <c r="DB103" s="1">
        <v>13172</v>
      </c>
      <c r="DC103" s="1">
        <v>4574</v>
      </c>
      <c r="DD103" s="1">
        <v>3056</v>
      </c>
      <c r="DE103" s="1">
        <v>2253</v>
      </c>
      <c r="DF103" s="1">
        <v>55879</v>
      </c>
      <c r="DG103" s="1">
        <v>13443</v>
      </c>
      <c r="DH103" s="1">
        <v>17056</v>
      </c>
      <c r="DI103" s="1">
        <v>3880</v>
      </c>
      <c r="DJ103" s="1">
        <v>26754</v>
      </c>
      <c r="DK103" s="1">
        <v>17350</v>
      </c>
      <c r="DL103" s="1">
        <v>9843</v>
      </c>
      <c r="DM103" s="1">
        <v>14157</v>
      </c>
      <c r="DN103" s="1">
        <v>16464</v>
      </c>
      <c r="DO103" s="1">
        <v>3688</v>
      </c>
      <c r="DP103" s="1">
        <v>8254</v>
      </c>
      <c r="DQ103" s="1">
        <v>61847</v>
      </c>
      <c r="DR103" s="1">
        <v>3169</v>
      </c>
      <c r="DS103" s="1">
        <v>5943</v>
      </c>
      <c r="DT103" s="1">
        <v>877</v>
      </c>
      <c r="DU103" s="1">
        <v>9515</v>
      </c>
      <c r="DV103" s="1">
        <v>6156</v>
      </c>
      <c r="DW103" s="1">
        <v>5600</v>
      </c>
      <c r="DX103" s="1">
        <v>16150</v>
      </c>
      <c r="DY103" s="1">
        <v>2253</v>
      </c>
      <c r="DZ103" s="1">
        <v>3227</v>
      </c>
      <c r="EA103" s="1">
        <v>12163</v>
      </c>
      <c r="EB103" s="1">
        <v>6682</v>
      </c>
      <c r="EC103" s="1">
        <v>961</v>
      </c>
      <c r="ED103" s="1">
        <v>1167</v>
      </c>
      <c r="EE103" s="1">
        <v>38372</v>
      </c>
      <c r="EF103" s="1">
        <v>5671</v>
      </c>
      <c r="EG103" s="1">
        <v>14267</v>
      </c>
      <c r="EH103" s="1">
        <v>30636</v>
      </c>
      <c r="EJ103" s="1">
        <f t="shared" si="1"/>
        <v>1732327</v>
      </c>
    </row>
    <row r="104" spans="1:140" x14ac:dyDescent="0.25">
      <c r="A104" s="1" t="s">
        <v>240</v>
      </c>
      <c r="B104" s="1">
        <v>7114</v>
      </c>
      <c r="C104" s="1">
        <v>7532</v>
      </c>
      <c r="D104" s="1">
        <v>311</v>
      </c>
      <c r="E104" s="1">
        <v>2369</v>
      </c>
      <c r="F104" s="1">
        <v>17</v>
      </c>
      <c r="G104" s="1">
        <v>28</v>
      </c>
      <c r="H104" s="1">
        <v>17464</v>
      </c>
      <c r="I104" s="1">
        <v>128</v>
      </c>
      <c r="J104" s="1">
        <v>2218</v>
      </c>
      <c r="K104" s="1">
        <v>56</v>
      </c>
      <c r="L104" s="1">
        <v>1785</v>
      </c>
      <c r="M104" s="1">
        <v>137</v>
      </c>
      <c r="N104" s="1">
        <v>13817</v>
      </c>
      <c r="O104" s="1">
        <v>2396</v>
      </c>
      <c r="P104" s="1">
        <v>2717</v>
      </c>
      <c r="Q104" s="1">
        <v>10833</v>
      </c>
      <c r="R104" s="1">
        <v>217</v>
      </c>
      <c r="S104" s="1">
        <v>2818</v>
      </c>
      <c r="T104" s="1">
        <v>2821</v>
      </c>
      <c r="U104" s="1">
        <v>2809</v>
      </c>
      <c r="V104" s="1">
        <v>10827</v>
      </c>
      <c r="W104" s="1">
        <v>3751</v>
      </c>
      <c r="X104" s="1">
        <v>913</v>
      </c>
      <c r="Y104" s="1">
        <v>2582</v>
      </c>
      <c r="Z104" s="1">
        <v>1137</v>
      </c>
      <c r="AA104" s="1">
        <v>716</v>
      </c>
      <c r="AB104" s="1">
        <v>7046</v>
      </c>
      <c r="AC104" s="1">
        <v>1239</v>
      </c>
      <c r="AD104" s="1">
        <v>512</v>
      </c>
      <c r="AE104" s="1">
        <v>3481</v>
      </c>
      <c r="AF104" s="1">
        <v>1566</v>
      </c>
      <c r="AG104">
        <v>33102</v>
      </c>
      <c r="AH104" s="1">
        <v>622</v>
      </c>
      <c r="AI104" s="1">
        <v>2005</v>
      </c>
      <c r="AJ104" s="1">
        <v>890</v>
      </c>
      <c r="AK104" s="1">
        <v>2391</v>
      </c>
      <c r="AL104" s="1">
        <v>4517</v>
      </c>
      <c r="AM104" s="1">
        <v>968</v>
      </c>
      <c r="AN104" s="1">
        <v>410</v>
      </c>
      <c r="AO104" s="1">
        <v>10817</v>
      </c>
      <c r="AP104" s="1">
        <v>986</v>
      </c>
      <c r="AQ104" s="1">
        <v>134</v>
      </c>
      <c r="AR104" s="1">
        <v>3578</v>
      </c>
      <c r="AS104" s="1">
        <v>7723</v>
      </c>
      <c r="AT104" s="1">
        <v>1536</v>
      </c>
      <c r="AU104" s="1">
        <v>4978</v>
      </c>
      <c r="AV104" s="1">
        <v>6119</v>
      </c>
      <c r="AW104" s="1">
        <v>2886</v>
      </c>
      <c r="AX104" s="1">
        <v>32871</v>
      </c>
      <c r="AY104" s="1">
        <v>288</v>
      </c>
      <c r="AZ104" s="1">
        <v>980</v>
      </c>
      <c r="BA104" s="1">
        <v>8254</v>
      </c>
      <c r="BB104" s="1">
        <v>298</v>
      </c>
      <c r="BC104" s="1">
        <v>1068</v>
      </c>
      <c r="BD104" s="1">
        <v>8829</v>
      </c>
      <c r="BE104" s="1">
        <v>3935</v>
      </c>
      <c r="BF104" s="1">
        <v>3539</v>
      </c>
      <c r="BG104" s="1">
        <v>6790</v>
      </c>
      <c r="BH104" s="1">
        <v>2458</v>
      </c>
      <c r="BI104" s="1">
        <v>36549</v>
      </c>
      <c r="BJ104" s="1">
        <v>5331</v>
      </c>
      <c r="BK104" s="1">
        <v>7246</v>
      </c>
      <c r="BL104" s="1">
        <v>3681</v>
      </c>
      <c r="BM104" s="1">
        <v>6254</v>
      </c>
      <c r="BN104" s="1">
        <v>1607</v>
      </c>
      <c r="BO104" s="1">
        <v>1511</v>
      </c>
      <c r="BP104" s="1">
        <v>34104</v>
      </c>
      <c r="BQ104" s="1">
        <v>3248</v>
      </c>
      <c r="BR104" s="1">
        <v>102864</v>
      </c>
      <c r="BS104" s="1">
        <v>10390</v>
      </c>
      <c r="BT104" s="1">
        <v>11475</v>
      </c>
      <c r="BU104" s="1">
        <v>24779</v>
      </c>
      <c r="BV104" s="1">
        <v>4013</v>
      </c>
      <c r="BW104" s="1">
        <v>15925</v>
      </c>
      <c r="BX104" s="1">
        <v>3343</v>
      </c>
      <c r="BY104" s="1">
        <v>6110</v>
      </c>
      <c r="BZ104" s="1">
        <v>26235</v>
      </c>
      <c r="CA104" s="1">
        <v>3315</v>
      </c>
      <c r="CB104" s="1">
        <v>1645</v>
      </c>
      <c r="CC104" s="1">
        <v>8395</v>
      </c>
      <c r="CD104" s="1">
        <v>4522</v>
      </c>
      <c r="CE104" s="1">
        <v>5145</v>
      </c>
      <c r="CF104" s="1">
        <v>10264</v>
      </c>
      <c r="CG104" s="1">
        <v>126892</v>
      </c>
      <c r="CH104" s="1">
        <v>17942</v>
      </c>
      <c r="CI104" s="1">
        <v>35076</v>
      </c>
      <c r="CJ104" s="1">
        <v>7543</v>
      </c>
      <c r="CK104" s="1">
        <v>18467</v>
      </c>
      <c r="CL104" s="1">
        <v>16241</v>
      </c>
      <c r="CM104" s="1">
        <v>19375</v>
      </c>
      <c r="CN104" s="1">
        <v>52790</v>
      </c>
      <c r="CO104" s="1">
        <v>6849</v>
      </c>
      <c r="CP104" s="1">
        <v>4066</v>
      </c>
      <c r="CQ104" s="1">
        <v>5854</v>
      </c>
      <c r="CR104" s="1">
        <v>7811</v>
      </c>
      <c r="CS104" s="1">
        <v>35351</v>
      </c>
      <c r="CT104" s="1">
        <v>20518</v>
      </c>
      <c r="CU104" s="1">
        <v>1849</v>
      </c>
      <c r="CV104" s="1">
        <v>281714</v>
      </c>
      <c r="CW104" s="1">
        <v>6895</v>
      </c>
      <c r="CX104" s="1">
        <v>2554</v>
      </c>
      <c r="CY104" s="1">
        <v>28936</v>
      </c>
      <c r="CZ104" s="1">
        <v>3137</v>
      </c>
      <c r="DA104" s="1">
        <v>6468</v>
      </c>
      <c r="DB104" s="1">
        <v>14032</v>
      </c>
      <c r="DC104" s="1">
        <v>5065</v>
      </c>
      <c r="DD104" s="1">
        <v>2722</v>
      </c>
      <c r="DE104" s="1">
        <v>2001</v>
      </c>
      <c r="DF104" s="1">
        <v>58149</v>
      </c>
      <c r="DG104" s="1">
        <v>14282</v>
      </c>
      <c r="DH104" s="1">
        <v>18301</v>
      </c>
      <c r="DI104" s="1">
        <v>3731</v>
      </c>
      <c r="DJ104" s="1">
        <v>27155</v>
      </c>
      <c r="DK104" s="1">
        <v>18542</v>
      </c>
      <c r="DL104" s="1">
        <v>10477</v>
      </c>
      <c r="DM104" s="1">
        <v>14762</v>
      </c>
      <c r="DN104" s="1">
        <v>18387</v>
      </c>
      <c r="DO104" s="1">
        <v>3299</v>
      </c>
      <c r="DP104" s="1">
        <v>8279</v>
      </c>
      <c r="DQ104" s="1">
        <v>64748</v>
      </c>
      <c r="DR104" s="1">
        <v>3020</v>
      </c>
      <c r="DS104" s="1">
        <v>6267</v>
      </c>
      <c r="DT104" s="1">
        <v>948</v>
      </c>
      <c r="DU104" s="1">
        <v>11248</v>
      </c>
      <c r="DV104" s="1">
        <v>6045</v>
      </c>
      <c r="DW104" s="1">
        <v>5758</v>
      </c>
      <c r="DX104" s="1">
        <v>14053</v>
      </c>
      <c r="DY104" s="1">
        <v>2187</v>
      </c>
      <c r="DZ104" s="1">
        <v>2871</v>
      </c>
      <c r="EA104" s="1">
        <v>12250</v>
      </c>
      <c r="EB104" s="1">
        <v>6804</v>
      </c>
      <c r="EC104" s="1">
        <v>944</v>
      </c>
      <c r="ED104" s="1">
        <v>1087</v>
      </c>
      <c r="EE104" s="1">
        <v>38860</v>
      </c>
      <c r="EF104" s="1">
        <v>5236</v>
      </c>
      <c r="EG104" s="1">
        <v>14033</v>
      </c>
      <c r="EH104" s="1">
        <v>29090</v>
      </c>
      <c r="EJ104" s="1">
        <f t="shared" si="1"/>
        <v>1753241</v>
      </c>
    </row>
    <row r="105" spans="1:140" x14ac:dyDescent="0.25">
      <c r="A105" s="1" t="s">
        <v>241</v>
      </c>
      <c r="B105" s="1">
        <v>6496</v>
      </c>
      <c r="C105" s="1">
        <v>7276</v>
      </c>
      <c r="D105" s="1">
        <v>349</v>
      </c>
      <c r="E105" s="1">
        <v>2489</v>
      </c>
      <c r="F105" s="1">
        <v>24</v>
      </c>
      <c r="G105" s="1">
        <v>55</v>
      </c>
      <c r="H105" s="1">
        <v>18581</v>
      </c>
      <c r="I105" s="1">
        <v>149</v>
      </c>
      <c r="J105" s="1">
        <v>1822</v>
      </c>
      <c r="K105" s="1">
        <v>72</v>
      </c>
      <c r="L105" s="1">
        <v>1742</v>
      </c>
      <c r="M105" s="1">
        <v>180</v>
      </c>
      <c r="N105" s="1">
        <v>14270</v>
      </c>
      <c r="O105" s="1">
        <v>2767</v>
      </c>
      <c r="P105" s="1">
        <v>2942</v>
      </c>
      <c r="Q105" s="1">
        <v>9722</v>
      </c>
      <c r="R105" s="1">
        <v>154</v>
      </c>
      <c r="S105" s="1">
        <v>3311</v>
      </c>
      <c r="T105" s="1">
        <v>3504</v>
      </c>
      <c r="U105" s="1">
        <v>3357</v>
      </c>
      <c r="V105" s="1">
        <v>11063</v>
      </c>
      <c r="W105" s="1">
        <v>3905</v>
      </c>
      <c r="X105" s="1">
        <v>1250</v>
      </c>
      <c r="Y105" s="1">
        <v>1151</v>
      </c>
      <c r="Z105" s="1">
        <v>1373</v>
      </c>
      <c r="AA105" s="1">
        <v>847</v>
      </c>
      <c r="AB105" s="1">
        <v>7208</v>
      </c>
      <c r="AC105" s="1">
        <v>1184</v>
      </c>
      <c r="AD105" s="1">
        <v>510</v>
      </c>
      <c r="AE105" s="1">
        <v>2195</v>
      </c>
      <c r="AF105" s="1">
        <v>2446</v>
      </c>
      <c r="AG105">
        <v>33625</v>
      </c>
      <c r="AH105" s="1">
        <v>619</v>
      </c>
      <c r="AI105" s="1">
        <v>2948</v>
      </c>
      <c r="AJ105" s="1">
        <v>645</v>
      </c>
      <c r="AK105" s="1">
        <v>2835</v>
      </c>
      <c r="AL105" s="1">
        <v>4507</v>
      </c>
      <c r="AM105" s="1">
        <v>1020</v>
      </c>
      <c r="AN105" s="1">
        <v>420</v>
      </c>
      <c r="AO105" s="1">
        <v>12083</v>
      </c>
      <c r="AP105" s="1">
        <v>1036</v>
      </c>
      <c r="AQ105" s="1">
        <v>133</v>
      </c>
      <c r="AR105" s="1">
        <v>3945</v>
      </c>
      <c r="AS105" s="1">
        <v>14832</v>
      </c>
      <c r="AT105" s="1">
        <v>1507</v>
      </c>
      <c r="AU105" s="1">
        <v>5930</v>
      </c>
      <c r="AV105" s="1">
        <v>5600</v>
      </c>
      <c r="AW105" s="1">
        <v>8615</v>
      </c>
      <c r="AX105" s="1">
        <v>33940</v>
      </c>
      <c r="AY105" s="1">
        <v>214</v>
      </c>
      <c r="AZ105" s="1">
        <v>1651</v>
      </c>
      <c r="BA105" s="1">
        <v>8516</v>
      </c>
      <c r="BB105" s="1">
        <v>193</v>
      </c>
      <c r="BC105" s="1">
        <v>1023</v>
      </c>
      <c r="BD105" s="1">
        <v>9988</v>
      </c>
      <c r="BE105" s="1">
        <v>4107</v>
      </c>
      <c r="BF105" s="1">
        <v>3606</v>
      </c>
      <c r="BG105" s="1">
        <v>6861</v>
      </c>
      <c r="BH105" s="1">
        <v>2209</v>
      </c>
      <c r="BI105" s="1">
        <v>38876</v>
      </c>
      <c r="BJ105" s="1">
        <v>4882</v>
      </c>
      <c r="BK105" s="1">
        <v>7069</v>
      </c>
      <c r="BL105" s="1">
        <v>3575</v>
      </c>
      <c r="BM105" s="1">
        <v>6658</v>
      </c>
      <c r="BN105" s="1">
        <v>1646</v>
      </c>
      <c r="BO105" s="1">
        <v>1414</v>
      </c>
      <c r="BP105" s="1">
        <v>30960</v>
      </c>
      <c r="BQ105" s="1">
        <v>3245</v>
      </c>
      <c r="BR105" s="1">
        <v>99609</v>
      </c>
      <c r="BS105" s="1">
        <v>11054</v>
      </c>
      <c r="BT105" s="1">
        <v>11325</v>
      </c>
      <c r="BU105" s="1">
        <v>23758</v>
      </c>
      <c r="BV105" s="1">
        <v>3687</v>
      </c>
      <c r="BW105" s="1">
        <v>16984</v>
      </c>
      <c r="BX105" s="1">
        <v>2966</v>
      </c>
      <c r="BY105" s="1">
        <v>6440</v>
      </c>
      <c r="BZ105" s="1">
        <v>25222</v>
      </c>
      <c r="CA105" s="1">
        <v>3319</v>
      </c>
      <c r="CB105" s="1">
        <v>1545</v>
      </c>
      <c r="CC105" s="1">
        <v>8400</v>
      </c>
      <c r="CD105" s="1">
        <v>4540</v>
      </c>
      <c r="CE105" s="1">
        <v>4272</v>
      </c>
      <c r="CF105" s="1">
        <v>9133</v>
      </c>
      <c r="CG105" s="1">
        <v>129890</v>
      </c>
      <c r="CH105" s="1">
        <v>18089</v>
      </c>
      <c r="CI105" s="1">
        <v>31210</v>
      </c>
      <c r="CJ105" s="1">
        <v>8270</v>
      </c>
      <c r="CK105" s="1">
        <v>19952</v>
      </c>
      <c r="CL105" s="1">
        <v>11966</v>
      </c>
      <c r="CM105" s="1">
        <v>21063</v>
      </c>
      <c r="CN105" s="1">
        <v>55464</v>
      </c>
      <c r="CO105" s="1">
        <v>7119</v>
      </c>
      <c r="CP105" s="1">
        <v>4250</v>
      </c>
      <c r="CQ105" s="1">
        <v>5675</v>
      </c>
      <c r="CR105" s="1">
        <v>7920</v>
      </c>
      <c r="CS105" s="1">
        <v>37772</v>
      </c>
      <c r="CT105" s="1">
        <v>22603</v>
      </c>
      <c r="CU105" s="1">
        <v>2221</v>
      </c>
      <c r="CV105" s="1">
        <v>301146</v>
      </c>
      <c r="CW105" s="1">
        <v>7075</v>
      </c>
      <c r="CX105" s="1">
        <v>2362</v>
      </c>
      <c r="CY105" s="1">
        <v>30155</v>
      </c>
      <c r="CZ105" s="1">
        <v>3451</v>
      </c>
      <c r="DA105" s="1">
        <v>6766</v>
      </c>
      <c r="DB105" s="1">
        <v>15577</v>
      </c>
      <c r="DC105" s="1">
        <v>5405</v>
      </c>
      <c r="DD105" s="1">
        <v>3493</v>
      </c>
      <c r="DE105" s="1">
        <v>2338</v>
      </c>
      <c r="DF105" s="1">
        <v>60859</v>
      </c>
      <c r="DG105" s="1">
        <v>14916</v>
      </c>
      <c r="DH105" s="1">
        <v>18831</v>
      </c>
      <c r="DI105" s="1">
        <v>3991</v>
      </c>
      <c r="DJ105" s="1">
        <v>29566</v>
      </c>
      <c r="DK105" s="1">
        <v>19985</v>
      </c>
      <c r="DL105" s="1">
        <v>11142</v>
      </c>
      <c r="DM105" s="1">
        <v>15583</v>
      </c>
      <c r="DN105" s="1">
        <v>19231</v>
      </c>
      <c r="DO105" s="1">
        <v>3613</v>
      </c>
      <c r="DP105" s="1">
        <v>8750</v>
      </c>
      <c r="DQ105" s="1">
        <v>69519</v>
      </c>
      <c r="DR105" s="1">
        <v>3624</v>
      </c>
      <c r="DS105" s="1">
        <v>7090</v>
      </c>
      <c r="DT105" s="1">
        <v>979</v>
      </c>
      <c r="DU105" s="1">
        <v>12513</v>
      </c>
      <c r="DV105" s="1">
        <v>6691</v>
      </c>
      <c r="DW105" s="1">
        <v>5782</v>
      </c>
      <c r="DX105" s="1">
        <v>13985</v>
      </c>
      <c r="DY105" s="1">
        <v>2085</v>
      </c>
      <c r="DZ105" s="1">
        <v>2684</v>
      </c>
      <c r="EA105" s="1">
        <v>12649</v>
      </c>
      <c r="EB105" s="1">
        <v>6112</v>
      </c>
      <c r="EC105" s="1">
        <v>956</v>
      </c>
      <c r="ED105" s="1">
        <v>1173</v>
      </c>
      <c r="EE105" s="1">
        <v>41108</v>
      </c>
      <c r="EF105" s="1">
        <v>4639</v>
      </c>
      <c r="EG105" s="1">
        <v>14027</v>
      </c>
      <c r="EH105" s="1">
        <v>30871</v>
      </c>
      <c r="EJ105" s="1">
        <f t="shared" si="1"/>
        <v>1819767</v>
      </c>
    </row>
    <row r="106" spans="1:140" x14ac:dyDescent="0.25">
      <c r="A106" s="1" t="s">
        <v>242</v>
      </c>
      <c r="B106" s="1">
        <v>6059</v>
      </c>
      <c r="C106" s="1">
        <v>5867</v>
      </c>
      <c r="D106" s="1">
        <v>256</v>
      </c>
      <c r="E106" s="1">
        <v>1796</v>
      </c>
      <c r="F106" s="1">
        <v>6</v>
      </c>
      <c r="G106" s="1">
        <v>34</v>
      </c>
      <c r="H106" s="1">
        <v>16211</v>
      </c>
      <c r="I106" s="1">
        <v>110</v>
      </c>
      <c r="J106" s="1">
        <v>1705</v>
      </c>
      <c r="K106" s="1">
        <v>104</v>
      </c>
      <c r="L106" s="1">
        <v>1677</v>
      </c>
      <c r="M106" s="1">
        <v>106</v>
      </c>
      <c r="N106" s="1">
        <v>12485</v>
      </c>
      <c r="O106" s="1">
        <v>2336</v>
      </c>
      <c r="P106" s="1">
        <v>3138</v>
      </c>
      <c r="Q106" s="1">
        <v>8205</v>
      </c>
      <c r="R106" s="1">
        <v>54</v>
      </c>
      <c r="S106" s="1">
        <v>2600</v>
      </c>
      <c r="T106" s="1">
        <v>2242</v>
      </c>
      <c r="U106" s="1">
        <v>2501</v>
      </c>
      <c r="V106" s="1">
        <v>8550</v>
      </c>
      <c r="W106" s="1">
        <v>3889</v>
      </c>
      <c r="X106" s="1">
        <v>773</v>
      </c>
      <c r="Y106" s="1">
        <v>895</v>
      </c>
      <c r="Z106" s="1">
        <v>1269</v>
      </c>
      <c r="AA106" s="1">
        <v>820</v>
      </c>
      <c r="AB106" s="1">
        <v>5807</v>
      </c>
      <c r="AC106" s="1">
        <v>1253</v>
      </c>
      <c r="AD106" s="1">
        <v>434</v>
      </c>
      <c r="AE106" s="1">
        <v>1959</v>
      </c>
      <c r="AF106" s="1">
        <v>2161</v>
      </c>
      <c r="AG106">
        <v>33581</v>
      </c>
      <c r="AH106" s="1">
        <v>485</v>
      </c>
      <c r="AI106" s="1">
        <v>1842</v>
      </c>
      <c r="AJ106" s="1">
        <v>543</v>
      </c>
      <c r="AK106" s="1">
        <v>2679</v>
      </c>
      <c r="AL106" s="1">
        <v>3610</v>
      </c>
      <c r="AM106" s="1">
        <v>850</v>
      </c>
      <c r="AN106" s="1">
        <v>385</v>
      </c>
      <c r="AO106" s="1">
        <v>12795</v>
      </c>
      <c r="AP106" s="1">
        <v>888</v>
      </c>
      <c r="AQ106" s="1">
        <v>94</v>
      </c>
      <c r="AR106" s="1">
        <v>3225</v>
      </c>
      <c r="AS106" s="1">
        <v>9518</v>
      </c>
      <c r="AT106" s="1">
        <v>1471</v>
      </c>
      <c r="AU106" s="1">
        <v>4973</v>
      </c>
      <c r="AV106" s="1">
        <v>5790</v>
      </c>
      <c r="AW106" s="1">
        <v>11910</v>
      </c>
      <c r="AX106" s="1">
        <v>38442</v>
      </c>
      <c r="AY106" s="1">
        <v>187</v>
      </c>
      <c r="AZ106" s="1">
        <v>972</v>
      </c>
      <c r="BA106" s="1">
        <v>34180</v>
      </c>
      <c r="BB106" s="1">
        <v>253</v>
      </c>
      <c r="BC106" s="1">
        <v>890</v>
      </c>
      <c r="BD106" s="1">
        <v>8765</v>
      </c>
      <c r="BE106" s="1">
        <v>3328</v>
      </c>
      <c r="BF106" s="1">
        <v>3447</v>
      </c>
      <c r="BG106" s="1">
        <v>7090</v>
      </c>
      <c r="BH106" s="1">
        <v>2086</v>
      </c>
      <c r="BI106" s="1">
        <v>32897</v>
      </c>
      <c r="BJ106" s="1">
        <v>4589</v>
      </c>
      <c r="BK106" s="1">
        <v>5958</v>
      </c>
      <c r="BL106" s="1">
        <v>3507</v>
      </c>
      <c r="BM106" s="1">
        <v>6434</v>
      </c>
      <c r="BN106" s="1">
        <v>1254</v>
      </c>
      <c r="BO106" s="1">
        <v>1177</v>
      </c>
      <c r="BP106" s="1">
        <v>28482</v>
      </c>
      <c r="BQ106" s="1">
        <v>3054</v>
      </c>
      <c r="BR106" s="1">
        <v>95842</v>
      </c>
      <c r="BS106" s="1">
        <v>9464</v>
      </c>
      <c r="BT106" s="1">
        <v>10253</v>
      </c>
      <c r="BU106" s="1">
        <v>20761</v>
      </c>
      <c r="BV106" s="1">
        <v>3158</v>
      </c>
      <c r="BW106" s="1">
        <v>14552</v>
      </c>
      <c r="BX106" s="1">
        <v>2711</v>
      </c>
      <c r="BY106" s="1">
        <v>5317</v>
      </c>
      <c r="BZ106" s="1">
        <v>24050</v>
      </c>
      <c r="CA106" s="1">
        <v>2581</v>
      </c>
      <c r="CB106" s="1">
        <v>1432</v>
      </c>
      <c r="CC106" s="1">
        <v>7824</v>
      </c>
      <c r="CD106" s="1">
        <v>4174</v>
      </c>
      <c r="CE106" s="1">
        <v>3972</v>
      </c>
      <c r="CF106" s="1">
        <v>8046</v>
      </c>
      <c r="CG106" s="1">
        <v>117863</v>
      </c>
      <c r="CH106" s="1">
        <v>15862</v>
      </c>
      <c r="CI106" s="1">
        <v>26949</v>
      </c>
      <c r="CJ106" s="1">
        <v>7105</v>
      </c>
      <c r="CK106" s="1">
        <v>16568</v>
      </c>
      <c r="CL106" s="1">
        <v>10762</v>
      </c>
      <c r="CM106" s="1">
        <v>17452</v>
      </c>
      <c r="CN106" s="1">
        <v>49731</v>
      </c>
      <c r="CO106" s="1">
        <v>6477</v>
      </c>
      <c r="CP106" s="1">
        <v>3624</v>
      </c>
      <c r="CQ106" s="1">
        <v>4595</v>
      </c>
      <c r="CR106" s="1">
        <v>7288</v>
      </c>
      <c r="CS106" s="1">
        <v>33720</v>
      </c>
      <c r="CT106" s="1">
        <v>20465</v>
      </c>
      <c r="CU106" s="1">
        <v>1931</v>
      </c>
      <c r="CV106" s="1">
        <v>269268</v>
      </c>
      <c r="CW106" s="1">
        <v>5991</v>
      </c>
      <c r="CX106" s="1">
        <v>2142</v>
      </c>
      <c r="CY106" s="1">
        <v>26651</v>
      </c>
      <c r="CZ106" s="1">
        <v>3176</v>
      </c>
      <c r="DA106" s="1">
        <v>6433</v>
      </c>
      <c r="DB106" s="1">
        <v>13893</v>
      </c>
      <c r="DC106" s="1">
        <v>4587</v>
      </c>
      <c r="DD106" s="1">
        <v>3072</v>
      </c>
      <c r="DE106" s="1">
        <v>2456</v>
      </c>
      <c r="DF106" s="1">
        <v>56147</v>
      </c>
      <c r="DG106" s="1">
        <v>14276</v>
      </c>
      <c r="DH106" s="1">
        <v>17570</v>
      </c>
      <c r="DI106" s="1">
        <v>3632</v>
      </c>
      <c r="DJ106" s="1">
        <v>27667</v>
      </c>
      <c r="DK106" s="1">
        <v>17732</v>
      </c>
      <c r="DL106" s="1">
        <v>10171</v>
      </c>
      <c r="DM106" s="1">
        <v>13737</v>
      </c>
      <c r="DN106" s="1">
        <v>16037</v>
      </c>
      <c r="DO106" s="1">
        <v>3166</v>
      </c>
      <c r="DP106" s="1">
        <v>7507</v>
      </c>
      <c r="DQ106" s="1">
        <v>60051</v>
      </c>
      <c r="DR106" s="1">
        <v>2962</v>
      </c>
      <c r="DS106" s="1">
        <v>6780</v>
      </c>
      <c r="DT106" s="1">
        <v>765</v>
      </c>
      <c r="DU106" s="1">
        <v>10490</v>
      </c>
      <c r="DV106" s="1">
        <v>5285</v>
      </c>
      <c r="DW106" s="1">
        <v>5295</v>
      </c>
      <c r="DX106" s="1">
        <v>13490</v>
      </c>
      <c r="DY106" s="1">
        <v>2135</v>
      </c>
      <c r="DZ106" s="1">
        <v>2634</v>
      </c>
      <c r="EA106" s="1">
        <v>10971</v>
      </c>
      <c r="EB106" s="1">
        <v>5689</v>
      </c>
      <c r="EC106" s="1">
        <v>867</v>
      </c>
      <c r="ED106" s="1">
        <v>909</v>
      </c>
      <c r="EE106" s="1">
        <v>36499</v>
      </c>
      <c r="EF106" s="1">
        <v>4459</v>
      </c>
      <c r="EG106" s="1">
        <v>12796</v>
      </c>
      <c r="EH106" s="1">
        <v>25897</v>
      </c>
      <c r="EJ106" s="1">
        <f t="shared" si="1"/>
        <v>1664747</v>
      </c>
    </row>
    <row r="107" spans="1:140" x14ac:dyDescent="0.25">
      <c r="A107" s="1" t="s">
        <v>243</v>
      </c>
      <c r="B107" s="1">
        <v>6055</v>
      </c>
      <c r="C107" s="1">
        <v>6438</v>
      </c>
      <c r="D107" s="1">
        <v>199</v>
      </c>
      <c r="E107" s="1">
        <v>2004</v>
      </c>
      <c r="F107" s="1">
        <v>19</v>
      </c>
      <c r="G107" s="1">
        <v>46</v>
      </c>
      <c r="H107" s="1">
        <v>17528</v>
      </c>
      <c r="I107" s="1">
        <v>124</v>
      </c>
      <c r="J107" s="1">
        <v>1858</v>
      </c>
      <c r="K107" s="1">
        <v>71</v>
      </c>
      <c r="L107" s="1">
        <v>1682</v>
      </c>
      <c r="M107" s="1">
        <v>104</v>
      </c>
      <c r="N107" s="1">
        <v>14062</v>
      </c>
      <c r="O107" s="1">
        <v>2576</v>
      </c>
      <c r="P107" s="1">
        <v>3180</v>
      </c>
      <c r="Q107" s="1">
        <v>8046</v>
      </c>
      <c r="R107" s="1">
        <v>46</v>
      </c>
      <c r="S107" s="1">
        <v>2489</v>
      </c>
      <c r="T107" s="1">
        <v>2613</v>
      </c>
      <c r="U107" s="1">
        <v>2518</v>
      </c>
      <c r="V107" s="1">
        <v>9258</v>
      </c>
      <c r="W107" s="1">
        <v>4223</v>
      </c>
      <c r="X107" s="1">
        <v>962</v>
      </c>
      <c r="Y107" s="1">
        <v>986</v>
      </c>
      <c r="Z107" s="1">
        <v>1836</v>
      </c>
      <c r="AA107" s="1">
        <v>684</v>
      </c>
      <c r="AB107" s="1">
        <v>6023</v>
      </c>
      <c r="AC107" s="1">
        <v>1156</v>
      </c>
      <c r="AD107" s="1">
        <v>430</v>
      </c>
      <c r="AE107" s="1">
        <v>3060</v>
      </c>
      <c r="AF107" s="1">
        <v>1842</v>
      </c>
      <c r="AG107">
        <v>33018</v>
      </c>
      <c r="AH107" s="1">
        <v>549</v>
      </c>
      <c r="AI107" s="1">
        <v>1880</v>
      </c>
      <c r="AJ107" s="1">
        <v>656</v>
      </c>
      <c r="AK107" s="1">
        <v>2722</v>
      </c>
      <c r="AL107" s="1">
        <v>3207</v>
      </c>
      <c r="AM107" s="1">
        <v>795</v>
      </c>
      <c r="AN107" s="1">
        <v>286</v>
      </c>
      <c r="AO107" s="1">
        <v>10480</v>
      </c>
      <c r="AP107" s="1">
        <v>844</v>
      </c>
      <c r="AQ107" s="1">
        <v>95</v>
      </c>
      <c r="AR107" s="1">
        <v>4453</v>
      </c>
      <c r="AS107" s="1">
        <v>7391</v>
      </c>
      <c r="AT107" s="1">
        <v>1378</v>
      </c>
      <c r="AU107" s="1">
        <v>3638</v>
      </c>
      <c r="AV107" s="1">
        <v>4722</v>
      </c>
      <c r="AW107" s="1">
        <v>5542</v>
      </c>
      <c r="AX107" s="1">
        <v>37946</v>
      </c>
      <c r="AY107" s="1">
        <v>195</v>
      </c>
      <c r="AZ107" s="1">
        <v>938</v>
      </c>
      <c r="BA107" s="1">
        <v>12812</v>
      </c>
      <c r="BB107" s="1">
        <v>271</v>
      </c>
      <c r="BC107" s="1">
        <v>2601</v>
      </c>
      <c r="BD107" s="1">
        <v>10170</v>
      </c>
      <c r="BE107" s="1">
        <v>4685</v>
      </c>
      <c r="BF107" s="1">
        <v>2353</v>
      </c>
      <c r="BG107" s="1">
        <v>7052</v>
      </c>
      <c r="BH107" s="1">
        <v>2321</v>
      </c>
      <c r="BI107" s="1">
        <v>36212</v>
      </c>
      <c r="BJ107" s="1">
        <v>4209</v>
      </c>
      <c r="BK107" s="1">
        <v>6009</v>
      </c>
      <c r="BL107" s="1">
        <v>3650</v>
      </c>
      <c r="BM107" s="1">
        <v>6174</v>
      </c>
      <c r="BN107" s="1">
        <v>1186</v>
      </c>
      <c r="BO107" s="1">
        <v>1347</v>
      </c>
      <c r="BP107" s="1">
        <v>28630</v>
      </c>
      <c r="BQ107" s="1">
        <v>2865</v>
      </c>
      <c r="BR107" s="1">
        <v>93149</v>
      </c>
      <c r="BS107" s="1">
        <v>9678</v>
      </c>
      <c r="BT107" s="1">
        <v>10674</v>
      </c>
      <c r="BU107" s="1">
        <v>20875</v>
      </c>
      <c r="BV107" s="1">
        <v>3338</v>
      </c>
      <c r="BW107" s="1">
        <v>15322</v>
      </c>
      <c r="BX107" s="1">
        <v>2818</v>
      </c>
      <c r="BY107" s="1">
        <v>5961</v>
      </c>
      <c r="BZ107" s="1">
        <v>24848</v>
      </c>
      <c r="CA107" s="1">
        <v>2762</v>
      </c>
      <c r="CB107" s="1">
        <v>1454</v>
      </c>
      <c r="CC107" s="1">
        <v>7920</v>
      </c>
      <c r="CD107" s="1">
        <v>4057</v>
      </c>
      <c r="CE107" s="1">
        <v>4353</v>
      </c>
      <c r="CF107" s="1">
        <v>8872</v>
      </c>
      <c r="CG107" s="1">
        <v>118343</v>
      </c>
      <c r="CH107" s="1">
        <v>16622</v>
      </c>
      <c r="CI107" s="1">
        <v>28729</v>
      </c>
      <c r="CJ107" s="1">
        <v>6961</v>
      </c>
      <c r="CK107" s="1">
        <v>17635</v>
      </c>
      <c r="CL107" s="1">
        <v>10920</v>
      </c>
      <c r="CM107" s="1">
        <v>18478</v>
      </c>
      <c r="CN107" s="1">
        <v>53311</v>
      </c>
      <c r="CO107" s="1">
        <v>6387</v>
      </c>
      <c r="CP107" s="1">
        <v>3734</v>
      </c>
      <c r="CQ107" s="1">
        <v>4341</v>
      </c>
      <c r="CR107" s="1">
        <v>7331</v>
      </c>
      <c r="CS107" s="1">
        <v>35254</v>
      </c>
      <c r="CT107" s="1">
        <v>20599</v>
      </c>
      <c r="CU107" s="1">
        <v>1858</v>
      </c>
      <c r="CV107" s="1">
        <v>287472</v>
      </c>
      <c r="CW107" s="1">
        <v>5801</v>
      </c>
      <c r="CX107" s="1">
        <v>2361</v>
      </c>
      <c r="CY107" s="1">
        <v>28550</v>
      </c>
      <c r="CZ107" s="1">
        <v>3310</v>
      </c>
      <c r="DA107" s="1">
        <v>6714</v>
      </c>
      <c r="DB107" s="1">
        <v>14189</v>
      </c>
      <c r="DC107" s="1">
        <v>4591</v>
      </c>
      <c r="DD107" s="1">
        <v>3190</v>
      </c>
      <c r="DE107" s="1">
        <v>2152</v>
      </c>
      <c r="DF107" s="1">
        <v>59006</v>
      </c>
      <c r="DG107" s="1">
        <v>16610</v>
      </c>
      <c r="DH107" s="1">
        <v>19291</v>
      </c>
      <c r="DI107" s="1">
        <v>4918</v>
      </c>
      <c r="DJ107" s="1">
        <v>31022</v>
      </c>
      <c r="DK107" s="1">
        <v>20219</v>
      </c>
      <c r="DL107" s="1">
        <v>11335</v>
      </c>
      <c r="DM107" s="1">
        <v>17189</v>
      </c>
      <c r="DN107" s="1">
        <v>18342</v>
      </c>
      <c r="DO107" s="1">
        <v>3723</v>
      </c>
      <c r="DP107" s="1">
        <v>8661</v>
      </c>
      <c r="DQ107" s="1">
        <v>66189</v>
      </c>
      <c r="DR107" s="1">
        <v>3420</v>
      </c>
      <c r="DS107" s="1">
        <v>7119</v>
      </c>
      <c r="DT107" s="1">
        <v>827</v>
      </c>
      <c r="DU107" s="1">
        <v>10453</v>
      </c>
      <c r="DV107" s="1">
        <v>5349</v>
      </c>
      <c r="DW107" s="1">
        <v>5165</v>
      </c>
      <c r="DX107" s="1">
        <v>13992</v>
      </c>
      <c r="DY107" s="1">
        <v>2048</v>
      </c>
      <c r="DZ107" s="1">
        <v>2709</v>
      </c>
      <c r="EA107" s="1">
        <v>11563</v>
      </c>
      <c r="EB107" s="1">
        <v>5927</v>
      </c>
      <c r="EC107" s="1">
        <v>881</v>
      </c>
      <c r="ED107" s="1">
        <v>1061</v>
      </c>
      <c r="EE107" s="1">
        <v>37299</v>
      </c>
      <c r="EF107" s="1">
        <v>5150</v>
      </c>
      <c r="EG107" s="1">
        <v>13938</v>
      </c>
      <c r="EH107" s="1">
        <v>26860</v>
      </c>
      <c r="EJ107" s="1">
        <f t="shared" si="1"/>
        <v>1710580</v>
      </c>
    </row>
    <row r="108" spans="1:140" x14ac:dyDescent="0.25">
      <c r="A108" s="1" t="s">
        <v>244</v>
      </c>
      <c r="B108" s="1">
        <v>6615</v>
      </c>
      <c r="C108" s="1">
        <v>6319</v>
      </c>
      <c r="D108" s="1">
        <v>201</v>
      </c>
      <c r="E108" s="1">
        <v>1666</v>
      </c>
      <c r="F108" s="1">
        <v>8</v>
      </c>
      <c r="G108" s="1">
        <v>37</v>
      </c>
      <c r="H108" s="1">
        <v>14659</v>
      </c>
      <c r="I108" s="1">
        <v>106</v>
      </c>
      <c r="J108" s="1">
        <v>1699</v>
      </c>
      <c r="K108" s="1">
        <v>57</v>
      </c>
      <c r="L108" s="1">
        <v>1566</v>
      </c>
      <c r="M108" s="1">
        <v>127</v>
      </c>
      <c r="N108" s="1">
        <v>12831</v>
      </c>
      <c r="O108" s="1">
        <v>2064</v>
      </c>
      <c r="P108" s="1">
        <v>2814</v>
      </c>
      <c r="Q108" s="1">
        <v>8547</v>
      </c>
      <c r="R108" s="1">
        <v>24</v>
      </c>
      <c r="S108" s="1">
        <v>2763</v>
      </c>
      <c r="T108" s="1">
        <v>2396</v>
      </c>
      <c r="U108" s="1">
        <v>2285</v>
      </c>
      <c r="V108" s="1">
        <v>8713</v>
      </c>
      <c r="W108" s="1">
        <v>4159</v>
      </c>
      <c r="X108" s="1">
        <v>953</v>
      </c>
      <c r="Y108" s="1">
        <v>1142</v>
      </c>
      <c r="Z108" s="1">
        <v>1530</v>
      </c>
      <c r="AA108" s="1">
        <v>783</v>
      </c>
      <c r="AB108" s="1">
        <v>6569</v>
      </c>
      <c r="AC108" s="1">
        <v>1136</v>
      </c>
      <c r="AD108" s="1">
        <v>464</v>
      </c>
      <c r="AE108" s="1">
        <v>1853</v>
      </c>
      <c r="AF108" s="1">
        <v>1494</v>
      </c>
      <c r="AG108">
        <v>32917</v>
      </c>
      <c r="AH108" s="1">
        <v>538</v>
      </c>
      <c r="AI108" s="1">
        <v>1824</v>
      </c>
      <c r="AJ108" s="1">
        <v>468</v>
      </c>
      <c r="AK108" s="1">
        <v>2725</v>
      </c>
      <c r="AL108" s="1">
        <v>3473</v>
      </c>
      <c r="AM108" s="1">
        <v>907</v>
      </c>
      <c r="AN108" s="1">
        <v>431</v>
      </c>
      <c r="AO108" s="1">
        <v>11323</v>
      </c>
      <c r="AP108" s="1">
        <v>955</v>
      </c>
      <c r="AQ108" s="1">
        <v>179</v>
      </c>
      <c r="AR108" s="1">
        <v>3968</v>
      </c>
      <c r="AS108" s="1">
        <v>7747</v>
      </c>
      <c r="AT108" s="1">
        <v>1514</v>
      </c>
      <c r="AU108" s="1">
        <v>3210</v>
      </c>
      <c r="AV108" s="1">
        <v>4902</v>
      </c>
      <c r="AW108" s="1">
        <v>3941</v>
      </c>
      <c r="AX108" s="1">
        <v>35584</v>
      </c>
      <c r="AY108" s="1">
        <v>283</v>
      </c>
      <c r="AZ108" s="1">
        <v>1305</v>
      </c>
      <c r="BA108" s="1">
        <v>11111</v>
      </c>
      <c r="BB108" s="1">
        <v>268</v>
      </c>
      <c r="BC108" s="1">
        <v>1062</v>
      </c>
      <c r="BD108" s="1">
        <v>8997</v>
      </c>
      <c r="BE108" s="1">
        <v>4069</v>
      </c>
      <c r="BF108" s="1">
        <v>2789</v>
      </c>
      <c r="BG108" s="1">
        <v>6771</v>
      </c>
      <c r="BH108" s="1">
        <v>2167</v>
      </c>
      <c r="BI108" s="1">
        <v>36217</v>
      </c>
      <c r="BJ108" s="1">
        <v>4568</v>
      </c>
      <c r="BK108" s="1">
        <v>6880</v>
      </c>
      <c r="BL108" s="1">
        <v>3304</v>
      </c>
      <c r="BM108" s="1">
        <v>5814</v>
      </c>
      <c r="BN108" s="1">
        <v>1175</v>
      </c>
      <c r="BO108" s="1">
        <v>1371</v>
      </c>
      <c r="BP108" s="1">
        <v>27976</v>
      </c>
      <c r="BQ108" s="1">
        <v>2684</v>
      </c>
      <c r="BR108" s="1">
        <v>87405</v>
      </c>
      <c r="BS108" s="1">
        <v>8592</v>
      </c>
      <c r="BT108" s="1">
        <v>9447</v>
      </c>
      <c r="BU108" s="1">
        <v>20186</v>
      </c>
      <c r="BV108" s="1">
        <v>3390</v>
      </c>
      <c r="BW108" s="1">
        <v>15026</v>
      </c>
      <c r="BX108" s="1">
        <v>2770</v>
      </c>
      <c r="BY108" s="1">
        <v>5455</v>
      </c>
      <c r="BZ108" s="1">
        <v>24585</v>
      </c>
      <c r="CA108" s="1">
        <v>2898</v>
      </c>
      <c r="CB108" s="1">
        <v>1371</v>
      </c>
      <c r="CC108" s="1">
        <v>7875</v>
      </c>
      <c r="CD108" s="1">
        <v>4339</v>
      </c>
      <c r="CE108" s="1">
        <v>4935</v>
      </c>
      <c r="CF108" s="1">
        <v>8904</v>
      </c>
      <c r="CG108" s="1">
        <v>120131</v>
      </c>
      <c r="CH108" s="1">
        <v>15681</v>
      </c>
      <c r="CI108" s="1">
        <v>27497</v>
      </c>
      <c r="CJ108" s="1">
        <v>6465</v>
      </c>
      <c r="CK108" s="1">
        <v>16687</v>
      </c>
      <c r="CL108" s="1">
        <v>10622</v>
      </c>
      <c r="CM108" s="1">
        <v>17062</v>
      </c>
      <c r="CN108" s="1">
        <v>46781</v>
      </c>
      <c r="CO108" s="1">
        <v>6110</v>
      </c>
      <c r="CP108" s="1">
        <v>3699</v>
      </c>
      <c r="CQ108" s="1">
        <v>4238</v>
      </c>
      <c r="CR108" s="1">
        <v>6899</v>
      </c>
      <c r="CS108" s="1">
        <v>32670</v>
      </c>
      <c r="CT108" s="1">
        <v>22782</v>
      </c>
      <c r="CU108" s="1">
        <v>2170</v>
      </c>
      <c r="CV108" s="1">
        <v>258614</v>
      </c>
      <c r="CW108" s="1">
        <v>5656</v>
      </c>
      <c r="CX108" s="1">
        <v>2222</v>
      </c>
      <c r="CY108" s="1">
        <v>25745</v>
      </c>
      <c r="CZ108" s="1">
        <v>2974</v>
      </c>
      <c r="DA108" s="1">
        <v>6696</v>
      </c>
      <c r="DB108" s="1">
        <v>13944</v>
      </c>
      <c r="DC108" s="1">
        <v>4271</v>
      </c>
      <c r="DD108" s="1">
        <v>2965</v>
      </c>
      <c r="DE108" s="1">
        <v>2233</v>
      </c>
      <c r="DF108" s="1">
        <v>56009</v>
      </c>
      <c r="DG108" s="1">
        <v>14291</v>
      </c>
      <c r="DH108" s="1">
        <v>16270</v>
      </c>
      <c r="DI108" s="1">
        <v>5153</v>
      </c>
      <c r="DJ108" s="1">
        <v>26988</v>
      </c>
      <c r="DK108" s="1">
        <v>19515</v>
      </c>
      <c r="DL108" s="1">
        <v>11163</v>
      </c>
      <c r="DM108" s="1">
        <v>16074</v>
      </c>
      <c r="DN108" s="1">
        <v>17949</v>
      </c>
      <c r="DO108" s="1">
        <v>3610</v>
      </c>
      <c r="DP108" s="1">
        <v>7851</v>
      </c>
      <c r="DQ108" s="1">
        <v>66525</v>
      </c>
      <c r="DR108" s="1">
        <v>3345</v>
      </c>
      <c r="DS108" s="1">
        <v>10412</v>
      </c>
      <c r="DT108" s="1">
        <v>673</v>
      </c>
      <c r="DU108" s="1">
        <v>10922</v>
      </c>
      <c r="DV108" s="1">
        <v>5771</v>
      </c>
      <c r="DW108" s="1">
        <v>5142</v>
      </c>
      <c r="DX108" s="1">
        <v>11489</v>
      </c>
      <c r="DY108" s="1">
        <v>1695</v>
      </c>
      <c r="DZ108" s="1">
        <v>2690</v>
      </c>
      <c r="EA108" s="1">
        <v>10852</v>
      </c>
      <c r="EB108" s="1">
        <v>5010</v>
      </c>
      <c r="EC108" s="1">
        <v>821</v>
      </c>
      <c r="ED108" s="1">
        <v>1016</v>
      </c>
      <c r="EE108" s="1">
        <v>37173</v>
      </c>
      <c r="EF108" s="1">
        <v>4629</v>
      </c>
      <c r="EG108" s="1">
        <v>12336</v>
      </c>
      <c r="EH108" s="1">
        <v>25943</v>
      </c>
      <c r="EJ108" s="1">
        <f t="shared" si="1"/>
        <v>1624306</v>
      </c>
    </row>
    <row r="109" spans="1:140" x14ac:dyDescent="0.25">
      <c r="A109" s="1" t="s">
        <v>245</v>
      </c>
      <c r="B109" s="1">
        <v>4191</v>
      </c>
      <c r="C109" s="1">
        <v>4336</v>
      </c>
      <c r="D109" s="1">
        <v>108</v>
      </c>
      <c r="E109" s="1">
        <v>1414</v>
      </c>
      <c r="F109" s="1">
        <v>3</v>
      </c>
      <c r="G109" s="1">
        <v>14</v>
      </c>
      <c r="H109" s="1">
        <v>9946</v>
      </c>
      <c r="I109" s="1">
        <v>51</v>
      </c>
      <c r="J109" s="1">
        <v>1079</v>
      </c>
      <c r="K109" s="1">
        <v>22</v>
      </c>
      <c r="L109" s="1">
        <v>942</v>
      </c>
      <c r="M109" s="1">
        <v>36</v>
      </c>
      <c r="N109" s="1">
        <v>10370</v>
      </c>
      <c r="O109" s="1">
        <v>1489</v>
      </c>
      <c r="P109" s="1">
        <v>1401</v>
      </c>
      <c r="Q109" s="1">
        <v>5407</v>
      </c>
      <c r="R109" s="1">
        <v>14</v>
      </c>
      <c r="S109" s="1">
        <v>1796</v>
      </c>
      <c r="T109" s="1">
        <v>1909</v>
      </c>
      <c r="U109" s="1">
        <v>1494</v>
      </c>
      <c r="V109" s="1">
        <v>6066</v>
      </c>
      <c r="W109" s="1">
        <v>2287</v>
      </c>
      <c r="X109" s="1">
        <v>760</v>
      </c>
      <c r="Y109" s="1">
        <v>666</v>
      </c>
      <c r="Z109" s="1">
        <v>816</v>
      </c>
      <c r="AA109" s="1">
        <v>730</v>
      </c>
      <c r="AB109" s="1">
        <v>4322</v>
      </c>
      <c r="AC109" s="1">
        <v>644</v>
      </c>
      <c r="AD109" s="1">
        <v>276</v>
      </c>
      <c r="AE109" s="1">
        <v>1270</v>
      </c>
      <c r="AF109" s="1">
        <v>990</v>
      </c>
      <c r="AG109">
        <v>22776</v>
      </c>
      <c r="AH109" s="1">
        <v>280</v>
      </c>
      <c r="AI109" s="1">
        <v>970</v>
      </c>
      <c r="AJ109" s="1">
        <v>256</v>
      </c>
      <c r="AK109" s="1">
        <v>1897</v>
      </c>
      <c r="AL109" s="1">
        <v>2399</v>
      </c>
      <c r="AM109" s="1">
        <v>812</v>
      </c>
      <c r="AN109" s="1">
        <v>303</v>
      </c>
      <c r="AO109" s="1">
        <v>8647</v>
      </c>
      <c r="AP109" s="1">
        <v>601</v>
      </c>
      <c r="AQ109" s="1">
        <v>130</v>
      </c>
      <c r="AR109" s="1">
        <v>2671</v>
      </c>
      <c r="AS109" s="1">
        <v>5853</v>
      </c>
      <c r="AT109" s="1">
        <v>1136</v>
      </c>
      <c r="AU109" s="1">
        <v>2666</v>
      </c>
      <c r="AV109" s="1">
        <v>3600</v>
      </c>
      <c r="AW109" s="1">
        <v>2070</v>
      </c>
      <c r="AX109" s="1">
        <v>26333</v>
      </c>
      <c r="AY109" s="1">
        <v>207</v>
      </c>
      <c r="AZ109" s="1">
        <v>860</v>
      </c>
      <c r="BA109" s="1">
        <v>6368</v>
      </c>
      <c r="BB109" s="1">
        <v>144</v>
      </c>
      <c r="BC109" s="1">
        <v>662</v>
      </c>
      <c r="BD109" s="1">
        <v>6135</v>
      </c>
      <c r="BE109" s="1">
        <v>2765</v>
      </c>
      <c r="BF109" s="1">
        <v>2211</v>
      </c>
      <c r="BG109" s="1">
        <v>4596</v>
      </c>
      <c r="BH109" s="1">
        <v>1570</v>
      </c>
      <c r="BI109" s="1">
        <v>29361</v>
      </c>
      <c r="BJ109" s="1">
        <v>3483</v>
      </c>
      <c r="BK109" s="1">
        <v>6088</v>
      </c>
      <c r="BL109" s="1">
        <v>2400</v>
      </c>
      <c r="BM109" s="1">
        <v>5344</v>
      </c>
      <c r="BN109" s="1">
        <v>896</v>
      </c>
      <c r="BO109" s="1">
        <v>979</v>
      </c>
      <c r="BP109" s="1">
        <v>20673</v>
      </c>
      <c r="BQ109" s="1">
        <v>1957</v>
      </c>
      <c r="BR109" s="1">
        <v>66945</v>
      </c>
      <c r="BS109" s="1">
        <v>7298</v>
      </c>
      <c r="BT109" s="1">
        <v>6437</v>
      </c>
      <c r="BU109" s="1">
        <v>14241</v>
      </c>
      <c r="BV109" s="1">
        <v>2895</v>
      </c>
      <c r="BW109" s="1">
        <v>11104</v>
      </c>
      <c r="BX109" s="1">
        <v>1847</v>
      </c>
      <c r="BY109" s="1">
        <v>4154</v>
      </c>
      <c r="BZ109" s="1">
        <v>20812</v>
      </c>
      <c r="CA109" s="1">
        <v>2230</v>
      </c>
      <c r="CB109" s="1">
        <v>1019</v>
      </c>
      <c r="CC109" s="1">
        <v>7124</v>
      </c>
      <c r="CD109" s="1">
        <v>2945</v>
      </c>
      <c r="CE109" s="1">
        <v>4307</v>
      </c>
      <c r="CF109" s="1">
        <v>7562</v>
      </c>
      <c r="CG109" s="1">
        <v>101891</v>
      </c>
      <c r="CH109" s="1">
        <v>10637</v>
      </c>
      <c r="CI109" s="1">
        <v>20811</v>
      </c>
      <c r="CJ109" s="1">
        <v>4024</v>
      </c>
      <c r="CK109" s="1">
        <v>12178</v>
      </c>
      <c r="CL109" s="1">
        <v>6937</v>
      </c>
      <c r="CM109" s="1">
        <v>13217</v>
      </c>
      <c r="CN109" s="1">
        <v>35533</v>
      </c>
      <c r="CO109" s="1">
        <v>4193</v>
      </c>
      <c r="CP109" s="1">
        <v>2658</v>
      </c>
      <c r="CQ109" s="1">
        <v>2837</v>
      </c>
      <c r="CR109" s="1">
        <v>4752</v>
      </c>
      <c r="CS109" s="1">
        <v>24233</v>
      </c>
      <c r="CT109" s="1">
        <v>17248</v>
      </c>
      <c r="CU109" s="1">
        <v>1855</v>
      </c>
      <c r="CV109" s="1">
        <v>205353</v>
      </c>
      <c r="CW109" s="1">
        <v>3387</v>
      </c>
      <c r="CX109" s="1">
        <v>1494</v>
      </c>
      <c r="CY109" s="1">
        <v>17008</v>
      </c>
      <c r="CZ109" s="1">
        <v>1932</v>
      </c>
      <c r="DA109" s="1">
        <v>4598</v>
      </c>
      <c r="DB109" s="1">
        <v>9914</v>
      </c>
      <c r="DC109" s="1">
        <v>3041</v>
      </c>
      <c r="DD109" s="1">
        <v>2006</v>
      </c>
      <c r="DE109" s="1">
        <v>1399</v>
      </c>
      <c r="DF109" s="1">
        <v>37489</v>
      </c>
      <c r="DG109" s="1">
        <v>9546</v>
      </c>
      <c r="DH109" s="1">
        <v>10198</v>
      </c>
      <c r="DI109" s="1">
        <v>2239</v>
      </c>
      <c r="DJ109" s="1">
        <v>17452</v>
      </c>
      <c r="DK109" s="1">
        <v>16116</v>
      </c>
      <c r="DL109" s="1">
        <v>8531</v>
      </c>
      <c r="DM109" s="1">
        <v>11470</v>
      </c>
      <c r="DN109" s="1">
        <v>9932</v>
      </c>
      <c r="DO109" s="1">
        <v>2777</v>
      </c>
      <c r="DP109" s="1">
        <v>5719</v>
      </c>
      <c r="DQ109" s="1">
        <v>49871</v>
      </c>
      <c r="DR109" s="1">
        <v>2718</v>
      </c>
      <c r="DS109" s="1">
        <v>7057</v>
      </c>
      <c r="DT109" s="1">
        <v>545</v>
      </c>
      <c r="DU109" s="1">
        <v>7294</v>
      </c>
      <c r="DV109" s="1">
        <v>4825</v>
      </c>
      <c r="DW109" s="1">
        <v>3635</v>
      </c>
      <c r="DX109" s="1">
        <v>8295</v>
      </c>
      <c r="DY109" s="1">
        <v>1149</v>
      </c>
      <c r="DZ109" s="1">
        <v>1803</v>
      </c>
      <c r="EA109" s="1">
        <v>8386</v>
      </c>
      <c r="EB109" s="1">
        <v>3636</v>
      </c>
      <c r="EC109" s="1">
        <v>549</v>
      </c>
      <c r="ED109" s="1">
        <v>727</v>
      </c>
      <c r="EE109" s="1">
        <v>26097</v>
      </c>
      <c r="EF109" s="1">
        <v>3253</v>
      </c>
      <c r="EG109" s="1">
        <v>9819</v>
      </c>
      <c r="EH109" s="1">
        <v>21084</v>
      </c>
      <c r="EJ109" s="1">
        <f t="shared" si="1"/>
        <v>1211216</v>
      </c>
    </row>
    <row r="110" spans="1:140" x14ac:dyDescent="0.25">
      <c r="A110" s="1" t="s">
        <v>246</v>
      </c>
      <c r="B110" s="1">
        <v>5690</v>
      </c>
      <c r="C110" s="1">
        <v>6119</v>
      </c>
      <c r="D110" s="1">
        <v>197</v>
      </c>
      <c r="E110" s="1">
        <v>2213</v>
      </c>
      <c r="F110" s="1">
        <v>26</v>
      </c>
      <c r="G110" s="1">
        <v>36</v>
      </c>
      <c r="H110" s="1">
        <v>17044</v>
      </c>
      <c r="I110" s="1">
        <v>87</v>
      </c>
      <c r="J110" s="1">
        <v>1743</v>
      </c>
      <c r="K110" s="1">
        <v>49</v>
      </c>
      <c r="L110" s="1">
        <v>1483</v>
      </c>
      <c r="M110" s="1">
        <v>161</v>
      </c>
      <c r="N110" s="1">
        <v>13101</v>
      </c>
      <c r="O110" s="1">
        <v>2704</v>
      </c>
      <c r="P110" s="1">
        <v>3274</v>
      </c>
      <c r="Q110" s="1">
        <v>8325</v>
      </c>
      <c r="R110" s="1">
        <v>52</v>
      </c>
      <c r="S110" s="1">
        <v>2832</v>
      </c>
      <c r="T110" s="1">
        <v>3135</v>
      </c>
      <c r="U110" s="1">
        <v>2670</v>
      </c>
      <c r="V110" s="1">
        <v>8699</v>
      </c>
      <c r="W110" s="1">
        <v>3648</v>
      </c>
      <c r="X110" s="1">
        <v>939</v>
      </c>
      <c r="Y110" s="1">
        <v>1188</v>
      </c>
      <c r="Z110" s="1">
        <v>1048</v>
      </c>
      <c r="AA110" s="1">
        <v>800</v>
      </c>
      <c r="AB110" s="1">
        <v>6156</v>
      </c>
      <c r="AC110" s="1">
        <v>934</v>
      </c>
      <c r="AD110" s="1">
        <v>486</v>
      </c>
      <c r="AE110" s="1">
        <v>2288</v>
      </c>
      <c r="AF110" s="1">
        <v>1894</v>
      </c>
      <c r="AG110">
        <v>31914</v>
      </c>
      <c r="AH110" s="1">
        <v>646</v>
      </c>
      <c r="AI110" s="1">
        <v>1784</v>
      </c>
      <c r="AJ110" s="1">
        <v>803</v>
      </c>
      <c r="AK110" s="1">
        <v>2266</v>
      </c>
      <c r="AL110" s="1">
        <v>3169</v>
      </c>
      <c r="AM110" s="1">
        <v>927</v>
      </c>
      <c r="AN110" s="1">
        <v>351</v>
      </c>
      <c r="AO110" s="1">
        <v>11010</v>
      </c>
      <c r="AP110" s="1">
        <v>984</v>
      </c>
      <c r="AQ110" s="1">
        <v>172</v>
      </c>
      <c r="AR110" s="1">
        <v>3478</v>
      </c>
      <c r="AS110" s="1">
        <v>8276</v>
      </c>
      <c r="AT110" s="1">
        <v>1881</v>
      </c>
      <c r="AU110" s="1">
        <v>3267</v>
      </c>
      <c r="AV110" s="1">
        <v>4890</v>
      </c>
      <c r="AW110" s="1">
        <v>2367</v>
      </c>
      <c r="AX110" s="1">
        <v>33807</v>
      </c>
      <c r="AY110" s="1">
        <v>278</v>
      </c>
      <c r="AZ110" s="1">
        <v>981</v>
      </c>
      <c r="BA110" s="1">
        <v>8078</v>
      </c>
      <c r="BB110" s="1">
        <v>253</v>
      </c>
      <c r="BC110" s="1">
        <v>1099</v>
      </c>
      <c r="BD110" s="1">
        <v>8222</v>
      </c>
      <c r="BE110" s="1">
        <v>4899</v>
      </c>
      <c r="BF110" s="1">
        <v>2277</v>
      </c>
      <c r="BG110" s="1">
        <v>6115</v>
      </c>
      <c r="BH110" s="1">
        <v>2786</v>
      </c>
      <c r="BI110" s="1">
        <v>36812</v>
      </c>
      <c r="BJ110" s="1">
        <v>5016</v>
      </c>
      <c r="BK110" s="1">
        <v>7072</v>
      </c>
      <c r="BL110" s="1">
        <v>3555</v>
      </c>
      <c r="BM110" s="1">
        <v>6084</v>
      </c>
      <c r="BN110" s="1">
        <v>1360</v>
      </c>
      <c r="BO110" s="1">
        <v>1510</v>
      </c>
      <c r="BP110" s="1">
        <v>29879</v>
      </c>
      <c r="BQ110" s="1">
        <v>3007</v>
      </c>
      <c r="BR110" s="1">
        <v>94373</v>
      </c>
      <c r="BS110" s="1">
        <v>10568</v>
      </c>
      <c r="BT110" s="1">
        <v>11092</v>
      </c>
      <c r="BU110" s="1">
        <v>22257</v>
      </c>
      <c r="BV110" s="1">
        <v>3171</v>
      </c>
      <c r="BW110" s="1">
        <v>15614</v>
      </c>
      <c r="BX110" s="1">
        <v>2688</v>
      </c>
      <c r="BY110" s="1">
        <v>6940</v>
      </c>
      <c r="BZ110" s="1">
        <v>26660</v>
      </c>
      <c r="CA110" s="1">
        <v>3114</v>
      </c>
      <c r="CB110" s="1">
        <v>2073</v>
      </c>
      <c r="CC110" s="1">
        <v>8188</v>
      </c>
      <c r="CD110" s="1">
        <v>4134</v>
      </c>
      <c r="CE110" s="1">
        <v>5213</v>
      </c>
      <c r="CF110" s="1">
        <v>8961</v>
      </c>
      <c r="CG110" s="1">
        <v>120752</v>
      </c>
      <c r="CH110" s="1">
        <v>19611</v>
      </c>
      <c r="CI110" s="1">
        <v>37673</v>
      </c>
      <c r="CJ110" s="1">
        <v>9097</v>
      </c>
      <c r="CK110" s="1">
        <v>18924</v>
      </c>
      <c r="CL110" s="1">
        <v>12206</v>
      </c>
      <c r="CM110" s="1">
        <v>21685</v>
      </c>
      <c r="CN110" s="1">
        <v>55342</v>
      </c>
      <c r="CO110" s="1">
        <v>6375</v>
      </c>
      <c r="CP110" s="1">
        <v>4179</v>
      </c>
      <c r="CQ110" s="1">
        <v>5134</v>
      </c>
      <c r="CR110" s="1">
        <v>7757</v>
      </c>
      <c r="CS110" s="1">
        <v>37892</v>
      </c>
      <c r="CT110" s="1">
        <v>21429</v>
      </c>
      <c r="CU110" s="1">
        <v>2743</v>
      </c>
      <c r="CV110" s="1">
        <v>284114</v>
      </c>
      <c r="CW110" s="1">
        <v>6545</v>
      </c>
      <c r="CX110" s="1">
        <v>2495</v>
      </c>
      <c r="CY110" s="1">
        <v>31256</v>
      </c>
      <c r="CZ110" s="1">
        <v>3311</v>
      </c>
      <c r="DA110" s="1">
        <v>6892</v>
      </c>
      <c r="DB110" s="1">
        <v>15409</v>
      </c>
      <c r="DC110" s="1">
        <v>5419</v>
      </c>
      <c r="DD110" s="1">
        <v>4324</v>
      </c>
      <c r="DE110" s="1">
        <v>2741</v>
      </c>
      <c r="DF110" s="1">
        <v>62256</v>
      </c>
      <c r="DG110" s="1">
        <v>19803</v>
      </c>
      <c r="DH110" s="1">
        <v>21008</v>
      </c>
      <c r="DI110" s="1">
        <v>6449</v>
      </c>
      <c r="DJ110" s="1">
        <v>34447</v>
      </c>
      <c r="DK110" s="1">
        <v>21320</v>
      </c>
      <c r="DL110" s="1">
        <v>14165</v>
      </c>
      <c r="DM110" s="1">
        <v>17939</v>
      </c>
      <c r="DN110" s="1">
        <v>26526</v>
      </c>
      <c r="DO110" s="1">
        <v>3615</v>
      </c>
      <c r="DP110" s="1">
        <v>10037</v>
      </c>
      <c r="DQ110" s="1">
        <v>73290</v>
      </c>
      <c r="DR110" s="1">
        <v>3541</v>
      </c>
      <c r="DS110" s="1">
        <v>8149</v>
      </c>
      <c r="DT110" s="1">
        <v>845</v>
      </c>
      <c r="DU110" s="1">
        <v>11209</v>
      </c>
      <c r="DV110" s="1">
        <v>7176</v>
      </c>
      <c r="DW110" s="1">
        <v>6067</v>
      </c>
      <c r="DX110" s="1">
        <v>17894</v>
      </c>
      <c r="DY110" s="1">
        <v>2913</v>
      </c>
      <c r="DZ110" s="1">
        <v>3442</v>
      </c>
      <c r="EA110" s="1">
        <v>11879</v>
      </c>
      <c r="EB110" s="1">
        <v>7837</v>
      </c>
      <c r="EC110" s="1">
        <v>1041</v>
      </c>
      <c r="ED110" s="1">
        <v>1366</v>
      </c>
      <c r="EE110" s="1">
        <v>41418</v>
      </c>
      <c r="EF110" s="1">
        <v>4695</v>
      </c>
      <c r="EG110" s="1">
        <v>16075</v>
      </c>
      <c r="EH110" s="1">
        <v>29223</v>
      </c>
      <c r="EJ110" s="1">
        <f t="shared" si="1"/>
        <v>1794272</v>
      </c>
    </row>
    <row r="111" spans="1:140" x14ac:dyDescent="0.25">
      <c r="A111" s="1" t="s">
        <v>247</v>
      </c>
      <c r="B111" s="1">
        <v>6088</v>
      </c>
      <c r="C111" s="1">
        <v>6663</v>
      </c>
      <c r="D111" s="1">
        <v>173</v>
      </c>
      <c r="E111" s="1">
        <v>1989</v>
      </c>
      <c r="F111" s="1">
        <v>34</v>
      </c>
      <c r="G111" s="1">
        <v>53</v>
      </c>
      <c r="H111" s="1">
        <v>16266</v>
      </c>
      <c r="I111" s="1">
        <v>89</v>
      </c>
      <c r="J111" s="1">
        <v>1836</v>
      </c>
      <c r="K111" s="1">
        <v>73</v>
      </c>
      <c r="L111" s="1">
        <v>1756</v>
      </c>
      <c r="M111" s="1">
        <v>134</v>
      </c>
      <c r="N111" s="1">
        <v>12349</v>
      </c>
      <c r="O111" s="1">
        <v>2242</v>
      </c>
      <c r="P111" s="1">
        <v>3976</v>
      </c>
      <c r="Q111" s="1">
        <v>9169</v>
      </c>
      <c r="R111" s="1">
        <v>27</v>
      </c>
      <c r="S111" s="1">
        <v>2618</v>
      </c>
      <c r="T111" s="1">
        <v>3047</v>
      </c>
      <c r="U111" s="1">
        <v>2780</v>
      </c>
      <c r="V111" s="1">
        <v>7455</v>
      </c>
      <c r="W111" s="1">
        <v>3949</v>
      </c>
      <c r="X111" s="1">
        <v>838</v>
      </c>
      <c r="Y111" s="1">
        <v>836</v>
      </c>
      <c r="Z111" s="1">
        <v>1529</v>
      </c>
      <c r="AA111" s="1">
        <v>761</v>
      </c>
      <c r="AB111" s="1">
        <v>5939</v>
      </c>
      <c r="AC111" s="1">
        <v>832</v>
      </c>
      <c r="AD111" s="1">
        <v>458</v>
      </c>
      <c r="AE111" s="1">
        <v>2333</v>
      </c>
      <c r="AF111" s="1">
        <v>1749</v>
      </c>
      <c r="AG111">
        <v>31095</v>
      </c>
      <c r="AH111" s="1">
        <v>687</v>
      </c>
      <c r="AI111" s="1">
        <v>1952</v>
      </c>
      <c r="AJ111" s="1">
        <v>1090</v>
      </c>
      <c r="AK111" s="1">
        <v>2338</v>
      </c>
      <c r="AL111" s="1">
        <v>2817</v>
      </c>
      <c r="AM111" s="1">
        <v>980</v>
      </c>
      <c r="AN111" s="1">
        <v>524</v>
      </c>
      <c r="AO111" s="1">
        <v>9931</v>
      </c>
      <c r="AP111" s="1">
        <v>948</v>
      </c>
      <c r="AQ111" s="1">
        <v>95</v>
      </c>
      <c r="AR111" s="1">
        <v>3283</v>
      </c>
      <c r="AS111" s="1">
        <v>8181</v>
      </c>
      <c r="AT111" s="1">
        <v>1480</v>
      </c>
      <c r="AU111" s="1">
        <v>3329</v>
      </c>
      <c r="AV111" s="1">
        <v>4790</v>
      </c>
      <c r="AW111" s="1">
        <v>2268</v>
      </c>
      <c r="AX111" s="1">
        <v>32143</v>
      </c>
      <c r="AY111" s="1">
        <v>278</v>
      </c>
      <c r="AZ111" s="1">
        <v>892</v>
      </c>
      <c r="BA111" s="1">
        <v>6974</v>
      </c>
      <c r="BB111" s="1">
        <v>267</v>
      </c>
      <c r="BC111" s="1">
        <v>1237</v>
      </c>
      <c r="BD111" s="1">
        <v>7593</v>
      </c>
      <c r="BE111" s="1">
        <v>3831</v>
      </c>
      <c r="BF111" s="1">
        <v>2005</v>
      </c>
      <c r="BG111" s="1">
        <v>6954</v>
      </c>
      <c r="BH111" s="1">
        <v>2194</v>
      </c>
      <c r="BI111" s="1">
        <v>33413</v>
      </c>
      <c r="BJ111" s="1">
        <v>5244</v>
      </c>
      <c r="BK111" s="1">
        <v>5889</v>
      </c>
      <c r="BL111" s="1">
        <v>3244</v>
      </c>
      <c r="BM111" s="1">
        <v>6280</v>
      </c>
      <c r="BN111" s="1">
        <v>1426</v>
      </c>
      <c r="BO111" s="1">
        <v>1188</v>
      </c>
      <c r="BP111" s="1">
        <v>30261</v>
      </c>
      <c r="BQ111" s="1">
        <v>2915</v>
      </c>
      <c r="BR111" s="1">
        <v>87940</v>
      </c>
      <c r="BS111" s="1">
        <v>9918</v>
      </c>
      <c r="BT111" s="1">
        <v>11404</v>
      </c>
      <c r="BU111" s="1">
        <v>20791</v>
      </c>
      <c r="BV111" s="1">
        <v>3225</v>
      </c>
      <c r="BW111" s="1">
        <v>14852</v>
      </c>
      <c r="BX111" s="1">
        <v>2684</v>
      </c>
      <c r="BY111" s="1">
        <v>5580</v>
      </c>
      <c r="BZ111" s="1">
        <v>26053</v>
      </c>
      <c r="CA111" s="1">
        <v>2747</v>
      </c>
      <c r="CB111" s="1">
        <v>1434</v>
      </c>
      <c r="CC111" s="1">
        <v>8821</v>
      </c>
      <c r="CD111" s="1">
        <v>4570</v>
      </c>
      <c r="CE111" s="1">
        <v>4469</v>
      </c>
      <c r="CF111" s="1">
        <v>8719</v>
      </c>
      <c r="CG111" s="1">
        <v>118109</v>
      </c>
      <c r="CH111" s="1">
        <v>22056</v>
      </c>
      <c r="CI111" s="1">
        <v>36987</v>
      </c>
      <c r="CJ111" s="1">
        <v>9536</v>
      </c>
      <c r="CK111" s="1">
        <v>19427</v>
      </c>
      <c r="CL111" s="1">
        <v>12621</v>
      </c>
      <c r="CM111" s="1">
        <v>20340</v>
      </c>
      <c r="CN111" s="1">
        <v>56988</v>
      </c>
      <c r="CO111" s="1">
        <v>7310</v>
      </c>
      <c r="CP111" s="1">
        <v>4543</v>
      </c>
      <c r="CQ111" s="1">
        <v>5754</v>
      </c>
      <c r="CR111" s="1">
        <v>7796</v>
      </c>
      <c r="CS111" s="1">
        <v>38106</v>
      </c>
      <c r="CT111" s="1">
        <v>21865</v>
      </c>
      <c r="CU111" s="1">
        <v>2274</v>
      </c>
      <c r="CV111" s="1">
        <v>287365</v>
      </c>
      <c r="CW111" s="1">
        <v>7488</v>
      </c>
      <c r="CX111" s="1">
        <v>2731</v>
      </c>
      <c r="CY111" s="1">
        <v>31540</v>
      </c>
      <c r="CZ111" s="1">
        <v>2906</v>
      </c>
      <c r="DA111" s="1">
        <v>7212</v>
      </c>
      <c r="DB111" s="1">
        <v>16506</v>
      </c>
      <c r="DC111" s="1">
        <v>5864</v>
      </c>
      <c r="DD111" s="1">
        <v>3807</v>
      </c>
      <c r="DE111" s="1">
        <v>2817</v>
      </c>
      <c r="DF111" s="1">
        <v>61244</v>
      </c>
      <c r="DG111" s="1">
        <v>18653</v>
      </c>
      <c r="DH111" s="1">
        <v>23541</v>
      </c>
      <c r="DI111" s="1">
        <v>5784</v>
      </c>
      <c r="DJ111" s="1">
        <v>37125</v>
      </c>
      <c r="DK111" s="1">
        <v>20028</v>
      </c>
      <c r="DL111" s="1">
        <v>13531</v>
      </c>
      <c r="DM111" s="1">
        <v>18560</v>
      </c>
      <c r="DN111" s="1">
        <v>24144</v>
      </c>
      <c r="DO111" s="1">
        <v>3443</v>
      </c>
      <c r="DP111" s="1">
        <v>11799</v>
      </c>
      <c r="DQ111" s="1">
        <v>69448</v>
      </c>
      <c r="DR111" s="1">
        <v>3677</v>
      </c>
      <c r="DS111" s="1">
        <v>8700</v>
      </c>
      <c r="DT111" s="1">
        <v>882</v>
      </c>
      <c r="DU111" s="1">
        <v>11493</v>
      </c>
      <c r="DV111" s="1">
        <v>6911</v>
      </c>
      <c r="DW111" s="1">
        <v>6834</v>
      </c>
      <c r="DX111" s="1">
        <v>15441</v>
      </c>
      <c r="DY111" s="1">
        <v>2441</v>
      </c>
      <c r="DZ111" s="1">
        <v>3045</v>
      </c>
      <c r="EA111" s="1">
        <v>12250</v>
      </c>
      <c r="EB111" s="1">
        <v>6851</v>
      </c>
      <c r="EC111" s="1">
        <v>802</v>
      </c>
      <c r="ED111" s="1">
        <v>1304</v>
      </c>
      <c r="EE111" s="1">
        <v>40947</v>
      </c>
      <c r="EF111" s="1">
        <v>4518</v>
      </c>
      <c r="EG111" s="1">
        <v>18103</v>
      </c>
      <c r="EH111" s="1">
        <v>29700</v>
      </c>
      <c r="EJ111" s="1">
        <f t="shared" si="1"/>
        <v>1774411</v>
      </c>
    </row>
    <row r="112" spans="1:140" x14ac:dyDescent="0.25">
      <c r="A112" s="1" t="s">
        <v>248</v>
      </c>
      <c r="B112" s="1">
        <v>5931</v>
      </c>
      <c r="C112" s="1">
        <v>6049</v>
      </c>
      <c r="D112" s="1">
        <v>163</v>
      </c>
      <c r="E112" s="1">
        <v>1820</v>
      </c>
      <c r="F112" s="1">
        <v>39</v>
      </c>
      <c r="G112" s="1">
        <v>10</v>
      </c>
      <c r="H112" s="1">
        <v>16999</v>
      </c>
      <c r="I112" s="1">
        <v>114</v>
      </c>
      <c r="J112" s="1">
        <v>1611</v>
      </c>
      <c r="K112" s="1">
        <v>62</v>
      </c>
      <c r="L112" s="1">
        <v>1494</v>
      </c>
      <c r="M112" s="1">
        <v>116</v>
      </c>
      <c r="N112" s="1">
        <v>12952</v>
      </c>
      <c r="O112" s="1">
        <v>2171</v>
      </c>
      <c r="P112" s="1">
        <v>4038</v>
      </c>
      <c r="Q112" s="1">
        <v>9061</v>
      </c>
      <c r="R112" s="1">
        <v>33</v>
      </c>
      <c r="S112" s="1">
        <v>2791</v>
      </c>
      <c r="T112" s="1">
        <v>2468</v>
      </c>
      <c r="U112" s="1">
        <v>2690</v>
      </c>
      <c r="V112" s="1">
        <v>8259</v>
      </c>
      <c r="W112" s="1">
        <v>4447</v>
      </c>
      <c r="X112" s="1">
        <v>839</v>
      </c>
      <c r="Y112" s="1">
        <v>1021</v>
      </c>
      <c r="Z112" s="1">
        <v>1799</v>
      </c>
      <c r="AA112" s="1">
        <v>798</v>
      </c>
      <c r="AB112" s="1">
        <v>6412</v>
      </c>
      <c r="AC112" s="1">
        <v>911</v>
      </c>
      <c r="AD112" s="1">
        <v>480</v>
      </c>
      <c r="AE112" s="1">
        <v>1881</v>
      </c>
      <c r="AF112" s="1">
        <v>1509</v>
      </c>
      <c r="AG112">
        <v>31149</v>
      </c>
      <c r="AH112" s="1">
        <v>533</v>
      </c>
      <c r="AI112" s="1">
        <v>1352</v>
      </c>
      <c r="AJ112" s="1">
        <v>556</v>
      </c>
      <c r="AK112" s="1">
        <v>2441</v>
      </c>
      <c r="AL112" s="1">
        <v>2995</v>
      </c>
      <c r="AM112" s="1">
        <v>890</v>
      </c>
      <c r="AN112" s="1">
        <v>375</v>
      </c>
      <c r="AO112" s="1">
        <v>10815</v>
      </c>
      <c r="AP112" s="1">
        <v>1031</v>
      </c>
      <c r="AQ112" s="1">
        <v>128</v>
      </c>
      <c r="AR112" s="1">
        <v>2715</v>
      </c>
      <c r="AS112" s="1">
        <v>7285</v>
      </c>
      <c r="AT112" s="1">
        <v>1571</v>
      </c>
      <c r="AU112" s="1">
        <v>3093</v>
      </c>
      <c r="AV112" s="1">
        <v>4914</v>
      </c>
      <c r="AW112" s="1">
        <v>2203</v>
      </c>
      <c r="AX112" s="1">
        <v>31230</v>
      </c>
      <c r="AY112" s="1">
        <v>220</v>
      </c>
      <c r="AZ112" s="1">
        <v>981</v>
      </c>
      <c r="BA112" s="1">
        <v>6848</v>
      </c>
      <c r="BB112" s="1">
        <v>341</v>
      </c>
      <c r="BC112" s="1">
        <v>1045</v>
      </c>
      <c r="BD112" s="1">
        <v>9320</v>
      </c>
      <c r="BE112" s="1">
        <v>4153</v>
      </c>
      <c r="BF112" s="1">
        <v>2202</v>
      </c>
      <c r="BG112" s="1">
        <v>6555</v>
      </c>
      <c r="BH112" s="1">
        <v>2087</v>
      </c>
      <c r="BI112" s="1">
        <v>35909</v>
      </c>
      <c r="BJ112" s="1">
        <v>4968</v>
      </c>
      <c r="BK112" s="1">
        <v>7862</v>
      </c>
      <c r="BL112" s="1">
        <v>3720</v>
      </c>
      <c r="BM112" s="1">
        <v>6055</v>
      </c>
      <c r="BN112" s="1">
        <v>1311</v>
      </c>
      <c r="BO112" s="1">
        <v>1836</v>
      </c>
      <c r="BP112" s="1">
        <v>33951</v>
      </c>
      <c r="BQ112" s="1">
        <v>3155</v>
      </c>
      <c r="BR112" s="1">
        <v>100408</v>
      </c>
      <c r="BS112" s="1">
        <v>10167</v>
      </c>
      <c r="BT112" s="1">
        <v>12155</v>
      </c>
      <c r="BU112" s="1">
        <v>21920</v>
      </c>
      <c r="BV112" s="1">
        <v>3424</v>
      </c>
      <c r="BW112" s="1">
        <v>17837</v>
      </c>
      <c r="BX112" s="1">
        <v>3534</v>
      </c>
      <c r="BY112" s="1">
        <v>7171</v>
      </c>
      <c r="BZ112" s="1">
        <v>25980</v>
      </c>
      <c r="CA112" s="1">
        <v>3169</v>
      </c>
      <c r="CB112" s="1">
        <v>1697</v>
      </c>
      <c r="CC112" s="1">
        <v>9318</v>
      </c>
      <c r="CD112" s="1">
        <v>4841</v>
      </c>
      <c r="CE112" s="1">
        <v>4922</v>
      </c>
      <c r="CF112" s="1">
        <v>9456</v>
      </c>
      <c r="CG112" s="1">
        <v>135846</v>
      </c>
      <c r="CH112" s="1">
        <v>21936</v>
      </c>
      <c r="CI112" s="1">
        <v>38407</v>
      </c>
      <c r="CJ112" s="1">
        <v>11731</v>
      </c>
      <c r="CK112" s="1">
        <v>19745</v>
      </c>
      <c r="CL112" s="1">
        <v>13014</v>
      </c>
      <c r="CM112" s="1">
        <v>21220</v>
      </c>
      <c r="CN112" s="1">
        <v>57131</v>
      </c>
      <c r="CO112" s="1">
        <v>7938</v>
      </c>
      <c r="CP112" s="1">
        <v>4217</v>
      </c>
      <c r="CQ112" s="1">
        <v>5831</v>
      </c>
      <c r="CR112" s="1">
        <v>7409</v>
      </c>
      <c r="CS112" s="1">
        <v>37533</v>
      </c>
      <c r="CT112" s="1">
        <v>21751</v>
      </c>
      <c r="CU112" s="1">
        <v>2193</v>
      </c>
      <c r="CV112" s="1">
        <v>298742</v>
      </c>
      <c r="CW112" s="1">
        <v>11407</v>
      </c>
      <c r="CX112" s="1">
        <v>2656</v>
      </c>
      <c r="CY112" s="1">
        <v>31772</v>
      </c>
      <c r="CZ112" s="1">
        <v>4308</v>
      </c>
      <c r="DA112" s="1">
        <v>7276</v>
      </c>
      <c r="DB112" s="1">
        <v>17022</v>
      </c>
      <c r="DC112" s="1">
        <v>5602</v>
      </c>
      <c r="DD112" s="1">
        <v>3620</v>
      </c>
      <c r="DE112" s="1">
        <v>2871</v>
      </c>
      <c r="DF112" s="1">
        <v>62364</v>
      </c>
      <c r="DG112" s="1">
        <v>17304</v>
      </c>
      <c r="DH112" s="1">
        <v>22592</v>
      </c>
      <c r="DI112" s="1">
        <v>4533</v>
      </c>
      <c r="DJ112" s="1">
        <v>33100</v>
      </c>
      <c r="DK112" s="1">
        <v>21156</v>
      </c>
      <c r="DL112" s="1">
        <v>13731</v>
      </c>
      <c r="DM112" s="1">
        <v>20247</v>
      </c>
      <c r="DN112" s="1">
        <v>23757</v>
      </c>
      <c r="DO112" s="1">
        <v>4934</v>
      </c>
      <c r="DP112" s="1">
        <v>15520</v>
      </c>
      <c r="DQ112" s="1">
        <v>76306</v>
      </c>
      <c r="DR112" s="1">
        <v>4980</v>
      </c>
      <c r="DS112" s="1">
        <v>9019</v>
      </c>
      <c r="DT112" s="1">
        <v>871</v>
      </c>
      <c r="DU112" s="1">
        <v>11779</v>
      </c>
      <c r="DV112" s="1">
        <v>7399</v>
      </c>
      <c r="DW112" s="1">
        <v>7321</v>
      </c>
      <c r="DX112" s="1">
        <v>12223</v>
      </c>
      <c r="DY112" s="1">
        <v>1838</v>
      </c>
      <c r="DZ112" s="1">
        <v>3443</v>
      </c>
      <c r="EA112" s="1">
        <v>12125</v>
      </c>
      <c r="EB112" s="1">
        <v>5848</v>
      </c>
      <c r="EC112" s="1">
        <v>890</v>
      </c>
      <c r="ED112" s="1">
        <v>1181</v>
      </c>
      <c r="EE112" s="1">
        <v>40449</v>
      </c>
      <c r="EF112" s="1">
        <v>4952</v>
      </c>
      <c r="EG112" s="1">
        <v>15554</v>
      </c>
      <c r="EH112" s="1">
        <v>29792</v>
      </c>
      <c r="EJ112" s="1">
        <f t="shared" si="1"/>
        <v>1849148</v>
      </c>
    </row>
    <row r="113" spans="1:140" x14ac:dyDescent="0.25">
      <c r="A113" s="1" t="s">
        <v>249</v>
      </c>
      <c r="B113" s="1">
        <v>5811</v>
      </c>
      <c r="C113" s="1">
        <v>6818</v>
      </c>
      <c r="D113" s="1">
        <v>220</v>
      </c>
      <c r="E113" s="1">
        <v>2248</v>
      </c>
      <c r="F113" s="1">
        <v>18</v>
      </c>
      <c r="G113" s="1">
        <v>37</v>
      </c>
      <c r="H113" s="1">
        <v>18298</v>
      </c>
      <c r="I113" s="1">
        <v>99</v>
      </c>
      <c r="J113" s="1">
        <v>1787</v>
      </c>
      <c r="K113" s="1">
        <v>73</v>
      </c>
      <c r="L113" s="1">
        <v>1599</v>
      </c>
      <c r="M113" s="1">
        <v>96</v>
      </c>
      <c r="N113" s="1">
        <v>12435</v>
      </c>
      <c r="O113" s="1">
        <v>2606</v>
      </c>
      <c r="P113" s="1">
        <v>3465</v>
      </c>
      <c r="Q113" s="1">
        <v>8813</v>
      </c>
      <c r="R113" s="1">
        <v>29</v>
      </c>
      <c r="S113" s="1">
        <v>3086</v>
      </c>
      <c r="T113" s="1">
        <v>2939</v>
      </c>
      <c r="U113" s="1">
        <v>3307</v>
      </c>
      <c r="V113" s="1">
        <v>8596</v>
      </c>
      <c r="W113" s="1">
        <v>4580</v>
      </c>
      <c r="X113" s="1">
        <v>959</v>
      </c>
      <c r="Y113" s="1">
        <v>936</v>
      </c>
      <c r="Z113" s="1">
        <v>1042</v>
      </c>
      <c r="AA113" s="1">
        <v>870</v>
      </c>
      <c r="AB113" s="1">
        <v>7094</v>
      </c>
      <c r="AC113" s="1">
        <v>812</v>
      </c>
      <c r="AD113" s="1">
        <v>471</v>
      </c>
      <c r="AE113" s="1">
        <v>2572</v>
      </c>
      <c r="AF113" s="1">
        <v>2179</v>
      </c>
      <c r="AG113">
        <v>33945</v>
      </c>
      <c r="AH113" s="1">
        <v>705</v>
      </c>
      <c r="AI113" s="1">
        <v>1532</v>
      </c>
      <c r="AJ113" s="1">
        <v>616</v>
      </c>
      <c r="AK113" s="1">
        <v>2686</v>
      </c>
      <c r="AL113" s="1">
        <v>3083</v>
      </c>
      <c r="AM113" s="1">
        <v>900</v>
      </c>
      <c r="AN113" s="1">
        <v>385</v>
      </c>
      <c r="AO113" s="1">
        <v>11600</v>
      </c>
      <c r="AP113" s="1">
        <v>898</v>
      </c>
      <c r="AQ113" s="1">
        <v>152</v>
      </c>
      <c r="AR113" s="1">
        <v>3297</v>
      </c>
      <c r="AS113" s="1">
        <v>8106</v>
      </c>
      <c r="AT113" s="1">
        <v>1613</v>
      </c>
      <c r="AU113" s="1">
        <v>3962</v>
      </c>
      <c r="AV113" s="1">
        <v>5264</v>
      </c>
      <c r="AW113" s="1">
        <v>2281</v>
      </c>
      <c r="AX113" s="1">
        <v>34724</v>
      </c>
      <c r="AY113" s="1">
        <v>232</v>
      </c>
      <c r="AZ113" s="1">
        <v>1036</v>
      </c>
      <c r="BA113" s="1">
        <v>7222</v>
      </c>
      <c r="BB113" s="1">
        <v>321</v>
      </c>
      <c r="BC113" s="1">
        <v>1124</v>
      </c>
      <c r="BD113" s="1">
        <v>10412</v>
      </c>
      <c r="BE113" s="1">
        <v>4275</v>
      </c>
      <c r="BF113" s="1">
        <v>2951</v>
      </c>
      <c r="BG113" s="1">
        <v>7211</v>
      </c>
      <c r="BH113" s="1">
        <v>2406</v>
      </c>
      <c r="BI113" s="1">
        <v>40711</v>
      </c>
      <c r="BJ113" s="1">
        <v>6360</v>
      </c>
      <c r="BK113" s="1">
        <v>10830</v>
      </c>
      <c r="BL113" s="1">
        <v>4233</v>
      </c>
      <c r="BM113" s="1">
        <v>6342</v>
      </c>
      <c r="BN113" s="1">
        <v>1486</v>
      </c>
      <c r="BO113" s="1">
        <v>1456</v>
      </c>
      <c r="BP113" s="1">
        <v>33486</v>
      </c>
      <c r="BQ113" s="1">
        <v>3282</v>
      </c>
      <c r="BR113" s="1">
        <v>100145</v>
      </c>
      <c r="BS113" s="1">
        <v>9813</v>
      </c>
      <c r="BT113" s="1">
        <v>13257</v>
      </c>
      <c r="BU113" s="1">
        <v>26580</v>
      </c>
      <c r="BV113" s="1">
        <v>3607</v>
      </c>
      <c r="BW113" s="1">
        <v>17660</v>
      </c>
      <c r="BX113" s="1">
        <v>4045</v>
      </c>
      <c r="BY113" s="1">
        <v>11739</v>
      </c>
      <c r="BZ113" s="1">
        <v>25642</v>
      </c>
      <c r="CA113" s="1">
        <v>3882</v>
      </c>
      <c r="CB113" s="1">
        <v>1647</v>
      </c>
      <c r="CC113" s="1">
        <v>9451</v>
      </c>
      <c r="CD113" s="1">
        <v>4620</v>
      </c>
      <c r="CE113" s="1">
        <v>4966</v>
      </c>
      <c r="CF113" s="1">
        <v>9681</v>
      </c>
      <c r="CG113" s="1">
        <v>134282</v>
      </c>
      <c r="CH113" s="1">
        <v>23138</v>
      </c>
      <c r="CI113" s="1">
        <v>42010</v>
      </c>
      <c r="CJ113" s="1">
        <v>13802</v>
      </c>
      <c r="CK113" s="1">
        <v>25499</v>
      </c>
      <c r="CL113" s="1">
        <v>14116</v>
      </c>
      <c r="CM113" s="1">
        <v>25141</v>
      </c>
      <c r="CN113" s="1">
        <v>58885</v>
      </c>
      <c r="CO113" s="1">
        <v>9299</v>
      </c>
      <c r="CP113" s="1">
        <v>4497</v>
      </c>
      <c r="CQ113" s="1">
        <v>6461</v>
      </c>
      <c r="CR113" s="1">
        <v>8353</v>
      </c>
      <c r="CS113" s="1">
        <v>40337</v>
      </c>
      <c r="CT113" s="1">
        <v>23033</v>
      </c>
      <c r="CU113" s="1">
        <v>2150</v>
      </c>
      <c r="CV113" s="1">
        <v>312629</v>
      </c>
      <c r="CW113" s="1">
        <v>9942</v>
      </c>
      <c r="CX113" s="1">
        <v>2692</v>
      </c>
      <c r="CY113" s="1">
        <v>33085</v>
      </c>
      <c r="CZ113" s="1">
        <v>4540</v>
      </c>
      <c r="DA113" s="1">
        <v>7706</v>
      </c>
      <c r="DB113" s="1">
        <v>16648</v>
      </c>
      <c r="DC113" s="1">
        <v>5710</v>
      </c>
      <c r="DD113" s="1">
        <v>3753</v>
      </c>
      <c r="DE113" s="1">
        <v>2935</v>
      </c>
      <c r="DF113" s="1">
        <v>63660</v>
      </c>
      <c r="DG113" s="1">
        <v>18528</v>
      </c>
      <c r="DH113" s="1">
        <v>21708</v>
      </c>
      <c r="DI113" s="1">
        <v>4688</v>
      </c>
      <c r="DJ113" s="1">
        <v>32633</v>
      </c>
      <c r="DK113" s="1">
        <v>21637</v>
      </c>
      <c r="DL113" s="1">
        <v>13485</v>
      </c>
      <c r="DM113" s="1">
        <v>18869</v>
      </c>
      <c r="DN113" s="1">
        <v>22455</v>
      </c>
      <c r="DO113" s="1">
        <v>4240</v>
      </c>
      <c r="DP113" s="1">
        <v>11650</v>
      </c>
      <c r="DQ113" s="1">
        <v>72792</v>
      </c>
      <c r="DR113" s="1">
        <v>3546</v>
      </c>
      <c r="DS113" s="1">
        <v>8700</v>
      </c>
      <c r="DT113" s="1">
        <v>857</v>
      </c>
      <c r="DU113" s="1">
        <v>11821</v>
      </c>
      <c r="DV113" s="1">
        <v>7891</v>
      </c>
      <c r="DW113" s="1">
        <v>7306</v>
      </c>
      <c r="DX113" s="1">
        <v>14345</v>
      </c>
      <c r="DY113" s="1">
        <v>1814</v>
      </c>
      <c r="DZ113" s="1">
        <v>4314</v>
      </c>
      <c r="EA113" s="1">
        <v>13119</v>
      </c>
      <c r="EB113" s="1">
        <v>6358</v>
      </c>
      <c r="EC113" s="1">
        <v>1184</v>
      </c>
      <c r="ED113" s="1">
        <v>1478</v>
      </c>
      <c r="EE113" s="1">
        <v>50106</v>
      </c>
      <c r="EF113" s="1">
        <v>5848</v>
      </c>
      <c r="EG113" s="1">
        <v>18842</v>
      </c>
      <c r="EH113" s="1">
        <v>31897</v>
      </c>
      <c r="EJ113" s="1">
        <f t="shared" si="1"/>
        <v>1938169</v>
      </c>
    </row>
    <row r="114" spans="1:140" x14ac:dyDescent="0.25">
      <c r="A114" s="1" t="s">
        <v>250</v>
      </c>
      <c r="B114" s="1">
        <v>5495</v>
      </c>
      <c r="C114" s="1">
        <v>7604</v>
      </c>
      <c r="D114" s="1">
        <v>286</v>
      </c>
      <c r="E114" s="1">
        <v>2639</v>
      </c>
      <c r="F114" s="1">
        <v>13</v>
      </c>
      <c r="G114" s="1">
        <v>48</v>
      </c>
      <c r="H114" s="1">
        <v>17454</v>
      </c>
      <c r="I114" s="1">
        <v>86</v>
      </c>
      <c r="J114" s="1">
        <v>1565</v>
      </c>
      <c r="K114" s="1">
        <v>90</v>
      </c>
      <c r="L114" s="1">
        <v>1395</v>
      </c>
      <c r="M114" s="1">
        <v>152</v>
      </c>
      <c r="N114" s="1">
        <v>12443</v>
      </c>
      <c r="O114" s="1">
        <v>2166</v>
      </c>
      <c r="P114" s="1">
        <v>4448</v>
      </c>
      <c r="Q114" s="1">
        <v>9354</v>
      </c>
      <c r="R114" s="1">
        <v>34</v>
      </c>
      <c r="S114" s="1">
        <v>2780</v>
      </c>
      <c r="T114" s="1">
        <v>2827</v>
      </c>
      <c r="U114" s="1">
        <v>2758</v>
      </c>
      <c r="V114" s="1">
        <v>8643</v>
      </c>
      <c r="W114" s="1">
        <v>3718</v>
      </c>
      <c r="X114" s="1">
        <v>1012</v>
      </c>
      <c r="Y114" s="1">
        <v>930</v>
      </c>
      <c r="Z114" s="1">
        <v>1325</v>
      </c>
      <c r="AA114" s="1">
        <v>868</v>
      </c>
      <c r="AB114" s="1">
        <v>8000</v>
      </c>
      <c r="AC114" s="1">
        <v>1121</v>
      </c>
      <c r="AD114" s="1">
        <v>537</v>
      </c>
      <c r="AE114" s="1">
        <v>2562</v>
      </c>
      <c r="AF114" s="1">
        <v>2244</v>
      </c>
      <c r="AG114">
        <v>35165</v>
      </c>
      <c r="AH114" s="1">
        <v>699</v>
      </c>
      <c r="AI114" s="1">
        <v>1634</v>
      </c>
      <c r="AJ114" s="1">
        <v>695</v>
      </c>
      <c r="AK114" s="1">
        <v>2601</v>
      </c>
      <c r="AL114" s="1">
        <v>3260</v>
      </c>
      <c r="AM114" s="1">
        <v>979</v>
      </c>
      <c r="AN114" s="1">
        <v>375</v>
      </c>
      <c r="AO114" s="1">
        <v>10983</v>
      </c>
      <c r="AP114" s="1">
        <v>985</v>
      </c>
      <c r="AQ114" s="1">
        <v>180</v>
      </c>
      <c r="AR114" s="1">
        <v>3690</v>
      </c>
      <c r="AS114" s="1">
        <v>9012</v>
      </c>
      <c r="AT114" s="1">
        <v>1818</v>
      </c>
      <c r="AU114" s="1">
        <v>4581</v>
      </c>
      <c r="AV114" s="1">
        <v>5023</v>
      </c>
      <c r="AW114" s="1">
        <v>3700</v>
      </c>
      <c r="AX114" s="1">
        <v>32020</v>
      </c>
      <c r="AY114" s="1">
        <v>240</v>
      </c>
      <c r="AZ114" s="1">
        <v>1290</v>
      </c>
      <c r="BA114" s="1">
        <v>7571</v>
      </c>
      <c r="BB114" s="1">
        <v>240</v>
      </c>
      <c r="BC114" s="1">
        <v>1060</v>
      </c>
      <c r="BD114" s="1">
        <v>8248</v>
      </c>
      <c r="BE114" s="1">
        <v>4653</v>
      </c>
      <c r="BF114" s="1">
        <v>4632</v>
      </c>
      <c r="BG114" s="1">
        <v>6479</v>
      </c>
      <c r="BH114" s="1">
        <v>2026</v>
      </c>
      <c r="BI114" s="1">
        <v>39489</v>
      </c>
      <c r="BJ114" s="1">
        <v>5853</v>
      </c>
      <c r="BK114" s="1">
        <v>8308</v>
      </c>
      <c r="BL114" s="1">
        <v>4326</v>
      </c>
      <c r="BM114" s="1">
        <v>6891</v>
      </c>
      <c r="BN114" s="1">
        <v>1735</v>
      </c>
      <c r="BO114" s="1">
        <v>1392</v>
      </c>
      <c r="BP114" s="1">
        <v>33115</v>
      </c>
      <c r="BQ114" s="1">
        <v>3509</v>
      </c>
      <c r="BR114" s="1">
        <v>94755</v>
      </c>
      <c r="BS114" s="1">
        <v>10434</v>
      </c>
      <c r="BT114" s="1">
        <v>13056</v>
      </c>
      <c r="BU114" s="1">
        <v>32955</v>
      </c>
      <c r="BV114" s="1">
        <v>3860</v>
      </c>
      <c r="BW114" s="1">
        <v>20525</v>
      </c>
      <c r="BX114" s="1">
        <v>4471</v>
      </c>
      <c r="BY114" s="1">
        <v>12504</v>
      </c>
      <c r="BZ114" s="1">
        <v>25518</v>
      </c>
      <c r="CA114" s="1">
        <v>3762</v>
      </c>
      <c r="CB114" s="1">
        <v>1599</v>
      </c>
      <c r="CC114" s="1">
        <v>10101</v>
      </c>
      <c r="CD114" s="1">
        <v>4641</v>
      </c>
      <c r="CE114" s="1">
        <v>4696</v>
      </c>
      <c r="CF114" s="1">
        <v>9653</v>
      </c>
      <c r="CG114" s="1">
        <v>132780</v>
      </c>
      <c r="CH114" s="1">
        <v>19553</v>
      </c>
      <c r="CI114" s="1">
        <v>36635</v>
      </c>
      <c r="CJ114" s="1">
        <v>8606</v>
      </c>
      <c r="CK114" s="1">
        <v>20647</v>
      </c>
      <c r="CL114" s="1">
        <v>12833</v>
      </c>
      <c r="CM114" s="1">
        <v>20990</v>
      </c>
      <c r="CN114" s="1">
        <v>55018</v>
      </c>
      <c r="CO114" s="1">
        <v>7494</v>
      </c>
      <c r="CP114" s="1">
        <v>5596</v>
      </c>
      <c r="CQ114" s="1">
        <v>5265</v>
      </c>
      <c r="CR114" s="1">
        <v>8344</v>
      </c>
      <c r="CS114" s="1">
        <v>36821</v>
      </c>
      <c r="CT114" s="1">
        <v>21630</v>
      </c>
      <c r="CU114" s="1">
        <v>2212</v>
      </c>
      <c r="CV114" s="1">
        <v>294659</v>
      </c>
      <c r="CW114" s="1">
        <v>8088</v>
      </c>
      <c r="CX114" s="1">
        <v>2914</v>
      </c>
      <c r="CY114" s="1">
        <v>29861</v>
      </c>
      <c r="CZ114" s="1">
        <v>3825</v>
      </c>
      <c r="DA114" s="1">
        <v>7219</v>
      </c>
      <c r="DB114" s="1">
        <v>14984</v>
      </c>
      <c r="DC114" s="1">
        <v>5355</v>
      </c>
      <c r="DD114" s="1">
        <v>3478</v>
      </c>
      <c r="DE114" s="1">
        <v>2658</v>
      </c>
      <c r="DF114" s="1">
        <v>59488</v>
      </c>
      <c r="DG114" s="1">
        <v>16546</v>
      </c>
      <c r="DH114" s="1">
        <v>19611</v>
      </c>
      <c r="DI114" s="1">
        <v>4082</v>
      </c>
      <c r="DJ114" s="1">
        <v>29242</v>
      </c>
      <c r="DK114" s="1">
        <v>19925</v>
      </c>
      <c r="DL114" s="1">
        <v>12269</v>
      </c>
      <c r="DM114" s="1">
        <v>16777</v>
      </c>
      <c r="DN114" s="1">
        <v>18738</v>
      </c>
      <c r="DO114" s="1">
        <v>3621</v>
      </c>
      <c r="DP114" s="1">
        <v>9055</v>
      </c>
      <c r="DQ114" s="1">
        <v>67413</v>
      </c>
      <c r="DR114" s="1">
        <v>2920</v>
      </c>
      <c r="DS114" s="1">
        <v>8004</v>
      </c>
      <c r="DT114" s="1">
        <v>866</v>
      </c>
      <c r="DU114" s="1">
        <v>11561</v>
      </c>
      <c r="DV114" s="1">
        <v>7561</v>
      </c>
      <c r="DW114" s="1">
        <v>6076</v>
      </c>
      <c r="DX114" s="1">
        <v>13789</v>
      </c>
      <c r="DY114" s="1">
        <v>2047</v>
      </c>
      <c r="DZ114" s="1">
        <v>3092</v>
      </c>
      <c r="EA114" s="1">
        <v>11713</v>
      </c>
      <c r="EB114" s="1">
        <v>5601</v>
      </c>
      <c r="EC114" s="1">
        <v>1000</v>
      </c>
      <c r="ED114" s="1">
        <v>1206</v>
      </c>
      <c r="EE114" s="1">
        <v>41118</v>
      </c>
      <c r="EF114" s="1">
        <v>4835</v>
      </c>
      <c r="EG114" s="1">
        <v>16311</v>
      </c>
      <c r="EH114" s="1">
        <v>29606</v>
      </c>
      <c r="EJ114" s="1">
        <f t="shared" si="1"/>
        <v>1827122</v>
      </c>
    </row>
    <row r="115" spans="1:140" x14ac:dyDescent="0.25">
      <c r="A115" s="1" t="s">
        <v>251</v>
      </c>
      <c r="B115" s="1">
        <v>5691</v>
      </c>
      <c r="C115" s="1">
        <v>6570</v>
      </c>
      <c r="D115" s="1">
        <v>361</v>
      </c>
      <c r="E115" s="1">
        <v>2003</v>
      </c>
      <c r="F115" s="1">
        <v>11</v>
      </c>
      <c r="G115" s="1">
        <v>35</v>
      </c>
      <c r="H115" s="1">
        <v>17263</v>
      </c>
      <c r="I115" s="1">
        <v>140</v>
      </c>
      <c r="J115" s="1">
        <v>1565</v>
      </c>
      <c r="K115" s="1">
        <v>87</v>
      </c>
      <c r="L115" s="1">
        <v>1644</v>
      </c>
      <c r="M115" s="1">
        <v>181</v>
      </c>
      <c r="N115" s="1">
        <v>13768</v>
      </c>
      <c r="O115" s="1">
        <v>2287</v>
      </c>
      <c r="P115" s="1">
        <v>5269</v>
      </c>
      <c r="Q115" s="1">
        <v>9531</v>
      </c>
      <c r="R115" s="1">
        <v>37</v>
      </c>
      <c r="S115" s="1">
        <v>2595</v>
      </c>
      <c r="T115" s="1">
        <v>2741</v>
      </c>
      <c r="U115" s="1">
        <v>2822</v>
      </c>
      <c r="V115" s="1">
        <v>8817</v>
      </c>
      <c r="W115" s="1">
        <v>4207</v>
      </c>
      <c r="X115" s="1">
        <v>976</v>
      </c>
      <c r="Y115" s="1">
        <v>1865</v>
      </c>
      <c r="Z115" s="1">
        <v>1572</v>
      </c>
      <c r="AA115" s="1">
        <v>888</v>
      </c>
      <c r="AB115" s="1">
        <v>7698</v>
      </c>
      <c r="AC115" s="1">
        <v>984</v>
      </c>
      <c r="AD115" s="1">
        <v>456</v>
      </c>
      <c r="AE115" s="1">
        <v>4022</v>
      </c>
      <c r="AF115" s="1">
        <v>2123</v>
      </c>
      <c r="AG115">
        <v>36404</v>
      </c>
      <c r="AH115" s="1">
        <v>650</v>
      </c>
      <c r="AI115" s="1">
        <v>2569</v>
      </c>
      <c r="AJ115" s="1">
        <v>573</v>
      </c>
      <c r="AK115" s="1">
        <v>2626</v>
      </c>
      <c r="AL115" s="1">
        <v>3793</v>
      </c>
      <c r="AM115" s="1">
        <v>1287</v>
      </c>
      <c r="AN115" s="1">
        <v>397</v>
      </c>
      <c r="AO115" s="1">
        <v>10598</v>
      </c>
      <c r="AP115" s="1">
        <v>883</v>
      </c>
      <c r="AQ115" s="1">
        <v>265</v>
      </c>
      <c r="AR115" s="1">
        <v>2794</v>
      </c>
      <c r="AS115" s="1">
        <v>7836</v>
      </c>
      <c r="AT115" s="1">
        <v>1303</v>
      </c>
      <c r="AU115" s="1">
        <v>5951</v>
      </c>
      <c r="AV115" s="1">
        <v>4994</v>
      </c>
      <c r="AW115" s="1">
        <v>2713</v>
      </c>
      <c r="AX115" s="1">
        <v>32781</v>
      </c>
      <c r="AY115" s="1">
        <v>375</v>
      </c>
      <c r="AZ115" s="1">
        <v>1107</v>
      </c>
      <c r="BA115" s="1">
        <v>7686</v>
      </c>
      <c r="BB115" s="1">
        <v>185</v>
      </c>
      <c r="BC115" s="1">
        <v>1045</v>
      </c>
      <c r="BD115" s="1">
        <v>8491</v>
      </c>
      <c r="BE115" s="1">
        <v>4965</v>
      </c>
      <c r="BF115" s="1">
        <v>3220</v>
      </c>
      <c r="BG115" s="1">
        <v>6842</v>
      </c>
      <c r="BH115" s="1">
        <v>2172</v>
      </c>
      <c r="BI115" s="1">
        <v>33196</v>
      </c>
      <c r="BJ115" s="1">
        <v>5415</v>
      </c>
      <c r="BK115" s="1">
        <v>7395</v>
      </c>
      <c r="BL115" s="1">
        <v>4984</v>
      </c>
      <c r="BM115" s="1">
        <v>6706</v>
      </c>
      <c r="BN115" s="1">
        <v>2146</v>
      </c>
      <c r="BO115" s="1">
        <v>1616</v>
      </c>
      <c r="BP115" s="1">
        <v>37215</v>
      </c>
      <c r="BQ115" s="1">
        <v>3241</v>
      </c>
      <c r="BR115" s="1">
        <v>89550</v>
      </c>
      <c r="BS115" s="1">
        <v>9349</v>
      </c>
      <c r="BT115" s="1">
        <v>12259</v>
      </c>
      <c r="BU115" s="1">
        <v>34510</v>
      </c>
      <c r="BV115" s="1">
        <v>4343</v>
      </c>
      <c r="BW115" s="1">
        <v>16948</v>
      </c>
      <c r="BX115" s="1">
        <v>3501</v>
      </c>
      <c r="BY115" s="1">
        <v>7065</v>
      </c>
      <c r="BZ115" s="1">
        <v>25804</v>
      </c>
      <c r="CA115" s="1">
        <v>3271</v>
      </c>
      <c r="CB115" s="1">
        <v>1634</v>
      </c>
      <c r="CC115" s="1">
        <v>10075</v>
      </c>
      <c r="CD115" s="1">
        <v>4454</v>
      </c>
      <c r="CE115" s="1">
        <v>5228</v>
      </c>
      <c r="CF115" s="1">
        <v>9321</v>
      </c>
      <c r="CG115" s="1">
        <v>127332</v>
      </c>
      <c r="CH115" s="1">
        <v>17323</v>
      </c>
      <c r="CI115" s="1">
        <v>37708</v>
      </c>
      <c r="CJ115" s="1">
        <v>7719</v>
      </c>
      <c r="CK115" s="1">
        <v>19823</v>
      </c>
      <c r="CL115" s="1">
        <v>18847</v>
      </c>
      <c r="CM115" s="1">
        <v>19183</v>
      </c>
      <c r="CN115" s="1">
        <v>52092</v>
      </c>
      <c r="CO115" s="1">
        <v>6864</v>
      </c>
      <c r="CP115" s="1">
        <v>4550</v>
      </c>
      <c r="CQ115" s="1">
        <v>5581</v>
      </c>
      <c r="CR115" s="1">
        <v>7602</v>
      </c>
      <c r="CS115" s="1">
        <v>34318</v>
      </c>
      <c r="CT115" s="1">
        <v>20419</v>
      </c>
      <c r="CU115" s="1">
        <v>2051</v>
      </c>
      <c r="CV115" s="1">
        <v>280248</v>
      </c>
      <c r="CW115" s="1">
        <v>7162</v>
      </c>
      <c r="CX115" s="1">
        <v>2642</v>
      </c>
      <c r="CY115" s="1">
        <v>28758</v>
      </c>
      <c r="CZ115" s="1">
        <v>3637</v>
      </c>
      <c r="DA115" s="1">
        <v>6236</v>
      </c>
      <c r="DB115" s="1">
        <v>15122</v>
      </c>
      <c r="DC115" s="1">
        <v>4960</v>
      </c>
      <c r="DD115" s="1">
        <v>3468</v>
      </c>
      <c r="DE115" s="1">
        <v>2541</v>
      </c>
      <c r="DF115" s="1">
        <v>56259</v>
      </c>
      <c r="DG115" s="1">
        <v>15391</v>
      </c>
      <c r="DH115" s="1">
        <v>17831</v>
      </c>
      <c r="DI115" s="1">
        <v>3968</v>
      </c>
      <c r="DJ115" s="1">
        <v>28054</v>
      </c>
      <c r="DK115" s="1">
        <v>18856</v>
      </c>
      <c r="DL115" s="1">
        <v>11578</v>
      </c>
      <c r="DM115" s="1">
        <v>15566</v>
      </c>
      <c r="DN115" s="1">
        <v>17875</v>
      </c>
      <c r="DO115" s="1">
        <v>3712</v>
      </c>
      <c r="DP115" s="1">
        <v>8909</v>
      </c>
      <c r="DQ115" s="1">
        <v>63706</v>
      </c>
      <c r="DR115" s="1">
        <v>3058</v>
      </c>
      <c r="DS115" s="1">
        <v>6958</v>
      </c>
      <c r="DT115" s="1">
        <v>845</v>
      </c>
      <c r="DU115" s="1">
        <v>11809</v>
      </c>
      <c r="DV115" s="1">
        <v>6793</v>
      </c>
      <c r="DW115" s="1">
        <v>5758</v>
      </c>
      <c r="DX115" s="1">
        <v>16046</v>
      </c>
      <c r="DY115" s="1">
        <v>2486</v>
      </c>
      <c r="DZ115" s="1">
        <v>3089</v>
      </c>
      <c r="EA115" s="1">
        <v>12895</v>
      </c>
      <c r="EB115" s="1">
        <v>6778</v>
      </c>
      <c r="EC115" s="1">
        <v>1084</v>
      </c>
      <c r="ED115" s="1">
        <v>1255</v>
      </c>
      <c r="EE115" s="1">
        <v>41375</v>
      </c>
      <c r="EF115" s="1">
        <v>6264</v>
      </c>
      <c r="EG115" s="1">
        <v>15573</v>
      </c>
      <c r="EH115" s="1">
        <v>30297</v>
      </c>
      <c r="EJ115" s="1">
        <f t="shared" si="1"/>
        <v>1772194</v>
      </c>
    </row>
    <row r="116" spans="1:140" x14ac:dyDescent="0.25">
      <c r="A116" s="1" t="s">
        <v>252</v>
      </c>
      <c r="B116" s="1">
        <v>6999</v>
      </c>
      <c r="C116" s="1">
        <v>7296</v>
      </c>
      <c r="D116" s="1">
        <v>381</v>
      </c>
      <c r="E116" s="1">
        <v>2123</v>
      </c>
      <c r="F116" s="1">
        <v>31</v>
      </c>
      <c r="G116" s="1">
        <v>39</v>
      </c>
      <c r="H116" s="1">
        <v>20476</v>
      </c>
      <c r="I116" s="1">
        <v>150</v>
      </c>
      <c r="J116" s="1">
        <v>2114</v>
      </c>
      <c r="K116" s="1">
        <v>87</v>
      </c>
      <c r="L116" s="1">
        <v>1589</v>
      </c>
      <c r="M116" s="1">
        <v>201</v>
      </c>
      <c r="N116" s="1">
        <v>13691</v>
      </c>
      <c r="O116" s="1">
        <v>2524</v>
      </c>
      <c r="P116" s="1">
        <v>4821</v>
      </c>
      <c r="Q116" s="1">
        <v>9367</v>
      </c>
      <c r="R116" s="1">
        <v>49</v>
      </c>
      <c r="S116" s="1">
        <v>2870</v>
      </c>
      <c r="T116" s="1">
        <v>2996</v>
      </c>
      <c r="U116" s="1">
        <v>2832</v>
      </c>
      <c r="V116" s="1">
        <v>10182</v>
      </c>
      <c r="W116" s="1">
        <v>4136</v>
      </c>
      <c r="X116" s="1">
        <v>855</v>
      </c>
      <c r="Y116" s="1">
        <v>1091</v>
      </c>
      <c r="Z116" s="1">
        <v>1761</v>
      </c>
      <c r="AA116" s="1">
        <v>944</v>
      </c>
      <c r="AB116" s="1">
        <v>7804</v>
      </c>
      <c r="AC116" s="1">
        <v>1057</v>
      </c>
      <c r="AD116" s="1">
        <v>530</v>
      </c>
      <c r="AE116" s="1">
        <v>2721</v>
      </c>
      <c r="AF116" s="1">
        <v>2023</v>
      </c>
      <c r="AG116">
        <v>34381</v>
      </c>
      <c r="AH116" s="1">
        <v>672</v>
      </c>
      <c r="AI116" s="1">
        <v>2308</v>
      </c>
      <c r="AJ116" s="1">
        <v>590</v>
      </c>
      <c r="AK116" s="1">
        <v>2696</v>
      </c>
      <c r="AL116" s="1">
        <v>3908</v>
      </c>
      <c r="AM116" s="1">
        <v>1056</v>
      </c>
      <c r="AN116" s="1">
        <v>485</v>
      </c>
      <c r="AO116" s="1">
        <v>11266</v>
      </c>
      <c r="AP116" s="1">
        <v>953</v>
      </c>
      <c r="AQ116" s="1">
        <v>221</v>
      </c>
      <c r="AR116" s="1">
        <v>3290</v>
      </c>
      <c r="AS116" s="1">
        <v>8639</v>
      </c>
      <c r="AT116" s="1">
        <v>1495</v>
      </c>
      <c r="AU116" s="1">
        <v>4596</v>
      </c>
      <c r="AV116" s="1">
        <v>5579</v>
      </c>
      <c r="AW116" s="1">
        <v>3627</v>
      </c>
      <c r="AX116" s="1">
        <v>31760</v>
      </c>
      <c r="AY116" s="1">
        <v>395</v>
      </c>
      <c r="AZ116" s="1">
        <v>1250</v>
      </c>
      <c r="BA116" s="1">
        <v>8786</v>
      </c>
      <c r="BB116" s="1">
        <v>244</v>
      </c>
      <c r="BC116" s="1">
        <v>1005</v>
      </c>
      <c r="BD116" s="1">
        <v>9634</v>
      </c>
      <c r="BE116" s="1">
        <v>3832</v>
      </c>
      <c r="BF116" s="1">
        <v>4067</v>
      </c>
      <c r="BG116" s="1">
        <v>7281</v>
      </c>
      <c r="BH116" s="1">
        <v>2509</v>
      </c>
      <c r="BI116" s="1">
        <v>35939</v>
      </c>
      <c r="BJ116" s="1">
        <v>7114</v>
      </c>
      <c r="BK116" s="1">
        <v>7114</v>
      </c>
      <c r="BL116" s="1">
        <v>4141</v>
      </c>
      <c r="BM116" s="1">
        <v>7579</v>
      </c>
      <c r="BN116" s="1">
        <v>2121</v>
      </c>
      <c r="BO116" s="1">
        <v>1481</v>
      </c>
      <c r="BP116" s="1">
        <v>35254</v>
      </c>
      <c r="BQ116" s="1">
        <v>3590</v>
      </c>
      <c r="BR116" s="1">
        <v>96136</v>
      </c>
      <c r="BS116" s="1">
        <v>9819</v>
      </c>
      <c r="BT116" s="1">
        <v>12048</v>
      </c>
      <c r="BU116" s="1">
        <v>27487</v>
      </c>
      <c r="BV116" s="1">
        <v>4202</v>
      </c>
      <c r="BW116" s="1">
        <v>17179</v>
      </c>
      <c r="BX116" s="1">
        <v>3106</v>
      </c>
      <c r="BY116" s="1">
        <v>6817</v>
      </c>
      <c r="BZ116" s="1">
        <v>25503</v>
      </c>
      <c r="CA116" s="1">
        <v>3107</v>
      </c>
      <c r="CB116" s="1">
        <v>1907</v>
      </c>
      <c r="CC116" s="1">
        <v>9375</v>
      </c>
      <c r="CD116" s="1">
        <v>4358</v>
      </c>
      <c r="CE116" s="1">
        <v>4855</v>
      </c>
      <c r="CF116" s="1">
        <v>8983</v>
      </c>
      <c r="CG116" s="1">
        <v>124710</v>
      </c>
      <c r="CH116" s="1">
        <v>17061</v>
      </c>
      <c r="CI116" s="1">
        <v>33041</v>
      </c>
      <c r="CJ116" s="1">
        <v>8079</v>
      </c>
      <c r="CK116" s="1">
        <v>18732</v>
      </c>
      <c r="CL116" s="1">
        <v>13428</v>
      </c>
      <c r="CM116" s="1">
        <v>19425</v>
      </c>
      <c r="CN116" s="1">
        <v>53019</v>
      </c>
      <c r="CO116" s="1">
        <v>6801</v>
      </c>
      <c r="CP116" s="1">
        <v>3911</v>
      </c>
      <c r="CQ116" s="1">
        <v>5037</v>
      </c>
      <c r="CR116" s="1">
        <v>7799</v>
      </c>
      <c r="CS116" s="1">
        <v>34434</v>
      </c>
      <c r="CT116" s="1">
        <v>21327</v>
      </c>
      <c r="CU116" s="1">
        <v>1979</v>
      </c>
      <c r="CV116" s="1">
        <v>279393</v>
      </c>
      <c r="CW116" s="1">
        <v>7823</v>
      </c>
      <c r="CX116" s="1">
        <v>2517</v>
      </c>
      <c r="CY116" s="1">
        <v>30272</v>
      </c>
      <c r="CZ116" s="1">
        <v>3616</v>
      </c>
      <c r="DA116" s="1">
        <v>6689</v>
      </c>
      <c r="DB116" s="1">
        <v>15152</v>
      </c>
      <c r="DC116" s="1">
        <v>5676</v>
      </c>
      <c r="DD116" s="1">
        <v>3489</v>
      </c>
      <c r="DE116" s="1">
        <v>2467</v>
      </c>
      <c r="DF116" s="1">
        <v>58099</v>
      </c>
      <c r="DG116" s="1">
        <v>16028</v>
      </c>
      <c r="DH116" s="1">
        <v>18881</v>
      </c>
      <c r="DI116" s="1">
        <v>3778</v>
      </c>
      <c r="DJ116" s="1">
        <v>29553</v>
      </c>
      <c r="DK116" s="1">
        <v>20005</v>
      </c>
      <c r="DL116" s="1">
        <v>12029</v>
      </c>
      <c r="DM116" s="1">
        <v>17046</v>
      </c>
      <c r="DN116" s="1">
        <v>19100</v>
      </c>
      <c r="DO116" s="1">
        <v>3617</v>
      </c>
      <c r="DP116" s="1">
        <v>9113</v>
      </c>
      <c r="DQ116" s="1">
        <v>66070</v>
      </c>
      <c r="DR116" s="1">
        <v>3328</v>
      </c>
      <c r="DS116" s="1">
        <v>6756</v>
      </c>
      <c r="DT116" s="1">
        <v>988</v>
      </c>
      <c r="DU116" s="1">
        <v>12244</v>
      </c>
      <c r="DV116" s="1">
        <v>5830</v>
      </c>
      <c r="DW116" s="1">
        <v>6278</v>
      </c>
      <c r="DX116" s="1">
        <v>15028</v>
      </c>
      <c r="DY116" s="1">
        <v>2295</v>
      </c>
      <c r="DZ116" s="1">
        <v>3068</v>
      </c>
      <c r="EA116" s="1">
        <v>12844</v>
      </c>
      <c r="EB116" s="1">
        <v>8335</v>
      </c>
      <c r="EC116" s="1">
        <v>927</v>
      </c>
      <c r="ED116" s="1">
        <v>1125</v>
      </c>
      <c r="EE116" s="1">
        <v>41030</v>
      </c>
      <c r="EF116" s="1">
        <v>5223</v>
      </c>
      <c r="EG116" s="1">
        <v>15655</v>
      </c>
      <c r="EH116" s="1">
        <v>31678</v>
      </c>
      <c r="EJ116" s="1">
        <f t="shared" si="1"/>
        <v>1781308</v>
      </c>
    </row>
    <row r="117" spans="1:140" x14ac:dyDescent="0.25">
      <c r="A117" s="1" t="s">
        <v>253</v>
      </c>
      <c r="B117" s="1">
        <v>6024</v>
      </c>
      <c r="C117" s="1">
        <v>7414</v>
      </c>
      <c r="D117" s="1">
        <v>285</v>
      </c>
      <c r="E117" s="1">
        <v>2145</v>
      </c>
      <c r="F117" s="1">
        <v>21</v>
      </c>
      <c r="G117" s="1">
        <v>49</v>
      </c>
      <c r="H117" s="1">
        <v>20315</v>
      </c>
      <c r="I117" s="1">
        <v>142</v>
      </c>
      <c r="J117" s="1">
        <v>1933</v>
      </c>
      <c r="K117" s="1">
        <v>78</v>
      </c>
      <c r="L117" s="1">
        <v>1494</v>
      </c>
      <c r="M117" s="1">
        <v>150</v>
      </c>
      <c r="N117" s="1">
        <v>13843</v>
      </c>
      <c r="O117" s="1">
        <v>2288</v>
      </c>
      <c r="P117" s="1">
        <v>5076</v>
      </c>
      <c r="Q117" s="1">
        <v>10678</v>
      </c>
      <c r="R117" s="1">
        <v>153</v>
      </c>
      <c r="S117" s="1">
        <v>3229</v>
      </c>
      <c r="T117" s="1">
        <v>3561</v>
      </c>
      <c r="U117" s="1">
        <v>3505</v>
      </c>
      <c r="V117" s="1">
        <v>11018</v>
      </c>
      <c r="W117" s="1">
        <v>4846</v>
      </c>
      <c r="X117" s="1">
        <v>927</v>
      </c>
      <c r="Y117" s="1">
        <v>2513</v>
      </c>
      <c r="Z117" s="1">
        <v>1444</v>
      </c>
      <c r="AA117" s="1">
        <v>856</v>
      </c>
      <c r="AB117" s="1">
        <v>7802</v>
      </c>
      <c r="AC117" s="1">
        <v>1134</v>
      </c>
      <c r="AD117" s="1">
        <v>750</v>
      </c>
      <c r="AE117" s="1">
        <v>2587</v>
      </c>
      <c r="AF117" s="1">
        <v>2020</v>
      </c>
      <c r="AG117">
        <v>35301</v>
      </c>
      <c r="AH117" s="1">
        <v>688</v>
      </c>
      <c r="AI117" s="1">
        <v>2531</v>
      </c>
      <c r="AJ117" s="1">
        <v>826</v>
      </c>
      <c r="AK117" s="1">
        <v>3112</v>
      </c>
      <c r="AL117" s="1">
        <v>4621</v>
      </c>
      <c r="AM117" s="1">
        <v>1214</v>
      </c>
      <c r="AN117" s="1">
        <v>468</v>
      </c>
      <c r="AO117" s="1">
        <v>12384</v>
      </c>
      <c r="AP117" s="1">
        <v>1047</v>
      </c>
      <c r="AQ117" s="1">
        <v>205</v>
      </c>
      <c r="AR117" s="1">
        <v>3814</v>
      </c>
      <c r="AS117" s="1">
        <v>12331</v>
      </c>
      <c r="AT117" s="1">
        <v>1571</v>
      </c>
      <c r="AU117" s="1">
        <v>4533</v>
      </c>
      <c r="AV117" s="1">
        <v>6362</v>
      </c>
      <c r="AW117" s="1">
        <v>4928</v>
      </c>
      <c r="AX117" s="1">
        <v>36832</v>
      </c>
      <c r="AY117" s="1">
        <v>345</v>
      </c>
      <c r="AZ117" s="1">
        <v>1540</v>
      </c>
      <c r="BA117" s="1">
        <v>8083</v>
      </c>
      <c r="BB117" s="1">
        <v>271</v>
      </c>
      <c r="BC117" s="1">
        <v>1126</v>
      </c>
      <c r="BD117" s="1">
        <v>9516</v>
      </c>
      <c r="BE117" s="1">
        <v>3997</v>
      </c>
      <c r="BF117" s="1">
        <v>3857</v>
      </c>
      <c r="BG117" s="1">
        <v>7589</v>
      </c>
      <c r="BH117" s="1">
        <v>2185</v>
      </c>
      <c r="BI117" s="1">
        <v>38729</v>
      </c>
      <c r="BJ117" s="1">
        <v>6255</v>
      </c>
      <c r="BK117" s="1">
        <v>7399</v>
      </c>
      <c r="BL117" s="1">
        <v>3661</v>
      </c>
      <c r="BM117" s="1">
        <v>7159</v>
      </c>
      <c r="BN117" s="1">
        <v>1643</v>
      </c>
      <c r="BO117" s="1">
        <v>1606</v>
      </c>
      <c r="BP117" s="1">
        <v>31210</v>
      </c>
      <c r="BQ117" s="1">
        <v>3676</v>
      </c>
      <c r="BR117" s="1">
        <v>93041</v>
      </c>
      <c r="BS117" s="1">
        <v>9296</v>
      </c>
      <c r="BT117" s="1">
        <v>10841</v>
      </c>
      <c r="BU117" s="1">
        <v>22991</v>
      </c>
      <c r="BV117" s="1">
        <v>3711</v>
      </c>
      <c r="BW117" s="1">
        <v>16237</v>
      </c>
      <c r="BX117" s="1">
        <v>3202</v>
      </c>
      <c r="BY117" s="1">
        <v>7113</v>
      </c>
      <c r="BZ117" s="1">
        <v>27888</v>
      </c>
      <c r="CA117" s="1">
        <v>3347</v>
      </c>
      <c r="CB117" s="1">
        <v>1675</v>
      </c>
      <c r="CC117" s="1">
        <v>9506</v>
      </c>
      <c r="CD117" s="1">
        <v>4768</v>
      </c>
      <c r="CE117" s="1">
        <v>4863</v>
      </c>
      <c r="CF117" s="1">
        <v>9284</v>
      </c>
      <c r="CG117" s="1">
        <v>130367</v>
      </c>
      <c r="CH117" s="1">
        <v>17401</v>
      </c>
      <c r="CI117" s="1">
        <v>31706</v>
      </c>
      <c r="CJ117" s="1">
        <v>8229</v>
      </c>
      <c r="CK117" s="1">
        <v>19542</v>
      </c>
      <c r="CL117" s="1">
        <v>11818</v>
      </c>
      <c r="CM117" s="1">
        <v>19605</v>
      </c>
      <c r="CN117" s="1">
        <v>53670</v>
      </c>
      <c r="CO117" s="1">
        <v>7789</v>
      </c>
      <c r="CP117" s="1">
        <v>4644</v>
      </c>
      <c r="CQ117" s="1">
        <v>5754</v>
      </c>
      <c r="CR117" s="1">
        <v>9168</v>
      </c>
      <c r="CS117" s="1">
        <v>38694</v>
      </c>
      <c r="CT117" s="1">
        <v>23342</v>
      </c>
      <c r="CU117" s="1">
        <v>2105</v>
      </c>
      <c r="CV117" s="1">
        <v>304024</v>
      </c>
      <c r="CW117" s="1">
        <v>7634</v>
      </c>
      <c r="CX117" s="1">
        <v>2622</v>
      </c>
      <c r="CY117" s="1">
        <v>31007</v>
      </c>
      <c r="CZ117" s="1">
        <v>3517</v>
      </c>
      <c r="DA117" s="1">
        <v>7449</v>
      </c>
      <c r="DB117" s="1">
        <v>15944</v>
      </c>
      <c r="DC117" s="1">
        <v>6157</v>
      </c>
      <c r="DD117" s="1">
        <v>3937</v>
      </c>
      <c r="DE117" s="1">
        <v>2615</v>
      </c>
      <c r="DF117" s="1">
        <v>59665</v>
      </c>
      <c r="DG117" s="1">
        <v>16659</v>
      </c>
      <c r="DH117" s="1">
        <v>19903</v>
      </c>
      <c r="DI117" s="1">
        <v>4015</v>
      </c>
      <c r="DJ117" s="1">
        <v>31027</v>
      </c>
      <c r="DK117" s="1">
        <v>21091</v>
      </c>
      <c r="DL117" s="1">
        <v>11845</v>
      </c>
      <c r="DM117" s="1">
        <v>17600</v>
      </c>
      <c r="DN117" s="1">
        <v>18160</v>
      </c>
      <c r="DO117" s="1">
        <v>4037</v>
      </c>
      <c r="DP117" s="1">
        <v>9006</v>
      </c>
      <c r="DQ117" s="1">
        <v>71223</v>
      </c>
      <c r="DR117" s="1">
        <v>3754</v>
      </c>
      <c r="DS117" s="1">
        <v>7687</v>
      </c>
      <c r="DT117" s="1">
        <v>920</v>
      </c>
      <c r="DU117" s="1">
        <v>12616</v>
      </c>
      <c r="DV117" s="1">
        <v>7168</v>
      </c>
      <c r="DW117" s="1">
        <v>5836</v>
      </c>
      <c r="DX117" s="1">
        <v>14516</v>
      </c>
      <c r="DY117" s="1">
        <v>2544</v>
      </c>
      <c r="DZ117" s="1">
        <v>3219</v>
      </c>
      <c r="EA117" s="1">
        <v>13274</v>
      </c>
      <c r="EB117" s="1">
        <v>6828</v>
      </c>
      <c r="EC117" s="1">
        <v>1090</v>
      </c>
      <c r="ED117" s="1">
        <v>1291</v>
      </c>
      <c r="EE117" s="1">
        <v>42193</v>
      </c>
      <c r="EF117" s="1">
        <v>4973</v>
      </c>
      <c r="EG117" s="1">
        <v>15193</v>
      </c>
      <c r="EH117" s="1">
        <v>31184</v>
      </c>
      <c r="EJ117" s="1">
        <f t="shared" si="1"/>
        <v>1845915</v>
      </c>
    </row>
    <row r="118" spans="1:140" x14ac:dyDescent="0.25">
      <c r="A118" s="1" t="s">
        <v>254</v>
      </c>
      <c r="B118" s="1">
        <v>5425</v>
      </c>
      <c r="C118" s="1">
        <v>6483</v>
      </c>
      <c r="D118" s="1">
        <v>254</v>
      </c>
      <c r="E118" s="1">
        <v>2013</v>
      </c>
      <c r="F118" s="1">
        <v>19</v>
      </c>
      <c r="G118" s="1">
        <v>71</v>
      </c>
      <c r="H118" s="1">
        <v>19833</v>
      </c>
      <c r="I118" s="1">
        <v>75</v>
      </c>
      <c r="J118" s="1">
        <v>1833</v>
      </c>
      <c r="K118" s="1">
        <v>68</v>
      </c>
      <c r="L118" s="1">
        <v>1392</v>
      </c>
      <c r="M118" s="1">
        <v>151</v>
      </c>
      <c r="N118" s="1">
        <v>14166</v>
      </c>
      <c r="O118" s="1">
        <v>2488</v>
      </c>
      <c r="P118" s="1">
        <v>5681</v>
      </c>
      <c r="Q118" s="1">
        <v>10429</v>
      </c>
      <c r="R118" s="1">
        <v>82</v>
      </c>
      <c r="S118" s="1">
        <v>2664</v>
      </c>
      <c r="T118" s="1">
        <v>3031</v>
      </c>
      <c r="U118" s="1">
        <v>2767</v>
      </c>
      <c r="V118" s="1">
        <v>10911</v>
      </c>
      <c r="W118" s="1">
        <v>4246</v>
      </c>
      <c r="X118" s="1">
        <v>800</v>
      </c>
      <c r="Y118" s="1">
        <v>1218</v>
      </c>
      <c r="Z118" s="1">
        <v>1243</v>
      </c>
      <c r="AA118" s="1">
        <v>755</v>
      </c>
      <c r="AB118" s="1">
        <v>7824</v>
      </c>
      <c r="AC118" s="1">
        <v>1164</v>
      </c>
      <c r="AD118" s="1">
        <v>486</v>
      </c>
      <c r="AE118" s="1">
        <v>2452</v>
      </c>
      <c r="AF118" s="1">
        <v>1825</v>
      </c>
      <c r="AG118">
        <v>35926</v>
      </c>
      <c r="AH118" s="1">
        <v>620</v>
      </c>
      <c r="AI118" s="1">
        <v>2434</v>
      </c>
      <c r="AJ118" s="1">
        <v>552</v>
      </c>
      <c r="AK118" s="1">
        <v>2512</v>
      </c>
      <c r="AL118" s="1">
        <v>3915</v>
      </c>
      <c r="AM118" s="1">
        <v>1021</v>
      </c>
      <c r="AN118" s="1">
        <v>363</v>
      </c>
      <c r="AO118" s="1">
        <v>13033</v>
      </c>
      <c r="AP118" s="1">
        <v>886</v>
      </c>
      <c r="AQ118" s="1">
        <v>118</v>
      </c>
      <c r="AR118" s="1">
        <v>3782</v>
      </c>
      <c r="AS118" s="1">
        <v>13249</v>
      </c>
      <c r="AT118" s="1">
        <v>1717</v>
      </c>
      <c r="AU118" s="1">
        <v>6889</v>
      </c>
      <c r="AV118" s="1">
        <v>6472</v>
      </c>
      <c r="AW118" s="1">
        <v>17087</v>
      </c>
      <c r="AX118" s="1">
        <v>41105</v>
      </c>
      <c r="AY118" s="1">
        <v>281</v>
      </c>
      <c r="AZ118" s="1">
        <v>1196</v>
      </c>
      <c r="BA118" s="1">
        <v>23244</v>
      </c>
      <c r="BB118" s="1">
        <v>248</v>
      </c>
      <c r="BC118" s="1">
        <v>1107</v>
      </c>
      <c r="BD118" s="1">
        <v>9601</v>
      </c>
      <c r="BE118" s="1">
        <v>3820</v>
      </c>
      <c r="BF118" s="1">
        <v>3908</v>
      </c>
      <c r="BG118" s="1">
        <v>7719</v>
      </c>
      <c r="BH118" s="1">
        <v>2123</v>
      </c>
      <c r="BI118" s="1">
        <v>38857</v>
      </c>
      <c r="BJ118" s="1">
        <v>5337</v>
      </c>
      <c r="BK118" s="1">
        <v>6462</v>
      </c>
      <c r="BL118" s="1">
        <v>3901</v>
      </c>
      <c r="BM118" s="1">
        <v>6650</v>
      </c>
      <c r="BN118" s="1">
        <v>1455</v>
      </c>
      <c r="BO118" s="1">
        <v>1397</v>
      </c>
      <c r="BP118" s="1">
        <v>30315</v>
      </c>
      <c r="BQ118" s="1">
        <v>3282</v>
      </c>
      <c r="BR118" s="1">
        <v>94810</v>
      </c>
      <c r="BS118" s="1">
        <v>10190</v>
      </c>
      <c r="BT118" s="1">
        <v>11098</v>
      </c>
      <c r="BU118" s="1">
        <v>21881</v>
      </c>
      <c r="BV118" s="1">
        <v>3405</v>
      </c>
      <c r="BW118" s="1">
        <v>15639</v>
      </c>
      <c r="BX118" s="1">
        <v>2949</v>
      </c>
      <c r="BY118" s="1">
        <v>6137</v>
      </c>
      <c r="BZ118" s="1">
        <v>25555</v>
      </c>
      <c r="CA118" s="1">
        <v>2831</v>
      </c>
      <c r="CB118" s="1">
        <v>1450</v>
      </c>
      <c r="CC118" s="1">
        <v>9123</v>
      </c>
      <c r="CD118" s="1">
        <v>4164</v>
      </c>
      <c r="CE118" s="1">
        <v>5042</v>
      </c>
      <c r="CF118" s="1">
        <v>9106</v>
      </c>
      <c r="CG118" s="1">
        <v>127289</v>
      </c>
      <c r="CH118" s="1">
        <v>16126</v>
      </c>
      <c r="CI118" s="1">
        <v>29560</v>
      </c>
      <c r="CJ118" s="1">
        <v>7357</v>
      </c>
      <c r="CK118" s="1">
        <v>18366</v>
      </c>
      <c r="CL118" s="1">
        <v>10671</v>
      </c>
      <c r="CM118" s="1">
        <v>18776</v>
      </c>
      <c r="CN118" s="1">
        <v>50699</v>
      </c>
      <c r="CO118" s="1">
        <v>6740</v>
      </c>
      <c r="CP118" s="1">
        <v>4027</v>
      </c>
      <c r="CQ118" s="1">
        <v>4773</v>
      </c>
      <c r="CR118" s="1">
        <v>8045</v>
      </c>
      <c r="CS118" s="1">
        <v>37292</v>
      </c>
      <c r="CT118" s="1">
        <v>24071</v>
      </c>
      <c r="CU118" s="1">
        <v>1934</v>
      </c>
      <c r="CV118" s="1">
        <v>293451</v>
      </c>
      <c r="CW118" s="1">
        <v>6680</v>
      </c>
      <c r="CX118" s="1">
        <v>2520</v>
      </c>
      <c r="CY118" s="1">
        <v>28852</v>
      </c>
      <c r="CZ118" s="1">
        <v>3372</v>
      </c>
      <c r="DA118" s="1">
        <v>7059</v>
      </c>
      <c r="DB118" s="1">
        <v>15671</v>
      </c>
      <c r="DC118" s="1">
        <v>5512</v>
      </c>
      <c r="DD118" s="1">
        <v>3665</v>
      </c>
      <c r="DE118" s="1">
        <v>2626</v>
      </c>
      <c r="DF118" s="1">
        <v>58334</v>
      </c>
      <c r="DG118" s="1">
        <v>16667</v>
      </c>
      <c r="DH118" s="1">
        <v>19440</v>
      </c>
      <c r="DI118" s="1">
        <v>4275</v>
      </c>
      <c r="DJ118" s="1">
        <v>28432</v>
      </c>
      <c r="DK118" s="1">
        <v>19953</v>
      </c>
      <c r="DL118" s="1">
        <v>11666</v>
      </c>
      <c r="DM118" s="1">
        <v>15709</v>
      </c>
      <c r="DN118" s="1">
        <v>17044</v>
      </c>
      <c r="DO118" s="1">
        <v>3613</v>
      </c>
      <c r="DP118" s="1">
        <v>8401</v>
      </c>
      <c r="DQ118" s="1">
        <v>65959</v>
      </c>
      <c r="DR118" s="1">
        <v>3396</v>
      </c>
      <c r="DS118" s="1">
        <v>7726</v>
      </c>
      <c r="DT118" s="1">
        <v>904</v>
      </c>
      <c r="DU118" s="1">
        <v>11706</v>
      </c>
      <c r="DV118" s="1">
        <v>5819</v>
      </c>
      <c r="DW118" s="1">
        <v>5328</v>
      </c>
      <c r="DX118" s="1">
        <v>14049</v>
      </c>
      <c r="DY118" s="1">
        <v>2377</v>
      </c>
      <c r="DZ118" s="1">
        <v>3391</v>
      </c>
      <c r="EA118" s="1">
        <v>12286</v>
      </c>
      <c r="EB118" s="1">
        <v>5836</v>
      </c>
      <c r="EC118" s="1">
        <v>882</v>
      </c>
      <c r="ED118" s="1">
        <v>1123</v>
      </c>
      <c r="EE118" s="1">
        <v>40091</v>
      </c>
      <c r="EF118" s="1">
        <v>4249</v>
      </c>
      <c r="EG118" s="1">
        <v>14380</v>
      </c>
      <c r="EH118" s="1">
        <v>29475</v>
      </c>
      <c r="EJ118" s="1">
        <f t="shared" si="1"/>
        <v>1805458</v>
      </c>
    </row>
    <row r="119" spans="1:140" x14ac:dyDescent="0.25">
      <c r="A119" s="1" t="s">
        <v>255</v>
      </c>
      <c r="B119" s="1">
        <v>5780</v>
      </c>
      <c r="C119" s="1">
        <v>6615</v>
      </c>
      <c r="D119" s="1">
        <v>198</v>
      </c>
      <c r="E119" s="1">
        <v>2160</v>
      </c>
      <c r="F119" s="1">
        <v>31</v>
      </c>
      <c r="G119" s="1">
        <v>44</v>
      </c>
      <c r="H119" s="1">
        <v>21392</v>
      </c>
      <c r="I119" s="1">
        <v>137</v>
      </c>
      <c r="J119" s="1">
        <v>1348</v>
      </c>
      <c r="K119" s="1">
        <v>60</v>
      </c>
      <c r="L119" s="1">
        <v>1648</v>
      </c>
      <c r="M119" s="1">
        <v>191</v>
      </c>
      <c r="N119" s="1">
        <v>14578</v>
      </c>
      <c r="O119" s="1">
        <v>2117</v>
      </c>
      <c r="P119" s="1">
        <v>4810</v>
      </c>
      <c r="Q119" s="1">
        <v>10958</v>
      </c>
      <c r="R119" s="1">
        <v>61</v>
      </c>
      <c r="S119" s="1">
        <v>3205</v>
      </c>
      <c r="T119" s="1">
        <v>3213</v>
      </c>
      <c r="U119" s="1">
        <v>3103</v>
      </c>
      <c r="V119" s="1">
        <v>11195</v>
      </c>
      <c r="W119" s="1">
        <v>3974</v>
      </c>
      <c r="X119" s="1">
        <v>961</v>
      </c>
      <c r="Y119" s="1">
        <v>949</v>
      </c>
      <c r="Z119" s="1">
        <v>1642</v>
      </c>
      <c r="AA119" s="1">
        <v>793</v>
      </c>
      <c r="AB119" s="1">
        <v>7485</v>
      </c>
      <c r="AC119" s="1">
        <v>1334</v>
      </c>
      <c r="AD119" s="1">
        <v>532</v>
      </c>
      <c r="AE119" s="1">
        <v>2905</v>
      </c>
      <c r="AF119" s="1">
        <v>2129</v>
      </c>
      <c r="AG119">
        <v>37097</v>
      </c>
      <c r="AH119" s="1">
        <v>642</v>
      </c>
      <c r="AI119" s="1">
        <v>1724</v>
      </c>
      <c r="AJ119" s="1">
        <v>466</v>
      </c>
      <c r="AK119" s="1">
        <v>3135</v>
      </c>
      <c r="AL119" s="1">
        <v>3888</v>
      </c>
      <c r="AM119" s="1">
        <v>987</v>
      </c>
      <c r="AN119" s="1">
        <v>459</v>
      </c>
      <c r="AO119" s="1">
        <v>11463</v>
      </c>
      <c r="AP119" s="1">
        <v>1372</v>
      </c>
      <c r="AQ119" s="1">
        <v>273</v>
      </c>
      <c r="AR119" s="1">
        <v>4000</v>
      </c>
      <c r="AS119" s="1">
        <v>9331</v>
      </c>
      <c r="AT119" s="1">
        <v>1698</v>
      </c>
      <c r="AU119" s="1">
        <v>3449</v>
      </c>
      <c r="AV119" s="1">
        <v>5772</v>
      </c>
      <c r="AW119" s="1">
        <v>8284</v>
      </c>
      <c r="AX119" s="1">
        <v>38481</v>
      </c>
      <c r="AY119" s="1">
        <v>392</v>
      </c>
      <c r="AZ119" s="1">
        <v>1333</v>
      </c>
      <c r="BA119" s="1">
        <v>22974</v>
      </c>
      <c r="BB119" s="1">
        <v>237</v>
      </c>
      <c r="BC119" s="1">
        <v>3009</v>
      </c>
      <c r="BD119" s="1">
        <v>11581</v>
      </c>
      <c r="BE119" s="1">
        <v>4942</v>
      </c>
      <c r="BF119" s="1">
        <v>2559</v>
      </c>
      <c r="BG119" s="1">
        <v>7211</v>
      </c>
      <c r="BH119" s="1">
        <v>2383</v>
      </c>
      <c r="BI119" s="1">
        <v>40953</v>
      </c>
      <c r="BJ119" s="1">
        <v>5447</v>
      </c>
      <c r="BK119" s="1">
        <v>6659</v>
      </c>
      <c r="BL119" s="1">
        <v>3941</v>
      </c>
      <c r="BM119" s="1">
        <v>6983</v>
      </c>
      <c r="BN119" s="1">
        <v>1468</v>
      </c>
      <c r="BO119" s="1">
        <v>1524</v>
      </c>
      <c r="BP119" s="1">
        <v>30461</v>
      </c>
      <c r="BQ119" s="1">
        <v>3562</v>
      </c>
      <c r="BR119" s="1">
        <v>91765</v>
      </c>
      <c r="BS119" s="1">
        <v>10224</v>
      </c>
      <c r="BT119" s="1">
        <v>10958</v>
      </c>
      <c r="BU119" s="1">
        <v>22338</v>
      </c>
      <c r="BV119" s="1">
        <v>3883</v>
      </c>
      <c r="BW119" s="1">
        <v>16543</v>
      </c>
      <c r="BX119" s="1">
        <v>3014</v>
      </c>
      <c r="BY119" s="1">
        <v>6963</v>
      </c>
      <c r="BZ119" s="1">
        <v>25880</v>
      </c>
      <c r="CA119" s="1">
        <v>3015</v>
      </c>
      <c r="CB119" s="1">
        <v>1485</v>
      </c>
      <c r="CC119" s="1">
        <v>9039</v>
      </c>
      <c r="CD119" s="1">
        <v>4375</v>
      </c>
      <c r="CE119" s="1">
        <v>5982</v>
      </c>
      <c r="CF119" s="1">
        <v>10082</v>
      </c>
      <c r="CG119" s="1">
        <v>131585</v>
      </c>
      <c r="CH119" s="1">
        <v>16435</v>
      </c>
      <c r="CI119" s="1">
        <v>29918</v>
      </c>
      <c r="CJ119" s="1">
        <v>7340</v>
      </c>
      <c r="CK119" s="1">
        <v>18159</v>
      </c>
      <c r="CL119" s="1">
        <v>11216</v>
      </c>
      <c r="CM119" s="1">
        <v>18998</v>
      </c>
      <c r="CN119" s="1">
        <v>52640</v>
      </c>
      <c r="CO119" s="1">
        <v>7056</v>
      </c>
      <c r="CP119" s="1">
        <v>4328</v>
      </c>
      <c r="CQ119" s="1">
        <v>4590</v>
      </c>
      <c r="CR119" s="1">
        <v>8306</v>
      </c>
      <c r="CS119" s="1">
        <v>37337</v>
      </c>
      <c r="CT119" s="1">
        <v>22248</v>
      </c>
      <c r="CU119" s="1">
        <v>2326</v>
      </c>
      <c r="CV119" s="1">
        <v>300661</v>
      </c>
      <c r="CW119" s="1">
        <v>6914</v>
      </c>
      <c r="CX119" s="1">
        <v>2492</v>
      </c>
      <c r="CY119" s="1">
        <v>29283</v>
      </c>
      <c r="CZ119" s="1">
        <v>3550</v>
      </c>
      <c r="DA119" s="1">
        <v>7185</v>
      </c>
      <c r="DB119" s="1">
        <v>15707</v>
      </c>
      <c r="DC119" s="1">
        <v>5908</v>
      </c>
      <c r="DD119" s="1">
        <v>3777</v>
      </c>
      <c r="DE119" s="1">
        <v>2637</v>
      </c>
      <c r="DF119" s="1">
        <v>58233</v>
      </c>
      <c r="DG119" s="1">
        <v>17454</v>
      </c>
      <c r="DH119" s="1">
        <v>20445</v>
      </c>
      <c r="DI119" s="1">
        <v>5175</v>
      </c>
      <c r="DJ119" s="1">
        <v>32761</v>
      </c>
      <c r="DK119" s="1">
        <v>22375</v>
      </c>
      <c r="DL119" s="1">
        <v>12397</v>
      </c>
      <c r="DM119" s="1">
        <v>18481</v>
      </c>
      <c r="DN119" s="1">
        <v>18572</v>
      </c>
      <c r="DO119" s="1">
        <v>3823</v>
      </c>
      <c r="DP119" s="1">
        <v>8948</v>
      </c>
      <c r="DQ119" s="1">
        <v>70224</v>
      </c>
      <c r="DR119" s="1">
        <v>3793</v>
      </c>
      <c r="DS119" s="1">
        <v>8298</v>
      </c>
      <c r="DT119" s="1">
        <v>775</v>
      </c>
      <c r="DU119" s="1">
        <v>11673</v>
      </c>
      <c r="DV119" s="1">
        <v>7393</v>
      </c>
      <c r="DW119" s="1">
        <v>5434</v>
      </c>
      <c r="DX119" s="1">
        <v>14202</v>
      </c>
      <c r="DY119" s="1">
        <v>2463</v>
      </c>
      <c r="DZ119" s="1">
        <v>3379</v>
      </c>
      <c r="EA119" s="1">
        <v>13786</v>
      </c>
      <c r="EB119" s="1">
        <v>6508</v>
      </c>
      <c r="EC119" s="1">
        <v>1016</v>
      </c>
      <c r="ED119" s="1">
        <v>1184</v>
      </c>
      <c r="EE119" s="1">
        <v>40084</v>
      </c>
      <c r="EF119" s="1">
        <v>5123</v>
      </c>
      <c r="EG119" s="1">
        <v>14452</v>
      </c>
      <c r="EH119" s="1">
        <v>30825</v>
      </c>
      <c r="EJ119" s="1">
        <f t="shared" si="1"/>
        <v>1841106</v>
      </c>
    </row>
    <row r="120" spans="1:140" x14ac:dyDescent="0.25">
      <c r="A120" s="1" t="s">
        <v>256</v>
      </c>
      <c r="B120" s="1">
        <v>4902</v>
      </c>
      <c r="C120" s="1">
        <v>5913</v>
      </c>
      <c r="D120" s="1">
        <v>178</v>
      </c>
      <c r="E120" s="1">
        <v>1993</v>
      </c>
      <c r="F120" s="1">
        <v>10</v>
      </c>
      <c r="G120" s="1">
        <v>51</v>
      </c>
      <c r="H120" s="1">
        <v>17629</v>
      </c>
      <c r="I120" s="1">
        <v>104</v>
      </c>
      <c r="J120" s="1">
        <v>1690</v>
      </c>
      <c r="K120" s="1">
        <v>70</v>
      </c>
      <c r="L120" s="1">
        <v>1673</v>
      </c>
      <c r="M120" s="1">
        <v>134</v>
      </c>
      <c r="N120" s="1">
        <v>14316</v>
      </c>
      <c r="O120" s="1">
        <v>1904</v>
      </c>
      <c r="P120" s="1">
        <v>3297</v>
      </c>
      <c r="Q120" s="1">
        <v>9283</v>
      </c>
      <c r="R120" s="1">
        <v>30</v>
      </c>
      <c r="S120" s="1">
        <v>2628</v>
      </c>
      <c r="T120" s="1">
        <v>2630</v>
      </c>
      <c r="U120" s="1">
        <v>2338</v>
      </c>
      <c r="V120" s="1">
        <v>10143</v>
      </c>
      <c r="W120" s="1">
        <v>3161</v>
      </c>
      <c r="X120" s="1">
        <v>713</v>
      </c>
      <c r="Y120" s="1">
        <v>950</v>
      </c>
      <c r="Z120" s="1">
        <v>1388</v>
      </c>
      <c r="AA120" s="1">
        <v>755</v>
      </c>
      <c r="AB120" s="1">
        <v>6597</v>
      </c>
      <c r="AC120" s="1">
        <v>1003</v>
      </c>
      <c r="AD120" s="1">
        <v>474</v>
      </c>
      <c r="AE120" s="1">
        <v>1976</v>
      </c>
      <c r="AF120" s="1">
        <v>1978</v>
      </c>
      <c r="AG120">
        <v>38049</v>
      </c>
      <c r="AH120" s="1">
        <v>536</v>
      </c>
      <c r="AI120" s="1">
        <v>1366</v>
      </c>
      <c r="AJ120" s="1">
        <v>504</v>
      </c>
      <c r="AK120" s="1">
        <v>2627</v>
      </c>
      <c r="AL120" s="1">
        <v>3294</v>
      </c>
      <c r="AM120" s="1">
        <v>891</v>
      </c>
      <c r="AN120" s="1">
        <v>381</v>
      </c>
      <c r="AO120" s="1">
        <v>11896</v>
      </c>
      <c r="AP120" s="1">
        <v>1181</v>
      </c>
      <c r="AQ120" s="1">
        <v>211</v>
      </c>
      <c r="AR120" s="1">
        <v>3512</v>
      </c>
      <c r="AS120" s="1">
        <v>8917</v>
      </c>
      <c r="AT120" s="1">
        <v>1179</v>
      </c>
      <c r="AU120" s="1">
        <v>3127</v>
      </c>
      <c r="AV120" s="1">
        <v>5322</v>
      </c>
      <c r="AW120" s="1">
        <v>3539</v>
      </c>
      <c r="AX120" s="1">
        <v>36377</v>
      </c>
      <c r="AY120" s="1">
        <v>462</v>
      </c>
      <c r="AZ120" s="1">
        <v>1072</v>
      </c>
      <c r="BA120" s="1">
        <v>11491</v>
      </c>
      <c r="BB120" s="1">
        <v>205</v>
      </c>
      <c r="BC120" s="1">
        <v>1055</v>
      </c>
      <c r="BD120" s="1">
        <v>10445</v>
      </c>
      <c r="BE120" s="1">
        <v>3939</v>
      </c>
      <c r="BF120" s="1">
        <v>2433</v>
      </c>
      <c r="BG120" s="1">
        <v>6530</v>
      </c>
      <c r="BH120" s="1">
        <v>2480</v>
      </c>
      <c r="BI120" s="1">
        <v>38135</v>
      </c>
      <c r="BJ120" s="1">
        <v>5172</v>
      </c>
      <c r="BK120" s="1">
        <v>6245</v>
      </c>
      <c r="BL120" s="1">
        <v>3117</v>
      </c>
      <c r="BM120" s="1">
        <v>6073</v>
      </c>
      <c r="BN120" s="1">
        <v>1291</v>
      </c>
      <c r="BO120" s="1">
        <v>1298</v>
      </c>
      <c r="BP120" s="1">
        <v>26512</v>
      </c>
      <c r="BQ120" s="1">
        <v>2942</v>
      </c>
      <c r="BR120" s="1">
        <v>79868</v>
      </c>
      <c r="BS120" s="1">
        <v>10025</v>
      </c>
      <c r="BT120" s="1">
        <v>9299</v>
      </c>
      <c r="BU120" s="1">
        <v>18742</v>
      </c>
      <c r="BV120" s="1">
        <v>3270</v>
      </c>
      <c r="BW120" s="1">
        <v>14582</v>
      </c>
      <c r="BX120" s="1">
        <v>2772</v>
      </c>
      <c r="BY120" s="1">
        <v>5909</v>
      </c>
      <c r="BZ120" s="1">
        <v>23945</v>
      </c>
      <c r="CA120" s="1">
        <v>2873</v>
      </c>
      <c r="CB120" s="1">
        <v>1460</v>
      </c>
      <c r="CC120" s="1">
        <v>7955</v>
      </c>
      <c r="CD120" s="1">
        <v>3873</v>
      </c>
      <c r="CE120" s="1">
        <v>5802</v>
      </c>
      <c r="CF120" s="1">
        <v>8960</v>
      </c>
      <c r="CG120" s="1">
        <v>120528</v>
      </c>
      <c r="CH120" s="1">
        <v>14223</v>
      </c>
      <c r="CI120" s="1">
        <v>25095</v>
      </c>
      <c r="CJ120" s="1">
        <v>6517</v>
      </c>
      <c r="CK120" s="1">
        <v>15862</v>
      </c>
      <c r="CL120" s="1">
        <v>10285</v>
      </c>
      <c r="CM120" s="1">
        <v>16222</v>
      </c>
      <c r="CN120" s="1">
        <v>46288</v>
      </c>
      <c r="CO120" s="1">
        <v>6650</v>
      </c>
      <c r="CP120" s="1">
        <v>3728</v>
      </c>
      <c r="CQ120" s="1">
        <v>4059</v>
      </c>
      <c r="CR120" s="1">
        <v>7711</v>
      </c>
      <c r="CS120" s="1">
        <v>33743</v>
      </c>
      <c r="CT120" s="1">
        <v>21129</v>
      </c>
      <c r="CU120" s="1">
        <v>1948</v>
      </c>
      <c r="CV120" s="1">
        <v>261183</v>
      </c>
      <c r="CW120" s="1">
        <v>5670</v>
      </c>
      <c r="CX120" s="1">
        <v>2094</v>
      </c>
      <c r="CY120" s="1">
        <v>24784</v>
      </c>
      <c r="CZ120" s="1">
        <v>2932</v>
      </c>
      <c r="DA120" s="1">
        <v>6671</v>
      </c>
      <c r="DB120" s="1">
        <v>13964</v>
      </c>
      <c r="DC120" s="1">
        <v>4686</v>
      </c>
      <c r="DD120" s="1">
        <v>3162</v>
      </c>
      <c r="DE120" s="1">
        <v>2238</v>
      </c>
      <c r="DF120" s="1">
        <v>52365</v>
      </c>
      <c r="DG120" s="1">
        <v>15500</v>
      </c>
      <c r="DH120" s="1">
        <v>16511</v>
      </c>
      <c r="DI120" s="1">
        <v>4893</v>
      </c>
      <c r="DJ120" s="1">
        <v>26537</v>
      </c>
      <c r="DK120" s="1">
        <v>21231</v>
      </c>
      <c r="DL120" s="1">
        <v>11041</v>
      </c>
      <c r="DM120" s="1">
        <v>17639</v>
      </c>
      <c r="DN120" s="1">
        <v>17439</v>
      </c>
      <c r="DO120" s="1">
        <v>3560</v>
      </c>
      <c r="DP120" s="1">
        <v>7804</v>
      </c>
      <c r="DQ120" s="1">
        <v>63254</v>
      </c>
      <c r="DR120" s="1">
        <v>3508</v>
      </c>
      <c r="DS120" s="1">
        <v>10285</v>
      </c>
      <c r="DT120" s="1">
        <v>719</v>
      </c>
      <c r="DU120" s="1">
        <v>10386</v>
      </c>
      <c r="DV120" s="1">
        <v>5786</v>
      </c>
      <c r="DW120" s="1">
        <v>4384</v>
      </c>
      <c r="DX120" s="1">
        <v>11240</v>
      </c>
      <c r="DY120" s="1">
        <v>1754</v>
      </c>
      <c r="DZ120" s="1">
        <v>2404</v>
      </c>
      <c r="EA120" s="1">
        <v>10493</v>
      </c>
      <c r="EB120" s="1">
        <v>4872</v>
      </c>
      <c r="EC120" s="1">
        <v>887</v>
      </c>
      <c r="ED120" s="1">
        <v>1064</v>
      </c>
      <c r="EE120" s="1">
        <v>35775</v>
      </c>
      <c r="EF120" s="1">
        <v>3789</v>
      </c>
      <c r="EG120" s="1">
        <v>11311</v>
      </c>
      <c r="EH120" s="1">
        <v>27571</v>
      </c>
      <c r="EJ120" s="1">
        <f t="shared" si="1"/>
        <v>1618426</v>
      </c>
    </row>
    <row r="121" spans="1:140" x14ac:dyDescent="0.25">
      <c r="A121" s="1" t="s">
        <v>257</v>
      </c>
      <c r="B121" s="1">
        <v>3247</v>
      </c>
      <c r="C121" s="1">
        <v>4289</v>
      </c>
      <c r="D121" s="1">
        <v>125</v>
      </c>
      <c r="E121" s="1">
        <v>1213</v>
      </c>
      <c r="F121" s="1">
        <v>9</v>
      </c>
      <c r="G121" s="1">
        <v>8</v>
      </c>
      <c r="H121" s="1">
        <v>9667</v>
      </c>
      <c r="I121" s="1">
        <v>32</v>
      </c>
      <c r="J121" s="1">
        <v>1063</v>
      </c>
      <c r="K121" s="1">
        <v>82</v>
      </c>
      <c r="L121" s="1">
        <v>776</v>
      </c>
      <c r="M121" s="1">
        <v>59</v>
      </c>
      <c r="N121" s="1">
        <v>8683</v>
      </c>
      <c r="O121" s="1">
        <v>1296</v>
      </c>
      <c r="P121" s="1">
        <v>761</v>
      </c>
      <c r="Q121" s="1">
        <v>4918</v>
      </c>
      <c r="R121" s="1">
        <v>11</v>
      </c>
      <c r="S121" s="1">
        <v>1669</v>
      </c>
      <c r="T121" s="1">
        <v>1819</v>
      </c>
      <c r="U121" s="1">
        <v>1434</v>
      </c>
      <c r="V121" s="1">
        <v>5807</v>
      </c>
      <c r="W121" s="1">
        <v>2054</v>
      </c>
      <c r="X121" s="1">
        <v>395</v>
      </c>
      <c r="Y121" s="1">
        <v>480</v>
      </c>
      <c r="Z121" s="1">
        <v>578</v>
      </c>
      <c r="AA121" s="1">
        <v>406</v>
      </c>
      <c r="AB121" s="1">
        <v>4203</v>
      </c>
      <c r="AC121" s="1">
        <v>486</v>
      </c>
      <c r="AD121" s="1">
        <v>306</v>
      </c>
      <c r="AE121" s="1">
        <v>1278</v>
      </c>
      <c r="AF121" s="1">
        <v>1059</v>
      </c>
      <c r="AG121">
        <v>23219</v>
      </c>
      <c r="AH121" s="1">
        <v>331</v>
      </c>
      <c r="AI121" s="1">
        <v>850</v>
      </c>
      <c r="AJ121" s="1">
        <v>302</v>
      </c>
      <c r="AK121" s="1">
        <v>1662</v>
      </c>
      <c r="AL121" s="1">
        <v>2553</v>
      </c>
      <c r="AM121" s="1">
        <v>712</v>
      </c>
      <c r="AN121" s="1">
        <v>295</v>
      </c>
      <c r="AO121" s="1">
        <v>8739</v>
      </c>
      <c r="AP121" s="1">
        <v>806</v>
      </c>
      <c r="AQ121" s="1">
        <v>147</v>
      </c>
      <c r="AR121" s="1">
        <v>1905</v>
      </c>
      <c r="AS121" s="1">
        <v>5019</v>
      </c>
      <c r="AT121" s="1">
        <v>1126</v>
      </c>
      <c r="AU121" s="1">
        <v>2532</v>
      </c>
      <c r="AV121" s="1">
        <v>3692</v>
      </c>
      <c r="AW121" s="1">
        <v>1869</v>
      </c>
      <c r="AX121" s="1">
        <v>23884</v>
      </c>
      <c r="AY121" s="1">
        <v>270</v>
      </c>
      <c r="AZ121" s="1">
        <v>702</v>
      </c>
      <c r="BA121" s="1">
        <v>6396</v>
      </c>
      <c r="BB121" s="1">
        <v>166</v>
      </c>
      <c r="BC121" s="1">
        <v>685</v>
      </c>
      <c r="BD121" s="1">
        <v>5855</v>
      </c>
      <c r="BE121" s="1">
        <v>1936</v>
      </c>
      <c r="BF121" s="1">
        <v>1323</v>
      </c>
      <c r="BG121" s="1">
        <v>4292</v>
      </c>
      <c r="BH121" s="1">
        <v>1314</v>
      </c>
      <c r="BI121" s="1">
        <v>26293</v>
      </c>
      <c r="BJ121" s="1">
        <v>2859</v>
      </c>
      <c r="BK121" s="1">
        <v>5729</v>
      </c>
      <c r="BL121" s="1">
        <v>2184</v>
      </c>
      <c r="BM121" s="1">
        <v>4879</v>
      </c>
      <c r="BN121" s="1">
        <v>849</v>
      </c>
      <c r="BO121" s="1">
        <v>1040</v>
      </c>
      <c r="BP121" s="1">
        <v>20591</v>
      </c>
      <c r="BQ121" s="1">
        <v>1855</v>
      </c>
      <c r="BR121" s="1">
        <v>59334</v>
      </c>
      <c r="BS121" s="1">
        <v>6894</v>
      </c>
      <c r="BT121" s="1">
        <v>5749</v>
      </c>
      <c r="BU121" s="1">
        <v>12721</v>
      </c>
      <c r="BV121" s="1">
        <v>2401</v>
      </c>
      <c r="BW121" s="1">
        <v>10101</v>
      </c>
      <c r="BX121" s="1">
        <v>1828</v>
      </c>
      <c r="BY121" s="1">
        <v>4228</v>
      </c>
      <c r="BZ121" s="1">
        <v>17076</v>
      </c>
      <c r="CA121" s="1">
        <v>2090</v>
      </c>
      <c r="CB121" s="1">
        <v>898</v>
      </c>
      <c r="CC121" s="1">
        <v>5627</v>
      </c>
      <c r="CD121" s="1">
        <v>2509</v>
      </c>
      <c r="CE121" s="1">
        <v>4146</v>
      </c>
      <c r="CF121" s="1">
        <v>6748</v>
      </c>
      <c r="CG121" s="1">
        <v>86112</v>
      </c>
      <c r="CH121" s="1">
        <v>9563</v>
      </c>
      <c r="CI121" s="1">
        <v>18397</v>
      </c>
      <c r="CJ121" s="1">
        <v>4007</v>
      </c>
      <c r="CK121" s="1">
        <v>10909</v>
      </c>
      <c r="CL121" s="1">
        <v>6647</v>
      </c>
      <c r="CM121" s="1">
        <v>10852</v>
      </c>
      <c r="CN121" s="1">
        <v>31602</v>
      </c>
      <c r="CO121" s="1">
        <v>4169</v>
      </c>
      <c r="CP121" s="1">
        <v>2590</v>
      </c>
      <c r="CQ121" s="1">
        <v>3085</v>
      </c>
      <c r="CR121" s="1">
        <v>5013</v>
      </c>
      <c r="CS121" s="1">
        <v>22014</v>
      </c>
      <c r="CT121" s="1">
        <v>14671</v>
      </c>
      <c r="CU121" s="1">
        <v>1832</v>
      </c>
      <c r="CV121" s="1">
        <v>181036</v>
      </c>
      <c r="CW121" s="1">
        <v>3262</v>
      </c>
      <c r="CX121" s="1">
        <v>1477</v>
      </c>
      <c r="CY121" s="1">
        <v>15905</v>
      </c>
      <c r="CZ121" s="1">
        <v>1905</v>
      </c>
      <c r="DA121" s="1">
        <v>4257</v>
      </c>
      <c r="DB121" s="1">
        <v>9573</v>
      </c>
      <c r="DC121" s="1">
        <v>2825</v>
      </c>
      <c r="DD121" s="1">
        <v>1910</v>
      </c>
      <c r="DE121" s="1">
        <v>1394</v>
      </c>
      <c r="DF121" s="1">
        <v>33897</v>
      </c>
      <c r="DG121" s="1">
        <v>8933</v>
      </c>
      <c r="DH121" s="1">
        <v>9257</v>
      </c>
      <c r="DI121" s="1">
        <v>2219</v>
      </c>
      <c r="DJ121" s="1">
        <v>16316</v>
      </c>
      <c r="DK121" s="1">
        <v>15613</v>
      </c>
      <c r="DL121" s="1">
        <v>7810</v>
      </c>
      <c r="DM121" s="1">
        <v>10651</v>
      </c>
      <c r="DN121" s="1">
        <v>8496</v>
      </c>
      <c r="DO121" s="1">
        <v>2888</v>
      </c>
      <c r="DP121" s="1">
        <v>5301</v>
      </c>
      <c r="DQ121" s="1">
        <v>45563</v>
      </c>
      <c r="DR121" s="1">
        <v>2521</v>
      </c>
      <c r="DS121" s="1">
        <v>7030</v>
      </c>
      <c r="DT121" s="1">
        <v>504</v>
      </c>
      <c r="DU121" s="1">
        <v>6223</v>
      </c>
      <c r="DV121" s="1">
        <v>3164</v>
      </c>
      <c r="DW121" s="1">
        <v>2909</v>
      </c>
      <c r="DX121" s="1">
        <v>7768</v>
      </c>
      <c r="DY121" s="1">
        <v>1145</v>
      </c>
      <c r="DZ121" s="1">
        <v>1875</v>
      </c>
      <c r="EA121" s="1">
        <v>7225</v>
      </c>
      <c r="EB121" s="1">
        <v>3509</v>
      </c>
      <c r="EC121" s="1">
        <v>511</v>
      </c>
      <c r="ED121" s="1">
        <v>691</v>
      </c>
      <c r="EE121" s="1">
        <v>24820</v>
      </c>
      <c r="EF121" s="1">
        <v>2489</v>
      </c>
      <c r="EG121" s="1">
        <v>8340</v>
      </c>
      <c r="EH121" s="1">
        <v>22423</v>
      </c>
      <c r="EJ121" s="1">
        <f t="shared" si="1"/>
        <v>1094522</v>
      </c>
    </row>
    <row r="122" spans="1:140" x14ac:dyDescent="0.25">
      <c r="A122" s="1" t="s">
        <v>258</v>
      </c>
      <c r="B122" s="1">
        <v>4384</v>
      </c>
      <c r="C122" s="1">
        <v>6569</v>
      </c>
      <c r="D122" s="1">
        <v>205</v>
      </c>
      <c r="E122" s="1">
        <v>1921</v>
      </c>
      <c r="F122" s="1">
        <v>9</v>
      </c>
      <c r="G122" s="1">
        <v>27</v>
      </c>
      <c r="H122" s="1">
        <v>15969</v>
      </c>
      <c r="I122" s="1">
        <v>94</v>
      </c>
      <c r="J122" s="1">
        <v>1636</v>
      </c>
      <c r="K122" s="1">
        <v>89</v>
      </c>
      <c r="L122" s="1">
        <v>1564</v>
      </c>
      <c r="M122" s="1">
        <v>141</v>
      </c>
      <c r="N122" s="1">
        <v>13449</v>
      </c>
      <c r="O122" s="1">
        <v>2518</v>
      </c>
      <c r="P122" s="1">
        <v>2477</v>
      </c>
      <c r="Q122" s="1">
        <v>8232</v>
      </c>
      <c r="R122" s="1">
        <v>31</v>
      </c>
      <c r="S122" s="1">
        <v>2568</v>
      </c>
      <c r="T122" s="1">
        <v>3205</v>
      </c>
      <c r="U122" s="1">
        <v>2934</v>
      </c>
      <c r="V122" s="1">
        <v>8322</v>
      </c>
      <c r="W122" s="1">
        <v>3389</v>
      </c>
      <c r="X122" s="1">
        <v>875</v>
      </c>
      <c r="Y122" s="1">
        <v>963</v>
      </c>
      <c r="Z122" s="1">
        <v>1305</v>
      </c>
      <c r="AA122" s="1">
        <v>726</v>
      </c>
      <c r="AB122" s="1">
        <v>6916</v>
      </c>
      <c r="AC122" s="1">
        <v>847</v>
      </c>
      <c r="AD122" s="1">
        <v>598</v>
      </c>
      <c r="AE122" s="1">
        <v>1941</v>
      </c>
      <c r="AF122" s="1">
        <v>1727</v>
      </c>
      <c r="AG122">
        <v>32334</v>
      </c>
      <c r="AH122" s="1">
        <v>711</v>
      </c>
      <c r="AI122" s="1">
        <v>1521</v>
      </c>
      <c r="AJ122" s="1">
        <v>643</v>
      </c>
      <c r="AK122" s="1">
        <v>2834</v>
      </c>
      <c r="AL122" s="1">
        <v>4277</v>
      </c>
      <c r="AM122" s="1">
        <v>859</v>
      </c>
      <c r="AN122" s="1">
        <v>391</v>
      </c>
      <c r="AO122" s="1">
        <v>12388</v>
      </c>
      <c r="AP122" s="1">
        <v>1413</v>
      </c>
      <c r="AQ122" s="1">
        <v>242</v>
      </c>
      <c r="AR122" s="1">
        <v>3728</v>
      </c>
      <c r="AS122" s="1">
        <v>9313</v>
      </c>
      <c r="AT122" s="1">
        <v>1690</v>
      </c>
      <c r="AU122" s="1">
        <v>3170</v>
      </c>
      <c r="AV122" s="1">
        <v>5313</v>
      </c>
      <c r="AW122" s="1">
        <v>2681</v>
      </c>
      <c r="AX122" s="1">
        <v>35608</v>
      </c>
      <c r="AY122" s="1">
        <v>383</v>
      </c>
      <c r="AZ122" s="1">
        <v>985</v>
      </c>
      <c r="BA122" s="1">
        <v>8538</v>
      </c>
      <c r="BB122" s="1">
        <v>249</v>
      </c>
      <c r="BC122" s="1">
        <v>1359</v>
      </c>
      <c r="BD122" s="1">
        <v>8806</v>
      </c>
      <c r="BE122" s="1">
        <v>4596</v>
      </c>
      <c r="BF122" s="1">
        <v>2070</v>
      </c>
      <c r="BG122" s="1">
        <v>6988</v>
      </c>
      <c r="BH122" s="1">
        <v>2847</v>
      </c>
      <c r="BI122" s="1">
        <v>38600</v>
      </c>
      <c r="BJ122" s="1">
        <v>6703</v>
      </c>
      <c r="BK122" s="1">
        <v>7190</v>
      </c>
      <c r="BL122" s="1">
        <v>3664</v>
      </c>
      <c r="BM122" s="1">
        <v>6036</v>
      </c>
      <c r="BN122" s="1">
        <v>1359</v>
      </c>
      <c r="BO122" s="1">
        <v>1470</v>
      </c>
      <c r="BP122" s="1">
        <v>31009</v>
      </c>
      <c r="BQ122" s="1">
        <v>2907</v>
      </c>
      <c r="BR122" s="1">
        <v>89586</v>
      </c>
      <c r="BS122" s="1">
        <v>9747</v>
      </c>
      <c r="BT122" s="1">
        <v>11184</v>
      </c>
      <c r="BU122" s="1">
        <v>21988</v>
      </c>
      <c r="BV122" s="1">
        <v>3306</v>
      </c>
      <c r="BW122" s="1">
        <v>14499</v>
      </c>
      <c r="BX122" s="1">
        <v>2588</v>
      </c>
      <c r="BY122" s="1">
        <v>6378</v>
      </c>
      <c r="BZ122" s="1">
        <v>24746</v>
      </c>
      <c r="CA122" s="1">
        <v>3115</v>
      </c>
      <c r="CB122" s="1">
        <v>1348</v>
      </c>
      <c r="CC122" s="1">
        <v>7707</v>
      </c>
      <c r="CD122" s="1">
        <v>3694</v>
      </c>
      <c r="CE122" s="1">
        <v>5241</v>
      </c>
      <c r="CF122" s="1">
        <v>8559</v>
      </c>
      <c r="CG122" s="1">
        <v>115558</v>
      </c>
      <c r="CH122" s="1">
        <v>17968</v>
      </c>
      <c r="CI122" s="1">
        <v>38094</v>
      </c>
      <c r="CJ122" s="1">
        <v>8926</v>
      </c>
      <c r="CK122" s="1">
        <v>18222</v>
      </c>
      <c r="CL122" s="1">
        <v>11465</v>
      </c>
      <c r="CM122" s="1">
        <v>19387</v>
      </c>
      <c r="CN122" s="1">
        <v>53968</v>
      </c>
      <c r="CO122" s="1">
        <v>6817</v>
      </c>
      <c r="CP122" s="1">
        <v>4494</v>
      </c>
      <c r="CQ122" s="1">
        <v>5672</v>
      </c>
      <c r="CR122" s="1">
        <v>7800</v>
      </c>
      <c r="CS122" s="1">
        <v>38698</v>
      </c>
      <c r="CT122" s="1">
        <v>21721</v>
      </c>
      <c r="CU122" s="1">
        <v>2190</v>
      </c>
      <c r="CV122" s="1">
        <v>287869</v>
      </c>
      <c r="CW122" s="1">
        <v>6684</v>
      </c>
      <c r="CX122" s="1">
        <v>2416</v>
      </c>
      <c r="CY122" s="1">
        <v>31321</v>
      </c>
      <c r="CZ122" s="1">
        <v>3232</v>
      </c>
      <c r="DA122" s="1">
        <v>7629</v>
      </c>
      <c r="DB122" s="1">
        <v>16146</v>
      </c>
      <c r="DC122" s="1">
        <v>5798</v>
      </c>
      <c r="DD122" s="1">
        <v>4271</v>
      </c>
      <c r="DE122" s="1">
        <v>2695</v>
      </c>
      <c r="DF122" s="1">
        <v>57934</v>
      </c>
      <c r="DG122" s="1">
        <v>21604</v>
      </c>
      <c r="DH122" s="1">
        <v>20955</v>
      </c>
      <c r="DI122" s="1">
        <v>5681</v>
      </c>
      <c r="DJ122" s="1">
        <v>34955</v>
      </c>
      <c r="DK122" s="1">
        <v>22004</v>
      </c>
      <c r="DL122" s="1">
        <v>12781</v>
      </c>
      <c r="DM122" s="1">
        <v>17303</v>
      </c>
      <c r="DN122" s="1">
        <v>23479</v>
      </c>
      <c r="DO122" s="1">
        <v>3594</v>
      </c>
      <c r="DP122" s="1">
        <v>10116</v>
      </c>
      <c r="DQ122" s="1">
        <v>69006</v>
      </c>
      <c r="DR122" s="1">
        <v>3278</v>
      </c>
      <c r="DS122" s="1">
        <v>8321</v>
      </c>
      <c r="DT122" s="1">
        <v>1247</v>
      </c>
      <c r="DU122" s="1">
        <v>11755</v>
      </c>
      <c r="DV122" s="1">
        <v>7094</v>
      </c>
      <c r="DW122" s="1">
        <v>4950</v>
      </c>
      <c r="DX122" s="1">
        <v>18610</v>
      </c>
      <c r="DY122" s="1">
        <v>2962</v>
      </c>
      <c r="DZ122" s="1">
        <v>2763</v>
      </c>
      <c r="EA122" s="1">
        <v>12307</v>
      </c>
      <c r="EB122" s="1">
        <v>7874</v>
      </c>
      <c r="EC122" s="1">
        <v>1084</v>
      </c>
      <c r="ED122" s="1">
        <v>1452</v>
      </c>
      <c r="EE122" s="1">
        <v>39679</v>
      </c>
      <c r="EF122" s="1">
        <v>4701</v>
      </c>
      <c r="EG122" s="1">
        <v>16388</v>
      </c>
      <c r="EH122" s="1">
        <v>30967</v>
      </c>
      <c r="EJ122" s="1">
        <f t="shared" si="1"/>
        <v>1778077</v>
      </c>
    </row>
    <row r="123" spans="1:140" x14ac:dyDescent="0.25">
      <c r="A123" s="1" t="s">
        <v>259</v>
      </c>
      <c r="B123" s="1">
        <v>4916</v>
      </c>
      <c r="C123" s="1">
        <v>7095</v>
      </c>
      <c r="D123" s="1">
        <v>248</v>
      </c>
      <c r="E123" s="1">
        <v>2165</v>
      </c>
      <c r="F123" s="1">
        <v>13</v>
      </c>
      <c r="G123" s="1">
        <v>26</v>
      </c>
      <c r="H123" s="1">
        <v>16470</v>
      </c>
      <c r="I123" s="1">
        <v>98</v>
      </c>
      <c r="J123" s="1">
        <v>1824</v>
      </c>
      <c r="K123" s="1">
        <v>93</v>
      </c>
      <c r="L123" s="1">
        <v>1569</v>
      </c>
      <c r="M123" s="1">
        <v>138</v>
      </c>
      <c r="N123" s="1">
        <v>14850</v>
      </c>
      <c r="O123" s="1">
        <v>2604</v>
      </c>
      <c r="P123" s="1">
        <v>3466</v>
      </c>
      <c r="Q123" s="1">
        <v>8877</v>
      </c>
      <c r="R123" s="1">
        <v>31</v>
      </c>
      <c r="S123" s="1">
        <v>2383</v>
      </c>
      <c r="T123" s="1">
        <v>3607</v>
      </c>
      <c r="U123" s="1">
        <v>3245</v>
      </c>
      <c r="V123" s="1">
        <v>8347</v>
      </c>
      <c r="W123" s="1">
        <v>3580</v>
      </c>
      <c r="X123" s="1">
        <v>735</v>
      </c>
      <c r="Y123" s="1">
        <v>812</v>
      </c>
      <c r="Z123" s="1">
        <v>2207</v>
      </c>
      <c r="AA123" s="1">
        <v>780</v>
      </c>
      <c r="AB123" s="1">
        <v>7874</v>
      </c>
      <c r="AC123" s="1">
        <v>983</v>
      </c>
      <c r="AD123" s="1">
        <v>444</v>
      </c>
      <c r="AE123" s="1">
        <v>1988</v>
      </c>
      <c r="AF123" s="1">
        <v>2480</v>
      </c>
      <c r="AG123">
        <v>36774</v>
      </c>
      <c r="AH123" s="1">
        <v>673</v>
      </c>
      <c r="AI123" s="1">
        <v>1604</v>
      </c>
      <c r="AJ123" s="1">
        <v>963</v>
      </c>
      <c r="AK123" s="1">
        <v>3125</v>
      </c>
      <c r="AL123" s="1">
        <v>3165</v>
      </c>
      <c r="AM123" s="1">
        <v>929</v>
      </c>
      <c r="AN123" s="1">
        <v>349</v>
      </c>
      <c r="AO123" s="1">
        <v>12810</v>
      </c>
      <c r="AP123" s="1">
        <v>1355</v>
      </c>
      <c r="AQ123" s="1">
        <v>202</v>
      </c>
      <c r="AR123" s="1">
        <v>3662</v>
      </c>
      <c r="AS123" s="1">
        <v>10116</v>
      </c>
      <c r="AT123" s="1">
        <v>1634</v>
      </c>
      <c r="AU123" s="1">
        <v>3663</v>
      </c>
      <c r="AV123" s="1">
        <v>5302</v>
      </c>
      <c r="AW123" s="1">
        <v>2756</v>
      </c>
      <c r="AX123" s="1">
        <v>36814</v>
      </c>
      <c r="AY123" s="1">
        <v>533</v>
      </c>
      <c r="AZ123" s="1">
        <v>947</v>
      </c>
      <c r="BA123" s="1">
        <v>7974</v>
      </c>
      <c r="BB123" s="1">
        <v>393</v>
      </c>
      <c r="BC123" s="1">
        <v>1055</v>
      </c>
      <c r="BD123" s="1">
        <v>8960</v>
      </c>
      <c r="BE123" s="1">
        <v>4584</v>
      </c>
      <c r="BF123" s="1">
        <v>2642</v>
      </c>
      <c r="BG123" s="1">
        <v>8540</v>
      </c>
      <c r="BH123" s="1">
        <v>2533</v>
      </c>
      <c r="BI123" s="1">
        <v>38142</v>
      </c>
      <c r="BJ123" s="1">
        <v>5682</v>
      </c>
      <c r="BK123" s="1">
        <v>7211</v>
      </c>
      <c r="BL123" s="1">
        <v>3467</v>
      </c>
      <c r="BM123" s="1">
        <v>6783</v>
      </c>
      <c r="BN123" s="1">
        <v>1589</v>
      </c>
      <c r="BO123" s="1">
        <v>1423</v>
      </c>
      <c r="BP123" s="1">
        <v>32195</v>
      </c>
      <c r="BQ123" s="1">
        <v>3525</v>
      </c>
      <c r="BR123" s="1">
        <v>97607</v>
      </c>
      <c r="BS123" s="1">
        <v>10552</v>
      </c>
      <c r="BT123" s="1">
        <v>12518</v>
      </c>
      <c r="BU123" s="1">
        <v>23187</v>
      </c>
      <c r="BV123" s="1">
        <v>3719</v>
      </c>
      <c r="BW123" s="1">
        <v>15464</v>
      </c>
      <c r="BX123" s="1">
        <v>3682</v>
      </c>
      <c r="BY123" s="1">
        <v>7237</v>
      </c>
      <c r="BZ123" s="1">
        <v>28771</v>
      </c>
      <c r="CA123" s="1">
        <v>3117</v>
      </c>
      <c r="CB123" s="1">
        <v>1529</v>
      </c>
      <c r="CC123" s="1">
        <v>9358</v>
      </c>
      <c r="CD123" s="1">
        <v>4483</v>
      </c>
      <c r="CE123" s="1">
        <v>5499</v>
      </c>
      <c r="CF123" s="1">
        <v>10357</v>
      </c>
      <c r="CG123" s="1">
        <v>140206</v>
      </c>
      <c r="CH123" s="1">
        <v>22753</v>
      </c>
      <c r="CI123" s="1">
        <v>39445</v>
      </c>
      <c r="CJ123" s="1">
        <v>10182</v>
      </c>
      <c r="CK123" s="1">
        <v>20445</v>
      </c>
      <c r="CL123" s="1">
        <v>12353</v>
      </c>
      <c r="CM123" s="1">
        <v>21488</v>
      </c>
      <c r="CN123" s="1">
        <v>60338</v>
      </c>
      <c r="CO123" s="1">
        <v>8024</v>
      </c>
      <c r="CP123" s="1">
        <v>5142</v>
      </c>
      <c r="CQ123" s="1">
        <v>6214</v>
      </c>
      <c r="CR123" s="1">
        <v>8570</v>
      </c>
      <c r="CS123" s="1">
        <v>42823</v>
      </c>
      <c r="CT123" s="1">
        <v>24046</v>
      </c>
      <c r="CU123" s="1">
        <v>2703</v>
      </c>
      <c r="CV123" s="1">
        <v>329823</v>
      </c>
      <c r="CW123" s="1">
        <v>8460</v>
      </c>
      <c r="CX123" s="1">
        <v>2665</v>
      </c>
      <c r="CY123" s="1">
        <v>33529</v>
      </c>
      <c r="CZ123" s="1">
        <v>3536</v>
      </c>
      <c r="DA123" s="1">
        <v>8331</v>
      </c>
      <c r="DB123" s="1">
        <v>19446</v>
      </c>
      <c r="DC123" s="1">
        <v>7028</v>
      </c>
      <c r="DD123" s="1">
        <v>4572</v>
      </c>
      <c r="DE123" s="1">
        <v>2956</v>
      </c>
      <c r="DF123" s="1">
        <v>68129</v>
      </c>
      <c r="DG123" s="1">
        <v>22628</v>
      </c>
      <c r="DH123" s="1">
        <v>26700</v>
      </c>
      <c r="DI123" s="1">
        <v>6221</v>
      </c>
      <c r="DJ123" s="1">
        <v>42763</v>
      </c>
      <c r="DK123" s="1">
        <v>24270</v>
      </c>
      <c r="DL123" s="1">
        <v>14942</v>
      </c>
      <c r="DM123" s="1">
        <v>20679</v>
      </c>
      <c r="DN123" s="1">
        <v>28528</v>
      </c>
      <c r="DO123" s="1">
        <v>4329</v>
      </c>
      <c r="DP123" s="1">
        <v>13148</v>
      </c>
      <c r="DQ123" s="1">
        <v>77745</v>
      </c>
      <c r="DR123" s="1">
        <v>4697</v>
      </c>
      <c r="DS123" s="1">
        <v>8955</v>
      </c>
      <c r="DT123" s="1">
        <v>933</v>
      </c>
      <c r="DU123" s="1">
        <v>12733</v>
      </c>
      <c r="DV123" s="1">
        <v>7467</v>
      </c>
      <c r="DW123" s="1">
        <v>7045</v>
      </c>
      <c r="DX123" s="1">
        <v>15993</v>
      </c>
      <c r="DY123" s="1">
        <v>2492</v>
      </c>
      <c r="DZ123" s="1">
        <v>2925</v>
      </c>
      <c r="EA123" s="1">
        <v>13357</v>
      </c>
      <c r="EB123" s="1">
        <v>7709</v>
      </c>
      <c r="EC123" s="1">
        <v>1138</v>
      </c>
      <c r="ED123" s="1">
        <v>1573</v>
      </c>
      <c r="EE123" s="1">
        <v>42894</v>
      </c>
      <c r="EF123" s="1">
        <v>4625</v>
      </c>
      <c r="EG123" s="1">
        <v>17963</v>
      </c>
      <c r="EH123" s="1">
        <v>36420</v>
      </c>
      <c r="EJ123" s="1">
        <f t="shared" si="1"/>
        <v>1989181</v>
      </c>
    </row>
    <row r="124" spans="1:140" x14ac:dyDescent="0.25">
      <c r="A124" s="1" t="s">
        <v>260</v>
      </c>
      <c r="B124" s="1">
        <v>4889</v>
      </c>
      <c r="C124" s="1">
        <v>6553</v>
      </c>
      <c r="D124" s="1">
        <v>229</v>
      </c>
      <c r="E124" s="1">
        <v>1474</v>
      </c>
      <c r="F124" s="1">
        <v>7</v>
      </c>
      <c r="G124" s="1">
        <v>30</v>
      </c>
      <c r="H124" s="1">
        <v>16400</v>
      </c>
      <c r="I124" s="1">
        <v>72</v>
      </c>
      <c r="J124" s="1">
        <v>1941</v>
      </c>
      <c r="K124" s="1">
        <v>73</v>
      </c>
      <c r="L124" s="1">
        <v>1295</v>
      </c>
      <c r="M124" s="1">
        <v>432</v>
      </c>
      <c r="N124" s="1">
        <v>12111</v>
      </c>
      <c r="O124" s="1">
        <v>2203</v>
      </c>
      <c r="P124" s="1">
        <v>5154</v>
      </c>
      <c r="Q124" s="1">
        <v>8506</v>
      </c>
      <c r="R124" s="1">
        <v>43</v>
      </c>
      <c r="S124" s="1">
        <v>2316</v>
      </c>
      <c r="T124" s="1">
        <v>3078</v>
      </c>
      <c r="U124" s="1">
        <v>2931</v>
      </c>
      <c r="V124" s="1">
        <v>8628</v>
      </c>
      <c r="W124" s="1">
        <v>3201</v>
      </c>
      <c r="X124" s="1">
        <v>795</v>
      </c>
      <c r="Y124" s="1">
        <v>771</v>
      </c>
      <c r="Z124" s="1">
        <v>1518</v>
      </c>
      <c r="AA124" s="1">
        <v>726</v>
      </c>
      <c r="AB124" s="1">
        <v>7141</v>
      </c>
      <c r="AC124" s="1">
        <v>1261</v>
      </c>
      <c r="AD124" s="1">
        <v>501</v>
      </c>
      <c r="AE124" s="1">
        <v>1842</v>
      </c>
      <c r="AF124" s="1">
        <v>2036</v>
      </c>
      <c r="AG124">
        <v>29519</v>
      </c>
      <c r="AH124" s="1">
        <v>506</v>
      </c>
      <c r="AI124" s="1">
        <v>1557</v>
      </c>
      <c r="AJ124" s="1">
        <v>494</v>
      </c>
      <c r="AK124" s="1">
        <v>2693</v>
      </c>
      <c r="AL124" s="1">
        <v>2918</v>
      </c>
      <c r="AM124" s="1">
        <v>813</v>
      </c>
      <c r="AN124" s="1">
        <v>500</v>
      </c>
      <c r="AO124" s="1">
        <v>10578</v>
      </c>
      <c r="AP124" s="1">
        <v>1192</v>
      </c>
      <c r="AQ124" s="1">
        <v>136</v>
      </c>
      <c r="AR124" s="1">
        <v>3062</v>
      </c>
      <c r="AS124" s="1">
        <v>7917</v>
      </c>
      <c r="AT124" s="1">
        <v>1364</v>
      </c>
      <c r="AU124" s="1">
        <v>3069</v>
      </c>
      <c r="AV124" s="1">
        <v>4549</v>
      </c>
      <c r="AW124" s="1">
        <v>2191</v>
      </c>
      <c r="AX124" s="1">
        <v>30736</v>
      </c>
      <c r="AY124" s="1">
        <v>491</v>
      </c>
      <c r="AZ124" s="1">
        <v>913</v>
      </c>
      <c r="BA124" s="1">
        <v>6472</v>
      </c>
      <c r="BB124" s="1">
        <v>318</v>
      </c>
      <c r="BC124" s="1">
        <v>1240</v>
      </c>
      <c r="BD124" s="1">
        <v>8866</v>
      </c>
      <c r="BE124" s="1">
        <v>4456</v>
      </c>
      <c r="BF124" s="1">
        <v>2419</v>
      </c>
      <c r="BG124" s="1">
        <v>6869</v>
      </c>
      <c r="BH124" s="1">
        <v>2592</v>
      </c>
      <c r="BI124" s="1">
        <v>32303</v>
      </c>
      <c r="BJ124" s="1">
        <v>5349</v>
      </c>
      <c r="BK124" s="1">
        <v>7919</v>
      </c>
      <c r="BL124" s="1">
        <v>3897</v>
      </c>
      <c r="BM124" s="1">
        <v>6925</v>
      </c>
      <c r="BN124" s="1">
        <v>1396</v>
      </c>
      <c r="BO124" s="1">
        <v>1229</v>
      </c>
      <c r="BP124" s="1">
        <v>32079</v>
      </c>
      <c r="BQ124" s="1">
        <v>3221</v>
      </c>
      <c r="BR124" s="1">
        <v>90151</v>
      </c>
      <c r="BS124" s="1">
        <v>9292</v>
      </c>
      <c r="BT124" s="1">
        <v>10965</v>
      </c>
      <c r="BU124" s="1">
        <v>20825</v>
      </c>
      <c r="BV124" s="1">
        <v>3442</v>
      </c>
      <c r="BW124" s="1">
        <v>14870</v>
      </c>
      <c r="BX124" s="1">
        <v>2973</v>
      </c>
      <c r="BY124" s="1">
        <v>6850</v>
      </c>
      <c r="BZ124" s="1">
        <v>24051</v>
      </c>
      <c r="CA124" s="1">
        <v>2897</v>
      </c>
      <c r="CB124" s="1">
        <v>1391</v>
      </c>
      <c r="CC124" s="1">
        <v>9208</v>
      </c>
      <c r="CD124" s="1">
        <v>4566</v>
      </c>
      <c r="CE124" s="1">
        <v>4343</v>
      </c>
      <c r="CF124" s="1">
        <v>9234</v>
      </c>
      <c r="CG124" s="1">
        <v>119055</v>
      </c>
      <c r="CH124" s="1">
        <v>20503</v>
      </c>
      <c r="CI124" s="1">
        <v>35825</v>
      </c>
      <c r="CJ124" s="1">
        <v>10650</v>
      </c>
      <c r="CK124" s="1">
        <v>17720</v>
      </c>
      <c r="CL124" s="1">
        <v>11796</v>
      </c>
      <c r="CM124" s="1">
        <v>17905</v>
      </c>
      <c r="CN124" s="1">
        <v>55258</v>
      </c>
      <c r="CO124" s="1">
        <v>7376</v>
      </c>
      <c r="CP124" s="1">
        <v>4384</v>
      </c>
      <c r="CQ124" s="1">
        <v>5344</v>
      </c>
      <c r="CR124" s="1">
        <v>7309</v>
      </c>
      <c r="CS124" s="1">
        <v>36734</v>
      </c>
      <c r="CT124" s="1">
        <v>20562</v>
      </c>
      <c r="CU124" s="1">
        <v>2147</v>
      </c>
      <c r="CV124" s="1">
        <v>288764</v>
      </c>
      <c r="CW124" s="1">
        <v>10701</v>
      </c>
      <c r="CX124" s="1">
        <v>3024</v>
      </c>
      <c r="CY124" s="1">
        <v>29021</v>
      </c>
      <c r="CZ124" s="1">
        <v>3382</v>
      </c>
      <c r="DA124" s="1">
        <v>7639</v>
      </c>
      <c r="DB124" s="1">
        <v>16991</v>
      </c>
      <c r="DC124" s="1">
        <v>5969</v>
      </c>
      <c r="DD124" s="1">
        <v>3611</v>
      </c>
      <c r="DE124" s="1">
        <v>2614</v>
      </c>
      <c r="DF124" s="1">
        <v>58470</v>
      </c>
      <c r="DG124" s="1">
        <v>18608</v>
      </c>
      <c r="DH124" s="1">
        <v>23601</v>
      </c>
      <c r="DI124" s="1">
        <v>4943</v>
      </c>
      <c r="DJ124" s="1">
        <v>34358</v>
      </c>
      <c r="DK124" s="1">
        <v>22585</v>
      </c>
      <c r="DL124" s="1">
        <v>13633</v>
      </c>
      <c r="DM124" s="1">
        <v>19653</v>
      </c>
      <c r="DN124" s="1">
        <v>23081</v>
      </c>
      <c r="DO124" s="1">
        <v>5081</v>
      </c>
      <c r="DP124" s="1">
        <v>14140</v>
      </c>
      <c r="DQ124" s="1">
        <v>74141</v>
      </c>
      <c r="DR124" s="1">
        <v>4369</v>
      </c>
      <c r="DS124" s="1">
        <v>8479</v>
      </c>
      <c r="DT124" s="1">
        <v>942</v>
      </c>
      <c r="DU124" s="1">
        <v>11240</v>
      </c>
      <c r="DV124" s="1">
        <v>6701</v>
      </c>
      <c r="DW124" s="1">
        <v>6687</v>
      </c>
      <c r="DX124" s="1">
        <v>13381</v>
      </c>
      <c r="DY124" s="1">
        <v>1947</v>
      </c>
      <c r="DZ124" s="1">
        <v>2782</v>
      </c>
      <c r="EA124" s="1">
        <v>12164</v>
      </c>
      <c r="EB124" s="1">
        <v>5985</v>
      </c>
      <c r="EC124" s="1">
        <v>1016</v>
      </c>
      <c r="ED124" s="1">
        <v>1300</v>
      </c>
      <c r="EE124" s="1">
        <v>37910</v>
      </c>
      <c r="EF124" s="1">
        <v>4997</v>
      </c>
      <c r="EG124" s="1">
        <v>15406</v>
      </c>
      <c r="EH124" s="1">
        <v>30122</v>
      </c>
      <c r="EJ124" s="1">
        <f t="shared" si="1"/>
        <v>1767969</v>
      </c>
    </row>
    <row r="125" spans="1:140" x14ac:dyDescent="0.25">
      <c r="A125" s="1" t="s">
        <v>261</v>
      </c>
      <c r="B125" s="1">
        <v>5060</v>
      </c>
      <c r="C125" s="1">
        <v>6539</v>
      </c>
      <c r="D125" s="1">
        <v>189</v>
      </c>
      <c r="E125" s="1">
        <v>1969</v>
      </c>
      <c r="F125" s="1">
        <v>12</v>
      </c>
      <c r="G125" s="1">
        <v>32</v>
      </c>
      <c r="H125" s="1">
        <v>16638</v>
      </c>
      <c r="I125" s="1">
        <v>98</v>
      </c>
      <c r="J125" s="1">
        <v>2154</v>
      </c>
      <c r="K125" s="1">
        <v>82</v>
      </c>
      <c r="L125" s="1">
        <v>1349</v>
      </c>
      <c r="M125" s="1">
        <v>75</v>
      </c>
      <c r="N125" s="1">
        <v>12449</v>
      </c>
      <c r="O125" s="1">
        <v>2090</v>
      </c>
      <c r="P125" s="1">
        <v>6129</v>
      </c>
      <c r="Q125" s="1">
        <v>10468</v>
      </c>
      <c r="R125" s="1">
        <v>24</v>
      </c>
      <c r="S125" s="1">
        <v>3028</v>
      </c>
      <c r="T125" s="1">
        <v>3219</v>
      </c>
      <c r="U125" s="1">
        <v>3274</v>
      </c>
      <c r="V125" s="1">
        <v>9314</v>
      </c>
      <c r="W125" s="1">
        <v>3149</v>
      </c>
      <c r="X125" s="1">
        <v>757</v>
      </c>
      <c r="Y125" s="1">
        <v>793</v>
      </c>
      <c r="Z125" s="1">
        <v>1429</v>
      </c>
      <c r="AA125" s="1">
        <v>600</v>
      </c>
      <c r="AB125" s="1">
        <v>9061</v>
      </c>
      <c r="AC125" s="1">
        <v>1010</v>
      </c>
      <c r="AD125" s="1">
        <v>613</v>
      </c>
      <c r="AE125" s="1">
        <v>2223</v>
      </c>
      <c r="AF125" s="1">
        <v>2142</v>
      </c>
      <c r="AG125">
        <v>35174</v>
      </c>
      <c r="AH125" s="1">
        <v>685</v>
      </c>
      <c r="AI125" s="1">
        <v>1753</v>
      </c>
      <c r="AJ125" s="1">
        <v>497</v>
      </c>
      <c r="AK125" s="1">
        <v>2731</v>
      </c>
      <c r="AL125" s="1">
        <v>3443</v>
      </c>
      <c r="AM125" s="1">
        <v>1084</v>
      </c>
      <c r="AN125" s="1">
        <v>524</v>
      </c>
      <c r="AO125" s="1">
        <v>12071</v>
      </c>
      <c r="AP125" s="1">
        <v>1194</v>
      </c>
      <c r="AQ125" s="1">
        <v>202</v>
      </c>
      <c r="AR125" s="1">
        <v>3743</v>
      </c>
      <c r="AS125" s="1">
        <v>9011</v>
      </c>
      <c r="AT125" s="1">
        <v>1339</v>
      </c>
      <c r="AU125" s="1">
        <v>3978</v>
      </c>
      <c r="AV125" s="1">
        <v>6144</v>
      </c>
      <c r="AW125" s="1">
        <v>2627</v>
      </c>
      <c r="AX125" s="1">
        <v>36464</v>
      </c>
      <c r="AY125" s="1">
        <v>426</v>
      </c>
      <c r="AZ125" s="1">
        <v>1174</v>
      </c>
      <c r="BA125" s="1">
        <v>7324</v>
      </c>
      <c r="BB125" s="1">
        <v>354</v>
      </c>
      <c r="BC125" s="1">
        <v>1171</v>
      </c>
      <c r="BD125" s="1">
        <v>9907</v>
      </c>
      <c r="BE125" s="1">
        <v>3854</v>
      </c>
      <c r="BF125" s="1">
        <v>2431</v>
      </c>
      <c r="BG125" s="1">
        <v>6705</v>
      </c>
      <c r="BH125" s="1">
        <v>2234</v>
      </c>
      <c r="BI125" s="1">
        <v>33880</v>
      </c>
      <c r="BJ125" s="1">
        <v>5210</v>
      </c>
      <c r="BK125" s="1">
        <v>10403</v>
      </c>
      <c r="BL125" s="1">
        <v>4167</v>
      </c>
      <c r="BM125" s="1">
        <v>7163</v>
      </c>
      <c r="BN125" s="1">
        <v>1785</v>
      </c>
      <c r="BO125" s="1">
        <v>1742</v>
      </c>
      <c r="BP125" s="1">
        <v>33101</v>
      </c>
      <c r="BQ125" s="1">
        <v>3449</v>
      </c>
      <c r="BR125" s="1">
        <v>91522</v>
      </c>
      <c r="BS125" s="1">
        <v>10058</v>
      </c>
      <c r="BT125" s="1">
        <v>11545</v>
      </c>
      <c r="BU125" s="1">
        <v>25480</v>
      </c>
      <c r="BV125" s="1">
        <v>3542</v>
      </c>
      <c r="BW125" s="1">
        <v>15838</v>
      </c>
      <c r="BX125" s="1">
        <v>3507</v>
      </c>
      <c r="BY125" s="1">
        <v>9699</v>
      </c>
      <c r="BZ125" s="1">
        <v>25301</v>
      </c>
      <c r="CA125" s="1">
        <v>3460</v>
      </c>
      <c r="CB125" s="1">
        <v>1499</v>
      </c>
      <c r="CC125" s="1">
        <v>9659</v>
      </c>
      <c r="CD125" s="1">
        <v>4299</v>
      </c>
      <c r="CE125" s="1">
        <v>5017</v>
      </c>
      <c r="CF125" s="1">
        <v>9560</v>
      </c>
      <c r="CG125" s="1">
        <v>129688</v>
      </c>
      <c r="CH125" s="1">
        <v>21688</v>
      </c>
      <c r="CI125" s="1">
        <v>37291</v>
      </c>
      <c r="CJ125" s="1">
        <v>11680</v>
      </c>
      <c r="CK125" s="1">
        <v>22402</v>
      </c>
      <c r="CL125" s="1">
        <v>13711</v>
      </c>
      <c r="CM125" s="1">
        <v>20855</v>
      </c>
      <c r="CN125" s="1">
        <v>55944</v>
      </c>
      <c r="CO125" s="1">
        <v>8528</v>
      </c>
      <c r="CP125" s="1">
        <v>4497</v>
      </c>
      <c r="CQ125" s="1">
        <v>6267</v>
      </c>
      <c r="CR125" s="1">
        <v>8080</v>
      </c>
      <c r="CS125" s="1">
        <v>37913</v>
      </c>
      <c r="CT125" s="1">
        <v>20966</v>
      </c>
      <c r="CU125" s="1">
        <v>2237</v>
      </c>
      <c r="CV125" s="1">
        <v>305705</v>
      </c>
      <c r="CW125" s="1">
        <v>7832</v>
      </c>
      <c r="CX125" s="1">
        <v>2856</v>
      </c>
      <c r="CY125" s="1">
        <v>30918</v>
      </c>
      <c r="CZ125" s="1">
        <v>4166</v>
      </c>
      <c r="DA125" s="1">
        <v>7573</v>
      </c>
      <c r="DB125" s="1">
        <v>16172</v>
      </c>
      <c r="DC125" s="1">
        <v>6063</v>
      </c>
      <c r="DD125" s="1">
        <v>3595</v>
      </c>
      <c r="DE125" s="1">
        <v>2540</v>
      </c>
      <c r="DF125" s="1">
        <v>59220</v>
      </c>
      <c r="DG125" s="1">
        <v>16984</v>
      </c>
      <c r="DH125" s="1">
        <v>21134</v>
      </c>
      <c r="DI125" s="1">
        <v>4401</v>
      </c>
      <c r="DJ125" s="1">
        <v>32846</v>
      </c>
      <c r="DK125" s="1">
        <v>21681</v>
      </c>
      <c r="DL125" s="1">
        <v>13910</v>
      </c>
      <c r="DM125" s="1">
        <v>17157</v>
      </c>
      <c r="DN125" s="1">
        <v>20652</v>
      </c>
      <c r="DO125" s="1">
        <v>3849</v>
      </c>
      <c r="DP125" s="1">
        <v>11905</v>
      </c>
      <c r="DQ125" s="1">
        <v>74421</v>
      </c>
      <c r="DR125" s="1">
        <v>3220</v>
      </c>
      <c r="DS125" s="1">
        <v>7912</v>
      </c>
      <c r="DT125" s="1">
        <v>1212</v>
      </c>
      <c r="DU125" s="1">
        <v>12029</v>
      </c>
      <c r="DV125" s="1">
        <v>6454</v>
      </c>
      <c r="DW125" s="1">
        <v>7299</v>
      </c>
      <c r="DX125" s="1">
        <v>14176</v>
      </c>
      <c r="DY125" s="1">
        <v>2051</v>
      </c>
      <c r="DZ125" s="1">
        <v>4844</v>
      </c>
      <c r="EA125" s="1">
        <v>13069</v>
      </c>
      <c r="EB125" s="1">
        <v>6505</v>
      </c>
      <c r="EC125" s="1">
        <v>983</v>
      </c>
      <c r="ED125" s="1">
        <v>1282</v>
      </c>
      <c r="EE125" s="1">
        <v>45568</v>
      </c>
      <c r="EF125" s="1">
        <v>5568</v>
      </c>
      <c r="EG125" s="1">
        <v>16901</v>
      </c>
      <c r="EH125" s="1">
        <v>31016</v>
      </c>
      <c r="EJ125" s="1">
        <f t="shared" si="1"/>
        <v>1862515</v>
      </c>
    </row>
    <row r="126" spans="1:140" x14ac:dyDescent="0.25">
      <c r="A126" s="1" t="s">
        <v>262</v>
      </c>
      <c r="B126" s="1">
        <v>5950</v>
      </c>
      <c r="C126" s="1">
        <v>7689</v>
      </c>
      <c r="D126" s="1">
        <v>230</v>
      </c>
      <c r="E126" s="1">
        <v>2413</v>
      </c>
      <c r="F126" s="1">
        <v>15</v>
      </c>
      <c r="G126" s="1">
        <v>34</v>
      </c>
      <c r="H126" s="1">
        <v>17258</v>
      </c>
      <c r="I126" s="1">
        <v>94</v>
      </c>
      <c r="J126" s="1">
        <v>1933</v>
      </c>
      <c r="K126" s="1">
        <v>80</v>
      </c>
      <c r="L126" s="1">
        <v>1422</v>
      </c>
      <c r="M126" s="1">
        <v>105</v>
      </c>
      <c r="N126" s="1">
        <v>13659</v>
      </c>
      <c r="O126" s="1">
        <v>2395</v>
      </c>
      <c r="P126" s="1">
        <v>6312</v>
      </c>
      <c r="Q126" s="1">
        <v>12099</v>
      </c>
      <c r="R126" s="1">
        <v>38</v>
      </c>
      <c r="S126" s="1">
        <v>2120</v>
      </c>
      <c r="T126" s="1">
        <v>3503</v>
      </c>
      <c r="U126" s="1">
        <v>3601</v>
      </c>
      <c r="V126" s="1">
        <v>9782</v>
      </c>
      <c r="W126" s="1">
        <v>3231</v>
      </c>
      <c r="X126" s="1">
        <v>933</v>
      </c>
      <c r="Y126" s="1">
        <v>1755</v>
      </c>
      <c r="Z126" s="1">
        <v>1754</v>
      </c>
      <c r="AA126" s="1">
        <v>678</v>
      </c>
      <c r="AB126" s="1">
        <v>7388</v>
      </c>
      <c r="AC126" s="1">
        <v>1242</v>
      </c>
      <c r="AD126" s="1">
        <v>744</v>
      </c>
      <c r="AE126" s="1">
        <v>2057</v>
      </c>
      <c r="AF126" s="1">
        <v>2388</v>
      </c>
      <c r="AG126">
        <v>35553</v>
      </c>
      <c r="AH126" s="1">
        <v>729</v>
      </c>
      <c r="AI126" s="1">
        <v>1692</v>
      </c>
      <c r="AJ126" s="1">
        <v>640</v>
      </c>
      <c r="AK126" s="1">
        <v>3090</v>
      </c>
      <c r="AL126" s="1">
        <v>3498</v>
      </c>
      <c r="AM126" s="1">
        <v>920</v>
      </c>
      <c r="AN126" s="1">
        <v>444</v>
      </c>
      <c r="AO126" s="1">
        <v>11829</v>
      </c>
      <c r="AP126" s="1">
        <v>1295</v>
      </c>
      <c r="AQ126" s="1">
        <v>237</v>
      </c>
      <c r="AR126" s="1">
        <v>3910</v>
      </c>
      <c r="AS126" s="1">
        <v>8410</v>
      </c>
      <c r="AT126" s="1">
        <v>1375</v>
      </c>
      <c r="AU126" s="1">
        <v>4504</v>
      </c>
      <c r="AV126" s="1">
        <v>5052</v>
      </c>
      <c r="AW126" s="1">
        <v>2949</v>
      </c>
      <c r="AX126" s="1">
        <v>35033</v>
      </c>
      <c r="AY126" s="1">
        <v>228</v>
      </c>
      <c r="AZ126" s="1">
        <v>964</v>
      </c>
      <c r="BA126" s="1">
        <v>6899</v>
      </c>
      <c r="BB126" s="1">
        <v>229</v>
      </c>
      <c r="BC126" s="1">
        <v>1036</v>
      </c>
      <c r="BD126" s="1">
        <v>9563</v>
      </c>
      <c r="BE126" s="1">
        <v>4690</v>
      </c>
      <c r="BF126" s="1">
        <v>4962</v>
      </c>
      <c r="BG126" s="1">
        <v>7703</v>
      </c>
      <c r="BH126" s="1">
        <v>2304</v>
      </c>
      <c r="BI126" s="1">
        <v>38204</v>
      </c>
      <c r="BJ126" s="1">
        <v>5336</v>
      </c>
      <c r="BK126" s="1">
        <v>10705</v>
      </c>
      <c r="BL126" s="1">
        <v>4603</v>
      </c>
      <c r="BM126" s="1">
        <v>7438</v>
      </c>
      <c r="BN126" s="1">
        <v>1872</v>
      </c>
      <c r="BO126" s="1">
        <v>1489</v>
      </c>
      <c r="BP126" s="1">
        <v>33633</v>
      </c>
      <c r="BQ126" s="1">
        <v>3177</v>
      </c>
      <c r="BR126" s="1">
        <v>90182</v>
      </c>
      <c r="BS126" s="1">
        <v>11863</v>
      </c>
      <c r="BT126" s="1">
        <v>13738</v>
      </c>
      <c r="BU126" s="1">
        <v>32739</v>
      </c>
      <c r="BV126" s="1">
        <v>4079</v>
      </c>
      <c r="BW126" s="1">
        <v>18742</v>
      </c>
      <c r="BX126" s="1">
        <v>3890</v>
      </c>
      <c r="BY126" s="1">
        <v>13951</v>
      </c>
      <c r="BZ126" s="1">
        <v>25918</v>
      </c>
      <c r="CA126" s="1">
        <v>3554</v>
      </c>
      <c r="CB126" s="1">
        <v>1492</v>
      </c>
      <c r="CC126" s="1">
        <v>11380</v>
      </c>
      <c r="CD126" s="1">
        <v>4307</v>
      </c>
      <c r="CE126" s="1">
        <v>5055</v>
      </c>
      <c r="CF126" s="1">
        <v>8953</v>
      </c>
      <c r="CG126" s="1">
        <v>134548</v>
      </c>
      <c r="CH126" s="1">
        <v>19896</v>
      </c>
      <c r="CI126" s="1">
        <v>36602</v>
      </c>
      <c r="CJ126" s="1">
        <v>8628</v>
      </c>
      <c r="CK126" s="1">
        <v>20715</v>
      </c>
      <c r="CL126" s="1">
        <v>10625</v>
      </c>
      <c r="CM126" s="1">
        <v>21105</v>
      </c>
      <c r="CN126" s="1">
        <v>55721</v>
      </c>
      <c r="CO126" s="1">
        <v>6906</v>
      </c>
      <c r="CP126" s="1">
        <v>5070</v>
      </c>
      <c r="CQ126" s="1">
        <v>5696</v>
      </c>
      <c r="CR126" s="1">
        <v>7592</v>
      </c>
      <c r="CS126" s="1">
        <v>37613</v>
      </c>
      <c r="CT126" s="1">
        <v>21376</v>
      </c>
      <c r="CU126" s="1">
        <v>2277</v>
      </c>
      <c r="CV126" s="1">
        <v>295082</v>
      </c>
      <c r="CW126" s="1">
        <v>7354</v>
      </c>
      <c r="CX126" s="1">
        <v>2406</v>
      </c>
      <c r="CY126" s="1">
        <v>29263</v>
      </c>
      <c r="CZ126" s="1">
        <v>3622</v>
      </c>
      <c r="DA126" s="1">
        <v>7862</v>
      </c>
      <c r="DB126" s="1">
        <v>15517</v>
      </c>
      <c r="DC126" s="1">
        <v>5836</v>
      </c>
      <c r="DD126" s="1">
        <v>3406</v>
      </c>
      <c r="DE126" s="1">
        <v>2861</v>
      </c>
      <c r="DF126" s="1">
        <v>57111</v>
      </c>
      <c r="DG126" s="1">
        <v>16354</v>
      </c>
      <c r="DH126" s="1">
        <v>19811</v>
      </c>
      <c r="DI126" s="1">
        <v>4196</v>
      </c>
      <c r="DJ126" s="1">
        <v>29911</v>
      </c>
      <c r="DK126" s="1">
        <v>21006</v>
      </c>
      <c r="DL126" s="1">
        <v>11960</v>
      </c>
      <c r="DM126" s="1">
        <v>16001</v>
      </c>
      <c r="DN126" s="1">
        <v>16943</v>
      </c>
      <c r="DO126" s="1">
        <v>3544</v>
      </c>
      <c r="DP126" s="1">
        <v>9960</v>
      </c>
      <c r="DQ126" s="1">
        <v>68469</v>
      </c>
      <c r="DR126" s="1">
        <v>3308</v>
      </c>
      <c r="DS126" s="1">
        <v>7536</v>
      </c>
      <c r="DT126" s="1">
        <v>892</v>
      </c>
      <c r="DU126" s="1">
        <v>12204</v>
      </c>
      <c r="DV126" s="1">
        <v>5470</v>
      </c>
      <c r="DW126" s="1">
        <v>6278</v>
      </c>
      <c r="DX126" s="1">
        <v>14434</v>
      </c>
      <c r="DY126" s="1">
        <v>2229</v>
      </c>
      <c r="DZ126" s="1">
        <v>3337</v>
      </c>
      <c r="EA126" s="1">
        <v>13261</v>
      </c>
      <c r="EB126" s="1">
        <v>6695</v>
      </c>
      <c r="EC126" s="1">
        <v>1231</v>
      </c>
      <c r="ED126" s="1">
        <v>1420</v>
      </c>
      <c r="EE126" s="1">
        <v>45751</v>
      </c>
      <c r="EF126" s="1">
        <v>4369</v>
      </c>
      <c r="EG126" s="1">
        <v>16899</v>
      </c>
      <c r="EH126" s="1">
        <v>32492</v>
      </c>
      <c r="EJ126" s="1">
        <f t="shared" si="1"/>
        <v>1849591</v>
      </c>
    </row>
    <row r="127" spans="1:140" x14ac:dyDescent="0.25">
      <c r="A127" s="1" t="s">
        <v>263</v>
      </c>
      <c r="B127" s="1">
        <v>5384</v>
      </c>
      <c r="C127" s="1">
        <v>6716</v>
      </c>
      <c r="D127" s="1">
        <v>304</v>
      </c>
      <c r="E127" s="1">
        <v>2347</v>
      </c>
      <c r="F127" s="1">
        <v>8</v>
      </c>
      <c r="G127" s="1">
        <v>41</v>
      </c>
      <c r="H127" s="1">
        <v>14310</v>
      </c>
      <c r="I127" s="1">
        <v>87</v>
      </c>
      <c r="J127" s="1">
        <v>1802</v>
      </c>
      <c r="K127" s="1">
        <v>106</v>
      </c>
      <c r="L127" s="1">
        <v>1463</v>
      </c>
      <c r="M127" s="1">
        <v>96</v>
      </c>
      <c r="N127" s="1">
        <v>12945</v>
      </c>
      <c r="O127" s="1">
        <v>2503</v>
      </c>
      <c r="P127" s="1">
        <v>6481</v>
      </c>
      <c r="Q127" s="1">
        <v>11369</v>
      </c>
      <c r="R127" s="1">
        <v>21</v>
      </c>
      <c r="S127" s="1">
        <v>2190</v>
      </c>
      <c r="T127" s="1">
        <v>3610</v>
      </c>
      <c r="U127" s="1">
        <v>3530</v>
      </c>
      <c r="V127" s="1">
        <v>10056</v>
      </c>
      <c r="W127" s="1">
        <v>3055</v>
      </c>
      <c r="X127" s="1">
        <v>790</v>
      </c>
      <c r="Y127" s="1">
        <v>1182</v>
      </c>
      <c r="Z127" s="1">
        <v>2086</v>
      </c>
      <c r="AA127" s="1">
        <v>717</v>
      </c>
      <c r="AB127" s="1">
        <v>7530</v>
      </c>
      <c r="AC127" s="1">
        <v>963</v>
      </c>
      <c r="AD127" s="1">
        <v>663</v>
      </c>
      <c r="AE127" s="1">
        <v>2028</v>
      </c>
      <c r="AF127" s="1">
        <v>2076</v>
      </c>
      <c r="AG127">
        <v>30675</v>
      </c>
      <c r="AH127" s="1">
        <v>600</v>
      </c>
      <c r="AI127" s="1">
        <v>1817</v>
      </c>
      <c r="AJ127" s="1">
        <v>423</v>
      </c>
      <c r="AK127" s="1">
        <v>2721</v>
      </c>
      <c r="AL127" s="1">
        <v>3669</v>
      </c>
      <c r="AM127" s="1">
        <v>951</v>
      </c>
      <c r="AN127" s="1">
        <v>351</v>
      </c>
      <c r="AO127" s="1">
        <v>10699</v>
      </c>
      <c r="AP127" s="1">
        <v>1113</v>
      </c>
      <c r="AQ127" s="1">
        <v>178</v>
      </c>
      <c r="AR127" s="1">
        <v>3762</v>
      </c>
      <c r="AS127" s="1">
        <v>7449</v>
      </c>
      <c r="AT127" s="1">
        <v>1247</v>
      </c>
      <c r="AU127" s="1">
        <v>4624</v>
      </c>
      <c r="AV127" s="1">
        <v>4904</v>
      </c>
      <c r="AW127" s="1">
        <v>3069</v>
      </c>
      <c r="AX127" s="1">
        <v>29995</v>
      </c>
      <c r="AY127" s="1">
        <v>244</v>
      </c>
      <c r="AZ127" s="1">
        <v>1149</v>
      </c>
      <c r="BA127" s="1">
        <v>7061</v>
      </c>
      <c r="BB127" s="1">
        <v>262</v>
      </c>
      <c r="BC127" s="1">
        <v>977</v>
      </c>
      <c r="BD127" s="1">
        <v>8105</v>
      </c>
      <c r="BE127" s="1">
        <v>4923</v>
      </c>
      <c r="BF127" s="1">
        <v>3254</v>
      </c>
      <c r="BG127" s="1">
        <v>6132</v>
      </c>
      <c r="BH127" s="1">
        <v>2032</v>
      </c>
      <c r="BI127" s="1">
        <v>30300</v>
      </c>
      <c r="BJ127" s="1">
        <v>4517</v>
      </c>
      <c r="BK127" s="1">
        <v>7144</v>
      </c>
      <c r="BL127" s="1">
        <v>4042</v>
      </c>
      <c r="BM127" s="1">
        <v>6966</v>
      </c>
      <c r="BN127" s="1">
        <v>2464</v>
      </c>
      <c r="BO127" s="1">
        <v>1542</v>
      </c>
      <c r="BP127" s="1">
        <v>33539</v>
      </c>
      <c r="BQ127" s="1">
        <v>3020</v>
      </c>
      <c r="BR127" s="1">
        <v>80359</v>
      </c>
      <c r="BS127" s="1">
        <v>9314</v>
      </c>
      <c r="BT127" s="1">
        <v>10205</v>
      </c>
      <c r="BU127" s="1">
        <v>26346</v>
      </c>
      <c r="BV127" s="1">
        <v>4075</v>
      </c>
      <c r="BW127" s="1">
        <v>14664</v>
      </c>
      <c r="BX127" s="1">
        <v>3155</v>
      </c>
      <c r="BY127" s="1">
        <v>6711</v>
      </c>
      <c r="BZ127" s="1">
        <v>23059</v>
      </c>
      <c r="CA127" s="1">
        <v>2929</v>
      </c>
      <c r="CB127" s="1">
        <v>1363</v>
      </c>
      <c r="CC127" s="1">
        <v>10448</v>
      </c>
      <c r="CD127" s="1">
        <v>4074</v>
      </c>
      <c r="CE127" s="1">
        <v>4871</v>
      </c>
      <c r="CF127" s="1">
        <v>8018</v>
      </c>
      <c r="CG127" s="1">
        <v>118445</v>
      </c>
      <c r="CH127" s="1">
        <v>15474</v>
      </c>
      <c r="CI127" s="1">
        <v>33125</v>
      </c>
      <c r="CJ127" s="1">
        <v>6448</v>
      </c>
      <c r="CK127" s="1">
        <v>18228</v>
      </c>
      <c r="CL127" s="1">
        <v>16836</v>
      </c>
      <c r="CM127" s="1">
        <v>16241</v>
      </c>
      <c r="CN127" s="1">
        <v>49673</v>
      </c>
      <c r="CO127" s="1">
        <v>6252</v>
      </c>
      <c r="CP127" s="1">
        <v>3947</v>
      </c>
      <c r="CQ127" s="1">
        <v>4998</v>
      </c>
      <c r="CR127" s="1">
        <v>7419</v>
      </c>
      <c r="CS127" s="1">
        <v>33258</v>
      </c>
      <c r="CT127" s="1">
        <v>18275</v>
      </c>
      <c r="CU127" s="1">
        <v>1930</v>
      </c>
      <c r="CV127" s="1">
        <v>259545</v>
      </c>
      <c r="CW127" s="1">
        <v>6622</v>
      </c>
      <c r="CX127" s="1">
        <v>2164</v>
      </c>
      <c r="CY127" s="1">
        <v>25286</v>
      </c>
      <c r="CZ127" s="1">
        <v>3519</v>
      </c>
      <c r="DA127" s="1">
        <v>6527</v>
      </c>
      <c r="DB127" s="1">
        <v>13902</v>
      </c>
      <c r="DC127" s="1">
        <v>5044</v>
      </c>
      <c r="DD127" s="1">
        <v>3125</v>
      </c>
      <c r="DE127" s="1">
        <v>2200</v>
      </c>
      <c r="DF127" s="1">
        <v>50142</v>
      </c>
      <c r="DG127" s="1">
        <v>14568</v>
      </c>
      <c r="DH127" s="1">
        <v>16928</v>
      </c>
      <c r="DI127" s="1">
        <v>3735</v>
      </c>
      <c r="DJ127" s="1">
        <v>26656</v>
      </c>
      <c r="DK127" s="1">
        <v>18418</v>
      </c>
      <c r="DL127" s="1">
        <v>10795</v>
      </c>
      <c r="DM127" s="1">
        <v>14617</v>
      </c>
      <c r="DN127" s="1">
        <v>15362</v>
      </c>
      <c r="DO127" s="1">
        <v>3261</v>
      </c>
      <c r="DP127" s="1">
        <v>8345</v>
      </c>
      <c r="DQ127" s="1">
        <v>59859</v>
      </c>
      <c r="DR127" s="1">
        <v>3230</v>
      </c>
      <c r="DS127" s="1">
        <v>6366</v>
      </c>
      <c r="DT127" s="1">
        <v>1150</v>
      </c>
      <c r="DU127" s="1">
        <v>10775</v>
      </c>
      <c r="DV127" s="1">
        <v>5273</v>
      </c>
      <c r="DW127" s="1">
        <v>5534</v>
      </c>
      <c r="DX127" s="1">
        <v>15507</v>
      </c>
      <c r="DY127" s="1">
        <v>2575</v>
      </c>
      <c r="DZ127" s="1">
        <v>2534</v>
      </c>
      <c r="EA127" s="1">
        <v>12221</v>
      </c>
      <c r="EB127" s="1">
        <v>7311</v>
      </c>
      <c r="EC127" s="1">
        <v>1015</v>
      </c>
      <c r="ED127" s="1">
        <v>1270</v>
      </c>
      <c r="EE127" s="1">
        <v>40575</v>
      </c>
      <c r="EF127" s="1">
        <v>4863</v>
      </c>
      <c r="EG127" s="1">
        <v>14100</v>
      </c>
      <c r="EH127" s="1">
        <v>31969</v>
      </c>
      <c r="EJ127" s="1">
        <f t="shared" si="1"/>
        <v>1639407</v>
      </c>
    </row>
    <row r="128" spans="1:140" x14ac:dyDescent="0.25">
      <c r="A128" s="1" t="s">
        <v>264</v>
      </c>
      <c r="B128" s="1">
        <v>6333</v>
      </c>
      <c r="C128" s="1">
        <v>7761</v>
      </c>
      <c r="D128" s="1">
        <v>386</v>
      </c>
      <c r="E128" s="1">
        <v>2557</v>
      </c>
      <c r="F128" s="1">
        <v>16</v>
      </c>
      <c r="G128" s="1">
        <v>52</v>
      </c>
      <c r="H128" s="1">
        <v>17930</v>
      </c>
      <c r="I128" s="1">
        <v>166</v>
      </c>
      <c r="J128" s="1">
        <v>2166</v>
      </c>
      <c r="K128" s="1">
        <v>118</v>
      </c>
      <c r="L128" s="1">
        <v>1671</v>
      </c>
      <c r="M128" s="1">
        <v>253</v>
      </c>
      <c r="N128" s="1">
        <v>13081</v>
      </c>
      <c r="O128" s="1">
        <v>2423</v>
      </c>
      <c r="P128" s="1">
        <v>6096</v>
      </c>
      <c r="Q128" s="1">
        <v>11557</v>
      </c>
      <c r="R128" s="1">
        <v>15</v>
      </c>
      <c r="S128" s="1">
        <v>2900</v>
      </c>
      <c r="T128" s="1">
        <v>3442</v>
      </c>
      <c r="U128" s="1">
        <v>5063</v>
      </c>
      <c r="V128" s="1">
        <v>12879</v>
      </c>
      <c r="W128" s="1">
        <v>3669</v>
      </c>
      <c r="X128" s="1">
        <v>903</v>
      </c>
      <c r="Y128" s="1">
        <v>1003</v>
      </c>
      <c r="Z128" s="1">
        <v>1726</v>
      </c>
      <c r="AA128" s="1">
        <v>762</v>
      </c>
      <c r="AB128" s="1">
        <v>7674</v>
      </c>
      <c r="AC128" s="1">
        <v>1075</v>
      </c>
      <c r="AD128" s="1">
        <v>726</v>
      </c>
      <c r="AE128" s="1">
        <v>2136</v>
      </c>
      <c r="AF128" s="1">
        <v>2281</v>
      </c>
      <c r="AG128">
        <v>34684</v>
      </c>
      <c r="AH128" s="1">
        <v>703</v>
      </c>
      <c r="AI128" s="1">
        <v>2322</v>
      </c>
      <c r="AJ128" s="1">
        <v>547</v>
      </c>
      <c r="AK128" s="1">
        <v>3076</v>
      </c>
      <c r="AL128" s="1">
        <v>4495</v>
      </c>
      <c r="AM128" s="1">
        <v>965</v>
      </c>
      <c r="AN128" s="1">
        <v>460</v>
      </c>
      <c r="AO128" s="1">
        <v>12008</v>
      </c>
      <c r="AP128" s="1">
        <v>1224</v>
      </c>
      <c r="AQ128" s="1">
        <v>232</v>
      </c>
      <c r="AR128" s="1">
        <v>3686</v>
      </c>
      <c r="AS128" s="1">
        <v>10369</v>
      </c>
      <c r="AT128" s="1">
        <v>1423</v>
      </c>
      <c r="AU128" s="1">
        <v>4915</v>
      </c>
      <c r="AV128" s="1">
        <v>5220</v>
      </c>
      <c r="AW128" s="1">
        <v>2962</v>
      </c>
      <c r="AX128" s="1">
        <v>32059</v>
      </c>
      <c r="AY128" s="1">
        <v>341</v>
      </c>
      <c r="AZ128" s="1">
        <v>1148</v>
      </c>
      <c r="BA128" s="1">
        <v>8260</v>
      </c>
      <c r="BB128" s="1">
        <v>163</v>
      </c>
      <c r="BC128" s="1">
        <v>1208</v>
      </c>
      <c r="BD128" s="1">
        <v>8636</v>
      </c>
      <c r="BE128" s="1">
        <v>4484</v>
      </c>
      <c r="BF128" s="1">
        <v>4028</v>
      </c>
      <c r="BG128" s="1">
        <v>7456</v>
      </c>
      <c r="BH128" s="1">
        <v>2567</v>
      </c>
      <c r="BI128" s="1">
        <v>35343</v>
      </c>
      <c r="BJ128" s="1">
        <v>5978</v>
      </c>
      <c r="BK128" s="1">
        <v>7770</v>
      </c>
      <c r="BL128" s="1">
        <v>4069</v>
      </c>
      <c r="BM128" s="1">
        <v>6630</v>
      </c>
      <c r="BN128" s="1">
        <v>2120</v>
      </c>
      <c r="BO128" s="1">
        <v>1460</v>
      </c>
      <c r="BP128" s="1">
        <v>33854</v>
      </c>
      <c r="BQ128" s="1">
        <v>3062</v>
      </c>
      <c r="BR128" s="1">
        <v>88065</v>
      </c>
      <c r="BS128" s="1">
        <v>10052</v>
      </c>
      <c r="BT128" s="1">
        <v>11227</v>
      </c>
      <c r="BU128" s="1">
        <v>23430</v>
      </c>
      <c r="BV128" s="1">
        <v>3716</v>
      </c>
      <c r="BW128" s="1">
        <v>15291</v>
      </c>
      <c r="BX128" s="1">
        <v>3461</v>
      </c>
      <c r="BY128" s="1">
        <v>7243</v>
      </c>
      <c r="BZ128" s="1">
        <v>24788</v>
      </c>
      <c r="CA128" s="1">
        <v>3280</v>
      </c>
      <c r="CB128" s="1">
        <v>1532</v>
      </c>
      <c r="CC128" s="1">
        <v>9358</v>
      </c>
      <c r="CD128" s="1">
        <v>4088</v>
      </c>
      <c r="CE128" s="1">
        <v>5131</v>
      </c>
      <c r="CF128" s="1">
        <v>8631</v>
      </c>
      <c r="CG128" s="1">
        <v>122204</v>
      </c>
      <c r="CH128" s="1">
        <v>16881</v>
      </c>
      <c r="CI128" s="1">
        <v>29914</v>
      </c>
      <c r="CJ128" s="1">
        <v>6800</v>
      </c>
      <c r="CK128" s="1">
        <v>17771</v>
      </c>
      <c r="CL128" s="1">
        <v>13763</v>
      </c>
      <c r="CM128" s="1">
        <v>17000</v>
      </c>
      <c r="CN128" s="1">
        <v>51913</v>
      </c>
      <c r="CO128" s="1">
        <v>6449</v>
      </c>
      <c r="CP128" s="1">
        <v>3986</v>
      </c>
      <c r="CQ128" s="1">
        <v>6485</v>
      </c>
      <c r="CR128" s="1">
        <v>8449</v>
      </c>
      <c r="CS128" s="1">
        <v>35112</v>
      </c>
      <c r="CT128" s="1">
        <v>19661</v>
      </c>
      <c r="CU128" s="1">
        <v>1992</v>
      </c>
      <c r="CV128" s="1">
        <v>278054</v>
      </c>
      <c r="CW128" s="1">
        <v>7812</v>
      </c>
      <c r="CX128" s="1">
        <v>2511</v>
      </c>
      <c r="CY128" s="1">
        <v>29412</v>
      </c>
      <c r="CZ128" s="1">
        <v>3808</v>
      </c>
      <c r="DA128" s="1">
        <v>7454</v>
      </c>
      <c r="DB128" s="1">
        <v>15029</v>
      </c>
      <c r="DC128" s="1">
        <v>5516</v>
      </c>
      <c r="DD128" s="1">
        <v>3128</v>
      </c>
      <c r="DE128" s="1">
        <v>2582</v>
      </c>
      <c r="DF128" s="1">
        <v>55669</v>
      </c>
      <c r="DG128" s="1">
        <v>15892</v>
      </c>
      <c r="DH128" s="1">
        <v>18714</v>
      </c>
      <c r="DI128" s="1">
        <v>4351</v>
      </c>
      <c r="DJ128" s="1">
        <v>29177</v>
      </c>
      <c r="DK128" s="1">
        <v>19873</v>
      </c>
      <c r="DL128" s="1">
        <v>11308</v>
      </c>
      <c r="DM128" s="1">
        <v>15461</v>
      </c>
      <c r="DN128" s="1">
        <v>17917</v>
      </c>
      <c r="DO128" s="1">
        <v>3598</v>
      </c>
      <c r="DP128" s="1">
        <v>9011</v>
      </c>
      <c r="DQ128" s="1">
        <v>63399</v>
      </c>
      <c r="DR128" s="1">
        <v>3196</v>
      </c>
      <c r="DS128" s="1">
        <v>6383</v>
      </c>
      <c r="DT128" s="1">
        <v>1030</v>
      </c>
      <c r="DU128" s="1">
        <v>12107</v>
      </c>
      <c r="DV128" s="1">
        <v>5761</v>
      </c>
      <c r="DW128" s="1">
        <v>5926</v>
      </c>
      <c r="DX128" s="1">
        <v>15510</v>
      </c>
      <c r="DY128" s="1">
        <v>2320</v>
      </c>
      <c r="DZ128" s="1">
        <v>2877</v>
      </c>
      <c r="EA128" s="1">
        <v>13121</v>
      </c>
      <c r="EB128" s="1">
        <v>8183</v>
      </c>
      <c r="EC128" s="1">
        <v>1014</v>
      </c>
      <c r="ED128" s="1">
        <v>1511</v>
      </c>
      <c r="EE128" s="1">
        <v>41176</v>
      </c>
      <c r="EF128" s="1">
        <v>5603</v>
      </c>
      <c r="EG128" s="1">
        <v>13966</v>
      </c>
      <c r="EH128" s="1">
        <v>31017</v>
      </c>
      <c r="EJ128" s="1">
        <f t="shared" si="1"/>
        <v>1746797</v>
      </c>
    </row>
    <row r="129" spans="1:140" x14ac:dyDescent="0.25">
      <c r="A129" s="1" t="s">
        <v>265</v>
      </c>
      <c r="B129" s="1">
        <v>6043</v>
      </c>
      <c r="C129" s="1">
        <v>7174</v>
      </c>
      <c r="D129" s="1">
        <v>304</v>
      </c>
      <c r="E129" s="1">
        <v>2236</v>
      </c>
      <c r="F129" s="1">
        <v>15</v>
      </c>
      <c r="G129" s="1">
        <v>45</v>
      </c>
      <c r="H129" s="1">
        <v>16661</v>
      </c>
      <c r="I129" s="1">
        <v>157</v>
      </c>
      <c r="J129" s="1">
        <v>1852</v>
      </c>
      <c r="K129" s="1">
        <v>98</v>
      </c>
      <c r="L129" s="1">
        <v>1822</v>
      </c>
      <c r="M129" s="1">
        <v>183</v>
      </c>
      <c r="N129" s="1">
        <v>16046</v>
      </c>
      <c r="O129" s="1">
        <v>2487</v>
      </c>
      <c r="P129" s="1">
        <v>4887</v>
      </c>
      <c r="Q129" s="1">
        <v>10993</v>
      </c>
      <c r="R129" s="1">
        <v>29</v>
      </c>
      <c r="S129" s="1">
        <v>2648</v>
      </c>
      <c r="T129" s="1">
        <v>3593</v>
      </c>
      <c r="U129" s="1">
        <v>4372</v>
      </c>
      <c r="V129" s="1">
        <v>12165</v>
      </c>
      <c r="W129" s="1">
        <v>3767</v>
      </c>
      <c r="X129" s="1">
        <v>857</v>
      </c>
      <c r="Y129" s="1">
        <v>1269</v>
      </c>
      <c r="Z129" s="1">
        <v>1535</v>
      </c>
      <c r="AA129" s="1">
        <v>740</v>
      </c>
      <c r="AB129" s="1">
        <v>8374</v>
      </c>
      <c r="AC129" s="1">
        <v>938</v>
      </c>
      <c r="AD129" s="1">
        <v>1012</v>
      </c>
      <c r="AE129" s="1">
        <v>2143</v>
      </c>
      <c r="AF129" s="1">
        <v>2431</v>
      </c>
      <c r="AG129">
        <v>37522</v>
      </c>
      <c r="AH129" s="1">
        <v>750</v>
      </c>
      <c r="AI129" s="1">
        <v>2635</v>
      </c>
      <c r="AJ129" s="1">
        <v>597</v>
      </c>
      <c r="AK129" s="1">
        <v>3251</v>
      </c>
      <c r="AL129" s="1">
        <v>4630</v>
      </c>
      <c r="AM129" s="1">
        <v>1153</v>
      </c>
      <c r="AN129" s="1">
        <v>503</v>
      </c>
      <c r="AO129" s="1">
        <v>13930</v>
      </c>
      <c r="AP129" s="1">
        <v>1376</v>
      </c>
      <c r="AQ129" s="1">
        <v>179</v>
      </c>
      <c r="AR129" s="1">
        <v>3809</v>
      </c>
      <c r="AS129" s="1">
        <v>13403</v>
      </c>
      <c r="AT129" s="1">
        <v>1425</v>
      </c>
      <c r="AU129" s="1">
        <v>3544</v>
      </c>
      <c r="AV129" s="1">
        <v>6391</v>
      </c>
      <c r="AW129" s="1">
        <v>5569</v>
      </c>
      <c r="AX129" s="1">
        <v>34938</v>
      </c>
      <c r="AY129" s="1">
        <v>283</v>
      </c>
      <c r="AZ129" s="1">
        <v>1297</v>
      </c>
      <c r="BA129" s="1">
        <v>11081</v>
      </c>
      <c r="BB129" s="1">
        <v>222</v>
      </c>
      <c r="BC129" s="1">
        <v>1028</v>
      </c>
      <c r="BD129" s="1">
        <v>9191</v>
      </c>
      <c r="BE129" s="1">
        <v>4083</v>
      </c>
      <c r="BF129" s="1">
        <v>3708</v>
      </c>
      <c r="BG129" s="1">
        <v>7738</v>
      </c>
      <c r="BH129" s="1">
        <v>2258</v>
      </c>
      <c r="BI129" s="1">
        <v>36371</v>
      </c>
      <c r="BJ129" s="1">
        <v>5491</v>
      </c>
      <c r="BK129" s="1">
        <v>7251</v>
      </c>
      <c r="BL129" s="1">
        <v>3496</v>
      </c>
      <c r="BM129" s="1">
        <v>6894</v>
      </c>
      <c r="BN129" s="1">
        <v>1733</v>
      </c>
      <c r="BO129" s="1">
        <v>1356</v>
      </c>
      <c r="BP129" s="1">
        <v>28148</v>
      </c>
      <c r="BQ129" s="1">
        <v>3101</v>
      </c>
      <c r="BR129" s="1">
        <v>85394</v>
      </c>
      <c r="BS129" s="1">
        <v>9905</v>
      </c>
      <c r="BT129" s="1">
        <v>9803</v>
      </c>
      <c r="BU129" s="1">
        <v>20388</v>
      </c>
      <c r="BV129" s="1">
        <v>3405</v>
      </c>
      <c r="BW129" s="1">
        <v>14988</v>
      </c>
      <c r="BX129" s="1">
        <v>3607</v>
      </c>
      <c r="BY129" s="1">
        <v>6861</v>
      </c>
      <c r="BZ129" s="1">
        <v>25461</v>
      </c>
      <c r="CA129" s="1">
        <v>3061</v>
      </c>
      <c r="CB129" s="1">
        <v>1485</v>
      </c>
      <c r="CC129" s="1">
        <v>8741</v>
      </c>
      <c r="CD129" s="1">
        <v>4035</v>
      </c>
      <c r="CE129" s="1">
        <v>5177</v>
      </c>
      <c r="CF129" s="1">
        <v>8056</v>
      </c>
      <c r="CG129" s="1">
        <v>127854</v>
      </c>
      <c r="CH129" s="1">
        <v>15801</v>
      </c>
      <c r="CI129" s="1">
        <v>27577</v>
      </c>
      <c r="CJ129" s="1">
        <v>7381</v>
      </c>
      <c r="CK129" s="1">
        <v>16110</v>
      </c>
      <c r="CL129" s="1">
        <v>10356</v>
      </c>
      <c r="CM129" s="1">
        <v>16489</v>
      </c>
      <c r="CN129" s="1">
        <v>50531</v>
      </c>
      <c r="CO129" s="1">
        <v>6152</v>
      </c>
      <c r="CP129" s="1">
        <v>4369</v>
      </c>
      <c r="CQ129" s="1">
        <v>5034</v>
      </c>
      <c r="CR129" s="1">
        <v>8295</v>
      </c>
      <c r="CS129" s="1">
        <v>35786</v>
      </c>
      <c r="CT129" s="1">
        <v>20480</v>
      </c>
      <c r="CU129" s="1">
        <v>2097</v>
      </c>
      <c r="CV129" s="1">
        <v>292717</v>
      </c>
      <c r="CW129" s="1">
        <v>6551</v>
      </c>
      <c r="CX129" s="1">
        <v>2558</v>
      </c>
      <c r="CY129" s="1">
        <v>27525</v>
      </c>
      <c r="CZ129" s="1">
        <v>3092</v>
      </c>
      <c r="DA129" s="1">
        <v>7134</v>
      </c>
      <c r="DB129" s="1">
        <v>15686</v>
      </c>
      <c r="DC129" s="1">
        <v>5357</v>
      </c>
      <c r="DD129" s="1">
        <v>3504</v>
      </c>
      <c r="DE129" s="1">
        <v>2630</v>
      </c>
      <c r="DF129" s="1">
        <v>54751</v>
      </c>
      <c r="DG129" s="1">
        <v>16493</v>
      </c>
      <c r="DH129" s="1">
        <v>18921</v>
      </c>
      <c r="DI129" s="1">
        <v>3980</v>
      </c>
      <c r="DJ129" s="1">
        <v>29610</v>
      </c>
      <c r="DK129" s="1">
        <v>20215</v>
      </c>
      <c r="DL129" s="1">
        <v>11932</v>
      </c>
      <c r="DM129" s="1">
        <v>15977</v>
      </c>
      <c r="DN129" s="1">
        <v>17143</v>
      </c>
      <c r="DO129" s="1">
        <v>4150</v>
      </c>
      <c r="DP129" s="1">
        <v>8812</v>
      </c>
      <c r="DQ129" s="1">
        <v>63918</v>
      </c>
      <c r="DR129" s="1">
        <v>3532</v>
      </c>
      <c r="DS129" s="1">
        <v>5821</v>
      </c>
      <c r="DT129" s="1">
        <v>840</v>
      </c>
      <c r="DU129" s="1">
        <v>11637</v>
      </c>
      <c r="DV129" s="1">
        <v>5830</v>
      </c>
      <c r="DW129" s="1">
        <v>5546</v>
      </c>
      <c r="DX129" s="1">
        <v>13575</v>
      </c>
      <c r="DY129" s="1">
        <v>2398</v>
      </c>
      <c r="DZ129" s="1">
        <v>2795</v>
      </c>
      <c r="EA129" s="1">
        <v>12949</v>
      </c>
      <c r="EB129" s="1">
        <v>6875</v>
      </c>
      <c r="EC129" s="1">
        <v>1323</v>
      </c>
      <c r="ED129" s="1">
        <v>1472</v>
      </c>
      <c r="EE129" s="1">
        <v>40242</v>
      </c>
      <c r="EF129" s="1">
        <v>4856</v>
      </c>
      <c r="EG129" s="1">
        <v>12875</v>
      </c>
      <c r="EH129" s="1">
        <v>31706</v>
      </c>
      <c r="EJ129" s="1">
        <f t="shared" si="1"/>
        <v>1748818</v>
      </c>
    </row>
    <row r="130" spans="1:140" x14ac:dyDescent="0.25">
      <c r="A130" s="1" t="s">
        <v>266</v>
      </c>
      <c r="B130" s="1">
        <v>5055</v>
      </c>
      <c r="C130" s="1">
        <v>7000</v>
      </c>
      <c r="D130" s="1">
        <v>242</v>
      </c>
      <c r="E130" s="1">
        <v>2022</v>
      </c>
      <c r="F130" s="1">
        <v>7</v>
      </c>
      <c r="G130" s="1">
        <v>38</v>
      </c>
      <c r="H130" s="1">
        <v>17109</v>
      </c>
      <c r="I130" s="1">
        <v>107</v>
      </c>
      <c r="J130" s="1">
        <v>2266</v>
      </c>
      <c r="K130" s="1">
        <v>107</v>
      </c>
      <c r="L130" s="1">
        <v>1676</v>
      </c>
      <c r="M130" s="1">
        <v>164</v>
      </c>
      <c r="N130" s="1">
        <v>15017</v>
      </c>
      <c r="O130" s="1">
        <v>3147</v>
      </c>
      <c r="P130" s="1">
        <v>4427</v>
      </c>
      <c r="Q130" s="1">
        <v>9532</v>
      </c>
      <c r="R130" s="1">
        <v>19</v>
      </c>
      <c r="S130" s="1">
        <v>2723</v>
      </c>
      <c r="T130" s="1">
        <v>3653</v>
      </c>
      <c r="U130" s="1">
        <v>3870</v>
      </c>
      <c r="V130" s="1">
        <v>10842</v>
      </c>
      <c r="W130" s="1">
        <v>3604</v>
      </c>
      <c r="X130" s="1">
        <v>910</v>
      </c>
      <c r="Y130" s="1">
        <v>1027</v>
      </c>
      <c r="Z130" s="1">
        <v>1374</v>
      </c>
      <c r="AA130" s="1">
        <v>701</v>
      </c>
      <c r="AB130" s="1">
        <v>7493</v>
      </c>
      <c r="AC130" s="1">
        <v>1102</v>
      </c>
      <c r="AD130" s="1">
        <v>846</v>
      </c>
      <c r="AE130" s="1">
        <v>3195</v>
      </c>
      <c r="AF130" s="1">
        <v>2384</v>
      </c>
      <c r="AG130">
        <v>38181</v>
      </c>
      <c r="AH130" s="1">
        <v>732</v>
      </c>
      <c r="AI130" s="1">
        <v>2407</v>
      </c>
      <c r="AJ130" s="1">
        <v>616</v>
      </c>
      <c r="AK130" s="1">
        <v>3108</v>
      </c>
      <c r="AL130" s="1">
        <v>3830</v>
      </c>
      <c r="AM130" s="1">
        <v>1274</v>
      </c>
      <c r="AN130" s="1">
        <v>501</v>
      </c>
      <c r="AO130" s="1">
        <v>12162</v>
      </c>
      <c r="AP130" s="1">
        <v>1178</v>
      </c>
      <c r="AQ130" s="1">
        <v>223</v>
      </c>
      <c r="AR130" s="1">
        <v>3587</v>
      </c>
      <c r="AS130" s="1">
        <v>9708</v>
      </c>
      <c r="AT130" s="1">
        <v>1420</v>
      </c>
      <c r="AU130" s="1">
        <v>5118</v>
      </c>
      <c r="AV130" s="1">
        <v>6722</v>
      </c>
      <c r="AW130" s="1">
        <v>14405</v>
      </c>
      <c r="AX130" s="1">
        <v>37421</v>
      </c>
      <c r="AY130" s="1">
        <v>201</v>
      </c>
      <c r="AZ130" s="1">
        <v>1199</v>
      </c>
      <c r="BA130" s="1">
        <v>21270</v>
      </c>
      <c r="BB130" s="1">
        <v>279</v>
      </c>
      <c r="BC130" s="1">
        <v>1140</v>
      </c>
      <c r="BD130" s="1">
        <v>12555</v>
      </c>
      <c r="BE130" s="1">
        <v>4176</v>
      </c>
      <c r="BF130" s="1">
        <v>3340</v>
      </c>
      <c r="BG130" s="1">
        <v>8044</v>
      </c>
      <c r="BH130" s="1">
        <v>2372</v>
      </c>
      <c r="BI130" s="1">
        <v>37746</v>
      </c>
      <c r="BJ130" s="1">
        <v>5853</v>
      </c>
      <c r="BK130" s="1">
        <v>7231</v>
      </c>
      <c r="BL130" s="1">
        <v>3723</v>
      </c>
      <c r="BM130" s="1">
        <v>6655</v>
      </c>
      <c r="BN130" s="1">
        <v>1600</v>
      </c>
      <c r="BO130" s="1">
        <v>1356</v>
      </c>
      <c r="BP130" s="1">
        <v>29696</v>
      </c>
      <c r="BQ130" s="1">
        <v>3153</v>
      </c>
      <c r="BR130" s="1">
        <v>90803</v>
      </c>
      <c r="BS130" s="1">
        <v>10397</v>
      </c>
      <c r="BT130" s="1">
        <v>10662</v>
      </c>
      <c r="BU130" s="1">
        <v>20565</v>
      </c>
      <c r="BV130" s="1">
        <v>3545</v>
      </c>
      <c r="BW130" s="1">
        <v>15345</v>
      </c>
      <c r="BX130" s="1">
        <v>3396</v>
      </c>
      <c r="BY130" s="1">
        <v>6301</v>
      </c>
      <c r="BZ130" s="1">
        <v>25661</v>
      </c>
      <c r="CA130" s="1">
        <v>3082</v>
      </c>
      <c r="CB130" s="1">
        <v>1573</v>
      </c>
      <c r="CC130" s="1">
        <v>8810</v>
      </c>
      <c r="CD130" s="1">
        <v>4198</v>
      </c>
      <c r="CE130" s="1">
        <v>5584</v>
      </c>
      <c r="CF130" s="1">
        <v>8748</v>
      </c>
      <c r="CG130" s="1">
        <v>126459</v>
      </c>
      <c r="CH130" s="1">
        <v>15323</v>
      </c>
      <c r="CI130" s="1">
        <v>27486</v>
      </c>
      <c r="CJ130" s="1">
        <v>6782</v>
      </c>
      <c r="CK130" s="1">
        <v>16457</v>
      </c>
      <c r="CL130" s="1">
        <v>10103</v>
      </c>
      <c r="CM130" s="1">
        <v>16309</v>
      </c>
      <c r="CN130" s="1">
        <v>48482</v>
      </c>
      <c r="CO130" s="1">
        <v>6221</v>
      </c>
      <c r="CP130" s="1">
        <v>4031</v>
      </c>
      <c r="CQ130" s="1">
        <v>4494</v>
      </c>
      <c r="CR130" s="1">
        <v>8011</v>
      </c>
      <c r="CS130" s="1">
        <v>34775</v>
      </c>
      <c r="CT130" s="1">
        <v>20235</v>
      </c>
      <c r="CU130" s="1">
        <v>2182</v>
      </c>
      <c r="CV130" s="1">
        <v>284573</v>
      </c>
      <c r="CW130" s="1">
        <v>6800</v>
      </c>
      <c r="CX130" s="1">
        <v>2646</v>
      </c>
      <c r="CY130" s="1">
        <v>28447</v>
      </c>
      <c r="CZ130" s="1">
        <v>3792</v>
      </c>
      <c r="DA130" s="1">
        <v>7947</v>
      </c>
      <c r="DB130" s="1">
        <v>15866</v>
      </c>
      <c r="DC130" s="1">
        <v>5531</v>
      </c>
      <c r="DD130" s="1">
        <v>3660</v>
      </c>
      <c r="DE130" s="1">
        <v>2690</v>
      </c>
      <c r="DF130" s="1">
        <v>55390</v>
      </c>
      <c r="DG130" s="1">
        <v>17034</v>
      </c>
      <c r="DH130" s="1">
        <v>19369</v>
      </c>
      <c r="DI130" s="1">
        <v>4168</v>
      </c>
      <c r="DJ130" s="1">
        <v>29521</v>
      </c>
      <c r="DK130" s="1">
        <v>20319</v>
      </c>
      <c r="DL130" s="1">
        <v>12217</v>
      </c>
      <c r="DM130" s="1">
        <v>16068</v>
      </c>
      <c r="DN130" s="1">
        <v>16640</v>
      </c>
      <c r="DO130" s="1">
        <v>3670</v>
      </c>
      <c r="DP130" s="1">
        <v>8432</v>
      </c>
      <c r="DQ130" s="1">
        <v>65706</v>
      </c>
      <c r="DR130" s="1">
        <v>3885</v>
      </c>
      <c r="DS130" s="1">
        <v>6647</v>
      </c>
      <c r="DT130" s="1">
        <v>1020</v>
      </c>
      <c r="DU130" s="1">
        <v>12337</v>
      </c>
      <c r="DV130" s="1">
        <v>5101</v>
      </c>
      <c r="DW130" s="1">
        <v>5946</v>
      </c>
      <c r="DX130" s="1">
        <v>13976</v>
      </c>
      <c r="DY130" s="1">
        <v>2673</v>
      </c>
      <c r="DZ130" s="1">
        <v>2949</v>
      </c>
      <c r="EA130" s="1">
        <v>12321</v>
      </c>
      <c r="EB130" s="1">
        <v>6638</v>
      </c>
      <c r="EC130" s="1">
        <v>1234</v>
      </c>
      <c r="ED130" s="1">
        <v>1471</v>
      </c>
      <c r="EE130" s="1">
        <v>40998</v>
      </c>
      <c r="EF130" s="1">
        <v>5020</v>
      </c>
      <c r="EG130" s="1">
        <v>13796</v>
      </c>
      <c r="EH130" s="1">
        <v>32070</v>
      </c>
      <c r="EJ130" s="1">
        <f t="shared" si="1"/>
        <v>1770429</v>
      </c>
    </row>
    <row r="131" spans="1:140" x14ac:dyDescent="0.25">
      <c r="A131" s="1" t="s">
        <v>267</v>
      </c>
      <c r="B131" s="1">
        <v>5424</v>
      </c>
      <c r="C131" s="1">
        <v>7004</v>
      </c>
      <c r="D131" s="1">
        <v>265</v>
      </c>
      <c r="E131" s="1">
        <v>2033</v>
      </c>
      <c r="F131" s="1">
        <v>10</v>
      </c>
      <c r="G131" s="1">
        <v>39</v>
      </c>
      <c r="H131" s="1">
        <v>17515</v>
      </c>
      <c r="I131" s="1">
        <v>129</v>
      </c>
      <c r="J131" s="1">
        <v>1813</v>
      </c>
      <c r="K131" s="1">
        <v>109</v>
      </c>
      <c r="L131" s="1">
        <v>1678</v>
      </c>
      <c r="M131" s="1">
        <v>111</v>
      </c>
      <c r="N131" s="1">
        <v>14539</v>
      </c>
      <c r="O131" s="1">
        <v>2291</v>
      </c>
      <c r="P131" s="1">
        <v>3422</v>
      </c>
      <c r="Q131" s="1">
        <v>9289</v>
      </c>
      <c r="R131" s="1">
        <v>39</v>
      </c>
      <c r="S131" s="1">
        <v>2894</v>
      </c>
      <c r="T131" s="1">
        <v>3390</v>
      </c>
      <c r="U131" s="1">
        <v>3224</v>
      </c>
      <c r="V131" s="1">
        <v>9681</v>
      </c>
      <c r="W131" s="1">
        <v>3232</v>
      </c>
      <c r="X131" s="1">
        <v>891</v>
      </c>
      <c r="Y131" s="1">
        <v>892</v>
      </c>
      <c r="Z131" s="1">
        <v>1548</v>
      </c>
      <c r="AA131" s="1">
        <v>728</v>
      </c>
      <c r="AB131" s="1">
        <v>7603</v>
      </c>
      <c r="AC131" s="1">
        <v>1020</v>
      </c>
      <c r="AD131" s="1">
        <v>608</v>
      </c>
      <c r="AE131" s="1">
        <v>2394</v>
      </c>
      <c r="AF131" s="1">
        <v>2423</v>
      </c>
      <c r="AG131">
        <v>39644</v>
      </c>
      <c r="AH131" s="1">
        <v>655</v>
      </c>
      <c r="AI131" s="1">
        <v>2295</v>
      </c>
      <c r="AJ131" s="1">
        <v>517</v>
      </c>
      <c r="AK131" s="1">
        <v>3469</v>
      </c>
      <c r="AL131" s="1">
        <v>3152</v>
      </c>
      <c r="AM131" s="1">
        <v>1109</v>
      </c>
      <c r="AN131" s="1">
        <v>506</v>
      </c>
      <c r="AO131" s="1">
        <v>12177</v>
      </c>
      <c r="AP131" s="1">
        <v>1247</v>
      </c>
      <c r="AQ131" s="1">
        <v>207</v>
      </c>
      <c r="AR131" s="1">
        <v>3527</v>
      </c>
      <c r="AS131" s="1">
        <v>9743</v>
      </c>
      <c r="AT131" s="1">
        <v>1698</v>
      </c>
      <c r="AU131" s="1">
        <v>3888</v>
      </c>
      <c r="AV131" s="1">
        <v>5630</v>
      </c>
      <c r="AW131" s="1">
        <v>5189</v>
      </c>
      <c r="AX131" s="1">
        <v>34075</v>
      </c>
      <c r="AY131" s="1">
        <v>266</v>
      </c>
      <c r="AZ131" s="1">
        <v>1153</v>
      </c>
      <c r="BA131" s="1">
        <v>15347</v>
      </c>
      <c r="BB131" s="1">
        <v>346</v>
      </c>
      <c r="BC131" s="1">
        <v>1071</v>
      </c>
      <c r="BD131" s="1">
        <v>9466</v>
      </c>
      <c r="BE131" s="1">
        <v>4696</v>
      </c>
      <c r="BF131" s="1">
        <v>2835</v>
      </c>
      <c r="BG131" s="1">
        <v>7007</v>
      </c>
      <c r="BH131" s="1">
        <v>2411</v>
      </c>
      <c r="BI131" s="1">
        <v>34013</v>
      </c>
      <c r="BJ131" s="1">
        <v>5827</v>
      </c>
      <c r="BK131" s="1">
        <v>7571</v>
      </c>
      <c r="BL131" s="1">
        <v>3512</v>
      </c>
      <c r="BM131" s="1">
        <v>6321</v>
      </c>
      <c r="BN131" s="1">
        <v>1471</v>
      </c>
      <c r="BO131" s="1">
        <v>1317</v>
      </c>
      <c r="BP131" s="1">
        <v>30008</v>
      </c>
      <c r="BQ131" s="1">
        <v>2889</v>
      </c>
      <c r="BR131" s="1">
        <v>83430</v>
      </c>
      <c r="BS131" s="1">
        <v>9385</v>
      </c>
      <c r="BT131" s="1">
        <v>9803</v>
      </c>
      <c r="BU131" s="1">
        <v>19881</v>
      </c>
      <c r="BV131" s="1">
        <v>3742</v>
      </c>
      <c r="BW131" s="1">
        <v>14962</v>
      </c>
      <c r="BX131" s="1">
        <v>2989</v>
      </c>
      <c r="BY131" s="1">
        <v>5802</v>
      </c>
      <c r="BZ131" s="1">
        <v>24149</v>
      </c>
      <c r="CA131" s="1">
        <v>3168</v>
      </c>
      <c r="CB131" s="1">
        <v>1224</v>
      </c>
      <c r="CC131" s="1">
        <v>8383</v>
      </c>
      <c r="CD131" s="1">
        <v>4016</v>
      </c>
      <c r="CE131" s="1">
        <v>5646</v>
      </c>
      <c r="CF131" s="1">
        <v>9218</v>
      </c>
      <c r="CG131" s="1">
        <v>122554</v>
      </c>
      <c r="CH131" s="1">
        <v>15438</v>
      </c>
      <c r="CI131" s="1">
        <v>27203</v>
      </c>
      <c r="CJ131" s="1">
        <v>6627</v>
      </c>
      <c r="CK131" s="1">
        <v>16371</v>
      </c>
      <c r="CL131" s="1">
        <v>9931</v>
      </c>
      <c r="CM131" s="1">
        <v>16720</v>
      </c>
      <c r="CN131" s="1">
        <v>49645</v>
      </c>
      <c r="CO131" s="1">
        <v>6251</v>
      </c>
      <c r="CP131" s="1">
        <v>4072</v>
      </c>
      <c r="CQ131" s="1">
        <v>4161</v>
      </c>
      <c r="CR131" s="1">
        <v>8009</v>
      </c>
      <c r="CS131" s="1">
        <v>34690</v>
      </c>
      <c r="CT131" s="1">
        <v>20501</v>
      </c>
      <c r="CU131" s="1">
        <v>2127</v>
      </c>
      <c r="CV131" s="1">
        <v>284695</v>
      </c>
      <c r="CW131" s="1">
        <v>6378</v>
      </c>
      <c r="CX131" s="1">
        <v>2457</v>
      </c>
      <c r="CY131" s="1">
        <v>27529</v>
      </c>
      <c r="CZ131" s="1">
        <v>3184</v>
      </c>
      <c r="DA131" s="1">
        <v>8121</v>
      </c>
      <c r="DB131" s="1">
        <v>15459</v>
      </c>
      <c r="DC131" s="1">
        <v>5354</v>
      </c>
      <c r="DD131" s="1">
        <v>3460</v>
      </c>
      <c r="DE131" s="1">
        <v>2534</v>
      </c>
      <c r="DF131" s="1">
        <v>54571</v>
      </c>
      <c r="DG131" s="1">
        <v>17277</v>
      </c>
      <c r="DH131" s="1">
        <v>19615</v>
      </c>
      <c r="DI131" s="1">
        <v>5042</v>
      </c>
      <c r="DJ131" s="1">
        <v>31451</v>
      </c>
      <c r="DK131" s="1">
        <v>20898</v>
      </c>
      <c r="DL131" s="1">
        <v>12184</v>
      </c>
      <c r="DM131" s="1">
        <v>16788</v>
      </c>
      <c r="DN131" s="1">
        <v>16749</v>
      </c>
      <c r="DO131" s="1">
        <v>3841</v>
      </c>
      <c r="DP131" s="1">
        <v>8381</v>
      </c>
      <c r="DQ131" s="1">
        <v>65754</v>
      </c>
      <c r="DR131" s="1">
        <v>3680</v>
      </c>
      <c r="DS131" s="1">
        <v>7236</v>
      </c>
      <c r="DT131" s="1">
        <v>1027</v>
      </c>
      <c r="DU131" s="1">
        <v>12687</v>
      </c>
      <c r="DV131" s="1">
        <v>4978</v>
      </c>
      <c r="DW131" s="1">
        <v>5912</v>
      </c>
      <c r="DX131" s="1">
        <v>13773</v>
      </c>
      <c r="DY131" s="1">
        <v>2475</v>
      </c>
      <c r="DZ131" s="1">
        <v>2761</v>
      </c>
      <c r="EA131" s="1">
        <v>13422</v>
      </c>
      <c r="EB131" s="1">
        <v>6643</v>
      </c>
      <c r="EC131" s="1">
        <v>1070</v>
      </c>
      <c r="ED131" s="1">
        <v>1384</v>
      </c>
      <c r="EE131" s="1">
        <v>39639</v>
      </c>
      <c r="EF131" s="1">
        <v>5114</v>
      </c>
      <c r="EG131" s="1">
        <v>13314</v>
      </c>
      <c r="EH131" s="1">
        <v>28945</v>
      </c>
      <c r="EJ131" s="1">
        <f t="shared" ref="EJ131:EJ157" si="2">SUM(B131:EH131)</f>
        <v>1718373</v>
      </c>
    </row>
    <row r="132" spans="1:140" x14ac:dyDescent="0.25">
      <c r="A132" s="1" t="s">
        <v>268</v>
      </c>
      <c r="B132" s="1">
        <v>5899</v>
      </c>
      <c r="C132" s="1">
        <v>6204</v>
      </c>
      <c r="D132" s="1">
        <v>196</v>
      </c>
      <c r="E132" s="1">
        <v>1916</v>
      </c>
      <c r="F132" s="1">
        <v>11</v>
      </c>
      <c r="G132" s="1">
        <v>26</v>
      </c>
      <c r="H132" s="1">
        <v>14875</v>
      </c>
      <c r="I132" s="1">
        <v>87</v>
      </c>
      <c r="J132" s="1">
        <v>2048</v>
      </c>
      <c r="K132" s="1">
        <v>72</v>
      </c>
      <c r="L132" s="1">
        <v>1513</v>
      </c>
      <c r="M132" s="1">
        <v>89</v>
      </c>
      <c r="N132" s="1">
        <v>13566</v>
      </c>
      <c r="O132" s="1">
        <v>2036</v>
      </c>
      <c r="P132" s="1">
        <v>3514</v>
      </c>
      <c r="Q132" s="1">
        <v>9416</v>
      </c>
      <c r="R132" s="1">
        <v>32</v>
      </c>
      <c r="S132" s="1">
        <v>2772</v>
      </c>
      <c r="T132" s="1">
        <v>3050</v>
      </c>
      <c r="U132" s="1">
        <v>3360</v>
      </c>
      <c r="V132" s="1">
        <v>8774</v>
      </c>
      <c r="W132" s="1">
        <v>3649</v>
      </c>
      <c r="X132" s="1">
        <v>927</v>
      </c>
      <c r="Y132" s="1">
        <v>875</v>
      </c>
      <c r="Z132" s="1">
        <v>1106</v>
      </c>
      <c r="AA132" s="1">
        <v>768</v>
      </c>
      <c r="AB132" s="1">
        <v>7783</v>
      </c>
      <c r="AC132" s="1">
        <v>1059</v>
      </c>
      <c r="AD132" s="1">
        <v>555</v>
      </c>
      <c r="AE132" s="1">
        <v>2350</v>
      </c>
      <c r="AF132" s="1">
        <v>2020</v>
      </c>
      <c r="AG132">
        <v>39430</v>
      </c>
      <c r="AH132" s="1">
        <v>685</v>
      </c>
      <c r="AI132" s="1">
        <v>1653</v>
      </c>
      <c r="AJ132" s="1">
        <v>522</v>
      </c>
      <c r="AK132" s="1">
        <v>3121</v>
      </c>
      <c r="AL132" s="1">
        <v>3358</v>
      </c>
      <c r="AM132" s="1">
        <v>1048</v>
      </c>
      <c r="AN132" s="1">
        <v>484</v>
      </c>
      <c r="AO132" s="1">
        <v>11707</v>
      </c>
      <c r="AP132" s="1">
        <v>1011</v>
      </c>
      <c r="AQ132" s="1">
        <v>208</v>
      </c>
      <c r="AR132" s="1">
        <v>4182</v>
      </c>
      <c r="AS132" s="1">
        <v>8521</v>
      </c>
      <c r="AT132" s="1">
        <v>1327</v>
      </c>
      <c r="AU132" s="1">
        <v>3608</v>
      </c>
      <c r="AV132" s="1">
        <v>5237</v>
      </c>
      <c r="AW132" s="1">
        <v>4083</v>
      </c>
      <c r="AX132" s="1">
        <v>32501</v>
      </c>
      <c r="AY132" s="1">
        <v>193</v>
      </c>
      <c r="AZ132" s="1">
        <v>1003</v>
      </c>
      <c r="BA132" s="1">
        <v>11804</v>
      </c>
      <c r="BB132" s="1">
        <v>247</v>
      </c>
      <c r="BC132" s="1">
        <v>2175</v>
      </c>
      <c r="BD132" s="1">
        <v>8408</v>
      </c>
      <c r="BE132" s="1">
        <v>3798</v>
      </c>
      <c r="BF132" s="1">
        <v>2431</v>
      </c>
      <c r="BG132" s="1">
        <v>6103</v>
      </c>
      <c r="BH132" s="1">
        <v>2028</v>
      </c>
      <c r="BI132" s="1">
        <v>33554</v>
      </c>
      <c r="BJ132" s="1">
        <v>5204</v>
      </c>
      <c r="BK132" s="1">
        <v>7465</v>
      </c>
      <c r="BL132" s="1">
        <v>2990</v>
      </c>
      <c r="BM132" s="1">
        <v>6112</v>
      </c>
      <c r="BN132" s="1">
        <v>1183</v>
      </c>
      <c r="BO132" s="1">
        <v>1428</v>
      </c>
      <c r="BP132" s="1">
        <v>27294</v>
      </c>
      <c r="BQ132" s="1">
        <v>2723</v>
      </c>
      <c r="BR132" s="1">
        <v>77211</v>
      </c>
      <c r="BS132" s="1">
        <v>9069</v>
      </c>
      <c r="BT132" s="1">
        <v>8536</v>
      </c>
      <c r="BU132" s="1">
        <v>18864</v>
      </c>
      <c r="BV132" s="1">
        <v>3603</v>
      </c>
      <c r="BW132" s="1">
        <v>13783</v>
      </c>
      <c r="BX132" s="1">
        <v>2684</v>
      </c>
      <c r="BY132" s="1">
        <v>5937</v>
      </c>
      <c r="BZ132" s="1">
        <v>24803</v>
      </c>
      <c r="CA132" s="1">
        <v>2777</v>
      </c>
      <c r="CB132" s="1">
        <v>1242</v>
      </c>
      <c r="CC132" s="1">
        <v>7588</v>
      </c>
      <c r="CD132" s="1">
        <v>3941</v>
      </c>
      <c r="CE132" s="1">
        <v>6008</v>
      </c>
      <c r="CF132" s="1">
        <v>8965</v>
      </c>
      <c r="CG132" s="1">
        <v>123367</v>
      </c>
      <c r="CH132" s="1">
        <v>13946</v>
      </c>
      <c r="CI132" s="1">
        <v>24975</v>
      </c>
      <c r="CJ132" s="1">
        <v>5792</v>
      </c>
      <c r="CK132" s="1">
        <v>15440</v>
      </c>
      <c r="CL132" s="1">
        <v>9472</v>
      </c>
      <c r="CM132" s="1">
        <v>15055</v>
      </c>
      <c r="CN132" s="1">
        <v>45075</v>
      </c>
      <c r="CO132" s="1">
        <v>5445</v>
      </c>
      <c r="CP132" s="1">
        <v>3572</v>
      </c>
      <c r="CQ132" s="1">
        <v>3986</v>
      </c>
      <c r="CR132" s="1">
        <v>7402</v>
      </c>
      <c r="CS132" s="1">
        <v>32450</v>
      </c>
      <c r="CT132" s="1">
        <v>20701</v>
      </c>
      <c r="CU132" s="1">
        <v>2052</v>
      </c>
      <c r="CV132" s="1">
        <v>262739</v>
      </c>
      <c r="CW132" s="1">
        <v>5654</v>
      </c>
      <c r="CX132" s="1">
        <v>2279</v>
      </c>
      <c r="CY132" s="1">
        <v>24102</v>
      </c>
      <c r="CZ132" s="1">
        <v>3143</v>
      </c>
      <c r="DA132" s="1">
        <v>7937</v>
      </c>
      <c r="DB132" s="1">
        <v>14095</v>
      </c>
      <c r="DC132" s="1">
        <v>4615</v>
      </c>
      <c r="DD132" s="1">
        <v>3033</v>
      </c>
      <c r="DE132" s="1">
        <v>2413</v>
      </c>
      <c r="DF132" s="1">
        <v>52000</v>
      </c>
      <c r="DG132" s="1">
        <v>16530</v>
      </c>
      <c r="DH132" s="1">
        <v>16673</v>
      </c>
      <c r="DI132" s="1">
        <v>5152</v>
      </c>
      <c r="DJ132" s="1">
        <v>27956</v>
      </c>
      <c r="DK132" s="1">
        <v>21362</v>
      </c>
      <c r="DL132" s="1">
        <v>11398</v>
      </c>
      <c r="DM132" s="1">
        <v>16267</v>
      </c>
      <c r="DN132" s="1">
        <v>16271</v>
      </c>
      <c r="DO132" s="1">
        <v>3802</v>
      </c>
      <c r="DP132" s="1">
        <v>7749</v>
      </c>
      <c r="DQ132" s="1">
        <v>63949</v>
      </c>
      <c r="DR132" s="1">
        <v>3604</v>
      </c>
      <c r="DS132" s="1">
        <v>9574</v>
      </c>
      <c r="DT132" s="1">
        <v>848</v>
      </c>
      <c r="DU132" s="1">
        <v>11190</v>
      </c>
      <c r="DV132" s="1">
        <v>4357</v>
      </c>
      <c r="DW132" s="1">
        <v>5351</v>
      </c>
      <c r="DX132" s="1">
        <v>10737</v>
      </c>
      <c r="DY132" s="1">
        <v>1965</v>
      </c>
      <c r="DZ132" s="1">
        <v>3007</v>
      </c>
      <c r="EA132" s="1">
        <v>11784</v>
      </c>
      <c r="EB132" s="1">
        <v>5386</v>
      </c>
      <c r="EC132" s="1">
        <v>1032</v>
      </c>
      <c r="ED132" s="1">
        <v>1248</v>
      </c>
      <c r="EE132" s="1">
        <v>36104</v>
      </c>
      <c r="EF132" s="1">
        <v>4509</v>
      </c>
      <c r="EG132" s="1">
        <v>12127</v>
      </c>
      <c r="EH132" s="1">
        <v>27946</v>
      </c>
      <c r="EJ132" s="1">
        <f t="shared" si="2"/>
        <v>1613006</v>
      </c>
    </row>
    <row r="133" spans="1:140" x14ac:dyDescent="0.25">
      <c r="A133" s="1" t="s">
        <v>269</v>
      </c>
      <c r="B133" s="1">
        <v>3760</v>
      </c>
      <c r="C133" s="1">
        <v>4438</v>
      </c>
      <c r="D133" s="1">
        <v>164</v>
      </c>
      <c r="E133" s="1">
        <v>1702</v>
      </c>
      <c r="F133" s="1">
        <v>3</v>
      </c>
      <c r="G133" s="1">
        <v>22</v>
      </c>
      <c r="H133" s="1">
        <v>11298</v>
      </c>
      <c r="I133" s="1">
        <v>46</v>
      </c>
      <c r="J133" s="1">
        <v>1637</v>
      </c>
      <c r="K133" s="1">
        <v>62</v>
      </c>
      <c r="L133" s="1">
        <v>1079</v>
      </c>
      <c r="M133" s="1">
        <v>50</v>
      </c>
      <c r="N133" s="1">
        <v>10279</v>
      </c>
      <c r="O133" s="1">
        <v>1418</v>
      </c>
      <c r="P133" s="1">
        <v>1427</v>
      </c>
      <c r="Q133" s="1">
        <v>6042</v>
      </c>
      <c r="R133" s="1">
        <v>15</v>
      </c>
      <c r="S133" s="1">
        <v>1809</v>
      </c>
      <c r="T133" s="1">
        <v>2156</v>
      </c>
      <c r="U133" s="1">
        <v>1890</v>
      </c>
      <c r="V133" s="1">
        <v>6582</v>
      </c>
      <c r="W133" s="1">
        <v>2881</v>
      </c>
      <c r="X133" s="1">
        <v>650</v>
      </c>
      <c r="Y133" s="1">
        <v>622</v>
      </c>
      <c r="Z133" s="1">
        <v>681</v>
      </c>
      <c r="AA133" s="1">
        <v>657</v>
      </c>
      <c r="AB133" s="1">
        <v>6089</v>
      </c>
      <c r="AC133" s="1">
        <v>491</v>
      </c>
      <c r="AD133" s="1">
        <v>381</v>
      </c>
      <c r="AE133" s="1">
        <v>1610</v>
      </c>
      <c r="AF133" s="1">
        <v>1056</v>
      </c>
      <c r="AG133">
        <v>26645</v>
      </c>
      <c r="AH133" s="1">
        <v>375</v>
      </c>
      <c r="AI133" s="1">
        <v>1146</v>
      </c>
      <c r="AJ133" s="1">
        <v>332</v>
      </c>
      <c r="AK133" s="1">
        <v>2396</v>
      </c>
      <c r="AL133" s="1">
        <v>2885</v>
      </c>
      <c r="AM133" s="1">
        <v>813</v>
      </c>
      <c r="AN133" s="1">
        <v>247</v>
      </c>
      <c r="AO133" s="1">
        <v>9023</v>
      </c>
      <c r="AP133" s="1">
        <v>803</v>
      </c>
      <c r="AQ133" s="1">
        <v>84</v>
      </c>
      <c r="AR133" s="1">
        <v>3344</v>
      </c>
      <c r="AS133" s="1">
        <v>6915</v>
      </c>
      <c r="AT133" s="1">
        <v>1039</v>
      </c>
      <c r="AU133" s="1">
        <v>2701</v>
      </c>
      <c r="AV133" s="1">
        <v>3931</v>
      </c>
      <c r="AW133" s="1">
        <v>2581</v>
      </c>
      <c r="AX133" s="1">
        <v>25137</v>
      </c>
      <c r="AY133" s="1">
        <v>126</v>
      </c>
      <c r="AZ133" s="1">
        <v>956</v>
      </c>
      <c r="BA133" s="1">
        <v>7691</v>
      </c>
      <c r="BB133" s="1">
        <v>158</v>
      </c>
      <c r="BC133" s="1">
        <v>957</v>
      </c>
      <c r="BD133" s="1">
        <v>6455</v>
      </c>
      <c r="BE133" s="1">
        <v>2126</v>
      </c>
      <c r="BF133" s="1">
        <v>1644</v>
      </c>
      <c r="BG133" s="1">
        <v>4477</v>
      </c>
      <c r="BH133" s="1">
        <v>1782</v>
      </c>
      <c r="BI133" s="1">
        <v>27045</v>
      </c>
      <c r="BJ133" s="1">
        <v>3337</v>
      </c>
      <c r="BK133" s="1">
        <v>6649</v>
      </c>
      <c r="BL133" s="1">
        <v>2704</v>
      </c>
      <c r="BM133" s="1">
        <v>5132</v>
      </c>
      <c r="BN133" s="1">
        <v>960</v>
      </c>
      <c r="BO133" s="1">
        <v>1116</v>
      </c>
      <c r="BP133" s="1">
        <v>20130</v>
      </c>
      <c r="BQ133" s="1">
        <v>1982</v>
      </c>
      <c r="BR133" s="1">
        <v>57792</v>
      </c>
      <c r="BS133" s="1">
        <v>7786</v>
      </c>
      <c r="BT133" s="1">
        <v>5945</v>
      </c>
      <c r="BU133" s="1">
        <v>13422</v>
      </c>
      <c r="BV133" s="1">
        <v>2591</v>
      </c>
      <c r="BW133" s="1">
        <v>10495</v>
      </c>
      <c r="BX133" s="1">
        <v>1920</v>
      </c>
      <c r="BY133" s="1">
        <v>4435</v>
      </c>
      <c r="BZ133" s="1">
        <v>20213</v>
      </c>
      <c r="CA133" s="1">
        <v>2178</v>
      </c>
      <c r="CB133" s="1">
        <v>993</v>
      </c>
      <c r="CC133" s="1">
        <v>6279</v>
      </c>
      <c r="CD133" s="1">
        <v>2801</v>
      </c>
      <c r="CE133" s="1">
        <v>5351</v>
      </c>
      <c r="CF133" s="1">
        <v>7360</v>
      </c>
      <c r="CG133" s="1">
        <v>97988</v>
      </c>
      <c r="CH133" s="1">
        <v>9829</v>
      </c>
      <c r="CI133" s="1">
        <v>19040</v>
      </c>
      <c r="CJ133" s="1">
        <v>3798</v>
      </c>
      <c r="CK133" s="1">
        <v>10592</v>
      </c>
      <c r="CL133" s="1">
        <v>6369</v>
      </c>
      <c r="CM133" s="1">
        <v>11001</v>
      </c>
      <c r="CN133" s="1">
        <v>32565</v>
      </c>
      <c r="CO133" s="1">
        <v>4128</v>
      </c>
      <c r="CP133" s="1">
        <v>2664</v>
      </c>
      <c r="CQ133" s="1">
        <v>2683</v>
      </c>
      <c r="CR133" s="1">
        <v>5182</v>
      </c>
      <c r="CS133" s="1">
        <v>23193</v>
      </c>
      <c r="CT133" s="1">
        <v>16840</v>
      </c>
      <c r="CU133" s="1">
        <v>1862</v>
      </c>
      <c r="CV133" s="1">
        <v>195554</v>
      </c>
      <c r="CW133" s="1">
        <v>3309</v>
      </c>
      <c r="CX133" s="1">
        <v>1499</v>
      </c>
      <c r="CY133" s="1">
        <v>15477</v>
      </c>
      <c r="CZ133" s="1">
        <v>1982</v>
      </c>
      <c r="DA133" s="1">
        <v>5467</v>
      </c>
      <c r="DB133" s="1">
        <v>10026</v>
      </c>
      <c r="DC133" s="1">
        <v>2788</v>
      </c>
      <c r="DD133" s="1">
        <v>2095</v>
      </c>
      <c r="DE133" s="1">
        <v>1764</v>
      </c>
      <c r="DF133" s="1">
        <v>35472</v>
      </c>
      <c r="DG133" s="1">
        <v>10287</v>
      </c>
      <c r="DH133" s="1">
        <v>10444</v>
      </c>
      <c r="DI133" s="1">
        <v>2528</v>
      </c>
      <c r="DJ133" s="1">
        <v>17763</v>
      </c>
      <c r="DK133" s="1">
        <v>16379</v>
      </c>
      <c r="DL133" s="1">
        <v>8184</v>
      </c>
      <c r="DM133" s="1">
        <v>10599</v>
      </c>
      <c r="DN133" s="1">
        <v>8649</v>
      </c>
      <c r="DO133" s="1">
        <v>2917</v>
      </c>
      <c r="DP133" s="1">
        <v>5559</v>
      </c>
      <c r="DQ133" s="1">
        <v>48907</v>
      </c>
      <c r="DR133" s="1">
        <v>2768</v>
      </c>
      <c r="DS133" s="1">
        <v>5899</v>
      </c>
      <c r="DT133" s="1">
        <v>524</v>
      </c>
      <c r="DU133" s="1">
        <v>7250</v>
      </c>
      <c r="DV133" s="1">
        <v>3046</v>
      </c>
      <c r="DW133" s="1">
        <v>3741</v>
      </c>
      <c r="DX133" s="1">
        <v>7711</v>
      </c>
      <c r="DY133" s="1">
        <v>1227</v>
      </c>
      <c r="DZ133" s="1">
        <v>1979</v>
      </c>
      <c r="EA133" s="1">
        <v>7801</v>
      </c>
      <c r="EB133" s="1">
        <v>3851</v>
      </c>
      <c r="EC133" s="1">
        <v>589</v>
      </c>
      <c r="ED133" s="1">
        <v>881</v>
      </c>
      <c r="EE133" s="1">
        <v>24991</v>
      </c>
      <c r="EF133" s="1">
        <v>3017</v>
      </c>
      <c r="EG133" s="1">
        <v>9127</v>
      </c>
      <c r="EH133" s="1">
        <v>20729</v>
      </c>
      <c r="EJ133" s="1">
        <f t="shared" si="2"/>
        <v>1176896</v>
      </c>
    </row>
    <row r="134" spans="1:140" x14ac:dyDescent="0.25">
      <c r="A134" s="1" t="s">
        <v>270</v>
      </c>
      <c r="B134" s="1">
        <v>4332</v>
      </c>
      <c r="C134" s="1">
        <v>6333</v>
      </c>
      <c r="D134" s="1">
        <v>218</v>
      </c>
      <c r="E134" s="1">
        <v>1936</v>
      </c>
      <c r="F134" s="1">
        <v>8</v>
      </c>
      <c r="G134" s="1">
        <v>39</v>
      </c>
      <c r="H134" s="1">
        <v>14224</v>
      </c>
      <c r="I134" s="1">
        <v>159</v>
      </c>
      <c r="J134" s="1">
        <v>2023</v>
      </c>
      <c r="K134" s="1">
        <v>130</v>
      </c>
      <c r="L134" s="1">
        <v>1217</v>
      </c>
      <c r="M134" s="1">
        <v>141</v>
      </c>
      <c r="N134" s="1">
        <v>12004</v>
      </c>
      <c r="O134" s="1">
        <v>1995</v>
      </c>
      <c r="P134" s="1">
        <v>3964</v>
      </c>
      <c r="Q134" s="1">
        <v>8330</v>
      </c>
      <c r="R134" s="1">
        <v>42</v>
      </c>
      <c r="S134" s="1">
        <v>1942</v>
      </c>
      <c r="T134" s="1">
        <v>3107</v>
      </c>
      <c r="U134" s="1">
        <v>3211</v>
      </c>
      <c r="V134" s="1">
        <v>8407</v>
      </c>
      <c r="W134" s="1">
        <v>3060</v>
      </c>
      <c r="X134" s="1">
        <v>838</v>
      </c>
      <c r="Y134" s="2">
        <v>918</v>
      </c>
      <c r="Z134" s="2">
        <v>987</v>
      </c>
      <c r="AA134" s="2">
        <v>713</v>
      </c>
      <c r="AB134" s="2">
        <v>7067</v>
      </c>
      <c r="AC134" s="2">
        <v>704</v>
      </c>
      <c r="AD134" s="2">
        <v>666</v>
      </c>
      <c r="AE134" s="2">
        <v>2219</v>
      </c>
      <c r="AF134" s="2">
        <v>1851</v>
      </c>
      <c r="AG134" s="3">
        <v>31367</v>
      </c>
      <c r="AH134" s="2">
        <v>665</v>
      </c>
      <c r="AI134" s="2">
        <v>1485</v>
      </c>
      <c r="AJ134" s="2">
        <v>779</v>
      </c>
      <c r="AK134" s="2">
        <v>2514</v>
      </c>
      <c r="AL134" s="1">
        <v>3538</v>
      </c>
      <c r="AM134" s="1">
        <v>815</v>
      </c>
      <c r="AN134" s="1">
        <v>376</v>
      </c>
      <c r="AO134" s="1">
        <v>10430</v>
      </c>
      <c r="AP134" s="1">
        <v>1135</v>
      </c>
      <c r="AQ134" s="1">
        <v>152</v>
      </c>
      <c r="AR134" s="1">
        <v>4031</v>
      </c>
      <c r="AS134" s="1">
        <v>8254</v>
      </c>
      <c r="AT134" s="1">
        <v>1253</v>
      </c>
      <c r="AU134" s="1">
        <v>2906</v>
      </c>
      <c r="AV134" s="1">
        <v>4452</v>
      </c>
      <c r="AW134" s="1">
        <v>3316</v>
      </c>
      <c r="AX134" s="1">
        <v>27150</v>
      </c>
      <c r="AY134" s="1">
        <v>251</v>
      </c>
      <c r="AZ134" s="1">
        <v>1901</v>
      </c>
      <c r="BA134" s="1">
        <v>7826</v>
      </c>
      <c r="BB134" s="1">
        <v>266</v>
      </c>
      <c r="BC134" s="1">
        <v>1032</v>
      </c>
      <c r="BD134" s="1">
        <v>7601</v>
      </c>
      <c r="BE134" s="1">
        <v>4070</v>
      </c>
      <c r="BF134" s="1">
        <v>1961</v>
      </c>
      <c r="BG134" s="1">
        <v>6341</v>
      </c>
      <c r="BH134" s="1">
        <v>2209</v>
      </c>
      <c r="BI134" s="1">
        <v>34656</v>
      </c>
      <c r="BJ134" s="1">
        <v>6038</v>
      </c>
      <c r="BK134" s="1">
        <v>7261</v>
      </c>
      <c r="BL134" s="1">
        <v>3170</v>
      </c>
      <c r="BM134" s="1">
        <v>6282</v>
      </c>
      <c r="BN134" s="1">
        <v>1261</v>
      </c>
      <c r="BO134" s="1">
        <v>1351</v>
      </c>
      <c r="BP134" s="1">
        <v>27693</v>
      </c>
      <c r="BQ134" s="1">
        <v>2598</v>
      </c>
      <c r="BR134" s="1">
        <v>72367</v>
      </c>
      <c r="BS134" s="1">
        <v>8182</v>
      </c>
      <c r="BT134" s="1">
        <v>9512</v>
      </c>
      <c r="BU134" s="1">
        <v>19162</v>
      </c>
      <c r="BV134" s="1">
        <v>2778</v>
      </c>
      <c r="BW134" s="1">
        <v>12549</v>
      </c>
      <c r="BX134" s="1">
        <v>2740</v>
      </c>
      <c r="BY134" s="1">
        <v>6039</v>
      </c>
      <c r="BZ134" s="1">
        <v>23060</v>
      </c>
      <c r="CA134" s="1">
        <v>2893</v>
      </c>
      <c r="CB134" s="1">
        <v>1195</v>
      </c>
      <c r="CC134" s="1">
        <v>6472</v>
      </c>
      <c r="CD134" s="1">
        <v>3741</v>
      </c>
      <c r="CE134" s="1">
        <v>5140</v>
      </c>
      <c r="CF134" s="1">
        <v>6844</v>
      </c>
      <c r="CG134" s="1">
        <v>101759</v>
      </c>
      <c r="CH134" s="1">
        <v>16728</v>
      </c>
      <c r="CI134" s="1">
        <v>31451</v>
      </c>
      <c r="CJ134" s="1">
        <v>7785</v>
      </c>
      <c r="CK134" s="1">
        <v>15912</v>
      </c>
      <c r="CL134" s="1">
        <v>9569</v>
      </c>
      <c r="CM134" s="1">
        <v>16415</v>
      </c>
      <c r="CN134" s="1">
        <v>49593</v>
      </c>
      <c r="CO134" s="1">
        <v>5855</v>
      </c>
      <c r="CP134" s="1">
        <v>4060</v>
      </c>
      <c r="CQ134" s="1">
        <v>4937</v>
      </c>
      <c r="CR134" s="1">
        <v>7027</v>
      </c>
      <c r="CS134" s="1">
        <v>32561</v>
      </c>
      <c r="CT134" s="1">
        <v>18603</v>
      </c>
      <c r="CU134" s="1">
        <v>2153</v>
      </c>
      <c r="CV134" s="1">
        <v>262562</v>
      </c>
      <c r="CW134" s="1">
        <v>5902</v>
      </c>
      <c r="CX134" s="1">
        <v>2146</v>
      </c>
      <c r="CY134" s="1">
        <v>27974</v>
      </c>
      <c r="CZ134" s="1">
        <v>3312</v>
      </c>
      <c r="DA134" s="1">
        <v>8267</v>
      </c>
      <c r="DB134" s="1">
        <v>15345</v>
      </c>
      <c r="DC134" s="1">
        <v>5106</v>
      </c>
      <c r="DD134" s="1">
        <v>4362</v>
      </c>
      <c r="DE134" s="1">
        <v>2336</v>
      </c>
      <c r="DF134" s="1">
        <v>51049</v>
      </c>
      <c r="DG134" s="1">
        <v>20334</v>
      </c>
      <c r="DH134" s="1">
        <v>19092</v>
      </c>
      <c r="DI134" s="1">
        <v>6010</v>
      </c>
      <c r="DJ134" s="1">
        <v>33353</v>
      </c>
      <c r="DK134" s="1">
        <v>21346</v>
      </c>
      <c r="DL134" s="1">
        <v>12472</v>
      </c>
      <c r="DM134" s="1">
        <v>15142</v>
      </c>
      <c r="DN134" s="1">
        <v>23446</v>
      </c>
      <c r="DO134" s="1">
        <v>3347</v>
      </c>
      <c r="DP134" s="1">
        <v>9461</v>
      </c>
      <c r="DQ134" s="1">
        <v>61804</v>
      </c>
      <c r="DR134" s="1">
        <v>3086</v>
      </c>
      <c r="DS134" s="1">
        <v>5869</v>
      </c>
      <c r="DT134" s="1">
        <v>1064</v>
      </c>
      <c r="DU134" s="1">
        <v>11202</v>
      </c>
      <c r="DV134" s="1">
        <v>5291</v>
      </c>
      <c r="DW134" s="1">
        <v>6237</v>
      </c>
      <c r="DX134" s="1">
        <v>16607</v>
      </c>
      <c r="DY134" s="1">
        <v>2998</v>
      </c>
      <c r="DZ134" s="1">
        <v>2991</v>
      </c>
      <c r="EA134" s="1">
        <v>11423</v>
      </c>
      <c r="EB134" s="1">
        <v>7555</v>
      </c>
      <c r="EC134" s="1">
        <v>1072</v>
      </c>
      <c r="ED134" s="1">
        <v>1302</v>
      </c>
      <c r="EE134" s="1">
        <v>37454</v>
      </c>
      <c r="EF134" s="1">
        <v>4063</v>
      </c>
      <c r="EG134" s="1">
        <v>13840</v>
      </c>
      <c r="EH134" s="1">
        <v>25619</v>
      </c>
      <c r="EJ134" s="1">
        <f t="shared" si="2"/>
        <v>1600094</v>
      </c>
    </row>
    <row r="135" spans="1:140" x14ac:dyDescent="0.25">
      <c r="A135" s="1" t="s">
        <v>271</v>
      </c>
      <c r="B135" s="1">
        <v>4486</v>
      </c>
      <c r="C135" s="1">
        <v>7008</v>
      </c>
      <c r="D135" s="1">
        <v>181</v>
      </c>
      <c r="E135" s="1">
        <v>1835</v>
      </c>
      <c r="F135" s="1">
        <v>6</v>
      </c>
      <c r="G135" s="1">
        <v>49</v>
      </c>
      <c r="H135" s="1">
        <v>13944</v>
      </c>
      <c r="I135" s="1">
        <v>131</v>
      </c>
      <c r="J135" s="1">
        <v>2039</v>
      </c>
      <c r="K135" s="1">
        <v>70</v>
      </c>
      <c r="L135" s="1">
        <v>1295</v>
      </c>
      <c r="M135" s="1">
        <v>92</v>
      </c>
      <c r="N135" s="1">
        <v>12393</v>
      </c>
      <c r="O135" s="1">
        <v>1844</v>
      </c>
      <c r="P135" s="1">
        <v>4638</v>
      </c>
      <c r="Q135" s="1">
        <v>9147</v>
      </c>
      <c r="R135" s="1">
        <v>25</v>
      </c>
      <c r="S135" s="1">
        <v>1794</v>
      </c>
      <c r="T135" s="1">
        <v>3944</v>
      </c>
      <c r="U135" s="1">
        <v>3793</v>
      </c>
      <c r="V135" s="1">
        <v>7678</v>
      </c>
      <c r="W135" s="1">
        <v>3416</v>
      </c>
      <c r="X135" s="1">
        <v>649</v>
      </c>
      <c r="Y135" s="2">
        <v>810</v>
      </c>
      <c r="Z135" s="2">
        <v>1385</v>
      </c>
      <c r="AA135" s="2">
        <v>576</v>
      </c>
      <c r="AB135" s="2">
        <v>7844</v>
      </c>
      <c r="AC135" s="2">
        <v>766</v>
      </c>
      <c r="AD135" s="2">
        <v>600</v>
      </c>
      <c r="AE135" s="2">
        <v>2329</v>
      </c>
      <c r="AF135" s="2">
        <v>2187</v>
      </c>
      <c r="AG135" s="3">
        <v>30316</v>
      </c>
      <c r="AH135" s="2">
        <v>610</v>
      </c>
      <c r="AI135" s="2">
        <v>1617</v>
      </c>
      <c r="AJ135" s="2">
        <v>588</v>
      </c>
      <c r="AK135" s="2">
        <v>2406</v>
      </c>
      <c r="AL135" s="1">
        <v>2520</v>
      </c>
      <c r="AM135" s="1">
        <v>916</v>
      </c>
      <c r="AN135" s="1">
        <v>342</v>
      </c>
      <c r="AO135" s="1">
        <v>9857</v>
      </c>
      <c r="AP135" s="1">
        <v>1021</v>
      </c>
      <c r="AQ135" s="1">
        <v>176</v>
      </c>
      <c r="AR135" s="1">
        <v>3432</v>
      </c>
      <c r="AS135" s="1">
        <v>8718</v>
      </c>
      <c r="AT135" s="1">
        <v>1311</v>
      </c>
      <c r="AU135" s="1">
        <v>3216</v>
      </c>
      <c r="AV135" s="1">
        <v>4496</v>
      </c>
      <c r="AW135" s="1">
        <v>2980</v>
      </c>
      <c r="AX135" s="1">
        <v>25379</v>
      </c>
      <c r="AY135" s="1">
        <v>190</v>
      </c>
      <c r="AZ135" s="1">
        <v>1026</v>
      </c>
      <c r="BA135" s="1">
        <v>7632</v>
      </c>
      <c r="BB135" s="1">
        <v>448</v>
      </c>
      <c r="BC135" s="1">
        <v>1065</v>
      </c>
      <c r="BD135" s="1">
        <v>7396</v>
      </c>
      <c r="BE135" s="1">
        <v>3616</v>
      </c>
      <c r="BF135" s="1">
        <v>2203</v>
      </c>
      <c r="BG135" s="1">
        <v>6518</v>
      </c>
      <c r="BH135" s="1">
        <v>2598</v>
      </c>
      <c r="BI135" s="1">
        <v>29137</v>
      </c>
      <c r="BJ135" s="1">
        <v>5540</v>
      </c>
      <c r="BK135" s="1">
        <v>6511</v>
      </c>
      <c r="BL135" s="1">
        <v>3272</v>
      </c>
      <c r="BM135" s="1">
        <v>5922</v>
      </c>
      <c r="BN135" s="1">
        <v>1287</v>
      </c>
      <c r="BO135" s="1">
        <v>1184</v>
      </c>
      <c r="BP135" s="1">
        <v>28702</v>
      </c>
      <c r="BQ135" s="1">
        <v>2821</v>
      </c>
      <c r="BR135" s="1">
        <v>79554</v>
      </c>
      <c r="BS135" s="1">
        <v>9990</v>
      </c>
      <c r="BT135" s="1">
        <v>11932</v>
      </c>
      <c r="BU135" s="1">
        <v>20438</v>
      </c>
      <c r="BV135" s="1">
        <v>3293</v>
      </c>
      <c r="BW135" s="1">
        <v>13576</v>
      </c>
      <c r="BX135" s="1">
        <v>2760</v>
      </c>
      <c r="BY135" s="1">
        <v>5581</v>
      </c>
      <c r="BZ135" s="1">
        <v>21857</v>
      </c>
      <c r="CA135" s="1">
        <v>2392</v>
      </c>
      <c r="CB135" s="1">
        <v>1326</v>
      </c>
      <c r="CC135" s="1">
        <v>6160</v>
      </c>
      <c r="CD135" s="1">
        <v>3446</v>
      </c>
      <c r="CE135" s="1">
        <v>4614</v>
      </c>
      <c r="CF135" s="1">
        <v>7519</v>
      </c>
      <c r="CG135" s="1">
        <v>110439</v>
      </c>
      <c r="CH135" s="1">
        <v>16856</v>
      </c>
      <c r="CI135" s="1">
        <v>29883</v>
      </c>
      <c r="CJ135" s="1">
        <v>8045</v>
      </c>
      <c r="CK135" s="1">
        <v>15487</v>
      </c>
      <c r="CL135" s="1">
        <v>10404</v>
      </c>
      <c r="CM135" s="1">
        <v>16572</v>
      </c>
      <c r="CN135" s="1">
        <v>51694</v>
      </c>
      <c r="CO135" s="1">
        <v>6573</v>
      </c>
      <c r="CP135" s="1">
        <v>4437</v>
      </c>
      <c r="CQ135" s="1">
        <v>4799</v>
      </c>
      <c r="CR135" s="1">
        <v>8131</v>
      </c>
      <c r="CS135" s="1">
        <v>34220</v>
      </c>
      <c r="CT135" s="1">
        <v>19246</v>
      </c>
      <c r="CU135" s="1">
        <v>2234</v>
      </c>
      <c r="CV135" s="1">
        <v>275688</v>
      </c>
      <c r="CW135" s="1">
        <v>6485</v>
      </c>
      <c r="CX135" s="1">
        <v>2211</v>
      </c>
      <c r="CY135" s="1">
        <v>29075</v>
      </c>
      <c r="CZ135" s="1">
        <v>2902</v>
      </c>
      <c r="DA135" s="1">
        <v>8955</v>
      </c>
      <c r="DB135" s="1">
        <v>17094</v>
      </c>
      <c r="DC135" s="1">
        <v>5899</v>
      </c>
      <c r="DD135" s="1">
        <v>3993</v>
      </c>
      <c r="DE135" s="1">
        <v>2821</v>
      </c>
      <c r="DF135" s="1">
        <v>53097</v>
      </c>
      <c r="DG135" s="1">
        <v>19059</v>
      </c>
      <c r="DH135" s="1">
        <v>23100</v>
      </c>
      <c r="DI135" s="1">
        <v>6116</v>
      </c>
      <c r="DJ135" s="1">
        <v>38188</v>
      </c>
      <c r="DK135" s="1">
        <v>20733</v>
      </c>
      <c r="DL135" s="1">
        <v>12666</v>
      </c>
      <c r="DM135" s="1">
        <v>15715</v>
      </c>
      <c r="DN135" s="1">
        <v>22447</v>
      </c>
      <c r="DO135" s="1">
        <v>3354</v>
      </c>
      <c r="DP135" s="1">
        <v>10921</v>
      </c>
      <c r="DQ135" s="1">
        <v>60730</v>
      </c>
      <c r="DR135" s="1">
        <v>3702</v>
      </c>
      <c r="DS135" s="1">
        <v>5935</v>
      </c>
      <c r="DT135" s="1">
        <v>816</v>
      </c>
      <c r="DU135" s="1">
        <v>11483</v>
      </c>
      <c r="DV135" s="1">
        <v>4959</v>
      </c>
      <c r="DW135" s="1">
        <v>6991</v>
      </c>
      <c r="DX135" s="1">
        <v>14351</v>
      </c>
      <c r="DY135" s="1">
        <v>2677</v>
      </c>
      <c r="DZ135" s="1">
        <v>3076</v>
      </c>
      <c r="EA135" s="1">
        <v>12397</v>
      </c>
      <c r="EB135" s="1">
        <v>7213</v>
      </c>
      <c r="EC135" s="1">
        <v>1049</v>
      </c>
      <c r="ED135" s="1">
        <v>1127</v>
      </c>
      <c r="EE135" s="1">
        <v>36932</v>
      </c>
      <c r="EF135" s="1">
        <v>4249</v>
      </c>
      <c r="EG135" s="1">
        <v>14194</v>
      </c>
      <c r="EH135" s="1">
        <v>26922</v>
      </c>
      <c r="EJ135" s="1">
        <f t="shared" si="2"/>
        <v>1646703</v>
      </c>
    </row>
    <row r="136" spans="1:140" x14ac:dyDescent="0.25">
      <c r="A136" s="1" t="s">
        <v>272</v>
      </c>
      <c r="B136" s="1">
        <v>4612</v>
      </c>
      <c r="C136" s="1">
        <v>6578</v>
      </c>
      <c r="D136" s="1">
        <v>227</v>
      </c>
      <c r="E136" s="1">
        <v>1741</v>
      </c>
      <c r="F136" s="1">
        <v>6</v>
      </c>
      <c r="G136" s="1">
        <v>29</v>
      </c>
      <c r="H136" s="1">
        <v>14945</v>
      </c>
      <c r="I136" s="1">
        <v>151</v>
      </c>
      <c r="J136" s="1">
        <v>1958</v>
      </c>
      <c r="K136" s="1">
        <v>95</v>
      </c>
      <c r="L136" s="1">
        <v>1449</v>
      </c>
      <c r="M136" s="1">
        <v>123</v>
      </c>
      <c r="N136" s="1">
        <v>11971</v>
      </c>
      <c r="O136" s="1">
        <v>1744</v>
      </c>
      <c r="P136" s="1">
        <v>2812</v>
      </c>
      <c r="Q136" s="1">
        <v>9122</v>
      </c>
      <c r="R136" s="1">
        <v>5</v>
      </c>
      <c r="S136" s="1">
        <v>1750</v>
      </c>
      <c r="T136" s="1">
        <v>3307</v>
      </c>
      <c r="U136" s="1">
        <v>3705</v>
      </c>
      <c r="V136" s="1">
        <v>9278</v>
      </c>
      <c r="W136" s="1">
        <v>3300</v>
      </c>
      <c r="X136" s="1">
        <v>765</v>
      </c>
      <c r="Y136" s="2">
        <v>1258</v>
      </c>
      <c r="Z136" s="2">
        <v>1157</v>
      </c>
      <c r="AA136" s="2">
        <v>863</v>
      </c>
      <c r="AB136" s="2">
        <v>8158</v>
      </c>
      <c r="AC136" s="2">
        <v>1144</v>
      </c>
      <c r="AD136" s="2">
        <v>596</v>
      </c>
      <c r="AE136" s="2">
        <v>2126</v>
      </c>
      <c r="AF136" s="2">
        <v>1715</v>
      </c>
      <c r="AG136" s="3">
        <v>32223</v>
      </c>
      <c r="AH136" s="2">
        <v>728</v>
      </c>
      <c r="AI136" s="2">
        <v>1965</v>
      </c>
      <c r="AJ136" s="2">
        <v>609</v>
      </c>
      <c r="AK136" s="2">
        <v>2335</v>
      </c>
      <c r="AL136" s="1">
        <v>3145</v>
      </c>
      <c r="AM136" s="1">
        <v>965</v>
      </c>
      <c r="AN136" s="1">
        <v>361</v>
      </c>
      <c r="AO136" s="1">
        <v>10426</v>
      </c>
      <c r="AP136" s="1">
        <v>1121</v>
      </c>
      <c r="AQ136" s="1">
        <v>173</v>
      </c>
      <c r="AR136" s="1">
        <v>3768</v>
      </c>
      <c r="AS136" s="1">
        <v>7649</v>
      </c>
      <c r="AT136" s="1">
        <v>1550</v>
      </c>
      <c r="AU136" s="1">
        <v>3132</v>
      </c>
      <c r="AV136" s="1">
        <v>4832</v>
      </c>
      <c r="AW136" s="1">
        <v>3018</v>
      </c>
      <c r="AX136" s="1">
        <v>28374</v>
      </c>
      <c r="AY136" s="1">
        <v>235</v>
      </c>
      <c r="AZ136" s="1">
        <v>2278</v>
      </c>
      <c r="BA136" s="1">
        <v>7908</v>
      </c>
      <c r="BB136" s="1">
        <v>303</v>
      </c>
      <c r="BC136" s="1">
        <v>1249</v>
      </c>
      <c r="BD136" s="1">
        <v>8004</v>
      </c>
      <c r="BE136" s="1">
        <v>4411</v>
      </c>
      <c r="BF136" s="1">
        <v>2409</v>
      </c>
      <c r="BG136" s="1">
        <v>7200</v>
      </c>
      <c r="BH136" s="1">
        <v>2118</v>
      </c>
      <c r="BI136" s="1">
        <v>33390</v>
      </c>
      <c r="BJ136" s="1">
        <v>5668</v>
      </c>
      <c r="BK136" s="1">
        <v>7284</v>
      </c>
      <c r="BL136" s="1">
        <v>3328</v>
      </c>
      <c r="BM136" s="1">
        <v>6196</v>
      </c>
      <c r="BN136" s="1">
        <v>1352</v>
      </c>
      <c r="BO136" s="1">
        <v>1227</v>
      </c>
      <c r="BP136" s="1">
        <v>30473</v>
      </c>
      <c r="BQ136" s="1">
        <v>2811</v>
      </c>
      <c r="BR136" s="1">
        <v>78287</v>
      </c>
      <c r="BS136" s="1">
        <v>8975</v>
      </c>
      <c r="BT136" s="1">
        <v>10542</v>
      </c>
      <c r="BU136" s="1">
        <v>20054</v>
      </c>
      <c r="BV136" s="1">
        <v>3508</v>
      </c>
      <c r="BW136" s="1">
        <v>14416</v>
      </c>
      <c r="BX136" s="1">
        <v>3082</v>
      </c>
      <c r="BY136" s="1">
        <v>7265</v>
      </c>
      <c r="BZ136" s="1">
        <v>22753</v>
      </c>
      <c r="CA136" s="1">
        <v>2908</v>
      </c>
      <c r="CB136" s="1">
        <v>1493</v>
      </c>
      <c r="CC136" s="1">
        <v>9323</v>
      </c>
      <c r="CD136" s="1">
        <v>4301</v>
      </c>
      <c r="CE136" s="1">
        <v>5724</v>
      </c>
      <c r="CF136" s="1">
        <v>8913</v>
      </c>
      <c r="CG136" s="1">
        <v>127180</v>
      </c>
      <c r="CH136" s="1">
        <v>16233</v>
      </c>
      <c r="CI136" s="1">
        <v>31599</v>
      </c>
      <c r="CJ136" s="1">
        <v>9185</v>
      </c>
      <c r="CK136" s="1">
        <v>16138</v>
      </c>
      <c r="CL136" s="1">
        <v>9740</v>
      </c>
      <c r="CM136" s="1">
        <v>16737</v>
      </c>
      <c r="CN136" s="1">
        <v>52123</v>
      </c>
      <c r="CO136" s="1">
        <v>6899</v>
      </c>
      <c r="CP136" s="1">
        <v>4211</v>
      </c>
      <c r="CQ136" s="1">
        <v>4957</v>
      </c>
      <c r="CR136" s="1">
        <v>7431</v>
      </c>
      <c r="CS136" s="1">
        <v>34826</v>
      </c>
      <c r="CT136" s="1">
        <v>19990</v>
      </c>
      <c r="CU136" s="1">
        <v>2032</v>
      </c>
      <c r="CV136" s="1">
        <v>288823</v>
      </c>
      <c r="CW136" s="1">
        <v>9196</v>
      </c>
      <c r="CX136" s="1">
        <v>2169</v>
      </c>
      <c r="CY136" s="1">
        <v>28116</v>
      </c>
      <c r="CZ136" s="1">
        <v>3090</v>
      </c>
      <c r="DA136" s="1">
        <v>8945</v>
      </c>
      <c r="DB136" s="1">
        <v>16917</v>
      </c>
      <c r="DC136" s="1">
        <v>5965</v>
      </c>
      <c r="DD136" s="1">
        <v>4000</v>
      </c>
      <c r="DE136" s="1">
        <v>2637</v>
      </c>
      <c r="DF136" s="1">
        <v>54728</v>
      </c>
      <c r="DG136" s="1">
        <v>17552</v>
      </c>
      <c r="DH136" s="1">
        <v>20079</v>
      </c>
      <c r="DI136" s="1">
        <v>5345</v>
      </c>
      <c r="DJ136" s="1">
        <v>32046</v>
      </c>
      <c r="DK136" s="1">
        <v>22743</v>
      </c>
      <c r="DL136" s="1">
        <v>13029</v>
      </c>
      <c r="DM136" s="1">
        <v>19001</v>
      </c>
      <c r="DN136" s="1">
        <v>19566</v>
      </c>
      <c r="DO136" s="1">
        <v>5688</v>
      </c>
      <c r="DP136" s="1">
        <v>14765</v>
      </c>
      <c r="DQ136" s="1">
        <v>69401</v>
      </c>
      <c r="DR136" s="1">
        <v>4913</v>
      </c>
      <c r="DS136" s="1">
        <v>7294</v>
      </c>
      <c r="DT136" s="1">
        <v>985</v>
      </c>
      <c r="DU136" s="1">
        <v>12190</v>
      </c>
      <c r="DV136" s="1">
        <v>5599</v>
      </c>
      <c r="DW136" s="1">
        <v>6632</v>
      </c>
      <c r="DX136" s="1">
        <v>12246</v>
      </c>
      <c r="DY136" s="1">
        <v>2348</v>
      </c>
      <c r="DZ136" s="1">
        <v>3215</v>
      </c>
      <c r="EA136" s="1">
        <v>12998</v>
      </c>
      <c r="EB136" s="1">
        <v>6279</v>
      </c>
      <c r="EC136" s="1">
        <v>1090</v>
      </c>
      <c r="ED136" s="1">
        <v>1693</v>
      </c>
      <c r="EE136" s="1">
        <v>37388</v>
      </c>
      <c r="EF136" s="1">
        <v>4766</v>
      </c>
      <c r="EG136" s="1">
        <v>15286</v>
      </c>
      <c r="EH136" s="1">
        <v>28763</v>
      </c>
      <c r="EJ136" s="1">
        <f t="shared" si="2"/>
        <v>1719219</v>
      </c>
    </row>
    <row r="137" spans="1:140" x14ac:dyDescent="0.25">
      <c r="A137" s="1" t="s">
        <v>273</v>
      </c>
      <c r="B137" s="1">
        <v>4512</v>
      </c>
      <c r="C137" s="1">
        <v>6165</v>
      </c>
      <c r="D137" s="1">
        <v>201</v>
      </c>
      <c r="E137" s="1">
        <v>2133</v>
      </c>
      <c r="F137" s="1">
        <v>37</v>
      </c>
      <c r="G137" s="1">
        <v>102</v>
      </c>
      <c r="H137" s="1">
        <v>13430</v>
      </c>
      <c r="I137" s="1">
        <v>151</v>
      </c>
      <c r="J137" s="1">
        <v>1762</v>
      </c>
      <c r="K137" s="1">
        <v>87</v>
      </c>
      <c r="L137" s="1">
        <v>1322</v>
      </c>
      <c r="M137" s="1">
        <v>163</v>
      </c>
      <c r="N137" s="1">
        <v>11925</v>
      </c>
      <c r="O137" s="1">
        <v>1635</v>
      </c>
      <c r="P137" s="1">
        <v>2494</v>
      </c>
      <c r="Q137" s="1">
        <v>9329</v>
      </c>
      <c r="R137" s="1">
        <v>29</v>
      </c>
      <c r="S137" s="1">
        <v>2209</v>
      </c>
      <c r="T137" s="1">
        <v>2721</v>
      </c>
      <c r="U137" s="1">
        <v>3851</v>
      </c>
      <c r="V137" s="1">
        <v>9159</v>
      </c>
      <c r="W137" s="1">
        <v>2744</v>
      </c>
      <c r="X137" s="1">
        <v>788</v>
      </c>
      <c r="Y137" s="2">
        <v>682</v>
      </c>
      <c r="Z137" s="2">
        <v>1372</v>
      </c>
      <c r="AA137" s="2">
        <v>669</v>
      </c>
      <c r="AB137" s="2">
        <v>7987</v>
      </c>
      <c r="AC137" s="2">
        <v>1025</v>
      </c>
      <c r="AD137" s="2">
        <v>502</v>
      </c>
      <c r="AE137" s="2">
        <v>2059</v>
      </c>
      <c r="AF137" s="2">
        <v>2064</v>
      </c>
      <c r="AG137" s="3">
        <v>30374</v>
      </c>
      <c r="AH137" s="2">
        <v>569</v>
      </c>
      <c r="AI137" s="2">
        <v>1539</v>
      </c>
      <c r="AJ137" s="2">
        <v>378</v>
      </c>
      <c r="AK137" s="2">
        <v>2408</v>
      </c>
      <c r="AL137" s="1">
        <v>2816</v>
      </c>
      <c r="AM137" s="1">
        <v>863</v>
      </c>
      <c r="AN137" s="1">
        <v>404</v>
      </c>
      <c r="AO137" s="1">
        <v>9514</v>
      </c>
      <c r="AP137" s="1">
        <v>999</v>
      </c>
      <c r="AQ137" s="1">
        <v>166</v>
      </c>
      <c r="AR137" s="1">
        <v>3329</v>
      </c>
      <c r="AS137" s="1">
        <v>7311</v>
      </c>
      <c r="AT137" s="1">
        <v>1026</v>
      </c>
      <c r="AU137" s="1">
        <v>3241</v>
      </c>
      <c r="AV137" s="1">
        <v>4686</v>
      </c>
      <c r="AW137" s="1">
        <v>2811</v>
      </c>
      <c r="AX137" s="1">
        <v>27434</v>
      </c>
      <c r="AY137" s="1">
        <v>329</v>
      </c>
      <c r="AZ137" s="1">
        <v>1045</v>
      </c>
      <c r="BA137" s="1">
        <v>7130</v>
      </c>
      <c r="BB137" s="1">
        <v>259</v>
      </c>
      <c r="BC137" s="1">
        <v>945</v>
      </c>
      <c r="BD137" s="1">
        <v>7761</v>
      </c>
      <c r="BE137" s="1">
        <v>3784</v>
      </c>
      <c r="BF137" s="1">
        <v>4161</v>
      </c>
      <c r="BG137" s="1">
        <v>6029</v>
      </c>
      <c r="BH137" s="1">
        <v>1732</v>
      </c>
      <c r="BI137" s="1">
        <v>30797</v>
      </c>
      <c r="BJ137" s="1">
        <v>4612</v>
      </c>
      <c r="BK137" s="1">
        <v>9818</v>
      </c>
      <c r="BL137" s="1">
        <v>3088</v>
      </c>
      <c r="BM137" s="1">
        <v>5756</v>
      </c>
      <c r="BN137" s="1">
        <v>1233</v>
      </c>
      <c r="BO137" s="1">
        <v>1212</v>
      </c>
      <c r="BP137" s="1">
        <v>28011</v>
      </c>
      <c r="BQ137" s="1">
        <v>2914</v>
      </c>
      <c r="BR137" s="1">
        <v>67213</v>
      </c>
      <c r="BS137" s="1">
        <v>8196</v>
      </c>
      <c r="BT137" s="1">
        <v>9250</v>
      </c>
      <c r="BU137" s="1">
        <v>21172</v>
      </c>
      <c r="BV137" s="1">
        <v>3016</v>
      </c>
      <c r="BW137" s="1">
        <v>13134</v>
      </c>
      <c r="BX137" s="1">
        <v>2726</v>
      </c>
      <c r="BY137" s="1">
        <v>8830</v>
      </c>
      <c r="BZ137" s="1">
        <v>19410</v>
      </c>
      <c r="CA137" s="1">
        <v>2511</v>
      </c>
      <c r="CB137" s="1">
        <v>1166</v>
      </c>
      <c r="CC137" s="1">
        <v>6568</v>
      </c>
      <c r="CD137" s="1">
        <v>3168</v>
      </c>
      <c r="CE137" s="1">
        <v>4462</v>
      </c>
      <c r="CF137" s="1">
        <v>7145</v>
      </c>
      <c r="CG137" s="1">
        <v>105480</v>
      </c>
      <c r="CH137" s="1">
        <v>17416</v>
      </c>
      <c r="CI137" s="1">
        <v>32927</v>
      </c>
      <c r="CJ137" s="1">
        <v>10262</v>
      </c>
      <c r="CK137" s="1">
        <v>18385</v>
      </c>
      <c r="CL137" s="1">
        <v>10501</v>
      </c>
      <c r="CM137" s="1">
        <v>16840</v>
      </c>
      <c r="CN137" s="1">
        <v>47125</v>
      </c>
      <c r="CO137" s="1">
        <v>6860</v>
      </c>
      <c r="CP137" s="1">
        <v>3614</v>
      </c>
      <c r="CQ137" s="1">
        <v>5484</v>
      </c>
      <c r="CR137" s="1">
        <v>6931</v>
      </c>
      <c r="CS137" s="1">
        <v>29418</v>
      </c>
      <c r="CT137" s="1">
        <v>17688</v>
      </c>
      <c r="CU137" s="1">
        <v>1914</v>
      </c>
      <c r="CV137" s="1">
        <v>250667</v>
      </c>
      <c r="CW137" s="1">
        <v>6855</v>
      </c>
      <c r="CX137" s="1">
        <v>2093</v>
      </c>
      <c r="CY137" s="1">
        <v>25332</v>
      </c>
      <c r="CZ137" s="1">
        <v>3302</v>
      </c>
      <c r="DA137" s="1">
        <v>7289</v>
      </c>
      <c r="DB137" s="1">
        <v>14166</v>
      </c>
      <c r="DC137" s="1">
        <v>5187</v>
      </c>
      <c r="DD137" s="1">
        <v>3166</v>
      </c>
      <c r="DE137" s="1">
        <v>2275</v>
      </c>
      <c r="DF137" s="1">
        <v>45655</v>
      </c>
      <c r="DG137" s="1">
        <v>14474</v>
      </c>
      <c r="DH137" s="1">
        <v>16835</v>
      </c>
      <c r="DI137" s="1">
        <v>3865</v>
      </c>
      <c r="DJ137" s="1">
        <v>26110</v>
      </c>
      <c r="DK137" s="1">
        <v>18508</v>
      </c>
      <c r="DL137" s="1">
        <v>11031</v>
      </c>
      <c r="DM137" s="1">
        <v>13852</v>
      </c>
      <c r="DN137" s="1">
        <v>16094</v>
      </c>
      <c r="DO137" s="1">
        <v>3231</v>
      </c>
      <c r="DP137" s="1">
        <v>9094</v>
      </c>
      <c r="DQ137" s="1">
        <v>57711</v>
      </c>
      <c r="DR137" s="1">
        <v>3273</v>
      </c>
      <c r="DS137" s="1">
        <v>5935</v>
      </c>
      <c r="DT137" s="1">
        <v>765</v>
      </c>
      <c r="DU137" s="1">
        <v>11036</v>
      </c>
      <c r="DV137" s="1">
        <v>4851</v>
      </c>
      <c r="DW137" s="1">
        <v>6111</v>
      </c>
      <c r="DX137" s="1">
        <v>12063</v>
      </c>
      <c r="DY137" s="1">
        <v>1958</v>
      </c>
      <c r="DZ137" s="1">
        <v>3902</v>
      </c>
      <c r="EA137" s="1">
        <v>11432</v>
      </c>
      <c r="EB137" s="1">
        <v>5433</v>
      </c>
      <c r="EC137" s="1">
        <v>901</v>
      </c>
      <c r="ED137" s="1">
        <v>1207</v>
      </c>
      <c r="EE137" s="1">
        <v>36315</v>
      </c>
      <c r="EF137" s="1">
        <v>4592</v>
      </c>
      <c r="EG137" s="1">
        <v>13900</v>
      </c>
      <c r="EH137" s="1">
        <v>24610</v>
      </c>
      <c r="EJ137" s="1">
        <f t="shared" si="2"/>
        <v>1527681</v>
      </c>
    </row>
    <row r="138" spans="1:140" x14ac:dyDescent="0.25">
      <c r="A138" s="1" t="s">
        <v>274</v>
      </c>
      <c r="B138" s="1">
        <v>4818</v>
      </c>
      <c r="C138" s="1">
        <v>6032</v>
      </c>
      <c r="D138" s="1">
        <v>235</v>
      </c>
      <c r="E138" s="1">
        <v>2062</v>
      </c>
      <c r="F138" s="1">
        <v>18</v>
      </c>
      <c r="G138" s="1">
        <v>38</v>
      </c>
      <c r="H138" s="1">
        <v>11356</v>
      </c>
      <c r="I138" s="1">
        <v>140</v>
      </c>
      <c r="J138" s="1">
        <v>1723</v>
      </c>
      <c r="K138" s="1">
        <v>64</v>
      </c>
      <c r="L138" s="1">
        <v>1227</v>
      </c>
      <c r="M138" s="1">
        <v>146</v>
      </c>
      <c r="N138" s="1">
        <v>11321</v>
      </c>
      <c r="O138" s="1">
        <v>1735</v>
      </c>
      <c r="P138" s="1">
        <v>2830</v>
      </c>
      <c r="Q138" s="1">
        <v>9280</v>
      </c>
      <c r="R138" s="1">
        <v>33</v>
      </c>
      <c r="S138" s="1">
        <v>1651</v>
      </c>
      <c r="T138" s="1">
        <v>3186</v>
      </c>
      <c r="U138" s="1">
        <v>3215</v>
      </c>
      <c r="V138" s="1">
        <v>10357</v>
      </c>
      <c r="W138" s="1">
        <v>3101</v>
      </c>
      <c r="X138" s="1">
        <v>745</v>
      </c>
      <c r="Y138" s="2">
        <v>1574</v>
      </c>
      <c r="Z138" s="2">
        <v>1792</v>
      </c>
      <c r="AA138" s="2">
        <v>693</v>
      </c>
      <c r="AB138" s="2">
        <v>7122</v>
      </c>
      <c r="AC138" s="2">
        <v>1276</v>
      </c>
      <c r="AD138" s="2">
        <v>496</v>
      </c>
      <c r="AE138" s="2">
        <v>1747</v>
      </c>
      <c r="AF138" s="2">
        <v>2443</v>
      </c>
      <c r="AG138" s="2">
        <v>31994</v>
      </c>
      <c r="AH138" s="2">
        <v>596</v>
      </c>
      <c r="AI138" s="2">
        <v>1359</v>
      </c>
      <c r="AJ138" s="2">
        <v>444</v>
      </c>
      <c r="AK138" s="2">
        <v>2475</v>
      </c>
      <c r="AL138" s="1">
        <v>3014</v>
      </c>
      <c r="AM138" s="1">
        <v>902</v>
      </c>
      <c r="AN138" s="1">
        <v>276</v>
      </c>
      <c r="AO138" s="1">
        <v>9480</v>
      </c>
      <c r="AP138" s="1">
        <v>886</v>
      </c>
      <c r="AQ138" s="1">
        <v>160</v>
      </c>
      <c r="AR138" s="1">
        <v>3233</v>
      </c>
      <c r="AS138" s="1">
        <v>7020</v>
      </c>
      <c r="AT138" s="1">
        <v>1140</v>
      </c>
      <c r="AU138" s="1">
        <v>3776</v>
      </c>
      <c r="AV138" s="1">
        <v>4489</v>
      </c>
      <c r="AW138" s="1">
        <v>3155</v>
      </c>
      <c r="AX138" s="1">
        <v>24937</v>
      </c>
      <c r="AY138" s="1">
        <v>194</v>
      </c>
      <c r="AZ138" s="1">
        <v>1673</v>
      </c>
      <c r="BA138" s="1">
        <v>6872</v>
      </c>
      <c r="BB138" s="1">
        <v>240</v>
      </c>
      <c r="BC138" s="1">
        <v>889</v>
      </c>
      <c r="BD138" s="1">
        <v>7237</v>
      </c>
      <c r="BE138" s="1">
        <v>3719</v>
      </c>
      <c r="BF138" s="1">
        <v>2906</v>
      </c>
      <c r="BG138" s="1">
        <v>5781</v>
      </c>
      <c r="BH138" s="1">
        <v>1750</v>
      </c>
      <c r="BI138" s="1">
        <v>27490</v>
      </c>
      <c r="BJ138" s="1">
        <v>4695</v>
      </c>
      <c r="BK138" s="1">
        <v>9454</v>
      </c>
      <c r="BL138" s="1">
        <v>3534</v>
      </c>
      <c r="BM138" s="1">
        <v>5624</v>
      </c>
      <c r="BN138" s="1">
        <v>1311</v>
      </c>
      <c r="BO138" s="1">
        <v>1099</v>
      </c>
      <c r="BP138" s="1">
        <v>26359</v>
      </c>
      <c r="BQ138" s="1">
        <v>3036</v>
      </c>
      <c r="BR138" s="1">
        <v>62302</v>
      </c>
      <c r="BS138" s="1">
        <v>7681</v>
      </c>
      <c r="BT138" s="1">
        <v>10475</v>
      </c>
      <c r="BU138" s="1">
        <v>23422</v>
      </c>
      <c r="BV138" s="1">
        <v>2696</v>
      </c>
      <c r="BW138" s="1">
        <v>13564</v>
      </c>
      <c r="BX138" s="1">
        <v>3157</v>
      </c>
      <c r="BY138" s="1">
        <v>11116</v>
      </c>
      <c r="BZ138" s="1">
        <v>18164</v>
      </c>
      <c r="CA138" s="1">
        <v>2488</v>
      </c>
      <c r="CB138" s="1">
        <v>1216</v>
      </c>
      <c r="CC138" s="1">
        <v>6727</v>
      </c>
      <c r="CD138" s="1">
        <v>3252</v>
      </c>
      <c r="CE138" s="1">
        <v>4107</v>
      </c>
      <c r="CF138" s="1">
        <v>7147</v>
      </c>
      <c r="CG138" s="1">
        <v>105845</v>
      </c>
      <c r="CH138" s="1">
        <v>15741</v>
      </c>
      <c r="CI138" s="1">
        <v>30910</v>
      </c>
      <c r="CJ138" s="1">
        <v>6300</v>
      </c>
      <c r="CK138" s="1">
        <v>15111</v>
      </c>
      <c r="CL138" s="1">
        <v>11106</v>
      </c>
      <c r="CM138" s="1">
        <v>15128</v>
      </c>
      <c r="CN138" s="1">
        <v>44578</v>
      </c>
      <c r="CO138" s="1">
        <v>5477</v>
      </c>
      <c r="CP138" s="1">
        <v>3816</v>
      </c>
      <c r="CQ138" s="1">
        <v>4277</v>
      </c>
      <c r="CR138" s="1">
        <v>8012</v>
      </c>
      <c r="CS138" s="1">
        <v>28291</v>
      </c>
      <c r="CT138" s="1">
        <v>16670</v>
      </c>
      <c r="CU138" s="1">
        <v>1750</v>
      </c>
      <c r="CV138" s="1">
        <v>243423</v>
      </c>
      <c r="CW138" s="1">
        <v>6144</v>
      </c>
      <c r="CX138" s="1">
        <v>1976</v>
      </c>
      <c r="CY138" s="1">
        <v>22838</v>
      </c>
      <c r="CZ138" s="1">
        <v>3081</v>
      </c>
      <c r="DA138" s="1">
        <v>7384</v>
      </c>
      <c r="DB138" s="1">
        <v>14095</v>
      </c>
      <c r="DC138" s="1">
        <v>4871</v>
      </c>
      <c r="DD138" s="1">
        <v>3112</v>
      </c>
      <c r="DE138" s="1">
        <v>2213</v>
      </c>
      <c r="DF138" s="1">
        <v>43178</v>
      </c>
      <c r="DG138" s="1">
        <v>13765</v>
      </c>
      <c r="DH138" s="1">
        <v>14943</v>
      </c>
      <c r="DI138" s="1">
        <v>3280</v>
      </c>
      <c r="DJ138" s="1">
        <v>24093</v>
      </c>
      <c r="DK138" s="1">
        <v>16384</v>
      </c>
      <c r="DL138" s="1">
        <v>10384</v>
      </c>
      <c r="DM138" s="1">
        <v>13036</v>
      </c>
      <c r="DN138" s="1">
        <v>13053</v>
      </c>
      <c r="DO138" s="1">
        <v>3083</v>
      </c>
      <c r="DP138" s="1">
        <v>7251</v>
      </c>
      <c r="DQ138" s="1">
        <v>53320</v>
      </c>
      <c r="DR138" s="1">
        <v>2704</v>
      </c>
      <c r="DS138" s="1">
        <v>5127</v>
      </c>
      <c r="DT138" s="1">
        <v>889</v>
      </c>
      <c r="DU138" s="1">
        <v>10553</v>
      </c>
      <c r="DV138" s="1">
        <v>4225</v>
      </c>
      <c r="DW138" s="1">
        <v>5588</v>
      </c>
      <c r="DX138" s="1">
        <v>12481</v>
      </c>
      <c r="DY138" s="1">
        <v>2263</v>
      </c>
      <c r="DZ138" s="1">
        <v>3220</v>
      </c>
      <c r="EA138" s="1">
        <v>10877</v>
      </c>
      <c r="EB138" s="1">
        <v>5474</v>
      </c>
      <c r="EC138" s="1">
        <v>935</v>
      </c>
      <c r="ED138" s="1">
        <v>1145</v>
      </c>
      <c r="EE138" s="1">
        <v>35564</v>
      </c>
      <c r="EF138" s="1">
        <v>4849</v>
      </c>
      <c r="EG138" s="1">
        <v>12593</v>
      </c>
      <c r="EH138" s="1">
        <v>25070</v>
      </c>
      <c r="EJ138" s="1">
        <f t="shared" si="2"/>
        <v>1464645</v>
      </c>
    </row>
    <row r="139" spans="1:140" x14ac:dyDescent="0.25">
      <c r="A139" s="1" t="s">
        <v>275</v>
      </c>
      <c r="B139" s="1">
        <v>4471</v>
      </c>
      <c r="C139" s="1">
        <v>6005</v>
      </c>
      <c r="D139" s="1">
        <v>338</v>
      </c>
      <c r="E139" s="1">
        <v>1980</v>
      </c>
      <c r="F139" s="1">
        <v>26</v>
      </c>
      <c r="G139" s="1">
        <v>59</v>
      </c>
      <c r="H139" s="1">
        <v>12063</v>
      </c>
      <c r="I139" s="1">
        <v>169</v>
      </c>
      <c r="J139" s="1">
        <v>1943</v>
      </c>
      <c r="K139" s="1">
        <v>79</v>
      </c>
      <c r="L139" s="1">
        <v>1187</v>
      </c>
      <c r="M139" s="1">
        <v>142</v>
      </c>
      <c r="N139" s="1">
        <v>13221</v>
      </c>
      <c r="O139" s="1">
        <v>1966</v>
      </c>
      <c r="P139" s="1">
        <v>3426</v>
      </c>
      <c r="Q139" s="1">
        <v>9305</v>
      </c>
      <c r="R139" s="1">
        <v>15</v>
      </c>
      <c r="S139" s="1">
        <v>1884</v>
      </c>
      <c r="T139" s="1">
        <v>3173</v>
      </c>
      <c r="U139" s="1">
        <v>3481</v>
      </c>
      <c r="V139" s="1">
        <v>11016</v>
      </c>
      <c r="W139" s="1">
        <v>3128</v>
      </c>
      <c r="X139" s="1">
        <v>770</v>
      </c>
      <c r="Y139" s="2">
        <v>1177</v>
      </c>
      <c r="Z139" s="2">
        <v>1052</v>
      </c>
      <c r="AA139" s="2">
        <v>733</v>
      </c>
      <c r="AB139" s="2">
        <v>7201</v>
      </c>
      <c r="AC139" s="2">
        <v>1227</v>
      </c>
      <c r="AD139" s="2">
        <v>609</v>
      </c>
      <c r="AE139" s="2">
        <v>2236</v>
      </c>
      <c r="AF139" s="2">
        <v>2107</v>
      </c>
      <c r="AG139" s="2">
        <v>32055</v>
      </c>
      <c r="AH139" s="2">
        <v>685</v>
      </c>
      <c r="AI139" s="2">
        <v>1850</v>
      </c>
      <c r="AJ139" s="2">
        <v>628</v>
      </c>
      <c r="AK139" s="2">
        <v>2975</v>
      </c>
      <c r="AL139" s="1">
        <v>3620</v>
      </c>
      <c r="AM139" s="1">
        <v>880</v>
      </c>
      <c r="AN139" s="1">
        <v>297</v>
      </c>
      <c r="AO139" s="1">
        <v>9144</v>
      </c>
      <c r="AP139" s="1">
        <v>868</v>
      </c>
      <c r="AQ139" s="1">
        <v>145</v>
      </c>
      <c r="AR139" s="1">
        <v>3040</v>
      </c>
      <c r="AS139" s="1">
        <v>6183</v>
      </c>
      <c r="AT139" s="1">
        <v>1322</v>
      </c>
      <c r="AU139" s="1">
        <v>4014</v>
      </c>
      <c r="AV139" s="1">
        <v>4044</v>
      </c>
      <c r="AW139" s="1">
        <v>3303</v>
      </c>
      <c r="AX139" s="1">
        <v>22931</v>
      </c>
      <c r="AY139" s="1">
        <v>320</v>
      </c>
      <c r="AZ139" s="1">
        <v>1287</v>
      </c>
      <c r="BA139" s="1">
        <v>6254</v>
      </c>
      <c r="BB139" s="1">
        <v>234</v>
      </c>
      <c r="BC139" s="1">
        <v>774</v>
      </c>
      <c r="BD139" s="1">
        <v>7469</v>
      </c>
      <c r="BE139" s="1">
        <v>4380</v>
      </c>
      <c r="BF139" s="1">
        <v>2879</v>
      </c>
      <c r="BG139" s="1">
        <v>5170</v>
      </c>
      <c r="BH139" s="1">
        <v>1735</v>
      </c>
      <c r="BI139" s="1">
        <v>25849</v>
      </c>
      <c r="BJ139" s="1">
        <v>5159</v>
      </c>
      <c r="BK139" s="1">
        <v>6695</v>
      </c>
      <c r="BL139" s="1">
        <v>4258</v>
      </c>
      <c r="BM139" s="1">
        <v>5672</v>
      </c>
      <c r="BN139" s="1">
        <v>2148</v>
      </c>
      <c r="BO139" s="1">
        <v>1176</v>
      </c>
      <c r="BP139" s="1">
        <v>30685</v>
      </c>
      <c r="BQ139" s="1">
        <v>2802</v>
      </c>
      <c r="BR139" s="1">
        <v>64625</v>
      </c>
      <c r="BS139" s="1">
        <v>7842</v>
      </c>
      <c r="BT139" s="1">
        <v>10591</v>
      </c>
      <c r="BU139" s="1">
        <v>30478</v>
      </c>
      <c r="BV139" s="1">
        <v>4046</v>
      </c>
      <c r="BW139" s="1">
        <v>13569</v>
      </c>
      <c r="BX139" s="1">
        <v>2502</v>
      </c>
      <c r="BY139" s="1">
        <v>5574</v>
      </c>
      <c r="BZ139" s="1">
        <v>18160</v>
      </c>
      <c r="CA139" s="1">
        <v>2817</v>
      </c>
      <c r="CB139" s="1">
        <v>1116</v>
      </c>
      <c r="CC139" s="1">
        <v>7595</v>
      </c>
      <c r="CD139" s="1">
        <v>3584</v>
      </c>
      <c r="CE139" s="1">
        <v>4235</v>
      </c>
      <c r="CF139" s="1">
        <v>7041</v>
      </c>
      <c r="CG139" s="1">
        <v>106250</v>
      </c>
      <c r="CH139" s="1">
        <v>13154</v>
      </c>
      <c r="CI139" s="1">
        <v>26859</v>
      </c>
      <c r="CJ139" s="1">
        <v>5922</v>
      </c>
      <c r="CK139" s="1">
        <v>14406</v>
      </c>
      <c r="CL139" s="1">
        <v>11352</v>
      </c>
      <c r="CM139" s="1">
        <v>13548</v>
      </c>
      <c r="CN139" s="1">
        <v>42583</v>
      </c>
      <c r="CO139" s="1">
        <v>5535</v>
      </c>
      <c r="CP139" s="1">
        <v>3484</v>
      </c>
      <c r="CQ139" s="1">
        <v>4265</v>
      </c>
      <c r="CR139" s="1">
        <v>6777</v>
      </c>
      <c r="CS139" s="1">
        <v>28282</v>
      </c>
      <c r="CT139" s="1">
        <v>17087</v>
      </c>
      <c r="CU139" s="1">
        <v>1629</v>
      </c>
      <c r="CV139" s="1">
        <v>239084</v>
      </c>
      <c r="CW139" s="1">
        <v>5826</v>
      </c>
      <c r="CX139" s="1">
        <v>1931</v>
      </c>
      <c r="CY139" s="1">
        <v>21528</v>
      </c>
      <c r="CZ139" s="1">
        <v>2691</v>
      </c>
      <c r="DA139" s="1">
        <v>7111</v>
      </c>
      <c r="DB139" s="1">
        <v>13815</v>
      </c>
      <c r="DC139" s="1">
        <v>4436</v>
      </c>
      <c r="DD139" s="1">
        <v>2867</v>
      </c>
      <c r="DE139" s="1">
        <v>2073</v>
      </c>
      <c r="DF139" s="1">
        <v>42461</v>
      </c>
      <c r="DG139" s="1">
        <v>13676</v>
      </c>
      <c r="DH139" s="1">
        <v>14528</v>
      </c>
      <c r="DI139" s="1">
        <v>3219</v>
      </c>
      <c r="DJ139" s="1">
        <v>22673</v>
      </c>
      <c r="DK139" s="1">
        <v>15810</v>
      </c>
      <c r="DL139" s="1">
        <v>9888</v>
      </c>
      <c r="DM139" s="1">
        <v>12366</v>
      </c>
      <c r="DN139" s="1">
        <v>12507</v>
      </c>
      <c r="DO139" s="1">
        <v>3328</v>
      </c>
      <c r="DP139" s="1">
        <v>6888</v>
      </c>
      <c r="DQ139" s="1">
        <v>51121</v>
      </c>
      <c r="DR139" s="1">
        <v>2773</v>
      </c>
      <c r="DS139" s="1">
        <v>4890</v>
      </c>
      <c r="DT139" s="1">
        <v>898</v>
      </c>
      <c r="DU139" s="1">
        <v>10344</v>
      </c>
      <c r="DV139" s="1">
        <v>4107</v>
      </c>
      <c r="DW139" s="1">
        <v>5788</v>
      </c>
      <c r="DX139" s="1">
        <v>14796</v>
      </c>
      <c r="DY139" s="1">
        <v>2465</v>
      </c>
      <c r="DZ139" s="1">
        <v>2448</v>
      </c>
      <c r="EA139" s="1">
        <v>11614</v>
      </c>
      <c r="EB139" s="1">
        <v>6854</v>
      </c>
      <c r="EC139" s="1">
        <v>1044</v>
      </c>
      <c r="ED139" s="1">
        <v>1422</v>
      </c>
      <c r="EE139" s="1">
        <v>37396</v>
      </c>
      <c r="EF139" s="1">
        <v>4676</v>
      </c>
      <c r="EG139" s="1">
        <v>12226</v>
      </c>
      <c r="EH139" s="1">
        <v>25740</v>
      </c>
      <c r="EJ139" s="1">
        <f t="shared" si="2"/>
        <v>1453335</v>
      </c>
    </row>
    <row r="140" spans="1:140" x14ac:dyDescent="0.25">
      <c r="A140" s="1" t="s">
        <v>276</v>
      </c>
      <c r="B140" s="1">
        <v>4666</v>
      </c>
      <c r="C140" s="1">
        <v>6555</v>
      </c>
      <c r="D140" s="1">
        <v>270</v>
      </c>
      <c r="E140" s="1">
        <v>1966</v>
      </c>
      <c r="F140" s="1">
        <v>15</v>
      </c>
      <c r="G140" s="1">
        <v>39</v>
      </c>
      <c r="H140" s="1">
        <v>12729</v>
      </c>
      <c r="I140" s="1">
        <v>157</v>
      </c>
      <c r="J140" s="1">
        <v>1937</v>
      </c>
      <c r="K140" s="1">
        <v>111</v>
      </c>
      <c r="L140" s="1">
        <v>1321</v>
      </c>
      <c r="M140" s="1">
        <v>167</v>
      </c>
      <c r="N140" s="1">
        <v>12009</v>
      </c>
      <c r="O140" s="1">
        <v>1735</v>
      </c>
      <c r="P140" s="1">
        <v>4133</v>
      </c>
      <c r="Q140" s="1">
        <v>9526</v>
      </c>
      <c r="R140" s="1">
        <v>26</v>
      </c>
      <c r="S140" s="1">
        <v>2045</v>
      </c>
      <c r="T140" s="1">
        <v>2830</v>
      </c>
      <c r="U140" s="1">
        <v>3333</v>
      </c>
      <c r="V140" s="1">
        <v>9617</v>
      </c>
      <c r="W140" s="1">
        <v>3442</v>
      </c>
      <c r="X140" s="1">
        <v>986</v>
      </c>
      <c r="Y140" s="2">
        <v>2054</v>
      </c>
      <c r="Z140" s="2">
        <v>1244</v>
      </c>
      <c r="AA140" s="2">
        <v>856</v>
      </c>
      <c r="AB140" s="2">
        <v>6703</v>
      </c>
      <c r="AC140" s="2">
        <v>1126</v>
      </c>
      <c r="AD140" s="2">
        <v>672</v>
      </c>
      <c r="AE140" s="2">
        <v>2130</v>
      </c>
      <c r="AF140" s="2">
        <v>2129</v>
      </c>
      <c r="AG140" s="2">
        <v>29713</v>
      </c>
      <c r="AH140" s="2">
        <v>829</v>
      </c>
      <c r="AI140" s="2">
        <v>2109</v>
      </c>
      <c r="AJ140" s="2">
        <v>597</v>
      </c>
      <c r="AK140" s="2">
        <v>2377</v>
      </c>
      <c r="AL140" s="1">
        <v>3821</v>
      </c>
      <c r="AM140" s="1">
        <v>1129</v>
      </c>
      <c r="AN140" s="1">
        <v>259</v>
      </c>
      <c r="AO140" s="1">
        <v>8518</v>
      </c>
      <c r="AP140" s="1">
        <v>971</v>
      </c>
      <c r="AQ140" s="1">
        <v>155</v>
      </c>
      <c r="AR140" s="1">
        <v>2864</v>
      </c>
      <c r="AS140" s="1">
        <v>6936</v>
      </c>
      <c r="AT140" s="1">
        <v>1159</v>
      </c>
      <c r="AU140" s="1">
        <v>4212</v>
      </c>
      <c r="AV140" s="1">
        <v>4642</v>
      </c>
      <c r="AW140" s="1">
        <v>2970</v>
      </c>
      <c r="AX140" s="1">
        <v>22286</v>
      </c>
      <c r="AY140" s="1">
        <v>896</v>
      </c>
      <c r="AZ140" s="1">
        <v>1287</v>
      </c>
      <c r="BA140" s="1">
        <v>6141</v>
      </c>
      <c r="BB140" s="1">
        <v>182</v>
      </c>
      <c r="BC140" s="1">
        <v>933</v>
      </c>
      <c r="BD140" s="1">
        <v>6795</v>
      </c>
      <c r="BE140" s="1">
        <v>4316</v>
      </c>
      <c r="BF140" s="1">
        <v>2982</v>
      </c>
      <c r="BG140" s="1">
        <v>5132</v>
      </c>
      <c r="BH140" s="1">
        <v>1761</v>
      </c>
      <c r="BI140" s="1">
        <v>27733</v>
      </c>
      <c r="BJ140" s="1">
        <v>5414</v>
      </c>
      <c r="BK140" s="1">
        <v>6943</v>
      </c>
      <c r="BL140" s="1">
        <v>3223</v>
      </c>
      <c r="BM140" s="1">
        <v>4953</v>
      </c>
      <c r="BN140" s="1">
        <v>1377</v>
      </c>
      <c r="BO140" s="1">
        <v>1318</v>
      </c>
      <c r="BP140" s="1">
        <v>29914</v>
      </c>
      <c r="BQ140" s="1">
        <v>2756</v>
      </c>
      <c r="BR140" s="1">
        <v>65166</v>
      </c>
      <c r="BS140" s="1">
        <v>7944</v>
      </c>
      <c r="BT140" s="1">
        <v>9373</v>
      </c>
      <c r="BU140" s="1">
        <v>21877</v>
      </c>
      <c r="BV140" s="1">
        <v>3227</v>
      </c>
      <c r="BW140" s="1">
        <v>12728</v>
      </c>
      <c r="BX140" s="1">
        <v>2345</v>
      </c>
      <c r="BY140" s="1">
        <v>5295</v>
      </c>
      <c r="BZ140" s="1">
        <v>19551</v>
      </c>
      <c r="CA140" s="1">
        <v>2536</v>
      </c>
      <c r="CB140" s="1">
        <v>1047</v>
      </c>
      <c r="CC140" s="1">
        <v>6629</v>
      </c>
      <c r="CD140" s="1">
        <v>2948</v>
      </c>
      <c r="CE140" s="1">
        <v>3886</v>
      </c>
      <c r="CF140" s="1">
        <v>6949</v>
      </c>
      <c r="CG140" s="1">
        <v>100893</v>
      </c>
      <c r="CH140" s="1">
        <v>13332</v>
      </c>
      <c r="CI140" s="1">
        <v>26398</v>
      </c>
      <c r="CJ140" s="1">
        <v>5691</v>
      </c>
      <c r="CK140" s="1">
        <v>13482</v>
      </c>
      <c r="CL140" s="1">
        <v>10292</v>
      </c>
      <c r="CM140" s="1">
        <v>12540</v>
      </c>
      <c r="CN140" s="1">
        <v>42141</v>
      </c>
      <c r="CO140" s="1">
        <v>5016</v>
      </c>
      <c r="CP140" s="1">
        <v>3216</v>
      </c>
      <c r="CQ140" s="1">
        <v>4299</v>
      </c>
      <c r="CR140" s="1">
        <v>6783</v>
      </c>
      <c r="CS140" s="1">
        <v>25550</v>
      </c>
      <c r="CT140" s="1">
        <v>15788</v>
      </c>
      <c r="CU140" s="1">
        <v>1635</v>
      </c>
      <c r="CV140" s="1">
        <v>228670</v>
      </c>
      <c r="CW140" s="1">
        <v>5533</v>
      </c>
      <c r="CX140" s="1">
        <v>1830</v>
      </c>
      <c r="CY140" s="1">
        <v>20860</v>
      </c>
      <c r="CZ140" s="1">
        <v>2672</v>
      </c>
      <c r="DA140" s="1">
        <v>6760</v>
      </c>
      <c r="DB140" s="1">
        <v>12376</v>
      </c>
      <c r="DC140" s="1">
        <v>4616</v>
      </c>
      <c r="DD140" s="1">
        <v>2769</v>
      </c>
      <c r="DE140" s="1">
        <v>1944</v>
      </c>
      <c r="DF140" s="1">
        <v>44481</v>
      </c>
      <c r="DG140" s="1">
        <v>12215</v>
      </c>
      <c r="DH140" s="1">
        <v>13167</v>
      </c>
      <c r="DI140" s="1">
        <v>3263</v>
      </c>
      <c r="DJ140" s="1">
        <v>22045</v>
      </c>
      <c r="DK140" s="1">
        <v>15704</v>
      </c>
      <c r="DL140" s="1">
        <v>9397</v>
      </c>
      <c r="DM140" s="1">
        <v>11369</v>
      </c>
      <c r="DN140" s="1">
        <v>11730</v>
      </c>
      <c r="DO140" s="1">
        <v>2678</v>
      </c>
      <c r="DP140" s="1">
        <v>6377</v>
      </c>
      <c r="DQ140" s="1">
        <v>49185</v>
      </c>
      <c r="DR140" s="1">
        <v>2795</v>
      </c>
      <c r="DS140" s="1">
        <v>4427</v>
      </c>
      <c r="DT140" s="1">
        <v>870</v>
      </c>
      <c r="DU140" s="1">
        <v>10190</v>
      </c>
      <c r="DV140" s="1">
        <v>4340</v>
      </c>
      <c r="DW140" s="1">
        <v>5233</v>
      </c>
      <c r="DX140" s="1">
        <v>13646</v>
      </c>
      <c r="DY140" s="1">
        <v>2518</v>
      </c>
      <c r="DZ140" s="1">
        <v>2601</v>
      </c>
      <c r="EA140" s="1">
        <v>11093</v>
      </c>
      <c r="EB140" s="1">
        <v>7116</v>
      </c>
      <c r="EC140" s="1">
        <v>1039</v>
      </c>
      <c r="ED140" s="1">
        <v>1088</v>
      </c>
      <c r="EE140" s="1">
        <v>33088</v>
      </c>
      <c r="EF140" s="1">
        <v>4812</v>
      </c>
      <c r="EG140" s="1">
        <v>11718</v>
      </c>
      <c r="EH140" s="1">
        <v>26489</v>
      </c>
      <c r="EJ140" s="1">
        <f t="shared" si="2"/>
        <v>1397393</v>
      </c>
    </row>
    <row r="141" spans="1:140" x14ac:dyDescent="0.25">
      <c r="A141" s="1" t="s">
        <v>277</v>
      </c>
      <c r="B141" s="1">
        <v>5050</v>
      </c>
      <c r="C141" s="1">
        <v>6207</v>
      </c>
      <c r="D141" s="1">
        <v>215</v>
      </c>
      <c r="E141" s="1">
        <v>3254</v>
      </c>
      <c r="F141" s="1">
        <v>11</v>
      </c>
      <c r="G141" s="1">
        <v>12</v>
      </c>
      <c r="H141" s="1">
        <v>13272</v>
      </c>
      <c r="I141" s="1">
        <v>125</v>
      </c>
      <c r="J141" s="1">
        <v>1952</v>
      </c>
      <c r="K141" s="1">
        <v>100</v>
      </c>
      <c r="L141" s="1">
        <v>1500</v>
      </c>
      <c r="M141" s="1">
        <v>161</v>
      </c>
      <c r="N141" s="1">
        <v>12298</v>
      </c>
      <c r="O141" s="1">
        <v>2012</v>
      </c>
      <c r="P141" s="1">
        <v>3737</v>
      </c>
      <c r="Q141" s="1">
        <v>9474</v>
      </c>
      <c r="R141" s="1">
        <v>25</v>
      </c>
      <c r="S141" s="1">
        <v>1960</v>
      </c>
      <c r="T141" s="1">
        <v>3111</v>
      </c>
      <c r="U141" s="1">
        <v>3652</v>
      </c>
      <c r="V141" s="1">
        <v>9176</v>
      </c>
      <c r="W141" s="1">
        <v>4245</v>
      </c>
      <c r="X141" s="1">
        <v>963</v>
      </c>
      <c r="Y141" s="2">
        <v>1004</v>
      </c>
      <c r="Z141" s="2">
        <v>1295</v>
      </c>
      <c r="AA141" s="2">
        <v>929</v>
      </c>
      <c r="AB141" s="2">
        <v>7889</v>
      </c>
      <c r="AC141" s="2">
        <v>1281</v>
      </c>
      <c r="AD141" s="2">
        <v>880</v>
      </c>
      <c r="AE141" s="2">
        <v>2738</v>
      </c>
      <c r="AF141" s="2">
        <v>2093</v>
      </c>
      <c r="AG141" s="2">
        <v>31278</v>
      </c>
      <c r="AH141" s="2">
        <v>698</v>
      </c>
      <c r="AI141" s="2">
        <v>2653</v>
      </c>
      <c r="AJ141" s="2">
        <v>591</v>
      </c>
      <c r="AK141" s="2">
        <v>2560</v>
      </c>
      <c r="AL141" s="1">
        <v>4100</v>
      </c>
      <c r="AM141" s="1">
        <v>1069</v>
      </c>
      <c r="AN141" s="1">
        <v>364</v>
      </c>
      <c r="AO141" s="1">
        <v>8950</v>
      </c>
      <c r="AP141" s="1">
        <v>985</v>
      </c>
      <c r="AQ141" s="1">
        <v>169</v>
      </c>
      <c r="AR141" s="1">
        <v>3286</v>
      </c>
      <c r="AS141" s="1">
        <v>11884</v>
      </c>
      <c r="AT141" s="1">
        <v>1179</v>
      </c>
      <c r="AU141" s="1">
        <v>3785</v>
      </c>
      <c r="AV141" s="1">
        <v>4534</v>
      </c>
      <c r="AW141" s="1">
        <v>4190</v>
      </c>
      <c r="AX141" s="1">
        <v>25311</v>
      </c>
      <c r="AY141" s="1">
        <v>298</v>
      </c>
      <c r="AZ141" s="1">
        <v>1102</v>
      </c>
      <c r="BA141" s="1">
        <v>9815</v>
      </c>
      <c r="BB141" s="1">
        <v>195</v>
      </c>
      <c r="BC141" s="1">
        <v>892</v>
      </c>
      <c r="BD141" s="1">
        <v>8222</v>
      </c>
      <c r="BE141" s="1">
        <v>3068</v>
      </c>
      <c r="BF141" s="1">
        <v>3304</v>
      </c>
      <c r="BG141" s="1">
        <v>5555</v>
      </c>
      <c r="BH141" s="1">
        <v>1698</v>
      </c>
      <c r="BI141" s="1">
        <v>27382</v>
      </c>
      <c r="BJ141" s="1">
        <v>4764</v>
      </c>
      <c r="BK141" s="1">
        <v>5960</v>
      </c>
      <c r="BL141" s="1">
        <v>2635</v>
      </c>
      <c r="BM141" s="1">
        <v>5094</v>
      </c>
      <c r="BN141" s="1">
        <v>1255</v>
      </c>
      <c r="BO141" s="1">
        <v>1257</v>
      </c>
      <c r="BP141" s="1">
        <v>24848</v>
      </c>
      <c r="BQ141" s="1">
        <v>2486</v>
      </c>
      <c r="BR141" s="1">
        <v>61449</v>
      </c>
      <c r="BS141" s="1">
        <v>7314</v>
      </c>
      <c r="BT141" s="1">
        <v>8355</v>
      </c>
      <c r="BU141" s="1">
        <v>17267</v>
      </c>
      <c r="BV141" s="1">
        <v>2783</v>
      </c>
      <c r="BW141" s="1">
        <v>11936</v>
      </c>
      <c r="BX141" s="1">
        <v>2248</v>
      </c>
      <c r="BY141" s="1">
        <v>5317</v>
      </c>
      <c r="BZ141" s="1">
        <v>17971</v>
      </c>
      <c r="CA141" s="1">
        <v>2233</v>
      </c>
      <c r="CB141" s="1">
        <v>1134</v>
      </c>
      <c r="CC141" s="1">
        <v>6374</v>
      </c>
      <c r="CD141" s="1">
        <v>2980</v>
      </c>
      <c r="CE141" s="1">
        <v>4099</v>
      </c>
      <c r="CF141" s="1">
        <v>6700</v>
      </c>
      <c r="CG141" s="1">
        <v>102957</v>
      </c>
      <c r="CH141" s="1">
        <v>12573</v>
      </c>
      <c r="CI141" s="1">
        <v>22804</v>
      </c>
      <c r="CJ141" s="1">
        <v>5908</v>
      </c>
      <c r="CK141" s="1">
        <v>13376</v>
      </c>
      <c r="CL141" s="1">
        <v>8879</v>
      </c>
      <c r="CM141" s="1">
        <v>12830</v>
      </c>
      <c r="CN141" s="1">
        <v>40708</v>
      </c>
      <c r="CO141" s="1">
        <v>5803</v>
      </c>
      <c r="CP141" s="1">
        <v>3396</v>
      </c>
      <c r="CQ141" s="1">
        <v>4166</v>
      </c>
      <c r="CR141" s="1">
        <v>7231</v>
      </c>
      <c r="CS141" s="1">
        <v>26961</v>
      </c>
      <c r="CT141" s="1">
        <v>16973</v>
      </c>
      <c r="CU141" s="1">
        <v>1722</v>
      </c>
      <c r="CV141" s="1">
        <v>231470</v>
      </c>
      <c r="CW141" s="1">
        <v>4940</v>
      </c>
      <c r="CX141" s="1">
        <v>2076</v>
      </c>
      <c r="CY141" s="1">
        <v>19982</v>
      </c>
      <c r="CZ141" s="1">
        <v>2789</v>
      </c>
      <c r="DA141" s="1">
        <v>5888</v>
      </c>
      <c r="DB141" s="1">
        <v>12381</v>
      </c>
      <c r="DC141" s="1">
        <v>4446</v>
      </c>
      <c r="DD141" s="1">
        <v>2961</v>
      </c>
      <c r="DE141" s="1">
        <v>1994</v>
      </c>
      <c r="DF141" s="1">
        <v>40289</v>
      </c>
      <c r="DG141" s="1">
        <v>12431</v>
      </c>
      <c r="DH141" s="1">
        <v>13015</v>
      </c>
      <c r="DI141" s="1">
        <v>3542</v>
      </c>
      <c r="DJ141" s="1">
        <v>22727</v>
      </c>
      <c r="DK141" s="1">
        <v>16010</v>
      </c>
      <c r="DL141" s="1">
        <v>9906</v>
      </c>
      <c r="DM141" s="1">
        <v>11950</v>
      </c>
      <c r="DN141" s="1">
        <v>11389</v>
      </c>
      <c r="DO141" s="1">
        <v>2890</v>
      </c>
      <c r="DP141" s="1">
        <v>6494</v>
      </c>
      <c r="DQ141" s="1">
        <v>49908</v>
      </c>
      <c r="DR141" s="1">
        <v>2807</v>
      </c>
      <c r="DS141" s="1">
        <v>5228</v>
      </c>
      <c r="DT141" s="1">
        <v>826</v>
      </c>
      <c r="DU141" s="1">
        <v>9827</v>
      </c>
      <c r="DV141" s="1">
        <v>4198</v>
      </c>
      <c r="DW141" s="1">
        <v>5436</v>
      </c>
      <c r="DX141" s="1">
        <v>11871</v>
      </c>
      <c r="DY141" s="1">
        <v>2315</v>
      </c>
      <c r="DZ141" s="1">
        <v>2985</v>
      </c>
      <c r="EA141" s="1">
        <v>10439</v>
      </c>
      <c r="EB141" s="1">
        <v>5871</v>
      </c>
      <c r="EC141" s="1">
        <v>1074</v>
      </c>
      <c r="ED141" s="1">
        <v>1371</v>
      </c>
      <c r="EE141" s="1">
        <v>33867</v>
      </c>
      <c r="EF141" s="1">
        <v>4739</v>
      </c>
      <c r="EG141" s="1">
        <v>10582</v>
      </c>
      <c r="EH141" s="1">
        <v>26945</v>
      </c>
      <c r="EJ141" s="1">
        <f t="shared" si="2"/>
        <v>1392343</v>
      </c>
    </row>
    <row r="142" spans="1:140" x14ac:dyDescent="0.25">
      <c r="A142" s="1" t="s">
        <v>278</v>
      </c>
      <c r="B142" s="1">
        <v>4337</v>
      </c>
      <c r="C142" s="1">
        <v>6056</v>
      </c>
      <c r="D142" s="1">
        <v>251</v>
      </c>
      <c r="E142" s="1">
        <v>2385</v>
      </c>
      <c r="F142" s="1">
        <v>58</v>
      </c>
      <c r="G142" s="1">
        <v>35</v>
      </c>
      <c r="H142" s="1">
        <v>12719</v>
      </c>
      <c r="I142" s="1">
        <v>147</v>
      </c>
      <c r="J142" s="1">
        <v>1742</v>
      </c>
      <c r="K142" s="1">
        <v>88</v>
      </c>
      <c r="L142" s="1">
        <v>1170</v>
      </c>
      <c r="M142" s="1">
        <v>117</v>
      </c>
      <c r="N142" s="1">
        <v>12196</v>
      </c>
      <c r="O142" s="1">
        <v>2112</v>
      </c>
      <c r="P142" s="1">
        <v>2548</v>
      </c>
      <c r="Q142" s="1">
        <v>8868</v>
      </c>
      <c r="R142" s="1">
        <v>29</v>
      </c>
      <c r="S142" s="1">
        <v>1736</v>
      </c>
      <c r="T142" s="1">
        <v>2835</v>
      </c>
      <c r="U142" s="1">
        <v>2939</v>
      </c>
      <c r="V142" s="1">
        <v>8021</v>
      </c>
      <c r="W142" s="1">
        <v>3406</v>
      </c>
      <c r="X142" s="1">
        <v>760</v>
      </c>
      <c r="Y142" s="1">
        <v>845</v>
      </c>
      <c r="Z142" s="1">
        <v>1121</v>
      </c>
      <c r="AA142" s="1">
        <v>632</v>
      </c>
      <c r="AB142" s="1">
        <v>8115</v>
      </c>
      <c r="AC142" s="1">
        <v>1006</v>
      </c>
      <c r="AD142" s="1">
        <v>599</v>
      </c>
      <c r="AE142" s="1">
        <v>2308</v>
      </c>
      <c r="AF142" s="1">
        <v>2163</v>
      </c>
      <c r="AG142" s="1">
        <v>28560</v>
      </c>
      <c r="AH142" s="1">
        <v>489</v>
      </c>
      <c r="AI142" s="1">
        <v>2174</v>
      </c>
      <c r="AJ142" s="1">
        <v>421</v>
      </c>
      <c r="AK142" s="1">
        <v>2472</v>
      </c>
      <c r="AL142" s="1">
        <v>2980</v>
      </c>
      <c r="AM142" s="1">
        <v>945</v>
      </c>
      <c r="AN142" s="1">
        <v>382</v>
      </c>
      <c r="AO142" s="1">
        <v>10186</v>
      </c>
      <c r="AP142" s="1">
        <v>850</v>
      </c>
      <c r="AQ142" s="1">
        <v>160</v>
      </c>
      <c r="AR142" s="1">
        <v>3666</v>
      </c>
      <c r="AS142" s="1">
        <v>7905</v>
      </c>
      <c r="AT142" s="1">
        <v>1206</v>
      </c>
      <c r="AU142" s="1">
        <v>4556</v>
      </c>
      <c r="AV142" s="1">
        <v>5710</v>
      </c>
      <c r="AW142" s="1">
        <v>15764</v>
      </c>
      <c r="AX142" s="1">
        <v>25347</v>
      </c>
      <c r="AY142" s="1">
        <v>162</v>
      </c>
      <c r="AZ142" s="1">
        <v>749</v>
      </c>
      <c r="BA142" s="1">
        <v>18747</v>
      </c>
      <c r="BB142" s="1">
        <v>212</v>
      </c>
      <c r="BC142" s="1">
        <v>2218</v>
      </c>
      <c r="BD142" s="1">
        <v>7866</v>
      </c>
      <c r="BE142" s="1">
        <v>3015</v>
      </c>
      <c r="BF142" s="1">
        <v>3673</v>
      </c>
      <c r="BG142" s="1">
        <v>5411</v>
      </c>
      <c r="BH142" s="1">
        <v>1807</v>
      </c>
      <c r="BI142" s="1">
        <v>26928</v>
      </c>
      <c r="BJ142" s="1">
        <v>4152</v>
      </c>
      <c r="BK142" s="1">
        <v>5844</v>
      </c>
      <c r="BL142" s="1">
        <v>2613</v>
      </c>
      <c r="BM142" s="1">
        <v>4906</v>
      </c>
      <c r="BN142" s="1">
        <v>1120</v>
      </c>
      <c r="BO142" s="1">
        <v>1236</v>
      </c>
      <c r="BP142" s="1">
        <v>22923</v>
      </c>
      <c r="BQ142" s="1">
        <v>2291</v>
      </c>
      <c r="BR142" s="1">
        <v>57408</v>
      </c>
      <c r="BS142" s="1">
        <v>7199</v>
      </c>
      <c r="BT142" s="1">
        <v>8155</v>
      </c>
      <c r="BU142" s="1">
        <v>15501</v>
      </c>
      <c r="BV142" s="1">
        <v>2502</v>
      </c>
      <c r="BW142" s="1">
        <v>11048</v>
      </c>
      <c r="BX142" s="1">
        <v>1891</v>
      </c>
      <c r="BY142" s="1">
        <v>5196</v>
      </c>
      <c r="BZ142" s="1">
        <v>16499</v>
      </c>
      <c r="CA142" s="1">
        <v>2082</v>
      </c>
      <c r="CB142" s="1">
        <v>984</v>
      </c>
      <c r="CC142" s="1">
        <v>5432</v>
      </c>
      <c r="CD142" s="1">
        <v>2958</v>
      </c>
      <c r="CE142" s="1">
        <v>4057</v>
      </c>
      <c r="CF142" s="1">
        <v>6126</v>
      </c>
      <c r="CG142" s="1">
        <v>100593</v>
      </c>
      <c r="CH142" s="1">
        <v>11649</v>
      </c>
      <c r="CI142" s="1">
        <v>20526</v>
      </c>
      <c r="CJ142" s="1">
        <v>5109</v>
      </c>
      <c r="CK142" s="1">
        <v>12155</v>
      </c>
      <c r="CL142" s="1">
        <v>7821</v>
      </c>
      <c r="CM142" s="1">
        <v>11511</v>
      </c>
      <c r="CN142" s="1">
        <v>36287</v>
      </c>
      <c r="CO142" s="1">
        <v>5173</v>
      </c>
      <c r="CP142" s="1">
        <v>3102</v>
      </c>
      <c r="CQ142" s="1">
        <v>3631</v>
      </c>
      <c r="CR142" s="1">
        <v>6867</v>
      </c>
      <c r="CS142" s="1">
        <v>23972</v>
      </c>
      <c r="CT142" s="1">
        <v>16028</v>
      </c>
      <c r="CU142" s="1">
        <v>1587</v>
      </c>
      <c r="CV142" s="1">
        <v>215183</v>
      </c>
      <c r="CW142" s="1">
        <v>4374</v>
      </c>
      <c r="CX142" s="1">
        <v>1638</v>
      </c>
      <c r="CY142" s="1">
        <v>19577</v>
      </c>
      <c r="CZ142" s="1">
        <v>2575</v>
      </c>
      <c r="DA142" s="1">
        <v>5825</v>
      </c>
      <c r="DB142" s="1">
        <v>12346</v>
      </c>
      <c r="DC142" s="1">
        <v>4206</v>
      </c>
      <c r="DD142" s="1">
        <v>2798</v>
      </c>
      <c r="DE142" s="1">
        <v>1772</v>
      </c>
      <c r="DF142" s="1">
        <v>37852</v>
      </c>
      <c r="DG142" s="1">
        <v>12316</v>
      </c>
      <c r="DH142" s="1">
        <v>12750</v>
      </c>
      <c r="DI142" s="1">
        <v>3425</v>
      </c>
      <c r="DJ142" s="1">
        <v>21703</v>
      </c>
      <c r="DK142" s="1">
        <v>15443</v>
      </c>
      <c r="DL142" s="1">
        <v>9202</v>
      </c>
      <c r="DM142" s="1">
        <v>11452</v>
      </c>
      <c r="DN142" s="1">
        <v>10624</v>
      </c>
      <c r="DO142" s="1">
        <v>2710</v>
      </c>
      <c r="DP142" s="1">
        <v>5639</v>
      </c>
      <c r="DQ142" s="1">
        <v>47154</v>
      </c>
      <c r="DR142" s="1">
        <v>2848</v>
      </c>
      <c r="DS142" s="1">
        <v>5224</v>
      </c>
      <c r="DT142" s="1">
        <v>842</v>
      </c>
      <c r="DU142" s="1">
        <v>9033</v>
      </c>
      <c r="DV142" s="1">
        <v>4431</v>
      </c>
      <c r="DW142" s="1">
        <v>5464</v>
      </c>
      <c r="DX142" s="1">
        <v>12190</v>
      </c>
      <c r="DY142" s="1">
        <v>2292</v>
      </c>
      <c r="DZ142" s="1">
        <v>2405</v>
      </c>
      <c r="EA142" s="1">
        <v>10203</v>
      </c>
      <c r="EB142" s="1">
        <v>5416</v>
      </c>
      <c r="EC142" s="1">
        <v>1065</v>
      </c>
      <c r="ED142" s="1">
        <v>1054</v>
      </c>
      <c r="EE142" s="1">
        <v>30386</v>
      </c>
      <c r="EF142" s="1">
        <v>4558</v>
      </c>
      <c r="EG142" s="1">
        <v>10856</v>
      </c>
      <c r="EH142" s="1">
        <v>23865</v>
      </c>
      <c r="EJ142" s="1">
        <f t="shared" si="2"/>
        <v>1326735</v>
      </c>
    </row>
    <row r="143" spans="1:140" x14ac:dyDescent="0.25">
      <c r="A143" s="1" t="s">
        <v>279</v>
      </c>
      <c r="B143" s="1">
        <v>3423</v>
      </c>
      <c r="C143" s="1">
        <v>5385</v>
      </c>
      <c r="D143" s="1">
        <v>181</v>
      </c>
      <c r="E143" s="1">
        <v>1582</v>
      </c>
      <c r="F143" s="1">
        <v>12</v>
      </c>
      <c r="G143" s="1">
        <v>32</v>
      </c>
      <c r="H143" s="1">
        <v>10305</v>
      </c>
      <c r="I143" s="1">
        <v>114</v>
      </c>
      <c r="J143" s="1">
        <v>1701</v>
      </c>
      <c r="K143" s="1">
        <v>90</v>
      </c>
      <c r="L143" s="1">
        <v>1009</v>
      </c>
      <c r="M143" s="1">
        <v>93</v>
      </c>
      <c r="N143" s="1">
        <v>10439</v>
      </c>
      <c r="O143" s="1">
        <v>1970</v>
      </c>
      <c r="P143" s="1">
        <v>2457</v>
      </c>
      <c r="Q143" s="1">
        <v>7920</v>
      </c>
      <c r="R143" s="1">
        <v>23</v>
      </c>
      <c r="S143" s="1">
        <v>1846</v>
      </c>
      <c r="T143" s="1">
        <v>2630</v>
      </c>
      <c r="U143" s="1">
        <v>2965</v>
      </c>
      <c r="V143" s="1">
        <v>7228</v>
      </c>
      <c r="W143" s="1">
        <v>3316</v>
      </c>
      <c r="X143" s="1">
        <v>580</v>
      </c>
      <c r="Y143" s="1">
        <v>775</v>
      </c>
      <c r="Z143" s="1">
        <v>1256</v>
      </c>
      <c r="AA143" s="1">
        <v>494</v>
      </c>
      <c r="AB143" s="1">
        <v>6091</v>
      </c>
      <c r="AC143" s="1">
        <v>885</v>
      </c>
      <c r="AD143" s="1">
        <v>411</v>
      </c>
      <c r="AE143" s="1">
        <v>1769</v>
      </c>
      <c r="AF143" s="1">
        <v>1654</v>
      </c>
      <c r="AG143" s="1">
        <v>26889</v>
      </c>
      <c r="AH143" s="1">
        <v>501</v>
      </c>
      <c r="AI143" s="1">
        <v>1766</v>
      </c>
      <c r="AJ143" s="1">
        <v>291</v>
      </c>
      <c r="AK143" s="1">
        <v>2333</v>
      </c>
      <c r="AL143" s="1">
        <v>2673</v>
      </c>
      <c r="AM143" s="1">
        <v>762</v>
      </c>
      <c r="AN143" s="1">
        <v>319</v>
      </c>
      <c r="AO143" s="1">
        <v>8419</v>
      </c>
      <c r="AP143" s="1">
        <v>809</v>
      </c>
      <c r="AQ143" s="1">
        <v>121</v>
      </c>
      <c r="AR143" s="1">
        <v>2806</v>
      </c>
      <c r="AS143" s="1">
        <v>6658</v>
      </c>
      <c r="AT143" s="1">
        <v>1168</v>
      </c>
      <c r="AU143" s="1">
        <v>3964</v>
      </c>
      <c r="AV143" s="1">
        <v>3733</v>
      </c>
      <c r="AW143" s="1">
        <v>4634</v>
      </c>
      <c r="AX143" s="1">
        <v>21794</v>
      </c>
      <c r="AY143" s="1">
        <v>188</v>
      </c>
      <c r="AZ143" s="1">
        <v>654</v>
      </c>
      <c r="BA143" s="1">
        <v>14440</v>
      </c>
      <c r="BB143" s="1">
        <v>143</v>
      </c>
      <c r="BC143" s="1">
        <v>1152</v>
      </c>
      <c r="BD143" s="1">
        <v>8377</v>
      </c>
      <c r="BE143" s="1">
        <v>3424</v>
      </c>
      <c r="BF143" s="1">
        <v>2404</v>
      </c>
      <c r="BG143" s="1">
        <v>4886</v>
      </c>
      <c r="BH143" s="1">
        <v>1635</v>
      </c>
      <c r="BI143" s="1">
        <v>26687</v>
      </c>
      <c r="BJ143" s="1">
        <v>3765</v>
      </c>
      <c r="BK143" s="1">
        <v>5087</v>
      </c>
      <c r="BL143" s="1">
        <v>2686</v>
      </c>
      <c r="BM143" s="1">
        <v>4886</v>
      </c>
      <c r="BN143" s="1">
        <v>966</v>
      </c>
      <c r="BO143" s="1">
        <v>1065</v>
      </c>
      <c r="BP143" s="1">
        <v>22705</v>
      </c>
      <c r="BQ143" s="1">
        <v>2158</v>
      </c>
      <c r="BR143" s="1">
        <v>56104</v>
      </c>
      <c r="BS143" s="1">
        <v>6936</v>
      </c>
      <c r="BT143" s="1">
        <v>7652</v>
      </c>
      <c r="BU143" s="1">
        <v>14981</v>
      </c>
      <c r="BV143" s="1">
        <v>2544</v>
      </c>
      <c r="BW143" s="1">
        <v>11740</v>
      </c>
      <c r="BX143" s="1">
        <v>1851</v>
      </c>
      <c r="BY143" s="1">
        <v>4780</v>
      </c>
      <c r="BZ143" s="1">
        <v>16068</v>
      </c>
      <c r="CA143" s="1">
        <v>1957</v>
      </c>
      <c r="CB143" s="1">
        <v>978</v>
      </c>
      <c r="CC143" s="1">
        <v>5020</v>
      </c>
      <c r="CD143" s="1">
        <v>2806</v>
      </c>
      <c r="CE143" s="1">
        <v>4654</v>
      </c>
      <c r="CF143" s="1">
        <v>5328</v>
      </c>
      <c r="CG143" s="1">
        <v>90711</v>
      </c>
      <c r="CH143" s="1">
        <v>11363</v>
      </c>
      <c r="CI143" s="1">
        <v>20202</v>
      </c>
      <c r="CJ143" s="1">
        <v>4793</v>
      </c>
      <c r="CK143" s="1">
        <v>11711</v>
      </c>
      <c r="CL143" s="1">
        <v>7173</v>
      </c>
      <c r="CM143" s="1">
        <v>10961</v>
      </c>
      <c r="CN143" s="1">
        <v>34419</v>
      </c>
      <c r="CO143" s="1">
        <v>4532</v>
      </c>
      <c r="CP143" s="1">
        <v>2897</v>
      </c>
      <c r="CQ143" s="1">
        <v>3519</v>
      </c>
      <c r="CR143" s="1">
        <v>6719</v>
      </c>
      <c r="CS143" s="1">
        <v>23151</v>
      </c>
      <c r="CT143" s="1">
        <v>15582</v>
      </c>
      <c r="CU143" s="1">
        <v>1504</v>
      </c>
      <c r="CV143" s="1">
        <v>210328</v>
      </c>
      <c r="CW143" s="1">
        <v>4263</v>
      </c>
      <c r="CX143" s="1">
        <v>1530</v>
      </c>
      <c r="CY143" s="1">
        <v>18574</v>
      </c>
      <c r="CZ143" s="1">
        <v>2352</v>
      </c>
      <c r="DA143" s="1">
        <v>5886</v>
      </c>
      <c r="DB143" s="1">
        <v>11573</v>
      </c>
      <c r="DC143" s="1">
        <v>3762</v>
      </c>
      <c r="DD143" s="1">
        <v>2824</v>
      </c>
      <c r="DE143" s="1">
        <v>1859</v>
      </c>
      <c r="DF143" s="1">
        <v>37540</v>
      </c>
      <c r="DG143" s="1">
        <v>12925</v>
      </c>
      <c r="DH143" s="1">
        <v>12341</v>
      </c>
      <c r="DI143" s="1">
        <v>3624</v>
      </c>
      <c r="DJ143" s="1">
        <v>21132</v>
      </c>
      <c r="DK143" s="1">
        <v>14772</v>
      </c>
      <c r="DL143" s="1">
        <v>9652</v>
      </c>
      <c r="DM143" s="1">
        <v>12133</v>
      </c>
      <c r="DN143" s="1">
        <v>10219</v>
      </c>
      <c r="DO143" s="1">
        <v>2652</v>
      </c>
      <c r="DP143" s="1">
        <v>5379</v>
      </c>
      <c r="DQ143" s="1">
        <v>44940</v>
      </c>
      <c r="DR143" s="1">
        <v>2599</v>
      </c>
      <c r="DS143" s="1">
        <v>4765</v>
      </c>
      <c r="DT143" s="1">
        <v>766</v>
      </c>
      <c r="DU143" s="1">
        <v>8830</v>
      </c>
      <c r="DV143" s="1">
        <v>4532</v>
      </c>
      <c r="DW143" s="1">
        <v>4626</v>
      </c>
      <c r="DX143" s="1">
        <v>11024</v>
      </c>
      <c r="DY143" s="1">
        <v>2275</v>
      </c>
      <c r="DZ143" s="1">
        <v>2091</v>
      </c>
      <c r="EA143" s="1">
        <v>9196</v>
      </c>
      <c r="EB143" s="1">
        <v>5076</v>
      </c>
      <c r="EC143" s="1">
        <v>1002</v>
      </c>
      <c r="ED143" s="1">
        <v>927</v>
      </c>
      <c r="EE143" s="1">
        <v>27251</v>
      </c>
      <c r="EF143" s="1">
        <v>3495</v>
      </c>
      <c r="EG143" s="1">
        <v>10039</v>
      </c>
      <c r="EH143" s="1">
        <v>20480</v>
      </c>
      <c r="EJ143" s="1">
        <f t="shared" si="2"/>
        <v>1237454</v>
      </c>
    </row>
    <row r="144" spans="1:140" x14ac:dyDescent="0.25">
      <c r="A144" s="1" t="s">
        <v>280</v>
      </c>
      <c r="B144" s="1">
        <v>3120</v>
      </c>
      <c r="C144" s="1">
        <v>5441</v>
      </c>
      <c r="D144" s="1">
        <v>193</v>
      </c>
      <c r="E144" s="1">
        <v>1632</v>
      </c>
      <c r="F144" s="1">
        <v>52</v>
      </c>
      <c r="G144" s="1">
        <v>31</v>
      </c>
      <c r="H144" s="1">
        <v>9597</v>
      </c>
      <c r="I144" s="1">
        <v>112</v>
      </c>
      <c r="J144" s="1">
        <v>1733</v>
      </c>
      <c r="K144" s="1">
        <v>94</v>
      </c>
      <c r="L144" s="1">
        <v>1118</v>
      </c>
      <c r="M144" s="1">
        <v>108</v>
      </c>
      <c r="N144" s="1">
        <v>10289</v>
      </c>
      <c r="O144" s="1">
        <v>1638</v>
      </c>
      <c r="P144" s="1">
        <v>2052</v>
      </c>
      <c r="Q144" s="1">
        <v>7309</v>
      </c>
      <c r="R144" s="1">
        <v>16</v>
      </c>
      <c r="S144" s="1">
        <v>1954</v>
      </c>
      <c r="T144" s="1">
        <v>2352</v>
      </c>
      <c r="U144" s="1">
        <v>2800</v>
      </c>
      <c r="V144" s="1">
        <v>6414</v>
      </c>
      <c r="W144" s="1">
        <v>2670</v>
      </c>
      <c r="X144" s="1">
        <v>626</v>
      </c>
      <c r="Y144" s="1">
        <v>838</v>
      </c>
      <c r="Z144" s="1">
        <v>909</v>
      </c>
      <c r="AA144" s="1">
        <v>635</v>
      </c>
      <c r="AB144" s="1">
        <v>6585</v>
      </c>
      <c r="AC144" s="1">
        <v>1170</v>
      </c>
      <c r="AD144" s="1">
        <v>567</v>
      </c>
      <c r="AE144" s="1">
        <v>1431</v>
      </c>
      <c r="AF144" s="1">
        <v>1328</v>
      </c>
      <c r="AG144" s="1">
        <v>27623</v>
      </c>
      <c r="AH144" s="1">
        <v>708</v>
      </c>
      <c r="AI144" s="1">
        <v>1372</v>
      </c>
      <c r="AJ144" s="1">
        <v>350</v>
      </c>
      <c r="AK144" s="1">
        <v>2105</v>
      </c>
      <c r="AL144" s="1">
        <v>2522</v>
      </c>
      <c r="AM144" s="1">
        <v>778</v>
      </c>
      <c r="AN144" s="1">
        <v>356</v>
      </c>
      <c r="AO144" s="1">
        <v>8431</v>
      </c>
      <c r="AP144" s="1">
        <v>743</v>
      </c>
      <c r="AQ144" s="1">
        <v>128</v>
      </c>
      <c r="AR144" s="1">
        <v>2876</v>
      </c>
      <c r="AS144" s="1">
        <v>6419</v>
      </c>
      <c r="AT144" s="1">
        <v>928</v>
      </c>
      <c r="AU144" s="1">
        <v>3053</v>
      </c>
      <c r="AV144" s="1">
        <v>4122</v>
      </c>
      <c r="AW144" s="1">
        <v>2626</v>
      </c>
      <c r="AX144" s="1">
        <v>21349</v>
      </c>
      <c r="AY144" s="1">
        <v>145</v>
      </c>
      <c r="AZ144" s="1">
        <v>771</v>
      </c>
      <c r="BA144" s="1">
        <v>9776</v>
      </c>
      <c r="BB144" s="1">
        <v>216</v>
      </c>
      <c r="BC144" s="1">
        <v>957</v>
      </c>
      <c r="BD144" s="1">
        <v>6517</v>
      </c>
      <c r="BE144" s="1">
        <v>3226</v>
      </c>
      <c r="BF144" s="1">
        <v>1889</v>
      </c>
      <c r="BG144" s="1">
        <v>4791</v>
      </c>
      <c r="BH144" s="1">
        <v>1732</v>
      </c>
      <c r="BI144" s="1">
        <v>24985</v>
      </c>
      <c r="BJ144" s="1">
        <v>3915</v>
      </c>
      <c r="BK144" s="1">
        <v>5260</v>
      </c>
      <c r="BL144" s="1">
        <v>2330</v>
      </c>
      <c r="BM144" s="1">
        <v>4438</v>
      </c>
      <c r="BN144" s="1">
        <v>976</v>
      </c>
      <c r="BO144" s="1">
        <v>1065</v>
      </c>
      <c r="BP144" s="1">
        <v>21714</v>
      </c>
      <c r="BQ144" s="1">
        <v>1993</v>
      </c>
      <c r="BR144" s="1">
        <v>53069</v>
      </c>
      <c r="BS144" s="1">
        <v>6225</v>
      </c>
      <c r="BT144" s="1">
        <v>6868</v>
      </c>
      <c r="BU144" s="1">
        <v>14349</v>
      </c>
      <c r="BV144" s="1">
        <v>2912</v>
      </c>
      <c r="BW144" s="1">
        <v>10598</v>
      </c>
      <c r="BX144" s="1">
        <v>1656</v>
      </c>
      <c r="BY144" s="1">
        <v>3857</v>
      </c>
      <c r="BZ144" s="1">
        <v>15909</v>
      </c>
      <c r="CA144" s="1">
        <v>2018</v>
      </c>
      <c r="CB144" s="1">
        <v>923</v>
      </c>
      <c r="CC144" s="1">
        <v>4721</v>
      </c>
      <c r="CD144" s="1">
        <v>2701</v>
      </c>
      <c r="CE144" s="1">
        <v>4501</v>
      </c>
      <c r="CF144" s="1">
        <v>6067</v>
      </c>
      <c r="CG144" s="1">
        <v>91989</v>
      </c>
      <c r="CH144" s="1">
        <v>10721</v>
      </c>
      <c r="CI144" s="1">
        <v>18738</v>
      </c>
      <c r="CJ144" s="1">
        <v>4089</v>
      </c>
      <c r="CK144" s="1">
        <v>11055</v>
      </c>
      <c r="CL144" s="1">
        <v>6841</v>
      </c>
      <c r="CM144" s="1">
        <v>10891</v>
      </c>
      <c r="CN144" s="1">
        <v>34095</v>
      </c>
      <c r="CO144" s="1">
        <v>4744</v>
      </c>
      <c r="CP144" s="1">
        <v>2764</v>
      </c>
      <c r="CQ144" s="1">
        <v>3032</v>
      </c>
      <c r="CR144" s="1">
        <v>5438</v>
      </c>
      <c r="CS144" s="1">
        <v>22998</v>
      </c>
      <c r="CT144" s="1">
        <v>16881</v>
      </c>
      <c r="CU144" s="1">
        <v>1640</v>
      </c>
      <c r="CV144" s="1">
        <v>197401</v>
      </c>
      <c r="CW144" s="1">
        <v>3503</v>
      </c>
      <c r="CX144" s="1">
        <v>1273</v>
      </c>
      <c r="CY144" s="1">
        <v>17617</v>
      </c>
      <c r="CZ144" s="1">
        <v>2043</v>
      </c>
      <c r="DA144" s="1">
        <v>5238</v>
      </c>
      <c r="DB144" s="1">
        <v>11253</v>
      </c>
      <c r="DC144" s="1">
        <v>3605</v>
      </c>
      <c r="DD144" s="1">
        <v>2447</v>
      </c>
      <c r="DE144" s="1">
        <v>1423</v>
      </c>
      <c r="DF144" s="1">
        <v>35825</v>
      </c>
      <c r="DG144" s="1">
        <v>11016</v>
      </c>
      <c r="DH144" s="1">
        <v>11063</v>
      </c>
      <c r="DI144" s="1">
        <v>2805</v>
      </c>
      <c r="DJ144" s="1">
        <v>18891</v>
      </c>
      <c r="DK144" s="1">
        <v>15315</v>
      </c>
      <c r="DL144" s="1">
        <v>8015</v>
      </c>
      <c r="DM144" s="1">
        <v>11351</v>
      </c>
      <c r="DN144" s="1">
        <v>11384</v>
      </c>
      <c r="DO144" s="1">
        <v>2754</v>
      </c>
      <c r="DP144" s="1">
        <v>5411</v>
      </c>
      <c r="DQ144" s="1">
        <v>45035</v>
      </c>
      <c r="DR144" s="1">
        <v>3382</v>
      </c>
      <c r="DS144" s="1">
        <v>6371</v>
      </c>
      <c r="DT144" s="1">
        <v>708</v>
      </c>
      <c r="DU144" s="1">
        <v>8686</v>
      </c>
      <c r="DV144" s="1">
        <v>3692</v>
      </c>
      <c r="DW144" s="1">
        <v>4299</v>
      </c>
      <c r="DX144" s="1">
        <v>9043</v>
      </c>
      <c r="DY144" s="1">
        <v>1698</v>
      </c>
      <c r="DZ144" s="1">
        <v>1892</v>
      </c>
      <c r="EA144" s="1">
        <v>8487</v>
      </c>
      <c r="EB144" s="1">
        <v>4355</v>
      </c>
      <c r="EC144" s="1">
        <v>879</v>
      </c>
      <c r="ED144" s="1">
        <v>891</v>
      </c>
      <c r="EE144" s="1">
        <v>27024</v>
      </c>
      <c r="EF144" s="1">
        <v>3555</v>
      </c>
      <c r="EG144" s="1">
        <v>9296</v>
      </c>
      <c r="EH144" s="1">
        <v>19864</v>
      </c>
      <c r="EJ144" s="1">
        <f t="shared" si="2"/>
        <v>1179079</v>
      </c>
    </row>
    <row r="145" spans="1:140" x14ac:dyDescent="0.25">
      <c r="A145" s="1" t="s">
        <v>281</v>
      </c>
      <c r="B145" s="1">
        <v>2528</v>
      </c>
      <c r="C145" s="1">
        <v>4094</v>
      </c>
      <c r="D145" s="1">
        <v>126</v>
      </c>
      <c r="E145" s="1">
        <v>1196</v>
      </c>
      <c r="F145" s="1">
        <v>5</v>
      </c>
      <c r="G145" s="1">
        <v>16</v>
      </c>
      <c r="H145" s="1">
        <v>7524</v>
      </c>
      <c r="I145" s="1">
        <v>65</v>
      </c>
      <c r="J145" s="1">
        <v>1511</v>
      </c>
      <c r="K145" s="1">
        <v>42</v>
      </c>
      <c r="L145" s="1">
        <v>838</v>
      </c>
      <c r="M145" s="1">
        <v>54</v>
      </c>
      <c r="N145" s="1">
        <v>8607</v>
      </c>
      <c r="O145" s="1">
        <v>1235</v>
      </c>
      <c r="P145" s="1">
        <v>1063</v>
      </c>
      <c r="Q145" s="1">
        <v>5064</v>
      </c>
      <c r="R145" s="1">
        <v>18</v>
      </c>
      <c r="S145" s="1">
        <v>1453</v>
      </c>
      <c r="T145" s="1">
        <v>1901</v>
      </c>
      <c r="U145" s="1">
        <v>1838</v>
      </c>
      <c r="V145" s="1">
        <v>5008</v>
      </c>
      <c r="W145" s="1">
        <v>2258</v>
      </c>
      <c r="X145" s="1">
        <v>455</v>
      </c>
      <c r="Y145" s="1">
        <v>476</v>
      </c>
      <c r="Z145" s="1">
        <v>581</v>
      </c>
      <c r="AA145" s="1">
        <v>411</v>
      </c>
      <c r="AB145" s="1">
        <v>4796</v>
      </c>
      <c r="AC145" s="1">
        <v>800</v>
      </c>
      <c r="AD145" s="1">
        <v>287</v>
      </c>
      <c r="AE145" s="1">
        <v>1052</v>
      </c>
      <c r="AF145" s="1">
        <v>916</v>
      </c>
      <c r="AG145" s="1">
        <v>20154</v>
      </c>
      <c r="AH145" s="1">
        <v>338</v>
      </c>
      <c r="AI145" s="1">
        <v>655</v>
      </c>
      <c r="AJ145" s="1">
        <v>192</v>
      </c>
      <c r="AK145" s="1">
        <v>1516</v>
      </c>
      <c r="AL145" s="1">
        <v>1641</v>
      </c>
      <c r="AM145" s="1">
        <v>727</v>
      </c>
      <c r="AN145" s="1">
        <v>174</v>
      </c>
      <c r="AO145" s="1">
        <v>6475</v>
      </c>
      <c r="AP145" s="1">
        <v>458</v>
      </c>
      <c r="AQ145" s="1">
        <v>66</v>
      </c>
      <c r="AR145" s="1">
        <v>2298</v>
      </c>
      <c r="AS145" s="1">
        <v>4358</v>
      </c>
      <c r="AT145" s="1">
        <v>605</v>
      </c>
      <c r="AU145" s="1">
        <v>2221</v>
      </c>
      <c r="AV145" s="1">
        <v>2541</v>
      </c>
      <c r="AW145" s="1">
        <v>1695</v>
      </c>
      <c r="AX145" s="1">
        <v>16984</v>
      </c>
      <c r="AY145" s="1">
        <v>163</v>
      </c>
      <c r="AZ145" s="1">
        <v>620</v>
      </c>
      <c r="BA145" s="1">
        <v>6896</v>
      </c>
      <c r="BB145" s="1">
        <v>150</v>
      </c>
      <c r="BC145" s="1">
        <v>602</v>
      </c>
      <c r="BD145" s="1">
        <v>5471</v>
      </c>
      <c r="BE145" s="1">
        <v>1749</v>
      </c>
      <c r="BF145" s="1">
        <v>1309</v>
      </c>
      <c r="BG145" s="1">
        <v>3389</v>
      </c>
      <c r="BH145" s="1">
        <v>1201</v>
      </c>
      <c r="BI145" s="1">
        <v>23482</v>
      </c>
      <c r="BJ145" s="1">
        <v>2865</v>
      </c>
      <c r="BK145" s="1">
        <v>5429</v>
      </c>
      <c r="BL145" s="1">
        <v>2104</v>
      </c>
      <c r="BM145" s="1">
        <v>3996</v>
      </c>
      <c r="BN145" s="1">
        <v>689</v>
      </c>
      <c r="BO145" s="1">
        <v>896</v>
      </c>
      <c r="BP145" s="1">
        <v>17017</v>
      </c>
      <c r="BQ145" s="1">
        <v>1572</v>
      </c>
      <c r="BR145" s="1">
        <v>41906</v>
      </c>
      <c r="BS145" s="1">
        <v>5147</v>
      </c>
      <c r="BT145" s="1">
        <v>4412</v>
      </c>
      <c r="BU145" s="1">
        <v>10138</v>
      </c>
      <c r="BV145" s="1">
        <v>2148</v>
      </c>
      <c r="BW145" s="1">
        <v>8394</v>
      </c>
      <c r="BX145" s="1">
        <v>1310</v>
      </c>
      <c r="BY145" s="1">
        <v>2989</v>
      </c>
      <c r="BZ145" s="1">
        <v>14353</v>
      </c>
      <c r="CA145" s="1">
        <v>1671</v>
      </c>
      <c r="CB145" s="1">
        <v>671</v>
      </c>
      <c r="CC145" s="1">
        <v>4260</v>
      </c>
      <c r="CD145" s="1">
        <v>2010</v>
      </c>
      <c r="CE145" s="1">
        <v>4650</v>
      </c>
      <c r="CF145" s="1">
        <v>5297</v>
      </c>
      <c r="CG145" s="1">
        <v>78841</v>
      </c>
      <c r="CH145" s="1">
        <v>7949</v>
      </c>
      <c r="CI145" s="1">
        <v>15166</v>
      </c>
      <c r="CJ145" s="1">
        <v>3062</v>
      </c>
      <c r="CK145" s="1">
        <v>8258</v>
      </c>
      <c r="CL145" s="1">
        <v>5399</v>
      </c>
      <c r="CM145" s="1">
        <v>8216</v>
      </c>
      <c r="CN145" s="1">
        <v>23637</v>
      </c>
      <c r="CO145" s="1">
        <v>3302</v>
      </c>
      <c r="CP145" s="1">
        <v>2290</v>
      </c>
      <c r="CQ145" s="1">
        <v>2303</v>
      </c>
      <c r="CR145" s="1">
        <v>4274</v>
      </c>
      <c r="CS145" s="1">
        <v>17248</v>
      </c>
      <c r="CT145" s="1">
        <v>13270</v>
      </c>
      <c r="CU145" s="1">
        <v>1936</v>
      </c>
      <c r="CV145" s="1">
        <v>151484</v>
      </c>
      <c r="CW145" s="1">
        <v>2524</v>
      </c>
      <c r="CX145" s="1">
        <v>1111</v>
      </c>
      <c r="CY145" s="1">
        <v>12156</v>
      </c>
      <c r="CZ145" s="1">
        <v>1467</v>
      </c>
      <c r="DA145" s="1">
        <v>4203</v>
      </c>
      <c r="DB145" s="1">
        <v>8503</v>
      </c>
      <c r="DC145" s="1">
        <v>2488</v>
      </c>
      <c r="DD145" s="1">
        <v>2212</v>
      </c>
      <c r="DE145" s="1">
        <v>1025</v>
      </c>
      <c r="DF145" s="1">
        <v>26700</v>
      </c>
      <c r="DG145" s="1">
        <v>8181</v>
      </c>
      <c r="DH145" s="1">
        <v>7212</v>
      </c>
      <c r="DI145" s="1">
        <v>2048</v>
      </c>
      <c r="DJ145" s="1">
        <v>14559</v>
      </c>
      <c r="DK145" s="1">
        <v>14167</v>
      </c>
      <c r="DL145" s="1">
        <v>6892</v>
      </c>
      <c r="DM145" s="1">
        <v>8265</v>
      </c>
      <c r="DN145" s="1">
        <v>6349</v>
      </c>
      <c r="DO145" s="1">
        <v>2209</v>
      </c>
      <c r="DP145" s="1">
        <v>3612</v>
      </c>
      <c r="DQ145" s="1">
        <v>38735</v>
      </c>
      <c r="DR145" s="1">
        <v>2281</v>
      </c>
      <c r="DS145" s="1">
        <v>5037</v>
      </c>
      <c r="DT145" s="1">
        <v>601</v>
      </c>
      <c r="DU145" s="1">
        <v>6658</v>
      </c>
      <c r="DV145" s="1">
        <v>2627</v>
      </c>
      <c r="DW145" s="1">
        <v>3119</v>
      </c>
      <c r="DX145" s="1">
        <v>6826</v>
      </c>
      <c r="DY145" s="1">
        <v>1093</v>
      </c>
      <c r="DZ145" s="1">
        <v>1724</v>
      </c>
      <c r="EA145" s="1">
        <v>6755</v>
      </c>
      <c r="EB145" s="1">
        <v>3104</v>
      </c>
      <c r="EC145" s="1">
        <v>453</v>
      </c>
      <c r="ED145" s="1">
        <v>637</v>
      </c>
      <c r="EE145" s="1">
        <v>20759</v>
      </c>
      <c r="EF145" s="1">
        <v>2275</v>
      </c>
      <c r="EG145" s="1">
        <v>7756</v>
      </c>
      <c r="EH145" s="1">
        <v>15801</v>
      </c>
      <c r="EJ145" s="1">
        <f t="shared" si="2"/>
        <v>917031</v>
      </c>
    </row>
    <row r="146" spans="1:140" x14ac:dyDescent="0.25">
      <c r="A146" s="1" t="s">
        <v>282</v>
      </c>
      <c r="B146" s="1">
        <v>3455</v>
      </c>
      <c r="C146" s="1">
        <v>5032</v>
      </c>
      <c r="D146" s="1">
        <v>144</v>
      </c>
      <c r="E146" s="1">
        <v>1745</v>
      </c>
      <c r="F146" s="1">
        <v>16</v>
      </c>
      <c r="G146" s="1">
        <v>29</v>
      </c>
      <c r="H146" s="1">
        <v>9170</v>
      </c>
      <c r="I146" s="1">
        <v>143</v>
      </c>
      <c r="J146" s="1">
        <v>1547</v>
      </c>
      <c r="K146" s="1">
        <v>110</v>
      </c>
      <c r="L146" s="1">
        <v>1131</v>
      </c>
      <c r="M146" s="1">
        <v>108</v>
      </c>
      <c r="N146" s="1">
        <v>9753</v>
      </c>
      <c r="O146" s="1">
        <v>1543</v>
      </c>
      <c r="P146" s="1">
        <v>1666</v>
      </c>
      <c r="Q146" s="1">
        <v>7075</v>
      </c>
      <c r="R146" s="1">
        <v>28</v>
      </c>
      <c r="S146" s="1">
        <v>1447</v>
      </c>
      <c r="T146" s="1">
        <v>2517</v>
      </c>
      <c r="U146" s="1">
        <v>2587</v>
      </c>
      <c r="V146" s="1">
        <v>6098</v>
      </c>
      <c r="W146" s="1">
        <v>2648</v>
      </c>
      <c r="X146" s="1">
        <v>764</v>
      </c>
      <c r="Y146" s="1">
        <v>695</v>
      </c>
      <c r="Z146" s="1">
        <v>713</v>
      </c>
      <c r="AA146" s="1">
        <v>580</v>
      </c>
      <c r="AB146" s="1">
        <v>5438</v>
      </c>
      <c r="AC146" s="1">
        <v>908</v>
      </c>
      <c r="AD146" s="1">
        <v>550</v>
      </c>
      <c r="AE146" s="1">
        <v>1733</v>
      </c>
      <c r="AF146" s="1">
        <v>1706</v>
      </c>
      <c r="AG146" s="1">
        <v>25222</v>
      </c>
      <c r="AH146" s="1">
        <v>541</v>
      </c>
      <c r="AI146" s="1">
        <v>1241</v>
      </c>
      <c r="AJ146" s="1">
        <v>364</v>
      </c>
      <c r="AK146" s="1">
        <v>1817</v>
      </c>
      <c r="AL146" s="1">
        <v>2832</v>
      </c>
      <c r="AM146" s="1">
        <v>693</v>
      </c>
      <c r="AN146" s="1">
        <v>337</v>
      </c>
      <c r="AO146" s="1">
        <v>7235</v>
      </c>
      <c r="AP146" s="1">
        <v>897</v>
      </c>
      <c r="AQ146" s="1">
        <v>169</v>
      </c>
      <c r="AR146" s="1">
        <v>4075</v>
      </c>
      <c r="AS146" s="1">
        <v>6399</v>
      </c>
      <c r="AT146" s="1">
        <v>833</v>
      </c>
      <c r="AU146" s="1">
        <v>2671</v>
      </c>
      <c r="AV146" s="1">
        <v>3599</v>
      </c>
      <c r="AW146" s="1">
        <v>2211</v>
      </c>
      <c r="AX146" s="1">
        <v>19334</v>
      </c>
      <c r="AY146" s="1">
        <v>266</v>
      </c>
      <c r="AZ146" s="1">
        <v>2222</v>
      </c>
      <c r="BA146" s="1">
        <v>5797</v>
      </c>
      <c r="BB146" s="1">
        <v>169</v>
      </c>
      <c r="BC146" s="1">
        <v>879</v>
      </c>
      <c r="BD146" s="1">
        <v>5801</v>
      </c>
      <c r="BE146" s="1">
        <v>2830</v>
      </c>
      <c r="BF146" s="1">
        <v>1558</v>
      </c>
      <c r="BG146" s="1">
        <v>5225</v>
      </c>
      <c r="BH146" s="1">
        <v>2018</v>
      </c>
      <c r="BI146" s="1">
        <v>25031</v>
      </c>
      <c r="BJ146" s="1">
        <v>3886</v>
      </c>
      <c r="BK146" s="1">
        <v>5551</v>
      </c>
      <c r="BL146" s="1">
        <v>2416</v>
      </c>
      <c r="BM146" s="1">
        <v>4474</v>
      </c>
      <c r="BN146" s="1">
        <v>1015</v>
      </c>
      <c r="BO146" s="1">
        <v>991</v>
      </c>
      <c r="BP146" s="1">
        <v>21479</v>
      </c>
      <c r="BQ146" s="1">
        <v>1971</v>
      </c>
      <c r="BR146" s="1">
        <v>49097</v>
      </c>
      <c r="BS146" s="1">
        <v>5840</v>
      </c>
      <c r="BT146" s="1">
        <v>7188</v>
      </c>
      <c r="BU146" s="1">
        <v>15737</v>
      </c>
      <c r="BV146" s="1">
        <v>2421</v>
      </c>
      <c r="BW146" s="1">
        <v>10014</v>
      </c>
      <c r="BX146" s="1">
        <v>1973</v>
      </c>
      <c r="BY146" s="1">
        <v>4265</v>
      </c>
      <c r="BZ146" s="1">
        <v>15212</v>
      </c>
      <c r="CA146" s="1">
        <v>2158</v>
      </c>
      <c r="CB146" s="1">
        <v>1290</v>
      </c>
      <c r="CC146" s="1">
        <v>4618</v>
      </c>
      <c r="CD146" s="1">
        <v>2680</v>
      </c>
      <c r="CE146" s="1">
        <v>4948</v>
      </c>
      <c r="CF146" s="1">
        <v>4415</v>
      </c>
      <c r="CG146" s="1">
        <v>79727</v>
      </c>
      <c r="CH146" s="1">
        <v>12292</v>
      </c>
      <c r="CI146" s="1">
        <v>25271</v>
      </c>
      <c r="CJ146" s="1">
        <v>5687</v>
      </c>
      <c r="CK146" s="1">
        <v>12509</v>
      </c>
      <c r="CL146" s="1">
        <v>7532</v>
      </c>
      <c r="CM146" s="1">
        <v>12027</v>
      </c>
      <c r="CN146" s="1">
        <v>36913</v>
      </c>
      <c r="CO146" s="1">
        <v>4902</v>
      </c>
      <c r="CP146" s="1">
        <v>3250</v>
      </c>
      <c r="CQ146" s="1">
        <v>3732</v>
      </c>
      <c r="CR146" s="1">
        <v>5851</v>
      </c>
      <c r="CS146" s="1">
        <v>24367</v>
      </c>
      <c r="CT146" s="1">
        <v>15695</v>
      </c>
      <c r="CU146" s="1">
        <v>1756</v>
      </c>
      <c r="CV146" s="1">
        <v>193832</v>
      </c>
      <c r="CW146" s="1">
        <v>4202</v>
      </c>
      <c r="CX146" s="1">
        <v>1840</v>
      </c>
      <c r="CY146" s="1">
        <v>19685</v>
      </c>
      <c r="CZ146" s="1">
        <v>2242</v>
      </c>
      <c r="DA146" s="1">
        <v>5609</v>
      </c>
      <c r="DB146" s="1">
        <v>12075</v>
      </c>
      <c r="DC146" s="1">
        <v>3959</v>
      </c>
      <c r="DD146" s="1">
        <v>3336</v>
      </c>
      <c r="DE146" s="1">
        <v>2000</v>
      </c>
      <c r="DF146" s="1">
        <v>37173</v>
      </c>
      <c r="DG146" s="1">
        <v>15658</v>
      </c>
      <c r="DH146" s="1">
        <v>12772</v>
      </c>
      <c r="DI146" s="1">
        <v>4377</v>
      </c>
      <c r="DJ146" s="1">
        <v>22891</v>
      </c>
      <c r="DK146" s="1">
        <v>16945</v>
      </c>
      <c r="DL146" s="1">
        <v>9440</v>
      </c>
      <c r="DM146" s="1">
        <v>11566</v>
      </c>
      <c r="DN146" s="1">
        <v>18600</v>
      </c>
      <c r="DO146" s="1">
        <v>2547</v>
      </c>
      <c r="DP146" s="1">
        <v>6708</v>
      </c>
      <c r="DQ146" s="1">
        <v>46097</v>
      </c>
      <c r="DR146" s="1">
        <v>2558</v>
      </c>
      <c r="DS146" s="1">
        <v>4476</v>
      </c>
      <c r="DT146" s="1">
        <v>810</v>
      </c>
      <c r="DU146" s="1">
        <v>8925</v>
      </c>
      <c r="DV146" s="1">
        <v>4285</v>
      </c>
      <c r="DW146" s="1">
        <v>4665</v>
      </c>
      <c r="DX146" s="1">
        <v>14638</v>
      </c>
      <c r="DY146" s="1">
        <v>2619</v>
      </c>
      <c r="DZ146" s="1">
        <v>2191</v>
      </c>
      <c r="EA146" s="1">
        <v>8788</v>
      </c>
      <c r="EB146" s="1">
        <v>6322</v>
      </c>
      <c r="EC146" s="1">
        <v>843</v>
      </c>
      <c r="ED146" s="1">
        <v>938</v>
      </c>
      <c r="EE146" s="1">
        <v>26865</v>
      </c>
      <c r="EF146" s="1">
        <v>3855</v>
      </c>
      <c r="EG146" s="1">
        <v>11011</v>
      </c>
      <c r="EH146" s="1">
        <v>19202</v>
      </c>
      <c r="EJ146" s="1">
        <f t="shared" si="2"/>
        <v>1205040</v>
      </c>
    </row>
    <row r="147" spans="1:140" x14ac:dyDescent="0.25">
      <c r="A147" s="1" t="s">
        <v>283</v>
      </c>
      <c r="B147" s="1">
        <v>3503</v>
      </c>
      <c r="C147" s="1">
        <v>5613</v>
      </c>
      <c r="D147" s="1">
        <v>193</v>
      </c>
      <c r="E147" s="1">
        <v>1481</v>
      </c>
      <c r="F147" s="1">
        <v>12</v>
      </c>
      <c r="G147" s="1">
        <v>12</v>
      </c>
      <c r="H147" s="1">
        <v>9199</v>
      </c>
      <c r="I147" s="1">
        <v>131</v>
      </c>
      <c r="J147" s="1">
        <v>1423</v>
      </c>
      <c r="K147" s="1">
        <v>54</v>
      </c>
      <c r="L147" s="1">
        <v>912</v>
      </c>
      <c r="M147" s="1">
        <v>77</v>
      </c>
      <c r="N147" s="1">
        <v>10904</v>
      </c>
      <c r="O147" s="1">
        <v>1315</v>
      </c>
      <c r="P147" s="1">
        <v>1499</v>
      </c>
      <c r="Q147" s="1">
        <v>6986</v>
      </c>
      <c r="R147" s="1">
        <v>25</v>
      </c>
      <c r="S147" s="1">
        <v>1365</v>
      </c>
      <c r="T147" s="1">
        <v>2629</v>
      </c>
      <c r="U147" s="1">
        <v>2603</v>
      </c>
      <c r="V147" s="1">
        <v>5163</v>
      </c>
      <c r="W147" s="1">
        <v>2169</v>
      </c>
      <c r="X147" s="1">
        <v>572</v>
      </c>
      <c r="Y147" s="1">
        <v>634</v>
      </c>
      <c r="Z147" s="1">
        <v>1005</v>
      </c>
      <c r="AA147" s="1">
        <v>550</v>
      </c>
      <c r="AB147" s="1">
        <v>5146</v>
      </c>
      <c r="AC147" s="1">
        <v>808</v>
      </c>
      <c r="AD147" s="1">
        <v>555</v>
      </c>
      <c r="AE147" s="1">
        <v>1805</v>
      </c>
      <c r="AF147" s="1">
        <v>1613</v>
      </c>
      <c r="AG147" s="1">
        <v>24828</v>
      </c>
      <c r="AH147" s="1">
        <v>590</v>
      </c>
      <c r="AI147" s="1">
        <v>1140</v>
      </c>
      <c r="AJ147" s="1">
        <v>414</v>
      </c>
      <c r="AK147" s="1">
        <v>1887</v>
      </c>
      <c r="AL147" s="1">
        <v>2004</v>
      </c>
      <c r="AM147" s="1">
        <v>714</v>
      </c>
      <c r="AN147" s="1">
        <v>293</v>
      </c>
      <c r="AO147" s="1">
        <v>7279</v>
      </c>
      <c r="AP147" s="1">
        <v>782</v>
      </c>
      <c r="AQ147" s="1">
        <v>121</v>
      </c>
      <c r="AR147" s="1">
        <v>2628</v>
      </c>
      <c r="AS147" s="1">
        <v>5181</v>
      </c>
      <c r="AT147" s="1">
        <v>888</v>
      </c>
      <c r="AU147" s="1">
        <v>2228</v>
      </c>
      <c r="AV147" s="1">
        <v>3233</v>
      </c>
      <c r="AW147" s="1">
        <v>2241</v>
      </c>
      <c r="AX147" s="1">
        <v>17994</v>
      </c>
      <c r="AY147" s="1">
        <v>170</v>
      </c>
      <c r="AZ147" s="1">
        <v>685</v>
      </c>
      <c r="BA147" s="1">
        <v>5532</v>
      </c>
      <c r="BB147" s="1">
        <v>157</v>
      </c>
      <c r="BC147" s="1">
        <v>779</v>
      </c>
      <c r="BD147" s="1">
        <v>5441</v>
      </c>
      <c r="BE147" s="1">
        <v>2723</v>
      </c>
      <c r="BF147" s="1">
        <v>1787</v>
      </c>
      <c r="BG147" s="1">
        <v>4930</v>
      </c>
      <c r="BH147" s="1">
        <v>1952</v>
      </c>
      <c r="BI147" s="1">
        <v>22988</v>
      </c>
      <c r="BJ147" s="1">
        <v>4007</v>
      </c>
      <c r="BK147" s="1">
        <v>5150</v>
      </c>
      <c r="BL147" s="1">
        <v>2760</v>
      </c>
      <c r="BM147" s="1">
        <v>4953</v>
      </c>
      <c r="BN147" s="1">
        <v>1109</v>
      </c>
      <c r="BO147" s="1">
        <v>1131</v>
      </c>
      <c r="BP147" s="1">
        <v>23623</v>
      </c>
      <c r="BQ147" s="1">
        <v>2218</v>
      </c>
      <c r="BR147" s="1">
        <v>54732</v>
      </c>
      <c r="BS147" s="1">
        <v>6371</v>
      </c>
      <c r="BT147" s="1">
        <v>9579</v>
      </c>
      <c r="BU147" s="1">
        <v>16495</v>
      </c>
      <c r="BV147" s="1">
        <v>2785</v>
      </c>
      <c r="BW147" s="1">
        <v>11441</v>
      </c>
      <c r="BX147" s="1">
        <v>2093</v>
      </c>
      <c r="BY147" s="1">
        <v>4626</v>
      </c>
      <c r="BZ147" s="1">
        <v>16004</v>
      </c>
      <c r="CA147" s="1">
        <v>2098</v>
      </c>
      <c r="CB147" s="1">
        <v>1013</v>
      </c>
      <c r="CC147" s="1">
        <v>4400</v>
      </c>
      <c r="CD147" s="1">
        <v>2406</v>
      </c>
      <c r="CE147" s="1">
        <v>3734</v>
      </c>
      <c r="CF147" s="1">
        <v>5057</v>
      </c>
      <c r="CG147" s="1">
        <v>82918</v>
      </c>
      <c r="CH147" s="1">
        <v>14610</v>
      </c>
      <c r="CI147" s="1">
        <v>28064</v>
      </c>
      <c r="CJ147" s="1">
        <v>7742</v>
      </c>
      <c r="CK147" s="1">
        <v>13655</v>
      </c>
      <c r="CL147" s="1">
        <v>8194</v>
      </c>
      <c r="CM147" s="1">
        <v>12966</v>
      </c>
      <c r="CN147" s="1">
        <v>39798</v>
      </c>
      <c r="CO147" s="1">
        <v>5831</v>
      </c>
      <c r="CP147" s="1">
        <v>3498</v>
      </c>
      <c r="CQ147" s="1">
        <v>4534</v>
      </c>
      <c r="CR147" s="1">
        <v>6362</v>
      </c>
      <c r="CS147" s="1">
        <v>25468</v>
      </c>
      <c r="CT147" s="1">
        <v>15769</v>
      </c>
      <c r="CU147" s="1">
        <v>1748</v>
      </c>
      <c r="CV147" s="1">
        <v>206399</v>
      </c>
      <c r="CW147" s="1">
        <v>5101</v>
      </c>
      <c r="CX147" s="1">
        <v>2122</v>
      </c>
      <c r="CY147" s="1">
        <v>22419</v>
      </c>
      <c r="CZ147" s="1">
        <v>2684</v>
      </c>
      <c r="DA147" s="1">
        <v>6625</v>
      </c>
      <c r="DB147" s="1">
        <v>13288</v>
      </c>
      <c r="DC147" s="1">
        <v>5365</v>
      </c>
      <c r="DD147" s="1">
        <v>3388</v>
      </c>
      <c r="DE147" s="1">
        <v>2582</v>
      </c>
      <c r="DF147" s="1">
        <v>38653</v>
      </c>
      <c r="DG147" s="1">
        <v>16018</v>
      </c>
      <c r="DH147" s="1">
        <v>17214</v>
      </c>
      <c r="DI147" s="1">
        <v>4894</v>
      </c>
      <c r="DJ147" s="1">
        <v>29170</v>
      </c>
      <c r="DK147" s="1">
        <v>16377</v>
      </c>
      <c r="DL147" s="1">
        <v>10536</v>
      </c>
      <c r="DM147" s="1">
        <v>13813</v>
      </c>
      <c r="DN147" s="1">
        <v>19544</v>
      </c>
      <c r="DO147" s="1">
        <v>3003</v>
      </c>
      <c r="DP147" s="1">
        <v>10424</v>
      </c>
      <c r="DQ147" s="1">
        <v>47739</v>
      </c>
      <c r="DR147" s="1">
        <v>3630</v>
      </c>
      <c r="DS147" s="1">
        <v>4598</v>
      </c>
      <c r="DT147" s="1">
        <v>687</v>
      </c>
      <c r="DU147" s="1">
        <v>9731</v>
      </c>
      <c r="DV147" s="1">
        <v>4365</v>
      </c>
      <c r="DW147" s="1">
        <v>5601</v>
      </c>
      <c r="DX147" s="1">
        <v>12977</v>
      </c>
      <c r="DY147" s="1">
        <v>2723</v>
      </c>
      <c r="DZ147" s="1">
        <v>2357</v>
      </c>
      <c r="EA147" s="1">
        <v>9088</v>
      </c>
      <c r="EB147" s="1">
        <v>5961</v>
      </c>
      <c r="EC147" s="1">
        <v>1008</v>
      </c>
      <c r="ED147" s="1">
        <v>1162</v>
      </c>
      <c r="EE147" s="1">
        <v>28405</v>
      </c>
      <c r="EF147" s="1">
        <v>3879</v>
      </c>
      <c r="EG147" s="1">
        <v>12492</v>
      </c>
      <c r="EH147" s="1">
        <v>20111</v>
      </c>
      <c r="EJ147" s="1">
        <f t="shared" si="2"/>
        <v>1276620</v>
      </c>
    </row>
    <row r="148" spans="1:140" x14ac:dyDescent="0.25">
      <c r="A148" s="1" t="s">
        <v>284</v>
      </c>
      <c r="B148" s="1">
        <v>3292</v>
      </c>
      <c r="C148" s="1">
        <v>6123</v>
      </c>
      <c r="D148" s="1">
        <v>201</v>
      </c>
      <c r="E148" s="1">
        <v>1624</v>
      </c>
      <c r="F148" s="1">
        <v>17</v>
      </c>
      <c r="G148" s="1">
        <v>32</v>
      </c>
      <c r="H148" s="1">
        <v>9810</v>
      </c>
      <c r="I148" s="1">
        <v>147</v>
      </c>
      <c r="J148" s="1">
        <v>1998</v>
      </c>
      <c r="K148" s="1">
        <v>71</v>
      </c>
      <c r="L148" s="1">
        <v>1344</v>
      </c>
      <c r="M148" s="1">
        <v>96</v>
      </c>
      <c r="N148" s="1">
        <v>9794</v>
      </c>
      <c r="O148" s="1">
        <v>1835</v>
      </c>
      <c r="P148" s="1">
        <v>2378</v>
      </c>
      <c r="Q148" s="1">
        <v>6297</v>
      </c>
      <c r="R148" s="1">
        <v>11</v>
      </c>
      <c r="S148" s="1">
        <v>1399</v>
      </c>
      <c r="T148" s="1">
        <v>2744</v>
      </c>
      <c r="U148" s="1">
        <v>2869</v>
      </c>
      <c r="V148" s="1">
        <v>6536</v>
      </c>
      <c r="W148" s="1">
        <v>3560</v>
      </c>
      <c r="X148" s="1">
        <v>571</v>
      </c>
      <c r="Y148" s="1">
        <v>636</v>
      </c>
      <c r="Z148" s="1">
        <v>883</v>
      </c>
      <c r="AA148" s="1">
        <v>606</v>
      </c>
      <c r="AB148" s="1">
        <v>5511</v>
      </c>
      <c r="AC148" s="1">
        <v>870</v>
      </c>
      <c r="AD148" s="1">
        <v>594</v>
      </c>
      <c r="AE148" s="1">
        <v>2249</v>
      </c>
      <c r="AF148" s="1">
        <v>1965</v>
      </c>
      <c r="AG148" s="1">
        <v>27501</v>
      </c>
      <c r="AH148" s="1">
        <v>531</v>
      </c>
      <c r="AI148" s="1">
        <v>1199</v>
      </c>
      <c r="AJ148" s="1">
        <v>377</v>
      </c>
      <c r="AK148" s="1">
        <v>2418</v>
      </c>
      <c r="AL148" s="1">
        <v>2024</v>
      </c>
      <c r="AM148" s="1">
        <v>955</v>
      </c>
      <c r="AN148" s="1">
        <v>797</v>
      </c>
      <c r="AO148" s="1">
        <v>8171</v>
      </c>
      <c r="AP148" s="1">
        <v>948</v>
      </c>
      <c r="AQ148" s="1">
        <v>90</v>
      </c>
      <c r="AR148" s="1">
        <v>3093</v>
      </c>
      <c r="AS148" s="1">
        <v>6318</v>
      </c>
      <c r="AT148" s="1">
        <v>1155</v>
      </c>
      <c r="AU148" s="1">
        <v>2526</v>
      </c>
      <c r="AV148" s="1">
        <v>3764</v>
      </c>
      <c r="AW148" s="1">
        <v>2302</v>
      </c>
      <c r="AX148" s="1">
        <v>20614</v>
      </c>
      <c r="AY148" s="1">
        <v>202</v>
      </c>
      <c r="AZ148" s="1">
        <v>937</v>
      </c>
      <c r="BA148" s="1">
        <v>5595</v>
      </c>
      <c r="BB148" s="1">
        <v>214</v>
      </c>
      <c r="BC148" s="1">
        <v>1098</v>
      </c>
      <c r="BD148" s="1">
        <v>5951</v>
      </c>
      <c r="BE148" s="1">
        <v>3519</v>
      </c>
      <c r="BF148" s="1">
        <v>2645</v>
      </c>
      <c r="BG148" s="1">
        <v>5063</v>
      </c>
      <c r="BH148" s="1">
        <v>2065</v>
      </c>
      <c r="BI148" s="1">
        <v>27176</v>
      </c>
      <c r="BJ148" s="1">
        <v>4483</v>
      </c>
      <c r="BK148" s="1">
        <v>5637</v>
      </c>
      <c r="BL148" s="1">
        <v>3594</v>
      </c>
      <c r="BM148" s="1">
        <v>5671</v>
      </c>
      <c r="BN148" s="1">
        <v>1081</v>
      </c>
      <c r="BO148" s="1">
        <v>1142</v>
      </c>
      <c r="BP148" s="1">
        <v>27572</v>
      </c>
      <c r="BQ148" s="1">
        <v>2610</v>
      </c>
      <c r="BR148" s="1">
        <v>56836</v>
      </c>
      <c r="BS148" s="1">
        <v>7367</v>
      </c>
      <c r="BT148" s="1">
        <v>9558</v>
      </c>
      <c r="BU148" s="1">
        <v>17589</v>
      </c>
      <c r="BV148" s="1">
        <v>2900</v>
      </c>
      <c r="BW148" s="1">
        <v>12088</v>
      </c>
      <c r="BX148" s="1">
        <v>2298</v>
      </c>
      <c r="BY148" s="1">
        <v>5310</v>
      </c>
      <c r="BZ148" s="1">
        <v>17455</v>
      </c>
      <c r="CA148" s="1">
        <v>2397</v>
      </c>
      <c r="CB148" s="1">
        <v>1185</v>
      </c>
      <c r="CC148" s="1">
        <v>5796</v>
      </c>
      <c r="CD148" s="1">
        <v>3342</v>
      </c>
      <c r="CE148" s="1">
        <v>3981</v>
      </c>
      <c r="CF148" s="1">
        <v>5506</v>
      </c>
      <c r="CG148" s="1">
        <v>99688</v>
      </c>
      <c r="CH148" s="1">
        <v>17177</v>
      </c>
      <c r="CI148" s="1">
        <v>28079</v>
      </c>
      <c r="CJ148" s="1">
        <v>8580</v>
      </c>
      <c r="CK148" s="1">
        <v>15005</v>
      </c>
      <c r="CL148" s="1">
        <v>8917</v>
      </c>
      <c r="CM148" s="1">
        <v>14228</v>
      </c>
      <c r="CN148" s="1">
        <v>41852</v>
      </c>
      <c r="CO148" s="1">
        <v>7236</v>
      </c>
      <c r="CP148" s="1">
        <v>3587</v>
      </c>
      <c r="CQ148" s="1">
        <v>4989</v>
      </c>
      <c r="CR148" s="1">
        <v>6542</v>
      </c>
      <c r="CS148" s="1">
        <v>26404</v>
      </c>
      <c r="CT148" s="1">
        <v>16165</v>
      </c>
      <c r="CU148" s="1">
        <v>1759</v>
      </c>
      <c r="CV148" s="1">
        <v>224227</v>
      </c>
      <c r="CW148" s="1">
        <v>6890</v>
      </c>
      <c r="CX148" s="1">
        <v>1877</v>
      </c>
      <c r="CY148" s="1">
        <v>22808</v>
      </c>
      <c r="CZ148" s="1">
        <v>2741</v>
      </c>
      <c r="DA148" s="1">
        <v>6656</v>
      </c>
      <c r="DB148" s="1">
        <v>13415</v>
      </c>
      <c r="DC148" s="1">
        <v>5500</v>
      </c>
      <c r="DD148" s="1">
        <v>3182</v>
      </c>
      <c r="DE148" s="1">
        <v>2347</v>
      </c>
      <c r="DF148" s="1">
        <v>39747</v>
      </c>
      <c r="DG148" s="1">
        <v>14156</v>
      </c>
      <c r="DH148" s="1">
        <v>14351</v>
      </c>
      <c r="DI148" s="1">
        <v>4034</v>
      </c>
      <c r="DJ148" s="1">
        <v>24847</v>
      </c>
      <c r="DK148" s="1">
        <v>17010</v>
      </c>
      <c r="DL148" s="1">
        <v>11432</v>
      </c>
      <c r="DM148" s="1">
        <v>16015</v>
      </c>
      <c r="DN148" s="1">
        <v>15450</v>
      </c>
      <c r="DO148" s="1">
        <v>3946</v>
      </c>
      <c r="DP148" s="1">
        <v>11841</v>
      </c>
      <c r="DQ148" s="1">
        <v>52703</v>
      </c>
      <c r="DR148" s="1">
        <v>4314</v>
      </c>
      <c r="DS148" s="1">
        <v>6512</v>
      </c>
      <c r="DT148" s="1">
        <v>893</v>
      </c>
      <c r="DU148" s="1">
        <v>9856</v>
      </c>
      <c r="DV148" s="1">
        <v>4730</v>
      </c>
      <c r="DW148" s="1">
        <v>5591</v>
      </c>
      <c r="DX148" s="1">
        <v>11242</v>
      </c>
      <c r="DY148" s="1">
        <v>1822</v>
      </c>
      <c r="DZ148" s="1">
        <v>2808</v>
      </c>
      <c r="EA148" s="1">
        <v>10353</v>
      </c>
      <c r="EB148" s="1">
        <v>5429</v>
      </c>
      <c r="EC148" s="1">
        <v>941</v>
      </c>
      <c r="ED148" s="1">
        <v>929</v>
      </c>
      <c r="EE148" s="1">
        <v>30767</v>
      </c>
      <c r="EF148" s="1">
        <v>5131</v>
      </c>
      <c r="EG148" s="1">
        <v>13561</v>
      </c>
      <c r="EH148" s="1">
        <v>23514</v>
      </c>
      <c r="EJ148" s="1">
        <f t="shared" si="2"/>
        <v>1374485</v>
      </c>
    </row>
    <row r="149" spans="1:140" x14ac:dyDescent="0.25">
      <c r="A149" s="1" t="s">
        <v>285</v>
      </c>
      <c r="B149" s="1">
        <v>3076</v>
      </c>
      <c r="C149" s="1">
        <v>5585</v>
      </c>
      <c r="D149" s="1">
        <v>144</v>
      </c>
      <c r="E149" s="1">
        <v>1499</v>
      </c>
      <c r="F149" s="1">
        <v>20</v>
      </c>
      <c r="G149" s="1">
        <v>33</v>
      </c>
      <c r="H149" s="1">
        <v>9429</v>
      </c>
      <c r="I149" s="1">
        <v>121</v>
      </c>
      <c r="J149" s="1">
        <v>1543</v>
      </c>
      <c r="K149" s="1">
        <v>76</v>
      </c>
      <c r="L149" s="1">
        <v>1093</v>
      </c>
      <c r="M149" s="1">
        <v>70</v>
      </c>
      <c r="N149" s="1">
        <v>9453</v>
      </c>
      <c r="O149" s="1">
        <v>1346</v>
      </c>
      <c r="P149" s="1">
        <v>1912</v>
      </c>
      <c r="Q149" s="1">
        <v>6563</v>
      </c>
      <c r="R149" s="1">
        <v>14</v>
      </c>
      <c r="S149" s="1">
        <v>1234</v>
      </c>
      <c r="T149" s="1">
        <v>2671</v>
      </c>
      <c r="U149" s="1">
        <v>2655</v>
      </c>
      <c r="V149" s="1">
        <v>5200</v>
      </c>
      <c r="W149" s="1">
        <v>2337</v>
      </c>
      <c r="X149" s="1">
        <v>546</v>
      </c>
      <c r="Y149" s="1">
        <v>638</v>
      </c>
      <c r="Z149" s="1">
        <v>1114</v>
      </c>
      <c r="AA149" s="1">
        <v>437</v>
      </c>
      <c r="AB149" s="1">
        <v>6283</v>
      </c>
      <c r="AC149" s="1">
        <v>703</v>
      </c>
      <c r="AD149" s="1">
        <v>379</v>
      </c>
      <c r="AE149" s="1">
        <v>1625</v>
      </c>
      <c r="AF149" s="1">
        <v>1778</v>
      </c>
      <c r="AG149" s="1">
        <v>26431</v>
      </c>
      <c r="AH149" s="1">
        <v>621</v>
      </c>
      <c r="AI149" s="1">
        <v>970</v>
      </c>
      <c r="AJ149" s="1">
        <v>342</v>
      </c>
      <c r="AK149" s="1">
        <v>2106</v>
      </c>
      <c r="AL149" s="1">
        <v>1909</v>
      </c>
      <c r="AM149" s="1">
        <v>664</v>
      </c>
      <c r="AN149" s="1">
        <v>448</v>
      </c>
      <c r="AO149" s="1">
        <v>7749</v>
      </c>
      <c r="AP149" s="1">
        <v>767</v>
      </c>
      <c r="AQ149" s="1">
        <v>127</v>
      </c>
      <c r="AR149" s="1">
        <v>2818</v>
      </c>
      <c r="AS149" s="1">
        <v>5548</v>
      </c>
      <c r="AT149" s="1">
        <v>996</v>
      </c>
      <c r="AU149" s="1">
        <v>3194</v>
      </c>
      <c r="AV149" s="1">
        <v>3765</v>
      </c>
      <c r="AW149" s="1">
        <v>2175</v>
      </c>
      <c r="AX149" s="1">
        <v>21645</v>
      </c>
      <c r="AY149" s="1">
        <v>237</v>
      </c>
      <c r="AZ149" s="1">
        <v>839</v>
      </c>
      <c r="BA149" s="1">
        <v>6144</v>
      </c>
      <c r="BB149" s="1">
        <v>129</v>
      </c>
      <c r="BC149" s="1">
        <v>760</v>
      </c>
      <c r="BD149" s="1">
        <v>5735</v>
      </c>
      <c r="BE149" s="1">
        <v>2876</v>
      </c>
      <c r="BF149" s="1">
        <v>4190</v>
      </c>
      <c r="BG149" s="1">
        <v>4835</v>
      </c>
      <c r="BH149" s="1">
        <v>1818</v>
      </c>
      <c r="BI149" s="1">
        <v>23400</v>
      </c>
      <c r="BJ149" s="1">
        <v>3882</v>
      </c>
      <c r="BK149" s="1">
        <v>7135</v>
      </c>
      <c r="BL149" s="1">
        <v>3018</v>
      </c>
      <c r="BM149" s="1">
        <v>5672</v>
      </c>
      <c r="BN149" s="1">
        <v>1062</v>
      </c>
      <c r="BO149" s="1">
        <v>1060</v>
      </c>
      <c r="BP149" s="1">
        <v>25530</v>
      </c>
      <c r="BQ149" s="1">
        <v>2533</v>
      </c>
      <c r="BR149" s="1">
        <v>55100</v>
      </c>
      <c r="BS149" s="1">
        <v>7038</v>
      </c>
      <c r="BT149" s="1">
        <v>9396</v>
      </c>
      <c r="BU149" s="1">
        <v>19852</v>
      </c>
      <c r="BV149" s="1">
        <v>2752</v>
      </c>
      <c r="BW149" s="1">
        <v>11419</v>
      </c>
      <c r="BX149" s="1">
        <v>2192</v>
      </c>
      <c r="BY149" s="1">
        <v>6352</v>
      </c>
      <c r="BZ149" s="1">
        <v>14729</v>
      </c>
      <c r="CA149" s="1">
        <v>2696</v>
      </c>
      <c r="CB149" s="1">
        <v>1034</v>
      </c>
      <c r="CC149" s="1">
        <v>5645</v>
      </c>
      <c r="CD149" s="1">
        <v>2855</v>
      </c>
      <c r="CE149" s="1">
        <v>3675</v>
      </c>
      <c r="CF149" s="1">
        <v>5108</v>
      </c>
      <c r="CG149" s="1">
        <v>92215</v>
      </c>
      <c r="CH149" s="1">
        <v>13816</v>
      </c>
      <c r="CI149" s="1">
        <v>29185</v>
      </c>
      <c r="CJ149" s="1">
        <v>6540</v>
      </c>
      <c r="CK149" s="1">
        <v>12812</v>
      </c>
      <c r="CL149" s="1">
        <v>9084</v>
      </c>
      <c r="CM149" s="1">
        <v>14757</v>
      </c>
      <c r="CN149" s="1">
        <v>36487</v>
      </c>
      <c r="CO149" s="1">
        <v>5148</v>
      </c>
      <c r="CP149" s="1">
        <v>3304</v>
      </c>
      <c r="CQ149" s="1">
        <v>3731</v>
      </c>
      <c r="CR149" s="1">
        <v>6917</v>
      </c>
      <c r="CS149" s="1">
        <v>23397</v>
      </c>
      <c r="CT149" s="1">
        <v>14892</v>
      </c>
      <c r="CU149" s="1">
        <v>1800</v>
      </c>
      <c r="CV149" s="1">
        <v>203783</v>
      </c>
      <c r="CW149" s="1">
        <v>4642</v>
      </c>
      <c r="CX149" s="1">
        <v>1717</v>
      </c>
      <c r="CY149" s="1">
        <v>19785</v>
      </c>
      <c r="CZ149" s="1">
        <v>2707</v>
      </c>
      <c r="DA149" s="1">
        <v>5495</v>
      </c>
      <c r="DB149" s="1">
        <v>12512</v>
      </c>
      <c r="DC149" s="1">
        <v>4750</v>
      </c>
      <c r="DD149" s="1">
        <v>2810</v>
      </c>
      <c r="DE149" s="1">
        <v>1862</v>
      </c>
      <c r="DF149" s="1">
        <v>36829</v>
      </c>
      <c r="DG149" s="1">
        <v>12157</v>
      </c>
      <c r="DH149" s="1">
        <v>13660</v>
      </c>
      <c r="DI149" s="1">
        <v>3089</v>
      </c>
      <c r="DJ149" s="1">
        <v>21173</v>
      </c>
      <c r="DK149" s="1">
        <v>14598</v>
      </c>
      <c r="DL149" s="1">
        <v>9699</v>
      </c>
      <c r="DM149" s="1">
        <v>11947</v>
      </c>
      <c r="DN149" s="1">
        <v>12493</v>
      </c>
      <c r="DO149" s="1">
        <v>3382</v>
      </c>
      <c r="DP149" s="1">
        <v>6908</v>
      </c>
      <c r="DQ149" s="1">
        <v>46019</v>
      </c>
      <c r="DR149" s="1">
        <v>2873</v>
      </c>
      <c r="DS149" s="1">
        <v>4883</v>
      </c>
      <c r="DT149" s="1">
        <v>886</v>
      </c>
      <c r="DU149" s="1">
        <v>9345</v>
      </c>
      <c r="DV149" s="1">
        <v>4705</v>
      </c>
      <c r="DW149" s="1">
        <v>5562</v>
      </c>
      <c r="DX149" s="1">
        <v>9991</v>
      </c>
      <c r="DY149" s="1">
        <v>1686</v>
      </c>
      <c r="DZ149" s="1">
        <v>3421</v>
      </c>
      <c r="EA149" s="1">
        <v>8869</v>
      </c>
      <c r="EB149" s="1">
        <v>4929</v>
      </c>
      <c r="EC149" s="1">
        <v>886</v>
      </c>
      <c r="ED149" s="1">
        <v>1177</v>
      </c>
      <c r="EE149" s="1">
        <v>32412</v>
      </c>
      <c r="EF149" s="1">
        <v>4894</v>
      </c>
      <c r="EG149" s="1">
        <v>13351</v>
      </c>
      <c r="EH149" s="1">
        <v>20448</v>
      </c>
      <c r="EJ149" s="1">
        <f t="shared" si="2"/>
        <v>1258970</v>
      </c>
    </row>
    <row r="150" spans="1:140" x14ac:dyDescent="0.25">
      <c r="A150" s="1" t="s">
        <v>286</v>
      </c>
      <c r="B150" s="1">
        <v>3045</v>
      </c>
      <c r="C150" s="1">
        <v>5282</v>
      </c>
      <c r="D150" s="1">
        <v>136</v>
      </c>
      <c r="E150" s="1">
        <v>2065</v>
      </c>
      <c r="F150" s="1">
        <v>17</v>
      </c>
      <c r="G150" s="1">
        <v>19</v>
      </c>
      <c r="H150" s="1">
        <v>9669</v>
      </c>
      <c r="I150" s="1">
        <v>192</v>
      </c>
      <c r="J150" s="1">
        <v>1576</v>
      </c>
      <c r="K150" s="1">
        <v>70</v>
      </c>
      <c r="L150" s="1">
        <v>1104</v>
      </c>
      <c r="M150" s="1">
        <v>97</v>
      </c>
      <c r="N150" s="1">
        <v>10076</v>
      </c>
      <c r="O150" s="1">
        <v>1489</v>
      </c>
      <c r="P150" s="1">
        <v>1624</v>
      </c>
      <c r="Q150" s="1">
        <v>7198</v>
      </c>
      <c r="R150" s="1">
        <v>18</v>
      </c>
      <c r="S150" s="1">
        <v>1370</v>
      </c>
      <c r="T150" s="1">
        <v>2544</v>
      </c>
      <c r="U150" s="1">
        <v>2592</v>
      </c>
      <c r="V150" s="1">
        <v>6371</v>
      </c>
      <c r="W150" s="1">
        <v>3063</v>
      </c>
      <c r="X150" s="1">
        <v>545</v>
      </c>
      <c r="Y150" s="1">
        <v>1117</v>
      </c>
      <c r="Z150" s="1">
        <v>1228</v>
      </c>
      <c r="AA150" s="1">
        <v>595</v>
      </c>
      <c r="AB150" s="1">
        <v>5337</v>
      </c>
      <c r="AC150" s="1">
        <v>778</v>
      </c>
      <c r="AD150" s="1">
        <v>369</v>
      </c>
      <c r="AE150" s="1">
        <v>1758</v>
      </c>
      <c r="AF150" s="1">
        <v>2126</v>
      </c>
      <c r="AG150" s="1">
        <v>25867</v>
      </c>
      <c r="AH150" s="1">
        <v>715</v>
      </c>
      <c r="AI150" s="1">
        <v>1512</v>
      </c>
      <c r="AJ150" s="1">
        <v>525</v>
      </c>
      <c r="AK150" s="1">
        <v>2146</v>
      </c>
      <c r="AL150" s="1">
        <v>2410</v>
      </c>
      <c r="AM150" s="1">
        <v>642</v>
      </c>
      <c r="AN150" s="1">
        <v>290</v>
      </c>
      <c r="AO150" s="1">
        <v>7406</v>
      </c>
      <c r="AP150" s="1">
        <v>808</v>
      </c>
      <c r="AQ150" s="1">
        <v>111</v>
      </c>
      <c r="AR150" s="1">
        <v>2815</v>
      </c>
      <c r="AS150" s="1">
        <v>5039</v>
      </c>
      <c r="AT150" s="1">
        <v>923</v>
      </c>
      <c r="AU150" s="1">
        <v>3245</v>
      </c>
      <c r="AV150" s="1">
        <v>3544</v>
      </c>
      <c r="AW150" s="1">
        <v>2918</v>
      </c>
      <c r="AX150" s="1">
        <v>18139</v>
      </c>
      <c r="AY150" s="1">
        <v>163</v>
      </c>
      <c r="AZ150" s="1">
        <v>849</v>
      </c>
      <c r="BA150" s="1">
        <v>6404</v>
      </c>
      <c r="BB150" s="1">
        <v>201</v>
      </c>
      <c r="BC150" s="1">
        <v>855</v>
      </c>
      <c r="BD150" s="1">
        <v>5450</v>
      </c>
      <c r="BE150" s="1">
        <v>2886</v>
      </c>
      <c r="BF150" s="1">
        <v>2539</v>
      </c>
      <c r="BG150" s="1">
        <v>4343</v>
      </c>
      <c r="BH150" s="1">
        <v>1613</v>
      </c>
      <c r="BI150" s="1">
        <v>20490</v>
      </c>
      <c r="BJ150" s="1">
        <v>3837</v>
      </c>
      <c r="BK150" s="1">
        <v>8994</v>
      </c>
      <c r="BL150" s="1">
        <v>3379</v>
      </c>
      <c r="BM150" s="1">
        <v>5059</v>
      </c>
      <c r="BN150" s="1">
        <v>1149</v>
      </c>
      <c r="BO150" s="1">
        <v>1009</v>
      </c>
      <c r="BP150" s="1">
        <v>25393</v>
      </c>
      <c r="BQ150" s="1">
        <v>2457</v>
      </c>
      <c r="BR150" s="1">
        <v>50178</v>
      </c>
      <c r="BS150" s="1">
        <v>6290</v>
      </c>
      <c r="BT150" s="1">
        <v>10472</v>
      </c>
      <c r="BU150" s="1">
        <v>28996</v>
      </c>
      <c r="BV150" s="1">
        <v>3097</v>
      </c>
      <c r="BW150" s="1">
        <v>12913</v>
      </c>
      <c r="BX150" s="1">
        <v>2649</v>
      </c>
      <c r="BY150" s="1">
        <v>10934</v>
      </c>
      <c r="BZ150" s="1">
        <v>14803</v>
      </c>
      <c r="CA150" s="1">
        <v>2436</v>
      </c>
      <c r="CB150" s="1">
        <v>912</v>
      </c>
      <c r="CC150" s="1">
        <v>6366</v>
      </c>
      <c r="CD150" s="1">
        <v>2414</v>
      </c>
      <c r="CE150" s="1">
        <v>3556</v>
      </c>
      <c r="CF150" s="1">
        <v>4837</v>
      </c>
      <c r="CG150" s="1">
        <v>84217</v>
      </c>
      <c r="CH150" s="1">
        <v>12120</v>
      </c>
      <c r="CI150" s="1">
        <v>26297</v>
      </c>
      <c r="CJ150" s="1">
        <v>5462</v>
      </c>
      <c r="CK150" s="1">
        <v>13967</v>
      </c>
      <c r="CL150" s="1">
        <v>8857</v>
      </c>
      <c r="CM150" s="1">
        <v>12161</v>
      </c>
      <c r="CN150" s="1">
        <v>36854</v>
      </c>
      <c r="CO150" s="1">
        <v>4845</v>
      </c>
      <c r="CP150" s="1">
        <v>3587</v>
      </c>
      <c r="CQ150" s="1">
        <v>3589</v>
      </c>
      <c r="CR150" s="1">
        <v>6440</v>
      </c>
      <c r="CS150" s="1">
        <v>23902</v>
      </c>
      <c r="CT150" s="1">
        <v>14874</v>
      </c>
      <c r="CU150" s="1">
        <v>1569</v>
      </c>
      <c r="CV150" s="1">
        <v>195231</v>
      </c>
      <c r="CW150" s="1">
        <v>4212</v>
      </c>
      <c r="CX150" s="1">
        <v>1413</v>
      </c>
      <c r="CY150" s="1">
        <v>18686</v>
      </c>
      <c r="CZ150" s="1">
        <v>2573</v>
      </c>
      <c r="DA150" s="1">
        <v>6076</v>
      </c>
      <c r="DB150" s="1">
        <v>11380</v>
      </c>
      <c r="DC150" s="1">
        <v>4587</v>
      </c>
      <c r="DD150" s="1">
        <v>2430</v>
      </c>
      <c r="DE150" s="1">
        <v>1951</v>
      </c>
      <c r="DF150" s="1">
        <v>34859</v>
      </c>
      <c r="DG150" s="1">
        <v>10927</v>
      </c>
      <c r="DH150" s="1">
        <v>12906</v>
      </c>
      <c r="DI150" s="1">
        <v>3146</v>
      </c>
      <c r="DJ150" s="1">
        <v>19486</v>
      </c>
      <c r="DK150" s="1">
        <v>13756</v>
      </c>
      <c r="DL150" s="1">
        <v>8830</v>
      </c>
      <c r="DM150" s="1">
        <v>10365</v>
      </c>
      <c r="DN150" s="1">
        <v>10120</v>
      </c>
      <c r="DO150" s="1">
        <v>2439</v>
      </c>
      <c r="DP150" s="1">
        <v>6003</v>
      </c>
      <c r="DQ150" s="1">
        <v>41484</v>
      </c>
      <c r="DR150" s="1">
        <v>2484</v>
      </c>
      <c r="DS150" s="1">
        <v>4345</v>
      </c>
      <c r="DT150" s="1">
        <v>780</v>
      </c>
      <c r="DU150" s="1">
        <v>8449</v>
      </c>
      <c r="DV150" s="1">
        <v>4290</v>
      </c>
      <c r="DW150" s="1">
        <v>5058</v>
      </c>
      <c r="DX150" s="1">
        <v>10264</v>
      </c>
      <c r="DY150" s="1">
        <v>1910</v>
      </c>
      <c r="DZ150" s="1">
        <v>2426</v>
      </c>
      <c r="EA150" s="1">
        <v>8628</v>
      </c>
      <c r="EB150" s="1">
        <v>4653</v>
      </c>
      <c r="EC150" s="1">
        <v>890</v>
      </c>
      <c r="ED150" s="1">
        <v>771</v>
      </c>
      <c r="EE150" s="1">
        <v>27586</v>
      </c>
      <c r="EF150" s="1">
        <v>3868</v>
      </c>
      <c r="EG150" s="1">
        <v>11245</v>
      </c>
      <c r="EH150" s="1">
        <v>20295</v>
      </c>
      <c r="EJ150" s="1">
        <f t="shared" si="2"/>
        <v>1209991</v>
      </c>
    </row>
    <row r="151" spans="1:140" x14ac:dyDescent="0.25">
      <c r="A151" s="1" t="s">
        <v>287</v>
      </c>
      <c r="B151" s="1">
        <v>2976</v>
      </c>
      <c r="C151" s="1">
        <v>5725</v>
      </c>
      <c r="D151" s="1">
        <v>147</v>
      </c>
      <c r="E151" s="1">
        <v>1869</v>
      </c>
      <c r="F151" s="1">
        <v>18</v>
      </c>
      <c r="G151" s="1">
        <v>33</v>
      </c>
      <c r="H151" s="1">
        <v>9585</v>
      </c>
      <c r="I151" s="1">
        <v>149</v>
      </c>
      <c r="J151" s="1">
        <v>1495</v>
      </c>
      <c r="K151" s="1">
        <v>145</v>
      </c>
      <c r="L151" s="1">
        <v>999</v>
      </c>
      <c r="M151" s="1">
        <v>90</v>
      </c>
      <c r="N151" s="1">
        <v>9686</v>
      </c>
      <c r="O151" s="1">
        <v>1723</v>
      </c>
      <c r="P151" s="1">
        <v>1905</v>
      </c>
      <c r="Q151" s="1">
        <v>7914</v>
      </c>
      <c r="R151" s="1">
        <v>13</v>
      </c>
      <c r="S151" s="1">
        <v>1860</v>
      </c>
      <c r="T151" s="1">
        <v>2569</v>
      </c>
      <c r="U151" s="1">
        <v>2978</v>
      </c>
      <c r="V151" s="1">
        <v>7034</v>
      </c>
      <c r="W151" s="1">
        <v>2629</v>
      </c>
      <c r="X151" s="1">
        <v>757</v>
      </c>
      <c r="Y151" s="1">
        <v>962</v>
      </c>
      <c r="Z151" s="1">
        <v>1174</v>
      </c>
      <c r="AA151" s="1">
        <v>660</v>
      </c>
      <c r="AB151" s="1">
        <v>6786</v>
      </c>
      <c r="AC151" s="1">
        <v>872</v>
      </c>
      <c r="AD151" s="1">
        <v>706</v>
      </c>
      <c r="AE151" s="1">
        <v>1941</v>
      </c>
      <c r="AF151" s="1">
        <v>1949</v>
      </c>
      <c r="AG151" s="1">
        <v>25183</v>
      </c>
      <c r="AH151" s="1">
        <v>546</v>
      </c>
      <c r="AI151" s="1">
        <v>1657</v>
      </c>
      <c r="AJ151" s="1">
        <v>397</v>
      </c>
      <c r="AK151" s="1">
        <v>2242</v>
      </c>
      <c r="AL151" s="1">
        <v>2848</v>
      </c>
      <c r="AM151" s="1">
        <v>863</v>
      </c>
      <c r="AN151" s="1">
        <v>330</v>
      </c>
      <c r="AO151" s="1">
        <v>7256</v>
      </c>
      <c r="AP151" s="1">
        <v>739</v>
      </c>
      <c r="AQ151" s="1">
        <v>91</v>
      </c>
      <c r="AR151" s="1">
        <v>2742</v>
      </c>
      <c r="AS151" s="1">
        <v>5552</v>
      </c>
      <c r="AT151" s="1">
        <v>904</v>
      </c>
      <c r="AU151" s="1">
        <v>4261</v>
      </c>
      <c r="AV151" s="1">
        <v>4012</v>
      </c>
      <c r="AW151" s="1">
        <v>2145</v>
      </c>
      <c r="AX151" s="1">
        <v>17611</v>
      </c>
      <c r="AY151" s="1">
        <v>210</v>
      </c>
      <c r="AZ151" s="1">
        <v>738</v>
      </c>
      <c r="BA151" s="1">
        <v>5724</v>
      </c>
      <c r="BB151" s="1">
        <v>177</v>
      </c>
      <c r="BC151" s="1">
        <v>606</v>
      </c>
      <c r="BD151" s="1">
        <v>6217</v>
      </c>
      <c r="BE151" s="1">
        <v>3469</v>
      </c>
      <c r="BF151" s="1">
        <v>2851</v>
      </c>
      <c r="BG151" s="1">
        <v>4494</v>
      </c>
      <c r="BH151" s="1">
        <v>1442</v>
      </c>
      <c r="BI151" s="1">
        <v>20887</v>
      </c>
      <c r="BJ151" s="1">
        <v>4128</v>
      </c>
      <c r="BK151" s="1">
        <v>6061</v>
      </c>
      <c r="BL151" s="1">
        <v>3577</v>
      </c>
      <c r="BM151" s="1">
        <v>5053</v>
      </c>
      <c r="BN151" s="1">
        <v>1922</v>
      </c>
      <c r="BO151" s="1">
        <v>1061</v>
      </c>
      <c r="BP151" s="1">
        <v>27277</v>
      </c>
      <c r="BQ151" s="1">
        <v>2195</v>
      </c>
      <c r="BR151" s="1">
        <v>51536</v>
      </c>
      <c r="BS151" s="1">
        <v>7466</v>
      </c>
      <c r="BT151" s="1">
        <v>8739</v>
      </c>
      <c r="BU151" s="1">
        <v>23527</v>
      </c>
      <c r="BV151" s="1">
        <v>3184</v>
      </c>
      <c r="BW151" s="1">
        <v>11221</v>
      </c>
      <c r="BX151" s="1">
        <v>2318</v>
      </c>
      <c r="BY151" s="1">
        <v>4856</v>
      </c>
      <c r="BZ151" s="1">
        <v>14591</v>
      </c>
      <c r="CA151" s="1">
        <v>1849</v>
      </c>
      <c r="CB151" s="1">
        <v>1035</v>
      </c>
      <c r="CC151" s="1">
        <v>6981</v>
      </c>
      <c r="CD151" s="1">
        <v>2775</v>
      </c>
      <c r="CE151" s="1">
        <v>3521</v>
      </c>
      <c r="CF151" s="1">
        <v>5281</v>
      </c>
      <c r="CG151" s="1">
        <v>85933</v>
      </c>
      <c r="CH151" s="1">
        <v>10881</v>
      </c>
      <c r="CI151" s="1">
        <v>26208</v>
      </c>
      <c r="CJ151" s="1">
        <v>4681</v>
      </c>
      <c r="CK151" s="1">
        <v>13819</v>
      </c>
      <c r="CL151" s="1">
        <v>12667</v>
      </c>
      <c r="CM151" s="1">
        <v>11392</v>
      </c>
      <c r="CN151" s="1">
        <v>35869</v>
      </c>
      <c r="CO151" s="1">
        <v>4116</v>
      </c>
      <c r="CP151" s="1">
        <v>2812</v>
      </c>
      <c r="CQ151" s="1">
        <v>3845</v>
      </c>
      <c r="CR151" s="1">
        <v>5433</v>
      </c>
      <c r="CS151" s="1">
        <v>22248</v>
      </c>
      <c r="CT151" s="1">
        <v>14260</v>
      </c>
      <c r="CU151" s="1">
        <v>1630</v>
      </c>
      <c r="CV151" s="1">
        <v>195905</v>
      </c>
      <c r="CW151" s="1">
        <v>4528</v>
      </c>
      <c r="CX151" s="1">
        <v>1738</v>
      </c>
      <c r="CY151" s="1">
        <v>18290</v>
      </c>
      <c r="CZ151" s="1">
        <v>2337</v>
      </c>
      <c r="DA151" s="1">
        <v>5310</v>
      </c>
      <c r="DB151" s="1">
        <v>11489</v>
      </c>
      <c r="DC151" s="1">
        <v>4362</v>
      </c>
      <c r="DD151" s="1">
        <v>2565</v>
      </c>
      <c r="DE151" s="1">
        <v>1854</v>
      </c>
      <c r="DF151" s="1">
        <v>34901</v>
      </c>
      <c r="DG151" s="1">
        <v>9967</v>
      </c>
      <c r="DH151" s="1">
        <v>11446</v>
      </c>
      <c r="DI151" s="1">
        <v>3139</v>
      </c>
      <c r="DJ151" s="1">
        <v>19191</v>
      </c>
      <c r="DK151" s="1">
        <v>12561</v>
      </c>
      <c r="DL151" s="1">
        <v>8431</v>
      </c>
      <c r="DM151" s="1">
        <v>10089</v>
      </c>
      <c r="DN151" s="1">
        <v>10798</v>
      </c>
      <c r="DO151" s="1">
        <v>2500</v>
      </c>
      <c r="DP151" s="1">
        <v>5484</v>
      </c>
      <c r="DQ151" s="1">
        <v>41407</v>
      </c>
      <c r="DR151" s="1">
        <v>2673</v>
      </c>
      <c r="DS151" s="1">
        <v>4109</v>
      </c>
      <c r="DT151" s="1">
        <v>780</v>
      </c>
      <c r="DU151" s="1">
        <v>8409</v>
      </c>
      <c r="DV151" s="1">
        <v>3975</v>
      </c>
      <c r="DW151" s="1">
        <v>5139</v>
      </c>
      <c r="DX151" s="1">
        <v>11474</v>
      </c>
      <c r="DY151" s="1">
        <v>2095</v>
      </c>
      <c r="DZ151" s="1">
        <v>2162</v>
      </c>
      <c r="EA151" s="1">
        <v>9068</v>
      </c>
      <c r="EB151" s="1">
        <v>5550</v>
      </c>
      <c r="EC151" s="1">
        <v>997</v>
      </c>
      <c r="ED151" s="1">
        <v>1114</v>
      </c>
      <c r="EE151" s="1">
        <v>31268</v>
      </c>
      <c r="EF151" s="1">
        <v>5801</v>
      </c>
      <c r="EG151" s="1">
        <v>10866</v>
      </c>
      <c r="EH151" s="1">
        <v>21500</v>
      </c>
      <c r="EJ151" s="1">
        <f t="shared" si="2"/>
        <v>1204763</v>
      </c>
    </row>
    <row r="152" spans="1:140" x14ac:dyDescent="0.25">
      <c r="A152" s="1" t="s">
        <v>288</v>
      </c>
      <c r="B152" s="1">
        <v>3189</v>
      </c>
      <c r="C152" s="1">
        <v>5113</v>
      </c>
      <c r="D152" s="1">
        <v>214</v>
      </c>
      <c r="E152" s="1">
        <v>2664</v>
      </c>
      <c r="F152" s="1">
        <v>6</v>
      </c>
      <c r="G152" s="1">
        <v>29</v>
      </c>
      <c r="H152" s="1">
        <v>9837</v>
      </c>
      <c r="I152" s="1">
        <v>135</v>
      </c>
      <c r="J152" s="1">
        <v>1606</v>
      </c>
      <c r="K152" s="1">
        <v>48</v>
      </c>
      <c r="L152" s="1">
        <v>1161</v>
      </c>
      <c r="M152" s="1">
        <v>138</v>
      </c>
      <c r="N152" s="1">
        <v>9730</v>
      </c>
      <c r="O152" s="1">
        <v>1755</v>
      </c>
      <c r="P152" s="1">
        <v>1704</v>
      </c>
      <c r="Q152" s="1">
        <v>6731</v>
      </c>
      <c r="R152" s="1">
        <v>3</v>
      </c>
      <c r="S152" s="1">
        <v>1250</v>
      </c>
      <c r="T152" s="1">
        <v>2732</v>
      </c>
      <c r="U152" s="1">
        <v>2456</v>
      </c>
      <c r="V152" s="1">
        <v>7656</v>
      </c>
      <c r="W152" s="1">
        <v>2178</v>
      </c>
      <c r="X152" s="1">
        <v>731</v>
      </c>
      <c r="Y152" s="1">
        <v>1208</v>
      </c>
      <c r="Z152" s="1">
        <v>824</v>
      </c>
      <c r="AA152" s="1">
        <v>617</v>
      </c>
      <c r="AB152" s="1">
        <v>5316</v>
      </c>
      <c r="AC152" s="1">
        <v>707</v>
      </c>
      <c r="AD152" s="1">
        <v>777</v>
      </c>
      <c r="AE152" s="1">
        <v>1770</v>
      </c>
      <c r="AF152" s="1">
        <v>1736</v>
      </c>
      <c r="AG152" s="1">
        <v>23472</v>
      </c>
      <c r="AH152" s="1">
        <v>540</v>
      </c>
      <c r="AI152" s="1">
        <v>1614</v>
      </c>
      <c r="AJ152" s="1">
        <v>447</v>
      </c>
      <c r="AK152" s="1">
        <v>1904</v>
      </c>
      <c r="AL152" s="1">
        <v>3184</v>
      </c>
      <c r="AM152" s="1">
        <v>706</v>
      </c>
      <c r="AN152" s="1">
        <v>670</v>
      </c>
      <c r="AO152" s="1">
        <v>7165</v>
      </c>
      <c r="AP152" s="1">
        <v>748</v>
      </c>
      <c r="AQ152" s="1">
        <v>115</v>
      </c>
      <c r="AR152" s="1">
        <v>2778</v>
      </c>
      <c r="AS152" s="1">
        <v>6386</v>
      </c>
      <c r="AT152" s="1">
        <v>936</v>
      </c>
      <c r="AU152" s="1">
        <v>3773</v>
      </c>
      <c r="AV152" s="1">
        <v>3744</v>
      </c>
      <c r="AW152" s="1">
        <v>3092</v>
      </c>
      <c r="AX152" s="1">
        <v>19331</v>
      </c>
      <c r="AY152" s="1">
        <v>158</v>
      </c>
      <c r="AZ152" s="1">
        <v>1001</v>
      </c>
      <c r="BA152" s="1">
        <v>5139</v>
      </c>
      <c r="BB152" s="1">
        <v>215</v>
      </c>
      <c r="BC152" s="1">
        <v>745</v>
      </c>
      <c r="BD152" s="1">
        <v>4914</v>
      </c>
      <c r="BE152" s="1">
        <v>2498</v>
      </c>
      <c r="BF152" s="1">
        <v>3133</v>
      </c>
      <c r="BG152" s="1">
        <v>4630</v>
      </c>
      <c r="BH152" s="1">
        <v>1545</v>
      </c>
      <c r="BI152" s="1">
        <v>22974</v>
      </c>
      <c r="BJ152" s="1">
        <v>5667</v>
      </c>
      <c r="BK152" s="1">
        <v>5532</v>
      </c>
      <c r="BL152" s="1">
        <v>2466</v>
      </c>
      <c r="BM152" s="1">
        <v>5014</v>
      </c>
      <c r="BN152" s="1">
        <v>1258</v>
      </c>
      <c r="BO152" s="1">
        <v>1010</v>
      </c>
      <c r="BP152" s="1">
        <v>24307</v>
      </c>
      <c r="BQ152" s="1">
        <v>2080</v>
      </c>
      <c r="BR152" s="1">
        <v>53126</v>
      </c>
      <c r="BS152" s="1">
        <v>6460</v>
      </c>
      <c r="BT152" s="1">
        <v>7920</v>
      </c>
      <c r="BU152" s="1">
        <v>18192</v>
      </c>
      <c r="BV152" s="1">
        <v>2437</v>
      </c>
      <c r="BW152" s="1">
        <v>10622</v>
      </c>
      <c r="BX152" s="1">
        <v>1919</v>
      </c>
      <c r="BY152" s="1">
        <v>4846</v>
      </c>
      <c r="BZ152" s="1">
        <v>14338</v>
      </c>
      <c r="CA152" s="1">
        <v>1985</v>
      </c>
      <c r="CB152" s="1">
        <v>992</v>
      </c>
      <c r="CC152" s="1">
        <v>4917</v>
      </c>
      <c r="CD152" s="1">
        <v>2529</v>
      </c>
      <c r="CE152" s="1">
        <v>3738</v>
      </c>
      <c r="CF152" s="1">
        <v>5238</v>
      </c>
      <c r="CG152" s="1">
        <v>93145</v>
      </c>
      <c r="CH152" s="1">
        <v>11010</v>
      </c>
      <c r="CI152" s="1">
        <v>21586</v>
      </c>
      <c r="CJ152" s="1">
        <v>4655</v>
      </c>
      <c r="CK152" s="1">
        <v>11320</v>
      </c>
      <c r="CL152" s="1">
        <v>7673</v>
      </c>
      <c r="CM152" s="1">
        <v>10538</v>
      </c>
      <c r="CN152" s="1">
        <v>36690</v>
      </c>
      <c r="CO152" s="1">
        <v>4121</v>
      </c>
      <c r="CP152" s="1">
        <v>3102</v>
      </c>
      <c r="CQ152" s="1">
        <v>3569</v>
      </c>
      <c r="CR152" s="1">
        <v>5399</v>
      </c>
      <c r="CS152" s="1">
        <v>22179</v>
      </c>
      <c r="CT152" s="1">
        <v>14048</v>
      </c>
      <c r="CU152" s="1">
        <v>1291</v>
      </c>
      <c r="CV152" s="1">
        <v>190399</v>
      </c>
      <c r="CW152" s="1">
        <v>4127</v>
      </c>
      <c r="CX152" s="1">
        <v>1474</v>
      </c>
      <c r="CY152" s="1">
        <v>17828</v>
      </c>
      <c r="CZ152" s="1">
        <v>2453</v>
      </c>
      <c r="DA152" s="1">
        <v>5367</v>
      </c>
      <c r="DB152" s="1">
        <v>10943</v>
      </c>
      <c r="DC152" s="1">
        <v>4188</v>
      </c>
      <c r="DD152" s="1">
        <v>2543</v>
      </c>
      <c r="DE152" s="1">
        <v>1696</v>
      </c>
      <c r="DF152" s="1">
        <v>34838</v>
      </c>
      <c r="DG152" s="1">
        <v>10380</v>
      </c>
      <c r="DH152" s="1">
        <v>11298</v>
      </c>
      <c r="DI152" s="1">
        <v>2648</v>
      </c>
      <c r="DJ152" s="1">
        <v>19455</v>
      </c>
      <c r="DK152" s="1">
        <v>12930</v>
      </c>
      <c r="DL152" s="1">
        <v>8016</v>
      </c>
      <c r="DM152" s="1">
        <v>9919</v>
      </c>
      <c r="DN152" s="1">
        <v>11043</v>
      </c>
      <c r="DO152" s="1">
        <v>2453</v>
      </c>
      <c r="DP152" s="1">
        <v>5099</v>
      </c>
      <c r="DQ152" s="1">
        <v>40168</v>
      </c>
      <c r="DR152" s="1">
        <v>2700</v>
      </c>
      <c r="DS152" s="1">
        <v>3700</v>
      </c>
      <c r="DT152" s="1">
        <v>734</v>
      </c>
      <c r="DU152" s="1">
        <v>8549</v>
      </c>
      <c r="DV152" s="1">
        <v>4442</v>
      </c>
      <c r="DW152" s="1">
        <v>4907</v>
      </c>
      <c r="DX152" s="1">
        <v>11365</v>
      </c>
      <c r="DY152" s="1">
        <v>1762</v>
      </c>
      <c r="DZ152" s="1">
        <v>2155</v>
      </c>
      <c r="EA152" s="1">
        <v>8882</v>
      </c>
      <c r="EB152" s="1">
        <v>5804</v>
      </c>
      <c r="EC152" s="1">
        <v>1164</v>
      </c>
      <c r="ED152" s="1">
        <v>1018</v>
      </c>
      <c r="EE152" s="1">
        <v>26568</v>
      </c>
      <c r="EF152" s="1">
        <v>5346</v>
      </c>
      <c r="EG152" s="1">
        <v>10296</v>
      </c>
      <c r="EH152" s="1">
        <v>20857</v>
      </c>
      <c r="EJ152" s="1">
        <f t="shared" si="2"/>
        <v>1168011</v>
      </c>
    </row>
    <row r="153" spans="1:140" x14ac:dyDescent="0.25">
      <c r="A153" s="1" t="s">
        <v>289</v>
      </c>
      <c r="B153" s="1">
        <v>3341</v>
      </c>
      <c r="C153" s="1">
        <v>5701</v>
      </c>
      <c r="D153" s="1">
        <v>227</v>
      </c>
      <c r="E153" s="1">
        <v>1700</v>
      </c>
      <c r="F153" s="1">
        <v>14</v>
      </c>
      <c r="G153" s="1">
        <v>40</v>
      </c>
      <c r="H153" s="1">
        <v>11698</v>
      </c>
      <c r="I153" s="1">
        <v>121</v>
      </c>
      <c r="J153" s="1">
        <v>1613</v>
      </c>
      <c r="K153" s="1">
        <v>61</v>
      </c>
      <c r="L153" s="1">
        <v>1229</v>
      </c>
      <c r="M153" s="1">
        <v>130</v>
      </c>
      <c r="N153" s="1">
        <v>10281</v>
      </c>
      <c r="O153" s="1">
        <v>1743</v>
      </c>
      <c r="P153" s="1">
        <v>1522</v>
      </c>
      <c r="Q153" s="1">
        <v>7355</v>
      </c>
      <c r="R153" s="1">
        <v>11</v>
      </c>
      <c r="S153" s="1">
        <v>1572</v>
      </c>
      <c r="T153" s="1">
        <v>2835</v>
      </c>
      <c r="U153" s="1">
        <v>3173</v>
      </c>
      <c r="V153" s="1">
        <v>9393</v>
      </c>
      <c r="W153" s="1">
        <v>2358</v>
      </c>
      <c r="X153" s="1">
        <v>606</v>
      </c>
      <c r="Y153" s="1">
        <v>1946</v>
      </c>
      <c r="Z153" s="1">
        <v>794</v>
      </c>
      <c r="AA153" s="1">
        <v>630</v>
      </c>
      <c r="AB153" s="1">
        <v>5957</v>
      </c>
      <c r="AC153" s="1">
        <v>779</v>
      </c>
      <c r="AD153" s="1">
        <v>801</v>
      </c>
      <c r="AE153" s="1">
        <v>2317</v>
      </c>
      <c r="AF153" s="1">
        <v>1612</v>
      </c>
      <c r="AG153" s="1">
        <v>26015</v>
      </c>
      <c r="AH153" s="1">
        <v>770</v>
      </c>
      <c r="AI153" s="1">
        <v>2157</v>
      </c>
      <c r="AJ153" s="1">
        <v>439</v>
      </c>
      <c r="AK153" s="1">
        <v>2180</v>
      </c>
      <c r="AL153" s="1">
        <v>4316</v>
      </c>
      <c r="AM153" s="1">
        <v>753</v>
      </c>
      <c r="AN153" s="1">
        <v>867</v>
      </c>
      <c r="AO153" s="1">
        <v>8420</v>
      </c>
      <c r="AP153" s="1">
        <v>872</v>
      </c>
      <c r="AQ153" s="1">
        <v>122</v>
      </c>
      <c r="AR153" s="1">
        <v>3280</v>
      </c>
      <c r="AS153" s="1">
        <v>11518</v>
      </c>
      <c r="AT153" s="1">
        <v>1049</v>
      </c>
      <c r="AU153" s="1">
        <v>4086</v>
      </c>
      <c r="AV153" s="1">
        <v>3988</v>
      </c>
      <c r="AW153" s="1">
        <v>7741</v>
      </c>
      <c r="AX153" s="1">
        <v>24417</v>
      </c>
      <c r="AY153" s="1">
        <v>194</v>
      </c>
      <c r="AZ153" s="1">
        <v>939</v>
      </c>
      <c r="BA153" s="1">
        <v>10725</v>
      </c>
      <c r="BB153" s="1">
        <v>208</v>
      </c>
      <c r="BC153" s="1">
        <v>788</v>
      </c>
      <c r="BD153" s="1">
        <v>6807</v>
      </c>
      <c r="BE153" s="1">
        <v>2653</v>
      </c>
      <c r="BF153" s="1">
        <v>3251</v>
      </c>
      <c r="BG153" s="1">
        <v>5312</v>
      </c>
      <c r="BH153" s="1">
        <v>1705</v>
      </c>
      <c r="BI153" s="1">
        <v>26297</v>
      </c>
      <c r="BJ153" s="1">
        <v>4422</v>
      </c>
      <c r="BK153" s="1">
        <v>6093</v>
      </c>
      <c r="BL153" s="1">
        <v>2652</v>
      </c>
      <c r="BM153" s="1">
        <v>4837</v>
      </c>
      <c r="BN153" s="1">
        <v>1024</v>
      </c>
      <c r="BO153" s="1">
        <v>1085</v>
      </c>
      <c r="BP153" s="1">
        <v>22765</v>
      </c>
      <c r="BQ153" s="1">
        <v>2314</v>
      </c>
      <c r="BR153" s="1">
        <v>57343</v>
      </c>
      <c r="BS153" s="1">
        <v>6937</v>
      </c>
      <c r="BT153" s="1">
        <v>8860</v>
      </c>
      <c r="BU153" s="1">
        <v>18126</v>
      </c>
      <c r="BV153" s="1">
        <v>2588</v>
      </c>
      <c r="BW153" s="1">
        <v>11363</v>
      </c>
      <c r="BX153" s="1">
        <v>1728</v>
      </c>
      <c r="BY153" s="1">
        <v>3776</v>
      </c>
      <c r="BZ153" s="1">
        <v>14779</v>
      </c>
      <c r="CA153" s="1">
        <v>2029</v>
      </c>
      <c r="CB153" s="1">
        <v>1165</v>
      </c>
      <c r="CC153" s="1">
        <v>4640</v>
      </c>
      <c r="CD153" s="1">
        <v>2513</v>
      </c>
      <c r="CE153" s="1">
        <v>3904</v>
      </c>
      <c r="CF153" s="1">
        <v>5316</v>
      </c>
      <c r="CG153" s="1">
        <v>84372</v>
      </c>
      <c r="CH153" s="1">
        <v>11716</v>
      </c>
      <c r="CI153" s="1">
        <v>22297</v>
      </c>
      <c r="CJ153" s="1">
        <v>5724</v>
      </c>
      <c r="CK153" s="1">
        <v>12201</v>
      </c>
      <c r="CL153" s="1">
        <v>6882</v>
      </c>
      <c r="CM153" s="1">
        <v>11335</v>
      </c>
      <c r="CN153" s="1">
        <v>37268</v>
      </c>
      <c r="CO153" s="1">
        <v>4531</v>
      </c>
      <c r="CP153" s="1">
        <v>3379</v>
      </c>
      <c r="CQ153" s="1">
        <v>3527</v>
      </c>
      <c r="CR153" s="1">
        <v>5855</v>
      </c>
      <c r="CS153" s="1">
        <v>23772</v>
      </c>
      <c r="CT153" s="1">
        <v>15206</v>
      </c>
      <c r="CU153" s="1">
        <v>1397</v>
      </c>
      <c r="CV153" s="1">
        <v>206475</v>
      </c>
      <c r="CW153" s="1">
        <v>4455</v>
      </c>
      <c r="CX153" s="1">
        <v>1435</v>
      </c>
      <c r="CY153" s="1">
        <v>18788</v>
      </c>
      <c r="CZ153" s="1">
        <v>2691</v>
      </c>
      <c r="DA153" s="1">
        <v>5179</v>
      </c>
      <c r="DB153" s="1">
        <v>11507</v>
      </c>
      <c r="DC153" s="1">
        <v>4537</v>
      </c>
      <c r="DD153" s="1">
        <v>2569</v>
      </c>
      <c r="DE153" s="1">
        <v>1726</v>
      </c>
      <c r="DF153" s="1">
        <v>38986</v>
      </c>
      <c r="DG153" s="1">
        <v>11354</v>
      </c>
      <c r="DH153" s="1">
        <v>12687</v>
      </c>
      <c r="DI153" s="1">
        <v>3091</v>
      </c>
      <c r="DJ153" s="1">
        <v>21506</v>
      </c>
      <c r="DK153" s="1">
        <v>15014</v>
      </c>
      <c r="DL153" s="1">
        <v>9470</v>
      </c>
      <c r="DM153" s="1">
        <v>11504</v>
      </c>
      <c r="DN153" s="1">
        <v>11630</v>
      </c>
      <c r="DO153" s="1">
        <v>3233</v>
      </c>
      <c r="DP153" s="1">
        <v>6088</v>
      </c>
      <c r="DQ153" s="1">
        <v>44852</v>
      </c>
      <c r="DR153" s="1">
        <v>2788</v>
      </c>
      <c r="DS153" s="1">
        <v>4695</v>
      </c>
      <c r="DT153" s="1">
        <v>839</v>
      </c>
      <c r="DU153" s="1">
        <v>8786</v>
      </c>
      <c r="DV153" s="1">
        <v>4766</v>
      </c>
      <c r="DW153" s="1">
        <v>5232</v>
      </c>
      <c r="DX153" s="1">
        <v>9968</v>
      </c>
      <c r="DY153" s="1">
        <v>2051</v>
      </c>
      <c r="DZ153" s="1">
        <v>2016</v>
      </c>
      <c r="EA153" s="1">
        <v>8831</v>
      </c>
      <c r="EB153" s="1">
        <v>5186</v>
      </c>
      <c r="EC153" s="1">
        <v>1081</v>
      </c>
      <c r="ED153" s="1">
        <v>959</v>
      </c>
      <c r="EE153" s="1">
        <v>29403</v>
      </c>
      <c r="EF153" s="1">
        <v>4625</v>
      </c>
      <c r="EG153" s="1">
        <v>9779</v>
      </c>
      <c r="EH153" s="1">
        <v>20796</v>
      </c>
      <c r="EJ153" s="1">
        <f t="shared" si="2"/>
        <v>1253728</v>
      </c>
    </row>
    <row r="154" spans="1:140" x14ac:dyDescent="0.25">
      <c r="A154" s="1" t="s">
        <v>290</v>
      </c>
      <c r="B154" s="1">
        <v>2928</v>
      </c>
      <c r="C154" s="1">
        <v>4804</v>
      </c>
      <c r="D154" s="1">
        <v>222</v>
      </c>
      <c r="E154" s="1">
        <v>1615</v>
      </c>
      <c r="F154" s="1">
        <v>8</v>
      </c>
      <c r="G154" s="1">
        <v>22</v>
      </c>
      <c r="H154" s="1">
        <v>10258</v>
      </c>
      <c r="I154" s="1">
        <v>101</v>
      </c>
      <c r="J154" s="1">
        <v>1586</v>
      </c>
      <c r="K154" s="1">
        <v>81</v>
      </c>
      <c r="L154" s="1">
        <v>1129</v>
      </c>
      <c r="M154" s="1">
        <v>139</v>
      </c>
      <c r="N154" s="1">
        <v>10229</v>
      </c>
      <c r="O154" s="1">
        <v>1985</v>
      </c>
      <c r="P154" s="1">
        <v>1145</v>
      </c>
      <c r="Q154" s="1">
        <v>6019</v>
      </c>
      <c r="R154" s="1">
        <v>11</v>
      </c>
      <c r="S154" s="1">
        <v>1236</v>
      </c>
      <c r="T154" s="1">
        <v>2504</v>
      </c>
      <c r="U154" s="1">
        <v>2093</v>
      </c>
      <c r="V154" s="1">
        <v>6330</v>
      </c>
      <c r="W154" s="1">
        <v>2253</v>
      </c>
      <c r="X154" s="1">
        <v>577</v>
      </c>
      <c r="Y154" s="1">
        <v>710</v>
      </c>
      <c r="Z154" s="1">
        <v>814</v>
      </c>
      <c r="AA154" s="1">
        <v>659</v>
      </c>
      <c r="AB154" s="1">
        <v>4919</v>
      </c>
      <c r="AC154" s="1">
        <v>689</v>
      </c>
      <c r="AD154" s="1">
        <v>505</v>
      </c>
      <c r="AE154" s="1">
        <v>1979</v>
      </c>
      <c r="AF154" s="1">
        <v>1697</v>
      </c>
      <c r="AG154" s="1">
        <v>23447</v>
      </c>
      <c r="AH154" s="1">
        <v>444</v>
      </c>
      <c r="AI154" s="1">
        <v>1526</v>
      </c>
      <c r="AJ154" s="1">
        <v>359</v>
      </c>
      <c r="AK154" s="1">
        <v>2182</v>
      </c>
      <c r="AL154" s="1">
        <v>2468</v>
      </c>
      <c r="AM154" s="1">
        <v>743</v>
      </c>
      <c r="AN154" s="1">
        <v>628</v>
      </c>
      <c r="AO154" s="1">
        <v>8477</v>
      </c>
      <c r="AP154" s="1">
        <v>742</v>
      </c>
      <c r="AQ154" s="1">
        <v>89</v>
      </c>
      <c r="AR154" s="1">
        <v>2588</v>
      </c>
      <c r="AS154" s="1">
        <v>5586</v>
      </c>
      <c r="AT154" s="1">
        <v>995</v>
      </c>
      <c r="AU154" s="1">
        <v>4689</v>
      </c>
      <c r="AV154" s="1">
        <v>5693</v>
      </c>
      <c r="AW154" s="1">
        <v>10571</v>
      </c>
      <c r="AX154" s="1">
        <v>22375</v>
      </c>
      <c r="AY154" s="1">
        <v>188</v>
      </c>
      <c r="AZ154" s="1">
        <v>784</v>
      </c>
      <c r="BA154" s="1">
        <v>19006</v>
      </c>
      <c r="BB154" s="1">
        <v>209</v>
      </c>
      <c r="BC154" s="1">
        <v>723</v>
      </c>
      <c r="BD154" s="1">
        <v>5260</v>
      </c>
      <c r="BE154" s="1">
        <v>2194</v>
      </c>
      <c r="BF154" s="1">
        <v>2965</v>
      </c>
      <c r="BG154" s="1">
        <v>4305</v>
      </c>
      <c r="BH154" s="1">
        <v>1529</v>
      </c>
      <c r="BI154" s="1">
        <v>23740</v>
      </c>
      <c r="BJ154" s="1">
        <v>4164</v>
      </c>
      <c r="BK154" s="1">
        <v>4953</v>
      </c>
      <c r="BL154" s="1">
        <v>2942</v>
      </c>
      <c r="BM154" s="1">
        <v>4334</v>
      </c>
      <c r="BN154" s="1">
        <v>975</v>
      </c>
      <c r="BO154" s="1">
        <v>952</v>
      </c>
      <c r="BP154" s="1">
        <v>21253</v>
      </c>
      <c r="BQ154" s="1">
        <v>2253</v>
      </c>
      <c r="BR154" s="1">
        <v>52850</v>
      </c>
      <c r="BS154" s="1">
        <v>5642</v>
      </c>
      <c r="BT154" s="1">
        <v>7651</v>
      </c>
      <c r="BU154" s="1">
        <v>15055</v>
      </c>
      <c r="BV154" s="1">
        <v>2334</v>
      </c>
      <c r="BW154" s="1">
        <v>9938</v>
      </c>
      <c r="BX154" s="1">
        <v>1610</v>
      </c>
      <c r="BY154" s="1">
        <v>3681</v>
      </c>
      <c r="BZ154" s="1">
        <v>14164</v>
      </c>
      <c r="CA154" s="1">
        <v>1760</v>
      </c>
      <c r="CB154" s="1">
        <v>929</v>
      </c>
      <c r="CC154" s="1">
        <v>4637</v>
      </c>
      <c r="CD154" s="1">
        <v>2318</v>
      </c>
      <c r="CE154" s="1">
        <v>3757</v>
      </c>
      <c r="CF154" s="1">
        <v>5434</v>
      </c>
      <c r="CG154" s="1">
        <v>82323</v>
      </c>
      <c r="CH154" s="1">
        <v>11346</v>
      </c>
      <c r="CI154" s="1">
        <v>19234</v>
      </c>
      <c r="CJ154" s="1">
        <v>4810</v>
      </c>
      <c r="CK154" s="1">
        <v>10911</v>
      </c>
      <c r="CL154" s="1">
        <v>6916</v>
      </c>
      <c r="CM154" s="1">
        <v>10515</v>
      </c>
      <c r="CN154" s="1">
        <v>32334</v>
      </c>
      <c r="CO154" s="1">
        <v>4279</v>
      </c>
      <c r="CP154" s="1">
        <v>2760</v>
      </c>
      <c r="CQ154" s="1">
        <v>3105</v>
      </c>
      <c r="CR154" s="1">
        <v>5757</v>
      </c>
      <c r="CS154" s="1">
        <v>21337</v>
      </c>
      <c r="CT154" s="1">
        <v>13400</v>
      </c>
      <c r="CU154" s="1">
        <v>1345</v>
      </c>
      <c r="CV154" s="1">
        <v>184698</v>
      </c>
      <c r="CW154" s="1">
        <v>4101</v>
      </c>
      <c r="CX154" s="1">
        <v>1609</v>
      </c>
      <c r="CY154" s="1">
        <v>16885</v>
      </c>
      <c r="CZ154" s="1">
        <v>2425</v>
      </c>
      <c r="DA154" s="1">
        <v>4838</v>
      </c>
      <c r="DB154" s="1">
        <v>10752</v>
      </c>
      <c r="DC154" s="1">
        <v>4100</v>
      </c>
      <c r="DD154" s="1">
        <v>2454</v>
      </c>
      <c r="DE154" s="1">
        <v>1538</v>
      </c>
      <c r="DF154" s="1">
        <v>33414</v>
      </c>
      <c r="DG154" s="1">
        <v>11315</v>
      </c>
      <c r="DH154" s="1">
        <v>12036</v>
      </c>
      <c r="DI154" s="1">
        <v>2838</v>
      </c>
      <c r="DJ154" s="1">
        <v>20081</v>
      </c>
      <c r="DK154" s="1">
        <v>13315</v>
      </c>
      <c r="DL154" s="1">
        <v>8299</v>
      </c>
      <c r="DM154" s="1">
        <v>10218</v>
      </c>
      <c r="DN154" s="1">
        <v>9311</v>
      </c>
      <c r="DO154" s="1">
        <v>2449</v>
      </c>
      <c r="DP154" s="1">
        <v>4972</v>
      </c>
      <c r="DQ154" s="1">
        <v>39535</v>
      </c>
      <c r="DR154" s="1">
        <v>2761</v>
      </c>
      <c r="DS154" s="1">
        <v>4228</v>
      </c>
      <c r="DT154" s="1">
        <v>733</v>
      </c>
      <c r="DU154" s="1">
        <v>8418</v>
      </c>
      <c r="DV154" s="1">
        <v>4507</v>
      </c>
      <c r="DW154" s="1">
        <v>4849</v>
      </c>
      <c r="DX154" s="1">
        <v>10295</v>
      </c>
      <c r="DY154" s="1">
        <v>2022</v>
      </c>
      <c r="DZ154" s="1">
        <v>1948</v>
      </c>
      <c r="EA154" s="1">
        <v>8103</v>
      </c>
      <c r="EB154" s="1">
        <v>4632</v>
      </c>
      <c r="EC154" s="1">
        <v>739</v>
      </c>
      <c r="ED154" s="1">
        <v>1317</v>
      </c>
      <c r="EE154" s="1">
        <v>25937</v>
      </c>
      <c r="EF154" s="1">
        <v>4096</v>
      </c>
      <c r="EG154" s="1">
        <v>9720</v>
      </c>
      <c r="EH154" s="1">
        <v>19599</v>
      </c>
      <c r="EJ154" s="1">
        <f t="shared" si="2"/>
        <v>1142797</v>
      </c>
    </row>
    <row r="155" spans="1:140" x14ac:dyDescent="0.25">
      <c r="A155" s="1" t="s">
        <v>291</v>
      </c>
      <c r="B155" s="1">
        <v>2589</v>
      </c>
      <c r="C155" s="1">
        <v>4333</v>
      </c>
      <c r="D155" s="1">
        <v>137</v>
      </c>
      <c r="E155" s="1">
        <v>1563</v>
      </c>
      <c r="F155" s="1">
        <v>20</v>
      </c>
      <c r="G155" s="1">
        <v>36</v>
      </c>
      <c r="H155" s="1">
        <v>10731</v>
      </c>
      <c r="I155" s="1">
        <v>112</v>
      </c>
      <c r="J155" s="1">
        <v>1539</v>
      </c>
      <c r="K155" s="1">
        <v>64</v>
      </c>
      <c r="L155" s="1">
        <v>977</v>
      </c>
      <c r="M155" s="1">
        <v>74</v>
      </c>
      <c r="N155" s="1">
        <v>8918</v>
      </c>
      <c r="O155" s="1">
        <v>1885</v>
      </c>
      <c r="P155" s="1">
        <v>1180</v>
      </c>
      <c r="Q155" s="1">
        <v>6077</v>
      </c>
      <c r="R155" s="1">
        <v>20</v>
      </c>
      <c r="S155" s="1">
        <v>1480</v>
      </c>
      <c r="T155" s="1">
        <v>2523</v>
      </c>
      <c r="U155" s="1">
        <v>2287</v>
      </c>
      <c r="V155" s="1">
        <v>6340</v>
      </c>
      <c r="W155" s="1">
        <v>2153</v>
      </c>
      <c r="X155" s="1">
        <v>554</v>
      </c>
      <c r="Y155" s="1">
        <v>640</v>
      </c>
      <c r="Z155" s="1">
        <v>1201</v>
      </c>
      <c r="AA155" s="1">
        <v>548</v>
      </c>
      <c r="AB155" s="1">
        <v>4933</v>
      </c>
      <c r="AC155" s="1">
        <v>1113</v>
      </c>
      <c r="AD155" s="1">
        <v>400</v>
      </c>
      <c r="AE155" s="1">
        <v>2147</v>
      </c>
      <c r="AF155" s="1">
        <v>1445</v>
      </c>
      <c r="AG155" s="1">
        <v>22237</v>
      </c>
      <c r="AH155" s="1">
        <v>594</v>
      </c>
      <c r="AI155" s="1">
        <v>1240</v>
      </c>
      <c r="AJ155" s="1">
        <v>293</v>
      </c>
      <c r="AK155" s="1">
        <v>2008</v>
      </c>
      <c r="AL155" s="1">
        <v>2219</v>
      </c>
      <c r="AM155" s="1">
        <v>521</v>
      </c>
      <c r="AN155" s="1">
        <v>402</v>
      </c>
      <c r="AO155" s="1">
        <v>7653</v>
      </c>
      <c r="AP155" s="1">
        <v>713</v>
      </c>
      <c r="AQ155" s="1">
        <v>97</v>
      </c>
      <c r="AR155" s="1">
        <v>2763</v>
      </c>
      <c r="AS155" s="1">
        <v>5259</v>
      </c>
      <c r="AT155" s="1">
        <v>935</v>
      </c>
      <c r="AU155" s="1">
        <v>2665</v>
      </c>
      <c r="AV155" s="1">
        <v>3396</v>
      </c>
      <c r="AW155" s="1">
        <v>3845</v>
      </c>
      <c r="AX155" s="1">
        <v>18361</v>
      </c>
      <c r="AY155" s="1">
        <v>130</v>
      </c>
      <c r="AZ155" s="1">
        <v>759</v>
      </c>
      <c r="BA155" s="1">
        <v>11590</v>
      </c>
      <c r="BB155" s="1">
        <v>305</v>
      </c>
      <c r="BC155" s="1">
        <v>683</v>
      </c>
      <c r="BD155" s="1">
        <v>8169</v>
      </c>
      <c r="BE155" s="1">
        <v>3619</v>
      </c>
      <c r="BF155" s="1">
        <v>2151</v>
      </c>
      <c r="BG155" s="1">
        <v>3994</v>
      </c>
      <c r="BH155" s="1">
        <v>1495</v>
      </c>
      <c r="BI155" s="1">
        <v>23169</v>
      </c>
      <c r="BJ155" s="1">
        <v>3829</v>
      </c>
      <c r="BK155" s="1">
        <v>4983</v>
      </c>
      <c r="BL155" s="1">
        <v>2616</v>
      </c>
      <c r="BM155" s="1">
        <v>4435</v>
      </c>
      <c r="BN155" s="1">
        <v>948</v>
      </c>
      <c r="BO155" s="1">
        <v>918</v>
      </c>
      <c r="BP155" s="1">
        <v>21027</v>
      </c>
      <c r="BQ155" s="1">
        <v>2003</v>
      </c>
      <c r="BR155" s="1">
        <v>51997</v>
      </c>
      <c r="BS155" s="1">
        <v>6742</v>
      </c>
      <c r="BT155" s="1">
        <v>7350</v>
      </c>
      <c r="BU155" s="1">
        <v>15004</v>
      </c>
      <c r="BV155" s="1">
        <v>2337</v>
      </c>
      <c r="BW155" s="1">
        <v>9752</v>
      </c>
      <c r="BX155" s="1">
        <v>1445</v>
      </c>
      <c r="BY155" s="1">
        <v>4129</v>
      </c>
      <c r="BZ155" s="1">
        <v>12835</v>
      </c>
      <c r="CA155" s="1">
        <v>1668</v>
      </c>
      <c r="CB155" s="1">
        <v>1018</v>
      </c>
      <c r="CC155" s="1">
        <v>4606</v>
      </c>
      <c r="CD155" s="1">
        <v>2325</v>
      </c>
      <c r="CE155" s="1">
        <v>3304</v>
      </c>
      <c r="CF155" s="1">
        <v>5144</v>
      </c>
      <c r="CG155" s="1">
        <v>72217</v>
      </c>
      <c r="CH155" s="1">
        <v>9785</v>
      </c>
      <c r="CI155" s="1">
        <v>18440</v>
      </c>
      <c r="CJ155" s="1">
        <v>4105</v>
      </c>
      <c r="CK155" s="1">
        <v>11197</v>
      </c>
      <c r="CL155" s="1">
        <v>6355</v>
      </c>
      <c r="CM155" s="1">
        <v>10094</v>
      </c>
      <c r="CN155" s="1">
        <v>31850</v>
      </c>
      <c r="CO155" s="1">
        <v>4112</v>
      </c>
      <c r="CP155" s="1">
        <v>2913</v>
      </c>
      <c r="CQ155" s="1">
        <v>3037</v>
      </c>
      <c r="CR155" s="1">
        <v>5263</v>
      </c>
      <c r="CS155" s="1">
        <v>21669</v>
      </c>
      <c r="CT155" s="1">
        <v>13271</v>
      </c>
      <c r="CU155" s="1">
        <v>1377</v>
      </c>
      <c r="CV155" s="1">
        <v>186406</v>
      </c>
      <c r="CW155" s="1">
        <v>3707</v>
      </c>
      <c r="CX155" s="1">
        <v>1407</v>
      </c>
      <c r="CY155" s="1">
        <v>16837</v>
      </c>
      <c r="CZ155" s="1">
        <v>2221</v>
      </c>
      <c r="DA155" s="1">
        <v>4811</v>
      </c>
      <c r="DB155" s="1">
        <v>10909</v>
      </c>
      <c r="DC155" s="1">
        <v>3781</v>
      </c>
      <c r="DD155" s="1">
        <v>2427</v>
      </c>
      <c r="DE155" s="1">
        <v>1447</v>
      </c>
      <c r="DF155" s="1">
        <v>35492</v>
      </c>
      <c r="DG155" s="1">
        <v>11186</v>
      </c>
      <c r="DH155" s="1">
        <v>11607</v>
      </c>
      <c r="DI155" s="1">
        <v>3446</v>
      </c>
      <c r="DJ155" s="1">
        <v>21535</v>
      </c>
      <c r="DK155" s="1">
        <v>13695</v>
      </c>
      <c r="DL155" s="1">
        <v>8036</v>
      </c>
      <c r="DM155" s="1">
        <v>11459</v>
      </c>
      <c r="DN155" s="1">
        <v>10915</v>
      </c>
      <c r="DO155" s="1">
        <v>2708</v>
      </c>
      <c r="DP155" s="1">
        <v>5695</v>
      </c>
      <c r="DQ155" s="1">
        <v>41113</v>
      </c>
      <c r="DR155" s="1">
        <v>2681</v>
      </c>
      <c r="DS155" s="1">
        <v>4498</v>
      </c>
      <c r="DT155" s="1">
        <v>780</v>
      </c>
      <c r="DU155" s="1">
        <v>8006</v>
      </c>
      <c r="DV155" s="1">
        <v>4053</v>
      </c>
      <c r="DW155" s="1">
        <v>4814</v>
      </c>
      <c r="DX155" s="1">
        <v>9121</v>
      </c>
      <c r="DY155" s="1">
        <v>2296</v>
      </c>
      <c r="DZ155" s="1">
        <v>1930</v>
      </c>
      <c r="EA155" s="1">
        <v>7449</v>
      </c>
      <c r="EB155" s="1">
        <v>4859</v>
      </c>
      <c r="EC155" s="1">
        <v>880</v>
      </c>
      <c r="ED155" s="1">
        <v>1061</v>
      </c>
      <c r="EE155" s="1">
        <v>24775</v>
      </c>
      <c r="EF155" s="1">
        <v>3932</v>
      </c>
      <c r="EG155" s="1">
        <v>9198</v>
      </c>
      <c r="EH155" s="1">
        <v>17874</v>
      </c>
      <c r="EJ155" s="1">
        <f t="shared" si="2"/>
        <v>1104431</v>
      </c>
    </row>
    <row r="156" spans="1:140" x14ac:dyDescent="0.25">
      <c r="A156" s="1" t="s">
        <v>292</v>
      </c>
      <c r="B156" s="1">
        <v>2821</v>
      </c>
      <c r="C156" s="1">
        <v>4092</v>
      </c>
      <c r="D156" s="1">
        <v>134</v>
      </c>
      <c r="E156" s="1">
        <v>1252</v>
      </c>
      <c r="F156" s="1">
        <v>21</v>
      </c>
      <c r="G156" s="1">
        <v>38</v>
      </c>
      <c r="H156" s="1">
        <v>10269</v>
      </c>
      <c r="I156" s="1">
        <v>103</v>
      </c>
      <c r="J156" s="1">
        <v>1537</v>
      </c>
      <c r="K156" s="1">
        <v>133</v>
      </c>
      <c r="L156" s="1">
        <v>940</v>
      </c>
      <c r="M156" s="1">
        <v>79</v>
      </c>
      <c r="N156" s="1">
        <v>10188</v>
      </c>
      <c r="O156" s="1">
        <v>1665</v>
      </c>
      <c r="P156" s="1">
        <v>907</v>
      </c>
      <c r="Q156" s="1">
        <v>6185</v>
      </c>
      <c r="R156" s="1">
        <v>42</v>
      </c>
      <c r="S156" s="1">
        <v>1286</v>
      </c>
      <c r="T156" s="1">
        <v>2463</v>
      </c>
      <c r="U156" s="1">
        <v>2354</v>
      </c>
      <c r="V156" s="1">
        <v>6827</v>
      </c>
      <c r="W156" s="1">
        <v>2115</v>
      </c>
      <c r="X156" s="1">
        <v>651</v>
      </c>
      <c r="Y156" s="1">
        <v>1123</v>
      </c>
      <c r="Z156" s="1">
        <v>856</v>
      </c>
      <c r="AA156" s="1">
        <v>581</v>
      </c>
      <c r="AB156" s="1">
        <v>5499</v>
      </c>
      <c r="AC156" s="1">
        <v>826</v>
      </c>
      <c r="AD156" s="1">
        <v>638</v>
      </c>
      <c r="AE156" s="1">
        <v>1718</v>
      </c>
      <c r="AF156" s="1">
        <v>1249</v>
      </c>
      <c r="AG156" s="1">
        <v>24229</v>
      </c>
      <c r="AH156" s="1">
        <v>510</v>
      </c>
      <c r="AI156" s="1">
        <v>956</v>
      </c>
      <c r="AJ156" s="1">
        <v>354</v>
      </c>
      <c r="AK156" s="1">
        <v>1975</v>
      </c>
      <c r="AL156" s="1">
        <v>1773</v>
      </c>
      <c r="AM156" s="1">
        <v>662</v>
      </c>
      <c r="AN156" s="1">
        <v>722</v>
      </c>
      <c r="AO156" s="1">
        <v>7460</v>
      </c>
      <c r="AP156" s="1">
        <v>682</v>
      </c>
      <c r="AQ156" s="1">
        <v>132</v>
      </c>
      <c r="AR156" s="1">
        <v>2610</v>
      </c>
      <c r="AS156" s="1">
        <v>5594</v>
      </c>
      <c r="AT156" s="1">
        <v>764</v>
      </c>
      <c r="AU156" s="1">
        <v>2808</v>
      </c>
      <c r="AV156" s="1">
        <v>4000</v>
      </c>
      <c r="AW156" s="1">
        <v>2772</v>
      </c>
      <c r="AX156" s="1">
        <v>19400</v>
      </c>
      <c r="AY156" s="1">
        <v>234</v>
      </c>
      <c r="AZ156" s="1">
        <v>794</v>
      </c>
      <c r="BA156" s="1">
        <v>7532</v>
      </c>
      <c r="BB156" s="1">
        <v>213</v>
      </c>
      <c r="BC156" s="1">
        <v>1553</v>
      </c>
      <c r="BD156" s="1">
        <v>5467</v>
      </c>
      <c r="BE156" s="1">
        <v>2615</v>
      </c>
      <c r="BF156" s="1">
        <v>2096</v>
      </c>
      <c r="BG156" s="1">
        <v>3886</v>
      </c>
      <c r="BH156" s="1">
        <v>1609</v>
      </c>
      <c r="BI156" s="1">
        <v>24570</v>
      </c>
      <c r="BJ156" s="1">
        <v>3734</v>
      </c>
      <c r="BK156" s="1">
        <v>5497</v>
      </c>
      <c r="BL156" s="1">
        <v>2979</v>
      </c>
      <c r="BM156" s="1">
        <v>4095</v>
      </c>
      <c r="BN156" s="1">
        <v>837</v>
      </c>
      <c r="BO156" s="1">
        <v>928</v>
      </c>
      <c r="BP156" s="1">
        <v>21275</v>
      </c>
      <c r="BQ156" s="1">
        <v>1706</v>
      </c>
      <c r="BR156" s="1">
        <v>50033</v>
      </c>
      <c r="BS156" s="1">
        <v>6239</v>
      </c>
      <c r="BT156" s="1">
        <v>6689</v>
      </c>
      <c r="BU156" s="1">
        <v>14426</v>
      </c>
      <c r="BV156" s="1">
        <v>2276</v>
      </c>
      <c r="BW156" s="1">
        <v>9616</v>
      </c>
      <c r="BX156" s="1">
        <v>1516</v>
      </c>
      <c r="BY156" s="1">
        <v>4725</v>
      </c>
      <c r="BZ156" s="1">
        <v>14280</v>
      </c>
      <c r="CA156" s="1">
        <v>1719</v>
      </c>
      <c r="CB156" s="1">
        <v>967</v>
      </c>
      <c r="CC156" s="1">
        <v>5586</v>
      </c>
      <c r="CD156" s="1">
        <v>2266</v>
      </c>
      <c r="CE156" s="1">
        <v>3699</v>
      </c>
      <c r="CF156" s="1">
        <v>5884</v>
      </c>
      <c r="CG156" s="1">
        <v>77748</v>
      </c>
      <c r="CH156" s="1">
        <v>9810</v>
      </c>
      <c r="CI156" s="1">
        <v>19317</v>
      </c>
      <c r="CJ156" s="1">
        <v>4431</v>
      </c>
      <c r="CK156" s="1">
        <v>9590</v>
      </c>
      <c r="CL156" s="1">
        <v>5939</v>
      </c>
      <c r="CM156" s="1">
        <v>10277</v>
      </c>
      <c r="CN156" s="1">
        <v>30961</v>
      </c>
      <c r="CO156" s="1">
        <v>3814</v>
      </c>
      <c r="CP156" s="1">
        <v>2540</v>
      </c>
      <c r="CQ156" s="1">
        <v>2986</v>
      </c>
      <c r="CR156" s="1">
        <v>5475</v>
      </c>
      <c r="CS156" s="1">
        <v>22422</v>
      </c>
      <c r="CT156" s="1">
        <v>14764</v>
      </c>
      <c r="CU156" s="1">
        <v>1558</v>
      </c>
      <c r="CV156" s="1">
        <v>186243</v>
      </c>
      <c r="CW156" s="1">
        <v>3475</v>
      </c>
      <c r="CX156" s="1">
        <v>1445</v>
      </c>
      <c r="CY156" s="1">
        <v>16290</v>
      </c>
      <c r="CZ156" s="1">
        <v>2036</v>
      </c>
      <c r="DA156" s="1">
        <v>5001</v>
      </c>
      <c r="DB156" s="1">
        <v>10450</v>
      </c>
      <c r="DC156" s="1">
        <v>3227</v>
      </c>
      <c r="DD156" s="1">
        <v>2349</v>
      </c>
      <c r="DE156" s="1">
        <v>1738</v>
      </c>
      <c r="DF156" s="1">
        <v>35294</v>
      </c>
      <c r="DG156" s="1">
        <v>11106</v>
      </c>
      <c r="DH156" s="1">
        <v>11180</v>
      </c>
      <c r="DI156" s="1">
        <v>3323</v>
      </c>
      <c r="DJ156" s="1">
        <v>19417</v>
      </c>
      <c r="DK156" s="1">
        <v>14351</v>
      </c>
      <c r="DL156" s="1">
        <v>8434</v>
      </c>
      <c r="DM156" s="1">
        <v>11911</v>
      </c>
      <c r="DN156" s="1">
        <v>10544</v>
      </c>
      <c r="DO156" s="1">
        <v>2750</v>
      </c>
      <c r="DP156" s="1">
        <v>5300</v>
      </c>
      <c r="DQ156" s="1">
        <v>40120</v>
      </c>
      <c r="DR156" s="1">
        <v>2764</v>
      </c>
      <c r="DS156" s="1">
        <v>7058</v>
      </c>
      <c r="DT156" s="1">
        <v>766</v>
      </c>
      <c r="DU156" s="1">
        <v>7917</v>
      </c>
      <c r="DV156" s="1">
        <v>4757</v>
      </c>
      <c r="DW156" s="1">
        <v>4390</v>
      </c>
      <c r="DX156" s="1">
        <v>8224</v>
      </c>
      <c r="DY156" s="1">
        <v>1698</v>
      </c>
      <c r="DZ156" s="1">
        <v>1926</v>
      </c>
      <c r="EA156" s="1">
        <v>7207</v>
      </c>
      <c r="EB156" s="1">
        <v>3743</v>
      </c>
      <c r="EC156" s="1">
        <v>773</v>
      </c>
      <c r="ED156" s="1">
        <v>1045</v>
      </c>
      <c r="EE156" s="1">
        <v>25600</v>
      </c>
      <c r="EF156" s="1">
        <v>3246</v>
      </c>
      <c r="EG156" s="1">
        <v>8722</v>
      </c>
      <c r="EH156" s="1">
        <v>18779</v>
      </c>
      <c r="EJ156" s="1">
        <f t="shared" si="2"/>
        <v>1103767</v>
      </c>
    </row>
    <row r="157" spans="1:140" x14ac:dyDescent="0.25">
      <c r="A157" s="1" t="s">
        <v>293</v>
      </c>
      <c r="B157" s="1">
        <v>2297</v>
      </c>
      <c r="C157" s="1">
        <v>3299</v>
      </c>
      <c r="D157" s="1">
        <v>97</v>
      </c>
      <c r="E157" s="1">
        <v>1223</v>
      </c>
      <c r="F157" s="1">
        <v>5</v>
      </c>
      <c r="G157" s="1">
        <v>27</v>
      </c>
      <c r="H157" s="1">
        <v>7531</v>
      </c>
      <c r="I157" s="1">
        <v>43</v>
      </c>
      <c r="J157" s="1">
        <v>1208</v>
      </c>
      <c r="K157" s="1">
        <v>49</v>
      </c>
      <c r="L157" s="1">
        <v>764</v>
      </c>
      <c r="M157" s="1">
        <v>26</v>
      </c>
      <c r="N157" s="1">
        <v>8295</v>
      </c>
      <c r="O157" s="1">
        <v>1330</v>
      </c>
      <c r="P157" s="1">
        <v>688</v>
      </c>
      <c r="Q157" s="1">
        <v>3476</v>
      </c>
      <c r="R157" s="1">
        <v>4</v>
      </c>
      <c r="S157" s="1">
        <v>1313</v>
      </c>
      <c r="T157" s="1">
        <v>2054</v>
      </c>
      <c r="U157" s="1">
        <v>1524</v>
      </c>
      <c r="V157" s="1">
        <v>4957</v>
      </c>
      <c r="W157" s="1">
        <v>1693</v>
      </c>
      <c r="X157" s="1">
        <v>481</v>
      </c>
      <c r="Y157" s="1">
        <v>726</v>
      </c>
      <c r="Z157" s="1">
        <v>509</v>
      </c>
      <c r="AA157" s="1">
        <v>435</v>
      </c>
      <c r="AB157" s="1">
        <v>4058</v>
      </c>
      <c r="AC157" s="1">
        <v>379</v>
      </c>
      <c r="AD157" s="1">
        <v>332</v>
      </c>
      <c r="AE157" s="1">
        <v>1301</v>
      </c>
      <c r="AF157" s="1">
        <v>875</v>
      </c>
      <c r="AG157" s="1">
        <v>18772</v>
      </c>
      <c r="AH157" s="1">
        <v>293</v>
      </c>
      <c r="AI157" s="1">
        <v>556</v>
      </c>
      <c r="AJ157" s="1">
        <v>270</v>
      </c>
      <c r="AK157" s="1">
        <v>1287</v>
      </c>
      <c r="AL157" s="1">
        <v>1713</v>
      </c>
      <c r="AM157" s="1">
        <v>517</v>
      </c>
      <c r="AN157" s="1">
        <v>214</v>
      </c>
      <c r="AO157" s="1">
        <v>6548</v>
      </c>
      <c r="AP157" s="1">
        <v>446</v>
      </c>
      <c r="AQ157" s="1">
        <v>80</v>
      </c>
      <c r="AR157" s="1">
        <v>2257</v>
      </c>
      <c r="AS157" s="1">
        <v>4043</v>
      </c>
      <c r="AT157" s="1">
        <v>593</v>
      </c>
      <c r="AU157" s="1">
        <v>2090</v>
      </c>
      <c r="AV157" s="1">
        <v>2926</v>
      </c>
      <c r="AW157" s="1">
        <v>1860</v>
      </c>
      <c r="AX157" s="1">
        <v>16759</v>
      </c>
      <c r="AY157" s="1">
        <v>192</v>
      </c>
      <c r="AZ157" s="1">
        <v>607</v>
      </c>
      <c r="BA157" s="1">
        <v>4642</v>
      </c>
      <c r="BB157" s="1">
        <v>255</v>
      </c>
      <c r="BC157" s="1">
        <v>659</v>
      </c>
      <c r="BD157" s="1">
        <v>3811</v>
      </c>
      <c r="BE157" s="1">
        <v>1779</v>
      </c>
      <c r="BF157" s="1">
        <v>1590</v>
      </c>
      <c r="BG157" s="1">
        <v>3131</v>
      </c>
      <c r="BH157" s="1">
        <v>1053</v>
      </c>
      <c r="BI157" s="1">
        <v>19627</v>
      </c>
      <c r="BJ157" s="1">
        <v>2611</v>
      </c>
      <c r="BK157" s="1">
        <v>5739</v>
      </c>
      <c r="BL157" s="1">
        <v>2188</v>
      </c>
      <c r="BM157" s="1">
        <v>3560</v>
      </c>
      <c r="BN157" s="1">
        <v>590</v>
      </c>
      <c r="BO157" s="1">
        <v>714</v>
      </c>
      <c r="BP157" s="1">
        <v>16473</v>
      </c>
      <c r="BQ157" s="1">
        <v>1411</v>
      </c>
      <c r="BR157" s="1">
        <v>39709</v>
      </c>
      <c r="BS157" s="1">
        <v>4860</v>
      </c>
      <c r="BT157" s="1">
        <v>4529</v>
      </c>
      <c r="BU157" s="1">
        <v>11105</v>
      </c>
      <c r="BV157" s="1">
        <v>1923</v>
      </c>
      <c r="BW157" s="1">
        <v>7414</v>
      </c>
      <c r="BX157" s="1">
        <v>1156</v>
      </c>
      <c r="BY157" s="1">
        <v>3432</v>
      </c>
      <c r="BZ157" s="1">
        <v>13147</v>
      </c>
      <c r="CA157" s="1">
        <v>1585</v>
      </c>
      <c r="CB157" s="1">
        <v>732</v>
      </c>
      <c r="CC157" s="1">
        <v>4142</v>
      </c>
      <c r="CD157" s="1">
        <v>1809</v>
      </c>
      <c r="CE157" s="1">
        <v>4430</v>
      </c>
      <c r="CF157" s="1">
        <v>4965</v>
      </c>
      <c r="CG157" s="1">
        <v>67650</v>
      </c>
      <c r="CH157" s="1">
        <v>7910</v>
      </c>
      <c r="CI157" s="1">
        <v>16070</v>
      </c>
      <c r="CJ157" s="1">
        <v>3316</v>
      </c>
      <c r="CK157" s="1">
        <v>7896</v>
      </c>
      <c r="CL157" s="1">
        <v>4795</v>
      </c>
      <c r="CM157" s="1">
        <v>7819</v>
      </c>
      <c r="CN157" s="1">
        <v>23722</v>
      </c>
      <c r="CO157" s="1">
        <v>2893</v>
      </c>
      <c r="CP157" s="1">
        <v>2145</v>
      </c>
      <c r="CQ157" s="1">
        <v>2228</v>
      </c>
      <c r="CR157" s="1">
        <v>4088</v>
      </c>
      <c r="CS157" s="1">
        <v>16458</v>
      </c>
      <c r="CT157" s="1">
        <v>12311</v>
      </c>
      <c r="CU157" s="1">
        <v>1523</v>
      </c>
      <c r="CV157" s="1">
        <v>143842</v>
      </c>
      <c r="CW157" s="1">
        <v>2346</v>
      </c>
      <c r="CX157" s="1">
        <v>1021</v>
      </c>
      <c r="CY157" s="1">
        <v>11868</v>
      </c>
      <c r="CZ157" s="1">
        <v>1393</v>
      </c>
      <c r="DA157" s="1">
        <v>4002</v>
      </c>
      <c r="DB157" s="1">
        <v>8261</v>
      </c>
      <c r="DC157" s="1">
        <v>2390</v>
      </c>
      <c r="DD157" s="1">
        <v>2033</v>
      </c>
      <c r="DE157" s="1">
        <v>1409</v>
      </c>
      <c r="DF157" s="1">
        <v>28342</v>
      </c>
      <c r="DG157" s="1">
        <v>7724</v>
      </c>
      <c r="DH157" s="1">
        <v>7238</v>
      </c>
      <c r="DI157" s="1">
        <v>1926</v>
      </c>
      <c r="DJ157" s="1">
        <v>14940</v>
      </c>
      <c r="DK157" s="1">
        <v>13778</v>
      </c>
      <c r="DL157" s="1">
        <v>6878</v>
      </c>
      <c r="DM157" s="1">
        <v>7971</v>
      </c>
      <c r="DN157" s="1">
        <v>6297</v>
      </c>
      <c r="DO157" s="1">
        <v>2215</v>
      </c>
      <c r="DP157" s="1">
        <v>3550</v>
      </c>
      <c r="DQ157" s="1">
        <v>35551</v>
      </c>
      <c r="DR157" s="1">
        <v>2319</v>
      </c>
      <c r="DS157" s="1">
        <v>4438</v>
      </c>
      <c r="DT157" s="1">
        <v>541</v>
      </c>
      <c r="DU157" s="1">
        <v>5907</v>
      </c>
      <c r="DV157" s="1">
        <v>2998</v>
      </c>
      <c r="DW157" s="1">
        <v>2936</v>
      </c>
      <c r="DX157" s="1">
        <v>6734</v>
      </c>
      <c r="DY157" s="1">
        <v>1229</v>
      </c>
      <c r="DZ157" s="1">
        <v>1435</v>
      </c>
      <c r="EA157" s="1">
        <v>5270</v>
      </c>
      <c r="EB157" s="1">
        <v>3077</v>
      </c>
      <c r="EC157" s="1">
        <v>577</v>
      </c>
      <c r="ED157" s="1">
        <v>689</v>
      </c>
      <c r="EE157" s="1">
        <v>19863</v>
      </c>
      <c r="EF157" s="1">
        <v>2473</v>
      </c>
      <c r="EG157" s="1">
        <v>7420</v>
      </c>
      <c r="EH157" s="1">
        <v>17941</v>
      </c>
      <c r="EI157" s="9"/>
      <c r="EJ157" s="1">
        <f t="shared" si="2"/>
        <v>869439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MAIN</vt:lpstr>
      <vt:lpstr>Planilha3</vt:lpstr>
      <vt:lpstr>Planilha2</vt:lpstr>
      <vt:lpstr>Plan7</vt:lpstr>
      <vt:lpstr>Planilha1</vt:lpstr>
      <vt:lpstr>PIM</vt:lpstr>
      <vt:lpstr>DesSéries</vt:lpstr>
      <vt:lpstr>AdmSéries</vt:lpstr>
      <vt:lpstr>desl</vt:lpstr>
      <vt:lpstr>adm</vt:lpstr>
    </vt:vector>
  </TitlesOfParts>
  <Company>Fundação Getulio Vargas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Fundação Getulio Vargas</dc:creator>
  <cp:lastModifiedBy>Tebaldi</cp:lastModifiedBy>
  <dcterms:created xsi:type="dcterms:W3CDTF">2017-03-31T20:20:53Z</dcterms:created>
  <dcterms:modified xsi:type="dcterms:W3CDTF">2017-08-16T20:07:40Z</dcterms:modified>
</cp:coreProperties>
</file>