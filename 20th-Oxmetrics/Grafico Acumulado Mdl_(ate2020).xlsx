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20th-Oxmetrics\"/>
    </mc:Choice>
  </mc:AlternateContent>
  <xr:revisionPtr revIDLastSave="0" documentId="13_ncr:1_{804671C8-869A-4CA9-993F-4D6D5E243636}" xr6:coauthVersionLast="45" xr6:coauthVersionMax="45" xr10:uidLastSave="{00000000-0000-0000-0000-000000000000}"/>
  <bookViews>
    <workbookView xWindow="-120" yWindow="-120" windowWidth="29040" windowHeight="15840" tabRatio="789" activeTab="1" xr2:uid="{00000000-000D-0000-FFFF-FFFF00000000}"/>
  </bookViews>
  <sheets>
    <sheet name="Graf Net Employ" sheetId="8" r:id="rId1"/>
    <sheet name="Planilha6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6" l="1"/>
  <c r="B15" i="6"/>
  <c r="B16" i="6"/>
  <c r="B17" i="6"/>
  <c r="B13" i="6"/>
  <c r="D3" i="6" l="1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3" i="6"/>
  <c r="C17" i="6"/>
  <c r="D17" i="6" s="1"/>
  <c r="C16" i="6" l="1"/>
  <c r="D16" i="6" s="1"/>
  <c r="E16" i="6" s="1"/>
  <c r="C15" i="6"/>
  <c r="C14" i="6"/>
  <c r="D14" i="6" s="1"/>
  <c r="C13" i="6"/>
  <c r="E17" i="6"/>
  <c r="F17" i="6" l="1"/>
  <c r="F16" i="6"/>
  <c r="D15" i="6"/>
  <c r="E15" i="6" s="1"/>
  <c r="E14" i="6"/>
  <c r="D13" i="6"/>
  <c r="G17" i="6" l="1"/>
  <c r="G16" i="6"/>
  <c r="F15" i="6"/>
  <c r="F14" i="6"/>
  <c r="E13" i="6"/>
  <c r="H17" i="6" l="1"/>
  <c r="H16" i="6"/>
  <c r="G15" i="6"/>
  <c r="G14" i="6"/>
  <c r="F13" i="6"/>
  <c r="I17" i="6" l="1"/>
  <c r="I16" i="6"/>
  <c r="H15" i="6"/>
  <c r="H14" i="6"/>
  <c r="G13" i="6"/>
  <c r="J17" i="6" l="1"/>
  <c r="J16" i="6"/>
  <c r="I15" i="6"/>
  <c r="I14" i="6"/>
  <c r="H13" i="6"/>
  <c r="K17" i="6" l="1"/>
  <c r="K16" i="6"/>
  <c r="J15" i="6"/>
  <c r="J14" i="6"/>
  <c r="I13" i="6"/>
  <c r="L17" i="6" l="1"/>
  <c r="L16" i="6"/>
  <c r="K15" i="6"/>
  <c r="K14" i="6"/>
  <c r="J13" i="6"/>
  <c r="M17" i="6" l="1"/>
  <c r="M16" i="6"/>
  <c r="L15" i="6"/>
  <c r="L14" i="6"/>
  <c r="K13" i="6"/>
  <c r="N17" i="6" l="1"/>
  <c r="N16" i="6"/>
  <c r="M15" i="6"/>
  <c r="M14" i="6"/>
  <c r="L13" i="6"/>
  <c r="O17" i="6" l="1"/>
  <c r="O16" i="6"/>
  <c r="N15" i="6"/>
  <c r="N14" i="6"/>
  <c r="M13" i="6"/>
  <c r="P17" i="6" l="1"/>
  <c r="P16" i="6"/>
  <c r="O15" i="6"/>
  <c r="O14" i="6"/>
  <c r="N13" i="6"/>
  <c r="Q17" i="6" l="1"/>
  <c r="Q16" i="6"/>
  <c r="P15" i="6"/>
  <c r="P14" i="6"/>
  <c r="O13" i="6"/>
  <c r="R17" i="6" l="1"/>
  <c r="R16" i="6"/>
  <c r="Q15" i="6"/>
  <c r="Q14" i="6"/>
  <c r="P13" i="6"/>
  <c r="S17" i="6" l="1"/>
  <c r="S16" i="6"/>
  <c r="R15" i="6"/>
  <c r="R14" i="6"/>
  <c r="Q13" i="6"/>
  <c r="T17" i="6" l="1"/>
  <c r="T16" i="6"/>
  <c r="S15" i="6"/>
  <c r="S14" i="6"/>
  <c r="R13" i="6"/>
  <c r="U17" i="6" l="1"/>
  <c r="U16" i="6"/>
  <c r="T15" i="6"/>
  <c r="T14" i="6"/>
  <c r="S13" i="6"/>
  <c r="V17" i="6" l="1"/>
  <c r="V16" i="6"/>
  <c r="U15" i="6"/>
  <c r="U14" i="6"/>
  <c r="T13" i="6"/>
  <c r="W17" i="6" l="1"/>
  <c r="W16" i="6"/>
  <c r="V15" i="6"/>
  <c r="V14" i="6"/>
  <c r="U13" i="6"/>
  <c r="X17" i="6" l="1"/>
  <c r="X16" i="6"/>
  <c r="W15" i="6"/>
  <c r="W14" i="6"/>
  <c r="V13" i="6"/>
  <c r="Y17" i="6" l="1"/>
  <c r="Y16" i="6"/>
  <c r="X15" i="6"/>
  <c r="X14" i="6"/>
  <c r="W13" i="6"/>
  <c r="Z17" i="6" l="1"/>
  <c r="Z16" i="6"/>
  <c r="Y15" i="6"/>
  <c r="Y14" i="6"/>
  <c r="X13" i="6"/>
  <c r="AA17" i="6" l="1"/>
  <c r="AA16" i="6"/>
  <c r="Z15" i="6"/>
  <c r="Z14" i="6"/>
  <c r="Y13" i="6"/>
  <c r="AB17" i="6" l="1"/>
  <c r="AB16" i="6"/>
  <c r="AA15" i="6"/>
  <c r="AA14" i="6"/>
  <c r="Z13" i="6"/>
  <c r="AC17" i="6" l="1"/>
  <c r="AC16" i="6"/>
  <c r="AB15" i="6"/>
  <c r="AB14" i="6"/>
  <c r="AA13" i="6"/>
  <c r="AD17" i="6" l="1"/>
  <c r="AD16" i="6"/>
  <c r="AC15" i="6"/>
  <c r="AC14" i="6"/>
  <c r="AB13" i="6"/>
  <c r="AE17" i="6" l="1"/>
  <c r="AE16" i="6"/>
  <c r="AD15" i="6"/>
  <c r="AD14" i="6"/>
  <c r="AC13" i="6"/>
  <c r="AF17" i="6" l="1"/>
  <c r="AF16" i="6"/>
  <c r="AE15" i="6"/>
  <c r="AE14" i="6"/>
  <c r="AD13" i="6"/>
  <c r="AG17" i="6" l="1"/>
  <c r="AG16" i="6"/>
  <c r="AF15" i="6"/>
  <c r="AF14" i="6"/>
  <c r="AE13" i="6"/>
  <c r="AH17" i="6" l="1"/>
  <c r="AH16" i="6"/>
  <c r="AG15" i="6"/>
  <c r="AG14" i="6"/>
  <c r="AF13" i="6"/>
  <c r="AI17" i="6" l="1"/>
  <c r="AI16" i="6"/>
  <c r="AH15" i="6"/>
  <c r="AH14" i="6"/>
  <c r="AG13" i="6"/>
  <c r="AJ17" i="6" l="1"/>
  <c r="AJ16" i="6"/>
  <c r="AI15" i="6"/>
  <c r="AI14" i="6"/>
  <c r="AH13" i="6"/>
  <c r="AK17" i="6" l="1"/>
  <c r="AK16" i="6"/>
  <c r="AJ15" i="6"/>
  <c r="AJ14" i="6"/>
  <c r="AI13" i="6"/>
  <c r="AL17" i="6" l="1"/>
  <c r="AL16" i="6"/>
  <c r="AK15" i="6"/>
  <c r="AK14" i="6"/>
  <c r="AJ13" i="6"/>
  <c r="AM17" i="6" l="1"/>
  <c r="AM16" i="6"/>
  <c r="AL15" i="6"/>
  <c r="AL14" i="6"/>
  <c r="AK13" i="6"/>
  <c r="AN17" i="6" l="1"/>
  <c r="AN16" i="6"/>
  <c r="AM15" i="6"/>
  <c r="AM14" i="6"/>
  <c r="AL13" i="6"/>
  <c r="AO17" i="6" l="1"/>
  <c r="AO16" i="6"/>
  <c r="AN15" i="6"/>
  <c r="AN14" i="6"/>
  <c r="AM13" i="6"/>
  <c r="AP17" i="6" l="1"/>
  <c r="AP16" i="6"/>
  <c r="AO15" i="6"/>
  <c r="AO14" i="6"/>
  <c r="AN13" i="6"/>
  <c r="AQ17" i="6" l="1"/>
  <c r="AQ16" i="6"/>
  <c r="AP15" i="6"/>
  <c r="AP14" i="6"/>
  <c r="AO13" i="6"/>
  <c r="AR17" i="6" l="1"/>
  <c r="AR16" i="6"/>
  <c r="AQ15" i="6"/>
  <c r="AQ14" i="6"/>
  <c r="AP13" i="6"/>
  <c r="AS17" i="6" l="1"/>
  <c r="AS16" i="6"/>
  <c r="AR15" i="6"/>
  <c r="AR14" i="6"/>
  <c r="AQ13" i="6"/>
  <c r="AT17" i="6" l="1"/>
  <c r="AT16" i="6"/>
  <c r="AS15" i="6"/>
  <c r="AS14" i="6"/>
  <c r="AR13" i="6"/>
  <c r="AU17" i="6" l="1"/>
  <c r="AU16" i="6"/>
  <c r="AT15" i="6"/>
  <c r="AT14" i="6"/>
  <c r="AS13" i="6"/>
  <c r="AV17" i="6" l="1"/>
  <c r="AV16" i="6"/>
  <c r="AU15" i="6"/>
  <c r="AU14" i="6"/>
  <c r="AT13" i="6"/>
  <c r="AW17" i="6" l="1"/>
  <c r="AW16" i="6"/>
  <c r="AV15" i="6"/>
  <c r="AV14" i="6"/>
  <c r="AU13" i="6"/>
  <c r="AX17" i="6" l="1"/>
  <c r="AX16" i="6"/>
  <c r="AW15" i="6"/>
  <c r="AW14" i="6"/>
  <c r="AV13" i="6"/>
  <c r="AY17" i="6" l="1"/>
  <c r="AY16" i="6"/>
  <c r="AX15" i="6"/>
  <c r="AX14" i="6"/>
  <c r="AW13" i="6"/>
  <c r="AZ17" i="6" l="1"/>
  <c r="AZ16" i="6"/>
  <c r="AY15" i="6"/>
  <c r="AY14" i="6"/>
  <c r="AX13" i="6"/>
  <c r="BA17" i="6" l="1"/>
  <c r="BA16" i="6"/>
  <c r="AZ15" i="6"/>
  <c r="AZ14" i="6"/>
  <c r="AY13" i="6"/>
  <c r="BB17" i="6" l="1"/>
  <c r="BB16" i="6"/>
  <c r="BA15" i="6"/>
  <c r="BA14" i="6"/>
  <c r="AZ13" i="6"/>
  <c r="BC17" i="6" l="1"/>
  <c r="BC16" i="6"/>
  <c r="BB15" i="6"/>
  <c r="BB14" i="6"/>
  <c r="BA13" i="6"/>
  <c r="BD17" i="6" l="1"/>
  <c r="BD16" i="6"/>
  <c r="BC15" i="6"/>
  <c r="BC14" i="6"/>
  <c r="BB13" i="6"/>
  <c r="BE17" i="6" l="1"/>
  <c r="BE16" i="6"/>
  <c r="BD15" i="6"/>
  <c r="BD14" i="6"/>
  <c r="BC13" i="6"/>
  <c r="BF17" i="6" l="1"/>
  <c r="BF16" i="6"/>
  <c r="BE15" i="6"/>
  <c r="BE14" i="6"/>
  <c r="BD13" i="6"/>
  <c r="BG17" i="6" l="1"/>
  <c r="BG16" i="6"/>
  <c r="BF15" i="6"/>
  <c r="BF14" i="6"/>
  <c r="BE13" i="6"/>
  <c r="BH17" i="6" l="1"/>
  <c r="BH16" i="6"/>
  <c r="BG15" i="6"/>
  <c r="BG14" i="6"/>
  <c r="BF13" i="6"/>
  <c r="BI17" i="6" l="1"/>
  <c r="BI16" i="6"/>
  <c r="BH15" i="6"/>
  <c r="BH14" i="6"/>
  <c r="BG13" i="6"/>
  <c r="BJ17" i="6" l="1"/>
  <c r="BJ16" i="6"/>
  <c r="BI15" i="6"/>
  <c r="BI14" i="6"/>
  <c r="BH13" i="6"/>
  <c r="BK17" i="6" l="1"/>
  <c r="BK16" i="6"/>
  <c r="BJ15" i="6"/>
  <c r="BJ14" i="6"/>
  <c r="BI13" i="6"/>
  <c r="BL17" i="6" l="1"/>
  <c r="BL16" i="6"/>
  <c r="BK15" i="6"/>
  <c r="BK14" i="6"/>
  <c r="BJ13" i="6"/>
  <c r="BM17" i="6" l="1"/>
  <c r="BM16" i="6"/>
  <c r="BL15" i="6"/>
  <c r="BL14" i="6"/>
  <c r="BK13" i="6"/>
  <c r="BN17" i="6" l="1"/>
  <c r="BN16" i="6"/>
  <c r="BM15" i="6"/>
  <c r="BM14" i="6"/>
  <c r="BL13" i="6"/>
  <c r="BO17" i="6" l="1"/>
  <c r="BO16" i="6"/>
  <c r="BN15" i="6"/>
  <c r="BN14" i="6"/>
  <c r="BM13" i="6"/>
  <c r="BP17" i="6" l="1"/>
  <c r="BP16" i="6"/>
  <c r="BO15" i="6"/>
  <c r="BO14" i="6"/>
  <c r="BN13" i="6"/>
  <c r="BQ17" i="6" l="1"/>
  <c r="BQ16" i="6"/>
  <c r="BP15" i="6"/>
  <c r="BP14" i="6"/>
  <c r="BO13" i="6"/>
  <c r="BR17" i="6" l="1"/>
  <c r="BR16" i="6"/>
  <c r="BQ15" i="6"/>
  <c r="BQ14" i="6"/>
  <c r="BP13" i="6"/>
  <c r="BS17" i="6" l="1"/>
  <c r="BS16" i="6"/>
  <c r="BR15" i="6"/>
  <c r="BR14" i="6"/>
  <c r="BQ13" i="6"/>
  <c r="BT17" i="6" l="1"/>
  <c r="BT16" i="6"/>
  <c r="BS15" i="6"/>
  <c r="BS14" i="6"/>
  <c r="BR13" i="6"/>
  <c r="BU17" i="6" l="1"/>
  <c r="BU16" i="6"/>
  <c r="BT15" i="6"/>
  <c r="BT14" i="6"/>
  <c r="BS13" i="6"/>
  <c r="BV17" i="6" l="1"/>
  <c r="BV16" i="6"/>
  <c r="BU15" i="6"/>
  <c r="BU14" i="6"/>
  <c r="BT13" i="6"/>
  <c r="BW17" i="6" l="1"/>
  <c r="BW16" i="6"/>
  <c r="BV15" i="6"/>
  <c r="BV14" i="6"/>
  <c r="BU13" i="6"/>
  <c r="BX17" i="6" l="1"/>
  <c r="BX16" i="6"/>
  <c r="BW15" i="6"/>
  <c r="BW14" i="6"/>
  <c r="BV13" i="6"/>
  <c r="BY17" i="6" l="1"/>
  <c r="BY16" i="6"/>
  <c r="BX15" i="6"/>
  <c r="BX14" i="6"/>
  <c r="BW13" i="6"/>
  <c r="BZ17" i="6" l="1"/>
  <c r="BZ16" i="6"/>
  <c r="BY15" i="6"/>
  <c r="BY14" i="6"/>
  <c r="BX13" i="6"/>
  <c r="CA17" i="6" l="1"/>
  <c r="CA16" i="6"/>
  <c r="BZ15" i="6"/>
  <c r="BZ14" i="6"/>
  <c r="BY13" i="6"/>
  <c r="CB17" i="6" l="1"/>
  <c r="CB16" i="6"/>
  <c r="CA15" i="6"/>
  <c r="CA14" i="6"/>
  <c r="BZ13" i="6"/>
  <c r="CC17" i="6" l="1"/>
  <c r="CC16" i="6"/>
  <c r="CB15" i="6"/>
  <c r="CB14" i="6"/>
  <c r="CA13" i="6"/>
  <c r="CD17" i="6" l="1"/>
  <c r="CD16" i="6"/>
  <c r="CC15" i="6"/>
  <c r="CC14" i="6"/>
  <c r="CB13" i="6"/>
  <c r="CE17" i="6" l="1"/>
  <c r="CE16" i="6"/>
  <c r="CD15" i="6"/>
  <c r="CD14" i="6"/>
  <c r="CC13" i="6"/>
  <c r="CF17" i="6" l="1"/>
  <c r="CF16" i="6"/>
  <c r="CE15" i="6"/>
  <c r="CE14" i="6"/>
  <c r="CD13" i="6"/>
  <c r="CG17" i="6" l="1"/>
  <c r="CG16" i="6"/>
  <c r="CF15" i="6"/>
  <c r="CF14" i="6"/>
  <c r="CE13" i="6"/>
  <c r="CH17" i="6" l="1"/>
  <c r="CH16" i="6"/>
  <c r="CG15" i="6"/>
  <c r="CG14" i="6"/>
  <c r="CF13" i="6"/>
  <c r="CI17" i="6" l="1"/>
  <c r="CI16" i="6"/>
  <c r="CH15" i="6"/>
  <c r="CH14" i="6"/>
  <c r="CG13" i="6"/>
  <c r="CJ17" i="6" l="1"/>
  <c r="CJ16" i="6"/>
  <c r="CI15" i="6"/>
  <c r="CI14" i="6"/>
  <c r="CH13" i="6"/>
  <c r="CK17" i="6" l="1"/>
  <c r="CK16" i="6"/>
  <c r="CJ15" i="6"/>
  <c r="CJ14" i="6"/>
  <c r="CI13" i="6"/>
  <c r="CL17" i="6" l="1"/>
  <c r="CL16" i="6"/>
  <c r="CK15" i="6"/>
  <c r="CK14" i="6"/>
  <c r="CJ13" i="6"/>
  <c r="CM17" i="6" l="1"/>
  <c r="CM16" i="6"/>
  <c r="CL15" i="6"/>
  <c r="CL14" i="6"/>
  <c r="CK13" i="6"/>
  <c r="CN17" i="6" l="1"/>
  <c r="CN16" i="6"/>
  <c r="CM15" i="6"/>
  <c r="CM14" i="6"/>
  <c r="CL13" i="6"/>
  <c r="CO17" i="6" l="1"/>
  <c r="CO16" i="6"/>
  <c r="CN15" i="6"/>
  <c r="CN14" i="6"/>
  <c r="CM13" i="6"/>
  <c r="CP17" i="6" l="1"/>
  <c r="CP16" i="6"/>
  <c r="CO15" i="6"/>
  <c r="CO14" i="6"/>
  <c r="CN13" i="6"/>
  <c r="CQ17" i="6" l="1"/>
  <c r="CQ16" i="6"/>
  <c r="CP15" i="6"/>
  <c r="CP14" i="6"/>
  <c r="CO13" i="6"/>
  <c r="CR17" i="6" l="1"/>
  <c r="CR16" i="6"/>
  <c r="CQ15" i="6"/>
  <c r="CQ14" i="6"/>
  <c r="CP13" i="6"/>
  <c r="CS17" i="6" l="1"/>
  <c r="CS16" i="6"/>
  <c r="CR15" i="6"/>
  <c r="CR14" i="6"/>
  <c r="CQ13" i="6"/>
  <c r="CT17" i="6" l="1"/>
  <c r="CT16" i="6"/>
  <c r="CS15" i="6"/>
  <c r="CS14" i="6"/>
  <c r="CR13" i="6"/>
  <c r="CT15" i="6" l="1"/>
  <c r="CT14" i="6"/>
  <c r="CS13" i="6"/>
  <c r="CT13" i="6" l="1"/>
</calcChain>
</file>

<file path=xl/sharedStrings.xml><?xml version="1.0" encoding="utf-8"?>
<sst xmlns="http://schemas.openxmlformats.org/spreadsheetml/2006/main" count="104" uniqueCount="104">
  <si>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</si>
  <si>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</si>
  <si>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</si>
  <si>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</si>
  <si>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</si>
  <si>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</si>
  <si>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</si>
  <si>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</si>
  <si>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</si>
  <si>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</si>
  <si>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</si>
  <si>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</si>
  <si>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</si>
  <si>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</si>
  <si>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</si>
  <si>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</si>
  <si>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</si>
  <si>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</si>
  <si>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</si>
  <si>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</si>
  <si>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</si>
  <si>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</si>
  <si>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</si>
  <si>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</si>
  <si>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</si>
  <si>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</si>
  <si>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</si>
  <si>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</si>
  <si>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</si>
  <si>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</si>
  <si>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</si>
  <si>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</si>
  <si>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</si>
  <si>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</si>
  <si>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</si>
  <si>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</si>
  <si>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</si>
  <si>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</si>
  <si>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</si>
  <si>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</si>
  <si>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</si>
  <si>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</si>
  <si>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</si>
  <si>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</si>
  <si>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</si>
  <si>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</si>
  <si>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</si>
  <si>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</si>
  <si>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</si>
  <si>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</si>
  <si>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</si>
  <si>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</si>
  <si>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</si>
  <si>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</si>
  <si>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</si>
  <si>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</si>
  <si>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</si>
  <si>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</si>
  <si>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</si>
  <si>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</si>
  <si>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</si>
  <si>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</si>
  <si>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</si>
  <si>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</si>
  <si>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</si>
  <si>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</si>
  <si>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</si>
  <si>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</si>
  <si>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</si>
  <si>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</si>
  <si>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</si>
  <si>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</si>
  <si>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</si>
  <si>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</si>
  <si>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</si>
  <si>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</si>
  <si>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</si>
  <si>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</si>
  <si>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</si>
  <si>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</si>
  <si>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</si>
  <si>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</si>
  <si>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</si>
  <si>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</si>
  <si>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</si>
  <si>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</si>
  <si>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</si>
  <si>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</si>
  <si>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</si>
  <si>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</si>
  <si>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</si>
  <si>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</si>
  <si>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</si>
  <si>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</si>
  <si>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</si>
  <si>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</si>
  <si>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Forecast</t>
  </si>
  <si>
    <t>Actual</t>
  </si>
  <si>
    <t>2015-2016 Defict</t>
  </si>
  <si>
    <t>0% growth</t>
  </si>
  <si>
    <t>2% growth</t>
  </si>
  <si>
    <t>4% growth</t>
  </si>
  <si>
    <t>6% growth</t>
  </si>
  <si>
    <t>8%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</si>
</sst>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" fontId="0" fillId="0" borderId="0" xfId="1" applyNumberFormat="1" applyFont="1"/>
    <xf numFmtId="17" fontId="0" fillId="0" borderId="0" xfId="0" applyNumberFormat="1"/>
  </cellXfs>
  <cellStyles count="3">
    <cellStyle name="Normal" xfId="0" builtinId="0"/>
    <cellStyle name="Normal 2" xfId="2" xr:uid="{00000000-0005-0000-0000-000001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Cumulative Employment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Planilha6!$B$13</c:f>
              <c:strCache>
                <c:ptCount val="1"/>
                <c:pt idx="0">
                  <c:v>0% growth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dashDot"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Planilha6!$C$3:$CT$3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Planilha6!$C$13:$CT$13</c:f>
              <c:numCache>
                <c:formatCode>0</c:formatCode>
                <c:ptCount val="96"/>
                <c:pt idx="0">
                  <c:v>-243895.53243511831</c:v>
                </c:pt>
                <c:pt idx="1">
                  <c:v>-360200.33739734662</c:v>
                </c:pt>
                <c:pt idx="2">
                  <c:v>-419259.58697420079</c:v>
                </c:pt>
                <c:pt idx="3">
                  <c:v>-387221.97334732558</c:v>
                </c:pt>
                <c:pt idx="4">
                  <c:v>-419672.09994925826</c:v>
                </c:pt>
                <c:pt idx="5">
                  <c:v>-291617.08973849867</c:v>
                </c:pt>
                <c:pt idx="6">
                  <c:v>-256128.40917827954</c:v>
                </c:pt>
                <c:pt idx="7">
                  <c:v>-279069.22907365242</c:v>
                </c:pt>
                <c:pt idx="8">
                  <c:v>-253405.06058867273</c:v>
                </c:pt>
                <c:pt idx="9">
                  <c:v>-476959.39832426666</c:v>
                </c:pt>
                <c:pt idx="10">
                  <c:v>-782147.87627912359</c:v>
                </c:pt>
                <c:pt idx="11">
                  <c:v>-1244051.9511981334</c:v>
                </c:pt>
                <c:pt idx="12">
                  <c:v>-1454184.421588354</c:v>
                </c:pt>
                <c:pt idx="13">
                  <c:v>-1514727.7298439941</c:v>
                </c:pt>
                <c:pt idx="14">
                  <c:v>-1519590.4005004333</c:v>
                </c:pt>
                <c:pt idx="15">
                  <c:v>-1435056.0012054227</c:v>
                </c:pt>
                <c:pt idx="16">
                  <c:v>-1427419.9354702979</c:v>
                </c:pt>
                <c:pt idx="17">
                  <c:v>-1273141.2550420954</c:v>
                </c:pt>
                <c:pt idx="18">
                  <c:v>-1219957.3961850347</c:v>
                </c:pt>
                <c:pt idx="19">
                  <c:v>-1230756.0417389425</c:v>
                </c:pt>
                <c:pt idx="20">
                  <c:v>-1194070.6698698939</c:v>
                </c:pt>
                <c:pt idx="21">
                  <c:v>-1403031.0747619595</c:v>
                </c:pt>
                <c:pt idx="22">
                  <c:v>-1687542.0552583123</c:v>
                </c:pt>
                <c:pt idx="23">
                  <c:v>-2122370.5060001919</c:v>
                </c:pt>
                <c:pt idx="24">
                  <c:v>-2300516.7974244221</c:v>
                </c:pt>
                <c:pt idx="25">
                  <c:v>-2326587.9546215674</c:v>
                </c:pt>
                <c:pt idx="26">
                  <c:v>-2296905.5072800508</c:v>
                </c:pt>
                <c:pt idx="27">
                  <c:v>-2179512.834752406</c:v>
                </c:pt>
                <c:pt idx="28">
                  <c:v>-2141605.6588796382</c:v>
                </c:pt>
                <c:pt idx="29">
                  <c:v>-1959774.2828650335</c:v>
                </c:pt>
                <c:pt idx="30">
                  <c:v>-1881351.0967100689</c:v>
                </c:pt>
                <c:pt idx="31">
                  <c:v>-1868532.0863421119</c:v>
                </c:pt>
                <c:pt idx="32">
                  <c:v>-1809078.1974780867</c:v>
                </c:pt>
                <c:pt idx="33">
                  <c:v>-1995414.3402803224</c:v>
                </c:pt>
                <c:pt idx="34">
                  <c:v>-2256908.8444206859</c:v>
                </c:pt>
                <c:pt idx="35">
                  <c:v>-2668018.7620229567</c:v>
                </c:pt>
                <c:pt idx="36">
                  <c:v>-2821682.3961584591</c:v>
                </c:pt>
                <c:pt idx="37">
                  <c:v>-2822672.7525254283</c:v>
                </c:pt>
                <c:pt idx="38">
                  <c:v>-2767640.3829505546</c:v>
                </c:pt>
                <c:pt idx="39">
                  <c:v>-2625021.8453600709</c:v>
                </c:pt>
                <c:pt idx="40">
                  <c:v>-2562365.2625211454</c:v>
                </c:pt>
                <c:pt idx="41">
                  <c:v>-2356491.948946401</c:v>
                </c:pt>
                <c:pt idx="42">
                  <c:v>-2254808.0218156087</c:v>
                </c:pt>
                <c:pt idx="43">
                  <c:v>-2219438.4853146109</c:v>
                </c:pt>
                <c:pt idx="44">
                  <c:v>-2137977.5642177411</c:v>
                </c:pt>
                <c:pt idx="45">
                  <c:v>-2302651.8481451985</c:v>
                </c:pt>
                <c:pt idx="46">
                  <c:v>-2542657.3999709706</c:v>
                </c:pt>
                <c:pt idx="47">
                  <c:v>-2932341.2465294376</c:v>
                </c:pt>
                <c:pt idx="48">
                  <c:v>-3064603.7399282078</c:v>
                </c:pt>
                <c:pt idx="49">
                  <c:v>-3044239.7590423692</c:v>
                </c:pt>
                <c:pt idx="50">
                  <c:v>-2967956.7976691364</c:v>
                </c:pt>
                <c:pt idx="51">
                  <c:v>-2804256.630963454</c:v>
                </c:pt>
                <c:pt idx="52">
                  <c:v>-2720740.1501049567</c:v>
                </c:pt>
                <c:pt idx="53">
                  <c:v>-2494258.5661449945</c:v>
                </c:pt>
                <c:pt idx="54">
                  <c:v>-2372225.2302539498</c:v>
                </c:pt>
                <c:pt idx="55">
                  <c:v>-2316757.885585147</c:v>
                </c:pt>
                <c:pt idx="56">
                  <c:v>-2215440.7355273324</c:v>
                </c:pt>
                <c:pt idx="57">
                  <c:v>-2360498.1326250858</c:v>
                </c:pt>
                <c:pt idx="58">
                  <c:v>-2581137.1407642243</c:v>
                </c:pt>
                <c:pt idx="59">
                  <c:v>-2951727.2877197838</c:v>
                </c:pt>
                <c:pt idx="60">
                  <c:v>-3065194.2028883924</c:v>
                </c:pt>
                <c:pt idx="61">
                  <c:v>-3026347.577165985</c:v>
                </c:pt>
                <c:pt idx="62">
                  <c:v>-2931885.6066166344</c:v>
                </c:pt>
                <c:pt idx="63">
                  <c:v>-2750267.3128914735</c:v>
                </c:pt>
                <c:pt idx="64">
                  <c:v>-2649016.3999982686</c:v>
                </c:pt>
                <c:pt idx="65">
                  <c:v>-2404882.3084983607</c:v>
                </c:pt>
                <c:pt idx="66">
                  <c:v>-2265172.9654641342</c:v>
                </c:pt>
                <c:pt idx="67">
                  <c:v>-2191926.6873021941</c:v>
                </c:pt>
                <c:pt idx="68">
                  <c:v>-2072707.325342681</c:v>
                </c:pt>
                <c:pt idx="69">
                  <c:v>-2199805.967056185</c:v>
                </c:pt>
                <c:pt idx="70">
                  <c:v>-2402595.2114466676</c:v>
                </c:pt>
                <c:pt idx="71">
                  <c:v>-2755693.3837552629</c:v>
                </c:pt>
                <c:pt idx="72">
                  <c:v>-2852309.6116708219</c:v>
                </c:pt>
                <c:pt idx="73">
                  <c:v>-2797493.1153850225</c:v>
                </c:pt>
                <c:pt idx="74">
                  <c:v>-2688043.4866793971</c:v>
                </c:pt>
                <c:pt idx="75">
                  <c:v>-2492301.5696127289</c:v>
                </c:pt>
                <c:pt idx="76">
                  <c:v>-2377420.9428266296</c:v>
                </c:pt>
                <c:pt idx="77">
                  <c:v>-2119577.115163323</c:v>
                </c:pt>
                <c:pt idx="78">
                  <c:v>-1965431.5750248404</c:v>
                </c:pt>
                <c:pt idx="79">
                  <c:v>-1876491.120716902</c:v>
                </c:pt>
                <c:pt idx="80">
                  <c:v>-1740086.7612805185</c:v>
                </c:pt>
                <c:pt idx="81">
                  <c:v>-1848692.4203934188</c:v>
                </c:pt>
                <c:pt idx="82">
                  <c:v>-2032359.7608522917</c:v>
                </c:pt>
                <c:pt idx="83">
                  <c:v>-2366721.241359198</c:v>
                </c:pt>
                <c:pt idx="84">
                  <c:v>-2446007.554709164</c:v>
                </c:pt>
                <c:pt idx="85">
                  <c:v>-2376634.3932956848</c:v>
                </c:pt>
                <c:pt idx="86">
                  <c:v>-2255939.7064245157</c:v>
                </c:pt>
                <c:pt idx="87">
                  <c:v>-2051685.1784231602</c:v>
                </c:pt>
                <c:pt idx="88">
                  <c:v>-1932151.0783559312</c:v>
                </c:pt>
                <c:pt idx="89">
                  <c:v>-1669076.9432891267</c:v>
                </c:pt>
                <c:pt idx="90">
                  <c:v>-1510717.0985670723</c:v>
                </c:pt>
                <c:pt idx="91">
                  <c:v>-1421001.0592209306</c:v>
                </c:pt>
                <c:pt idx="92">
                  <c:v>-1246774.8566461077</c:v>
                </c:pt>
                <c:pt idx="93">
                  <c:v>-1371972.7515152365</c:v>
                </c:pt>
                <c:pt idx="94">
                  <c:v>-1558154.5465304181</c:v>
                </c:pt>
                <c:pt idx="95">
                  <c:v>-1682770.8133217331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B-4CDA-979E-AD8046198448}"/>
            </c:ext>
          </c:extLst>
        </c:ser>
        <c:ser>
          <c:idx val="1"/>
          <c:order val="1"/>
          <c:tx>
            <c:strRef>
              <c:f>Planilha6!$B$14</c:f>
              <c:strCache>
                <c:ptCount val="1"/>
                <c:pt idx="0">
                  <c:v>2% growth</c:v>
                </c:pt>
              </c:strCache>
            </c:strRef>
          </c:tx>
          <c:spPr>
            <a:ln w="254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Planilha6!$C$3:$CT$3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Planilha6!$C$14:$CT$14</c:f>
              <c:numCache>
                <c:formatCode>0</c:formatCode>
                <c:ptCount val="96"/>
                <c:pt idx="0">
                  <c:v>-211072.76771537063</c:v>
                </c:pt>
                <c:pt idx="1">
                  <c:v>-306159.4702204396</c:v>
                </c:pt>
                <c:pt idx="2">
                  <c:v>-353439.10630622163</c:v>
                </c:pt>
                <c:pt idx="3">
                  <c:v>-302878.5371278493</c:v>
                </c:pt>
                <c:pt idx="4">
                  <c:v>-322210.55293649453</c:v>
                </c:pt>
                <c:pt idx="5">
                  <c:v>-179996.11837325987</c:v>
                </c:pt>
                <c:pt idx="6">
                  <c:v>-132161.29422336005</c:v>
                </c:pt>
                <c:pt idx="7">
                  <c:v>-143434.06028172607</c:v>
                </c:pt>
                <c:pt idx="8">
                  <c:v>-95172.184109507216</c:v>
                </c:pt>
                <c:pt idx="9">
                  <c:v>-325092.81597119407</c:v>
                </c:pt>
                <c:pt idx="10">
                  <c:v>-605292.33429678797</c:v>
                </c:pt>
                <c:pt idx="11">
                  <c:v>-1016682.3562217109</c:v>
                </c:pt>
                <c:pt idx="12">
                  <c:v>-1179678.2691760634</c:v>
                </c:pt>
                <c:pt idx="13">
                  <c:v>-1196879.2114132307</c:v>
                </c:pt>
                <c:pt idx="14">
                  <c:v>-1171852.8177872961</c:v>
                </c:pt>
                <c:pt idx="15">
                  <c:v>-1055847.8111418455</c:v>
                </c:pt>
                <c:pt idx="16">
                  <c:v>-1023113.137741197</c:v>
                </c:pt>
                <c:pt idx="17">
                  <c:v>-843525.3749416233</c:v>
                </c:pt>
                <c:pt idx="18">
                  <c:v>-766536.92295213626</c:v>
                </c:pt>
                <c:pt idx="19">
                  <c:v>-753167.98990852223</c:v>
                </c:pt>
                <c:pt idx="20">
                  <c:v>-680287.1381552869</c:v>
                </c:pt>
                <c:pt idx="21">
                  <c:v>-881018.52573971264</c:v>
                </c:pt>
                <c:pt idx="22">
                  <c:v>-1125493.9288136528</c:v>
                </c:pt>
                <c:pt idx="23">
                  <c:v>-1494903.9502850089</c:v>
                </c:pt>
                <c:pt idx="24">
                  <c:v>-1611655.4048702761</c:v>
                </c:pt>
                <c:pt idx="25">
                  <c:v>-1581113.0705172231</c:v>
                </c:pt>
                <c:pt idx="26">
                  <c:v>-1509374.8960702152</c:v>
                </c:pt>
                <c:pt idx="27">
                  <c:v>-1349369.1533051257</c:v>
                </c:pt>
                <c:pt idx="28">
                  <c:v>-1276041.8403449638</c:v>
                </c:pt>
                <c:pt idx="29">
                  <c:v>-1059148.7256742613</c:v>
                </c:pt>
                <c:pt idx="30">
                  <c:v>-947502.04306851036</c:v>
                </c:pt>
                <c:pt idx="31">
                  <c:v>-901256.29022258869</c:v>
                </c:pt>
                <c:pt idx="32">
                  <c:v>-796415.95219207904</c:v>
                </c:pt>
                <c:pt idx="33">
                  <c:v>-965390.57540130219</c:v>
                </c:pt>
                <c:pt idx="34">
                  <c:v>-1177830.546772918</c:v>
                </c:pt>
                <c:pt idx="35">
                  <c:v>-1514710.0066158036</c:v>
                </c:pt>
                <c:pt idx="36">
                  <c:v>-1598476.7213504431</c:v>
                </c:pt>
                <c:pt idx="37">
                  <c:v>-1534749.0726915863</c:v>
                </c:pt>
                <c:pt idx="38">
                  <c:v>-1430009.1391247779</c:v>
                </c:pt>
                <c:pt idx="39">
                  <c:v>-1237594.1537434538</c:v>
                </c:pt>
                <c:pt idx="40">
                  <c:v>-1132782.406695772</c:v>
                </c:pt>
                <c:pt idx="41">
                  <c:v>-885515.7496553387</c:v>
                </c:pt>
                <c:pt idx="42">
                  <c:v>-744625.0491001507</c:v>
                </c:pt>
                <c:pt idx="43">
                  <c:v>-670142.540298015</c:v>
                </c:pt>
                <c:pt idx="44">
                  <c:v>-537868.53007350815</c:v>
                </c:pt>
                <c:pt idx="45">
                  <c:v>-679995.02445364022</c:v>
                </c:pt>
                <c:pt idx="46">
                  <c:v>-865998.15246414044</c:v>
                </c:pt>
                <c:pt idx="47">
                  <c:v>-1176752.3873482626</c:v>
                </c:pt>
                <c:pt idx="48">
                  <c:v>-1234683.714101525</c:v>
                </c:pt>
                <c:pt idx="49">
                  <c:v>-1145448.2784299385</c:v>
                </c:pt>
                <c:pt idx="50">
                  <c:v>-1015596.5079057564</c:v>
                </c:pt>
                <c:pt idx="51">
                  <c:v>-798535.99082355492</c:v>
                </c:pt>
                <c:pt idx="52">
                  <c:v>-669597.00269991939</c:v>
                </c:pt>
                <c:pt idx="53">
                  <c:v>-398746.25561058393</c:v>
                </c:pt>
                <c:pt idx="54">
                  <c:v>-234814.57978302997</c:v>
                </c:pt>
                <c:pt idx="55">
                  <c:v>-137819.02191886675</c:v>
                </c:pt>
                <c:pt idx="56">
                  <c:v>16457.997481793398</c:v>
                </c:pt>
                <c:pt idx="57">
                  <c:v>-104165.35879362618</c:v>
                </c:pt>
                <c:pt idx="58">
                  <c:v>-269167.58158842759</c:v>
                </c:pt>
                <c:pt idx="59">
                  <c:v>-559435.64929084526</c:v>
                </c:pt>
                <c:pt idx="60">
                  <c:v>-597409.31388604932</c:v>
                </c:pt>
                <c:pt idx="61">
                  <c:v>-488747.20817534794</c:v>
                </c:pt>
                <c:pt idx="62">
                  <c:v>-339979.02731460123</c:v>
                </c:pt>
                <c:pt idx="63">
                  <c:v>-104461.64232626537</c:v>
                </c:pt>
                <c:pt idx="64">
                  <c:v>42553.348991371051</c:v>
                </c:pt>
                <c:pt idx="65">
                  <c:v>331193.43841127941</c:v>
                </c:pt>
                <c:pt idx="66">
                  <c:v>512715.62813978351</c:v>
                </c:pt>
                <c:pt idx="67">
                  <c:v>627156.65872711269</c:v>
                </c:pt>
                <c:pt idx="68">
                  <c:v>798726.61612830637</c:v>
                </c:pt>
                <c:pt idx="69">
                  <c:v>695156.33204128908</c:v>
                </c:pt>
                <c:pt idx="70">
                  <c:v>546799.36316835263</c:v>
                </c:pt>
                <c:pt idx="71">
                  <c:v>272544.4348993788</c:v>
                </c:pt>
                <c:pt idx="72">
                  <c:v>249722.02109570461</c:v>
                </c:pt>
                <c:pt idx="73">
                  <c:v>372509.48688905337</c:v>
                </c:pt>
                <c:pt idx="74">
                  <c:v>534355.09891891165</c:v>
                </c:pt>
                <c:pt idx="75">
                  <c:v>782078.88505458704</c:v>
                </c:pt>
                <c:pt idx="76">
                  <c:v>940814.15709064575</c:v>
                </c:pt>
                <c:pt idx="77">
                  <c:v>1241221.7874603039</c:v>
                </c:pt>
                <c:pt idx="78">
                  <c:v>1435112.9127924917</c:v>
                </c:pt>
                <c:pt idx="79">
                  <c:v>1562933.7150207662</c:v>
                </c:pt>
                <c:pt idx="80">
                  <c:v>1748999.6296442666</c:v>
                </c:pt>
                <c:pt idx="81">
                  <c:v>1660755.3127735781</c:v>
                </c:pt>
                <c:pt idx="82">
                  <c:v>1527839.0211348869</c:v>
                </c:pt>
                <c:pt idx="83">
                  <c:v>1268138.1599924229</c:v>
                </c:pt>
                <c:pt idx="84">
                  <c:v>1258012.0248644811</c:v>
                </c:pt>
                <c:pt idx="85">
                  <c:v>1390605.2722840756</c:v>
                </c:pt>
                <c:pt idx="86">
                  <c:v>1558898.1957443114</c:v>
                </c:pt>
                <c:pt idx="87">
                  <c:v>1810590.2639281077</c:v>
                </c:pt>
                <c:pt idx="88">
                  <c:v>1970482.5244918584</c:v>
                </c:pt>
                <c:pt idx="89">
                  <c:v>2272399.983609484</c:v>
                </c:pt>
                <c:pt idx="90">
                  <c:v>2469461.7284514545</c:v>
                </c:pt>
                <c:pt idx="91">
                  <c:v>2598315.7635916248</c:v>
                </c:pt>
                <c:pt idx="92">
                  <c:v>2810502.8252281332</c:v>
                </c:pt>
                <c:pt idx="93">
                  <c:v>2727184.7759748171</c:v>
                </c:pt>
                <c:pt idx="94">
                  <c:v>2578561.7971121897</c:v>
                </c:pt>
                <c:pt idx="95">
                  <c:v>2482252.8017026265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B-4CDA-979E-AD8046198448}"/>
            </c:ext>
          </c:extLst>
        </c:ser>
        <c:ser>
          <c:idx val="2"/>
          <c:order val="2"/>
          <c:tx>
            <c:strRef>
              <c:f>Planilha6!$B$15</c:f>
              <c:strCache>
                <c:ptCount val="1"/>
                <c:pt idx="0">
                  <c:v>4% growth</c:v>
                </c:pt>
              </c:strCache>
            </c:strRef>
          </c:tx>
          <c:spPr>
            <a:ln w="254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Planilha6!$C$3:$CT$3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Planilha6!$C$15:$CT$15</c:f>
              <c:numCache>
                <c:formatCode>0</c:formatCode>
                <c:ptCount val="96"/>
                <c:pt idx="0">
                  <c:v>-178887.3786827513</c:v>
                </c:pt>
                <c:pt idx="1">
                  <c:v>-253168.00686871272</c:v>
                </c:pt>
                <c:pt idx="2">
                  <c:v>-288896.77433933679</c:v>
                </c:pt>
                <c:pt idx="3">
                  <c:v>-220172.94147647137</c:v>
                </c:pt>
                <c:pt idx="4">
                  <c:v>-226641.58325614774</c:v>
                </c:pt>
                <c:pt idx="5">
                  <c:v>-70542.682068802911</c:v>
                </c:pt>
                <c:pt idx="6">
                  <c:v>-10601.46048775113</c:v>
                </c:pt>
                <c:pt idx="7">
                  <c:v>-10432.751240666454</c:v>
                </c:pt>
                <c:pt idx="8">
                  <c:v>59988.014329483478</c:v>
                </c:pt>
                <c:pt idx="9">
                  <c:v>-176175.28645098279</c:v>
                </c:pt>
                <c:pt idx="10">
                  <c:v>-431871.09846007713</c:v>
                </c:pt>
                <c:pt idx="11">
                  <c:v>-793727.98504095385</c:v>
                </c:pt>
                <c:pt idx="12">
                  <c:v>-910502.67160912487</c:v>
                </c:pt>
                <c:pt idx="13">
                  <c:v>-885202.90058189596</c:v>
                </c:pt>
                <c:pt idx="14">
                  <c:v>-830867.84968826966</c:v>
                </c:pt>
                <c:pt idx="15">
                  <c:v>-684003.35423024744</c:v>
                </c:pt>
                <c:pt idx="16">
                  <c:v>-626657.45570004894</c:v>
                </c:pt>
                <c:pt idx="17">
                  <c:v>-422252.08021195338</c:v>
                </c:pt>
                <c:pt idx="18">
                  <c:v>-321921.28953551821</c:v>
                </c:pt>
                <c:pt idx="19">
                  <c:v>-284854.08104865177</c:v>
                </c:pt>
                <c:pt idx="20">
                  <c:v>-176480.61886964078</c:v>
                </c:pt>
                <c:pt idx="21">
                  <c:v>-369142.78603147384</c:v>
                </c:pt>
                <c:pt idx="22">
                  <c:v>-574360.05087458272</c:v>
                </c:pt>
                <c:pt idx="23">
                  <c:v>-879621.98445778119</c:v>
                </c:pt>
                <c:pt idx="24">
                  <c:v>-936170.81061950955</c:v>
                </c:pt>
                <c:pt idx="25">
                  <c:v>-850114.3455831944</c:v>
                </c:pt>
                <c:pt idx="26">
                  <c:v>-737137.11191929039</c:v>
                </c:pt>
                <c:pt idx="27">
                  <c:v>-535345.78968894226</c:v>
                </c:pt>
                <c:pt idx="28">
                  <c:v>-427286.15294434864</c:v>
                </c:pt>
                <c:pt idx="29">
                  <c:v>-176012.15328599024</c:v>
                </c:pt>
                <c:pt idx="30">
                  <c:v>-31787.131609092408</c:v>
                </c:pt>
                <c:pt idx="31">
                  <c:v>47236.259559880011</c:v>
                </c:pt>
                <c:pt idx="32">
                  <c:v>196581.70054881382</c:v>
                </c:pt>
                <c:pt idx="33">
                  <c:v>44631.45865145381</c:v>
                </c:pt>
                <c:pt idx="34">
                  <c:v>-119706.55560423326</c:v>
                </c:pt>
                <c:pt idx="35">
                  <c:v>-383797.01727909374</c:v>
                </c:pt>
                <c:pt idx="36">
                  <c:v>-399024.12048780604</c:v>
                </c:pt>
                <c:pt idx="37">
                  <c:v>-271835.20685153536</c:v>
                </c:pt>
                <c:pt idx="38">
                  <c:v>-118352.96596831435</c:v>
                </c:pt>
                <c:pt idx="39">
                  <c:v>122891.4845197821</c:v>
                </c:pt>
                <c:pt idx="40">
                  <c:v>269039.79694754246</c:v>
                </c:pt>
                <c:pt idx="41">
                  <c:v>556895.99219962093</c:v>
                </c:pt>
                <c:pt idx="42">
                  <c:v>736232.12129053217</c:v>
                </c:pt>
                <c:pt idx="43">
                  <c:v>849068.07900176547</c:v>
                </c:pt>
                <c:pt idx="44">
                  <c:v>1031168.4538084797</c:v>
                </c:pt>
                <c:pt idx="45">
                  <c:v>911151.90003215254</c:v>
                </c:pt>
                <c:pt idx="46">
                  <c:v>778102.53853216197</c:v>
                </c:pt>
                <c:pt idx="47">
                  <c:v>544745.20423283242</c:v>
                </c:pt>
                <c:pt idx="48">
                  <c:v>559701.62889725482</c:v>
                </c:pt>
                <c:pt idx="49">
                  <c:v>716471.12467768148</c:v>
                </c:pt>
                <c:pt idx="50">
                  <c:v>898851.46728464495</c:v>
                </c:pt>
                <c:pt idx="51">
                  <c:v>1168236.1456752892</c:v>
                </c:pt>
                <c:pt idx="52">
                  <c:v>1341715.5946543107</c:v>
                </c:pt>
                <c:pt idx="53">
                  <c:v>1656073.9130455682</c:v>
                </c:pt>
                <c:pt idx="54">
                  <c:v>1861090.3171765292</c:v>
                </c:pt>
                <c:pt idx="55">
                  <c:v>1998807.6639860971</c:v>
                </c:pt>
                <c:pt idx="56">
                  <c:v>2205016.1404858194</c:v>
                </c:pt>
                <c:pt idx="57">
                  <c:v>2108352.3475263007</c:v>
                </c:pt>
                <c:pt idx="58">
                  <c:v>1997906.5155816113</c:v>
                </c:pt>
                <c:pt idx="59">
                  <c:v>1786400.7761213323</c:v>
                </c:pt>
                <c:pt idx="60">
                  <c:v>1822454.3807031261</c:v>
                </c:pt>
                <c:pt idx="61">
                  <c:v>1999576.239975366</c:v>
                </c:pt>
                <c:pt idx="62">
                  <c:v>2201596.0747014536</c:v>
                </c:pt>
                <c:pt idx="63">
                  <c:v>2489965.9002328687</c:v>
                </c:pt>
                <c:pt idx="64">
                  <c:v>2681856.290694546</c:v>
                </c:pt>
                <c:pt idx="65">
                  <c:v>3014138.1290521463</c:v>
                </c:pt>
                <c:pt idx="66">
                  <c:v>3236661.2140101413</c:v>
                </c:pt>
                <c:pt idx="67">
                  <c:v>3391497.0481502581</c:v>
                </c:pt>
                <c:pt idx="68">
                  <c:v>3614401.0200613886</c:v>
                </c:pt>
                <c:pt idx="69">
                  <c:v>3533902.2032920364</c:v>
                </c:pt>
                <c:pt idx="70">
                  <c:v>3438920.5054671508</c:v>
                </c:pt>
                <c:pt idx="71">
                  <c:v>3241977.7872961345</c:v>
                </c:pt>
                <c:pt idx="72">
                  <c:v>3291516.2070685197</c:v>
                </c:pt>
                <c:pt idx="73">
                  <c:v>3480954.7339532753</c:v>
                </c:pt>
                <c:pt idx="74">
                  <c:v>3694178.8670015791</c:v>
                </c:pt>
                <c:pt idx="75">
                  <c:v>3992875.1014643172</c:v>
                </c:pt>
                <c:pt idx="76">
                  <c:v>4194613.4181953967</c:v>
                </c:pt>
                <c:pt idx="77">
                  <c:v>4536758.3172110254</c:v>
                </c:pt>
                <c:pt idx="78">
                  <c:v>4769623.2198197776</c:v>
                </c:pt>
                <c:pt idx="79">
                  <c:v>4935569.3638412962</c:v>
                </c:pt>
                <c:pt idx="80">
                  <c:v>5170332.4704079423</c:v>
                </c:pt>
                <c:pt idx="81">
                  <c:v>5102054.1048179399</c:v>
                </c:pt>
                <c:pt idx="82">
                  <c:v>5018903.3421966219</c:v>
                </c:pt>
                <c:pt idx="83">
                  <c:v>4832413.2876445958</c:v>
                </c:pt>
                <c:pt idx="84">
                  <c:v>4890104.3294256395</c:v>
                </c:pt>
                <c:pt idx="85">
                  <c:v>5084690.0104551381</c:v>
                </c:pt>
                <c:pt idx="86">
                  <c:v>5299656.8742420422</c:v>
                </c:pt>
                <c:pt idx="87">
                  <c:v>5597865.306862494</c:v>
                </c:pt>
                <c:pt idx="88">
                  <c:v>5797332.0245846314</c:v>
                </c:pt>
                <c:pt idx="89">
                  <c:v>6137338.5205817008</c:v>
                </c:pt>
                <c:pt idx="90">
                  <c:v>6372350.6246422427</c:v>
                </c:pt>
                <c:pt idx="91">
                  <c:v>6539582.6462604972</c:v>
                </c:pt>
                <c:pt idx="92">
                  <c:v>6788993.4161173468</c:v>
                </c:pt>
                <c:pt idx="93">
                  <c:v>6746741.9599825563</c:v>
                </c:pt>
                <c:pt idx="94">
                  <c:v>6634948.4535850342</c:v>
                </c:pt>
                <c:pt idx="95">
                  <c:v>6566397.0389171531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AB-4CDA-979E-AD8046198448}"/>
            </c:ext>
          </c:extLst>
        </c:ser>
        <c:ser>
          <c:idx val="3"/>
          <c:order val="3"/>
          <c:tx>
            <c:strRef>
              <c:f>Planilha6!$B$16</c:f>
              <c:strCache>
                <c:ptCount val="1"/>
                <c:pt idx="0">
                  <c:v>6% growth</c:v>
                </c:pt>
              </c:strCache>
            </c:strRef>
          </c:tx>
          <c:spPr>
            <a:ln w="22225" cap="rnd">
              <a:solidFill>
                <a:srgbClr val="FFC000"/>
              </a:solidFill>
              <a:prstDash val="lgDashDot"/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Planilha6!$C$3:$CT$3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Planilha6!$C$16:$CT$16</c:f>
              <c:numCache>
                <c:formatCode>0</c:formatCode>
                <c:ptCount val="96"/>
                <c:pt idx="0">
                  <c:v>-147315.08211281113</c:v>
                </c:pt>
                <c:pt idx="1">
                  <c:v>-201185.96635585089</c:v>
                </c:pt>
                <c:pt idx="2">
                  <c:v>-225583.89519070223</c:v>
                </c:pt>
                <c:pt idx="3">
                  <c:v>-139042.78669560328</c:v>
                </c:pt>
                <c:pt idx="4">
                  <c:v>-132893.08605533649</c:v>
                </c:pt>
                <c:pt idx="5">
                  <c:v>36825.799576737772</c:v>
                </c:pt>
                <c:pt idx="6">
                  <c:v>108642.80646218699</c:v>
                </c:pt>
                <c:pt idx="7">
                  <c:v>120035.04484465791</c:v>
                </c:pt>
                <c:pt idx="8">
                  <c:v>212192.59995688722</c:v>
                </c:pt>
                <c:pt idx="9">
                  <c:v>-30094.454502364795</c:v>
                </c:pt>
                <c:pt idx="10">
                  <c:v>-261753.32595737197</c:v>
                </c:pt>
                <c:pt idx="11">
                  <c:v>-575020.62309639808</c:v>
                </c:pt>
                <c:pt idx="12">
                  <c:v>-646454.5413484897</c:v>
                </c:pt>
                <c:pt idx="13">
                  <c:v>-579463.64388318756</c:v>
                </c:pt>
                <c:pt idx="14">
                  <c:v>-496378.22994798113</c:v>
                </c:pt>
                <c:pt idx="15">
                  <c:v>-319242.08135568013</c:v>
                </c:pt>
                <c:pt idx="16">
                  <c:v>-237753.77156078583</c:v>
                </c:pt>
                <c:pt idx="17">
                  <c:v>-9003.528680662741</c:v>
                </c:pt>
                <c:pt idx="18">
                  <c:v>114224.95755922841</c:v>
                </c:pt>
                <c:pt idx="19">
                  <c:v>174539.01820414091</c:v>
                </c:pt>
                <c:pt idx="20">
                  <c:v>317728.99980655417</c:v>
                </c:pt>
                <c:pt idx="21">
                  <c:v>132982.34424571853</c:v>
                </c:pt>
                <c:pt idx="22">
                  <c:v>-33724.602087605424</c:v>
                </c:pt>
                <c:pt idx="23">
                  <c:v>-276060.39073134359</c:v>
                </c:pt>
                <c:pt idx="24">
                  <c:v>-273553.37522058119</c:v>
                </c:pt>
                <c:pt idx="25">
                  <c:v>-133040.25608019298</c:v>
                </c:pt>
                <c:pt idx="26">
                  <c:v>20390.482947328128</c:v>
                </c:pt>
                <c:pt idx="27">
                  <c:v>263171.42024452839</c:v>
                </c:pt>
                <c:pt idx="28">
                  <c:v>405301.77230574936</c:v>
                </c:pt>
                <c:pt idx="29">
                  <c:v>690301.74296502257</c:v>
                </c:pt>
                <c:pt idx="30">
                  <c:v>866484.5260307258</c:v>
                </c:pt>
                <c:pt idx="31">
                  <c:v>977661.1814323843</c:v>
                </c:pt>
                <c:pt idx="32">
                  <c:v>1170663.9573708822</c:v>
                </c:pt>
                <c:pt idx="33">
                  <c:v>1035413.8030552862</c:v>
                </c:pt>
                <c:pt idx="34">
                  <c:v>918261.46221555467</c:v>
                </c:pt>
                <c:pt idx="35">
                  <c:v>725573.45694290323</c:v>
                </c:pt>
                <c:pt idx="36">
                  <c:v>777580.36913453147</c:v>
                </c:pt>
                <c:pt idx="37">
                  <c:v>967021.68793949042</c:v>
                </c:pt>
                <c:pt idx="38">
                  <c:v>1168317.7545477101</c:v>
                </c:pt>
                <c:pt idx="39">
                  <c:v>1457461.5283014078</c:v>
                </c:pt>
                <c:pt idx="40">
                  <c:v>1644158.994882311</c:v>
                </c:pt>
                <c:pt idx="41">
                  <c:v>1971831.5470768581</c:v>
                </c:pt>
                <c:pt idx="42">
                  <c:v>2188880.7661123443</c:v>
                </c:pt>
                <c:pt idx="43">
                  <c:v>2339339.5862413929</c:v>
                </c:pt>
                <c:pt idx="44">
                  <c:v>2570317.1940682544</c:v>
                </c:pt>
                <c:pt idx="45">
                  <c:v>2471989.4134547939</c:v>
                </c:pt>
                <c:pt idx="46">
                  <c:v>2390885.1137053627</c:v>
                </c:pt>
                <c:pt idx="47">
                  <c:v>2233450.3632959072</c:v>
                </c:pt>
                <c:pt idx="48">
                  <c:v>2319906.1164830634</c:v>
                </c:pt>
                <c:pt idx="49">
                  <c:v>2542923.2307765842</c:v>
                </c:pt>
                <c:pt idx="50">
                  <c:v>2776831.5401423853</c:v>
                </c:pt>
                <c:pt idx="51">
                  <c:v>3097543.6682938291</c:v>
                </c:pt>
                <c:pt idx="52">
                  <c:v>3314715.1365945013</c:v>
                </c:pt>
                <c:pt idx="53">
                  <c:v>3671752.2600419894</c:v>
                </c:pt>
                <c:pt idx="54">
                  <c:v>3917070.7784390221</c:v>
                </c:pt>
                <c:pt idx="55">
                  <c:v>4094734.2137094075</c:v>
                </c:pt>
                <c:pt idx="56">
                  <c:v>4351884.9162974646</c:v>
                </c:pt>
                <c:pt idx="57">
                  <c:v>4278724.2861528881</c:v>
                </c:pt>
                <c:pt idx="58">
                  <c:v>4221795.6122565176</c:v>
                </c:pt>
                <c:pt idx="59">
                  <c:v>4087551.8746095318</c:v>
                </c:pt>
                <c:pt idx="60">
                  <c:v>4196222.6190478699</c:v>
                </c:pt>
                <c:pt idx="61">
                  <c:v>4440500.1569530247</c:v>
                </c:pt>
                <c:pt idx="62">
                  <c:v>4694757.2663931884</c:v>
                </c:pt>
                <c:pt idx="63">
                  <c:v>5034972.7578440085</c:v>
                </c:pt>
                <c:pt idx="64">
                  <c:v>5270883.7257495131</c:v>
                </c:pt>
                <c:pt idx="65">
                  <c:v>5645975.9908785671</c:v>
                </c:pt>
                <c:pt idx="66">
                  <c:v>5908718.9539466761</c:v>
                </c:pt>
                <c:pt idx="67">
                  <c:v>6103180.1198284896</c:v>
                </c:pt>
                <c:pt idx="68">
                  <c:v>6376440.2557925303</c:v>
                </c:pt>
                <c:pt idx="69">
                  <c:v>6318573.4229870439</c:v>
                </c:pt>
                <c:pt idx="70">
                  <c:v>6275950.2623021668</c:v>
                </c:pt>
                <c:pt idx="71">
                  <c:v>6154847.0507848198</c:v>
                </c:pt>
                <c:pt idx="72">
                  <c:v>6275367.9183814656</c:v>
                </c:pt>
                <c:pt idx="73">
                  <c:v>6530187.8848177651</c:v>
                </c:pt>
                <c:pt idx="74">
                  <c:v>6793811.8406327069</c:v>
                </c:pt>
                <c:pt idx="75">
                  <c:v>7142509.5603609169</c:v>
                </c:pt>
                <c:pt idx="76">
                  <c:v>7386431.7661587279</c:v>
                </c:pt>
                <c:pt idx="77">
                  <c:v>7769518.88968419</c:v>
                </c:pt>
                <c:pt idx="78">
                  <c:v>8040615.166578318</c:v>
                </c:pt>
                <c:pt idx="79">
                  <c:v>8243960.4110645447</c:v>
                </c:pt>
                <c:pt idx="80">
                  <c:v>8526493.0873758364</c:v>
                </c:pt>
                <c:pt idx="81">
                  <c:v>8477800.3460110351</c:v>
                </c:pt>
                <c:pt idx="82">
                  <c:v>8443467.139688449</c:v>
                </c:pt>
                <c:pt idx="83">
                  <c:v>8328793.3150243154</c:v>
                </c:pt>
                <c:pt idx="84">
                  <c:v>8453009.6990883611</c:v>
                </c:pt>
                <c:pt idx="85">
                  <c:v>8708406.9333677087</c:v>
                </c:pt>
                <c:pt idx="86">
                  <c:v>8969158.6557619702</c:v>
                </c:pt>
                <c:pt idx="87">
                  <c:v>9312997.3727285601</c:v>
                </c:pt>
                <c:pt idx="88">
                  <c:v>9551284.7023977097</c:v>
                </c:pt>
                <c:pt idx="89">
                  <c:v>9928654.6855100803</c:v>
                </c:pt>
                <c:pt idx="90">
                  <c:v>10200894.240665596</c:v>
                </c:pt>
                <c:pt idx="91">
                  <c:v>10405773.194859847</c:v>
                </c:pt>
                <c:pt idx="92">
                  <c:v>10691698.606629971</c:v>
                </c:pt>
                <c:pt idx="93">
                  <c:v>10689731.475029556</c:v>
                </c:pt>
                <c:pt idx="94">
                  <c:v>10614065.884501074</c:v>
                </c:pt>
                <c:pt idx="95">
                  <c:v>10572743.302467536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AB-4CDA-979E-AD8046198448}"/>
            </c:ext>
          </c:extLst>
        </c:ser>
        <c:ser>
          <c:idx val="4"/>
          <c:order val="4"/>
          <c:tx>
            <c:strRef>
              <c:f>Planilha6!$B$17</c:f>
              <c:strCache>
                <c:ptCount val="1"/>
                <c:pt idx="0">
                  <c:v>8% growth</c:v>
                </c:pt>
              </c:strCache>
            </c:strRef>
          </c:tx>
          <c:spPr>
            <a:ln w="2222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Planilha6!$C$3:$CT$3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Planilha6!$C$17:$CT$17</c:f>
              <c:numCache>
                <c:formatCode>0</c:formatCode>
                <c:ptCount val="96"/>
                <c:pt idx="0">
                  <c:v>-116332.95662048043</c:v>
                </c:pt>
                <c:pt idx="1">
                  <c:v>-150175.60988877434</c:v>
                </c:pt>
                <c:pt idx="2">
                  <c:v>-163454.50391508089</c:v>
                </c:pt>
                <c:pt idx="3">
                  <c:v>-59429.17255559664</c:v>
                </c:pt>
                <c:pt idx="4">
                  <c:v>-40897.000228677345</c:v>
                </c:pt>
                <c:pt idx="5">
                  <c:v>142187.27573334755</c:v>
                </c:pt>
                <c:pt idx="6">
                  <c:v>225658.07757811312</c:v>
                </c:pt>
                <c:pt idx="7">
                  <c:v>248064.04717171268</c:v>
                </c:pt>
                <c:pt idx="8">
                  <c:v>361552.07280898665</c:v>
                </c:pt>
                <c:pt idx="9">
                  <c:v>113255.73408560239</c:v>
                </c:pt>
                <c:pt idx="10">
                  <c:v>-94815.511836726626</c:v>
                </c:pt>
                <c:pt idx="11">
                  <c:v>-360401.48955151014</c:v>
                </c:pt>
                <c:pt idx="12">
                  <c:v>-387342.18030665378</c:v>
                </c:pt>
                <c:pt idx="13">
                  <c:v>-279439.47560681502</c:v>
                </c:pt>
                <c:pt idx="14">
                  <c:v>-168141.12018567376</c:v>
                </c:pt>
                <c:pt idx="15">
                  <c:v>38700.822984759696</c:v>
                </c:pt>
                <c:pt idx="16">
                  <c:v>143880.25749189354</c:v>
                </c:pt>
                <c:pt idx="17">
                  <c:v>396520.29676244012</c:v>
                </c:pt>
                <c:pt idx="18">
                  <c:v>542218.45909512485</c:v>
                </c:pt>
                <c:pt idx="19">
                  <c:v>625344.82575226366</c:v>
                </c:pt>
                <c:pt idx="20">
                  <c:v>802700.5124560612</c:v>
                </c:pt>
                <c:pt idx="21">
                  <c:v>625721.40631041746</c:v>
                </c:pt>
                <c:pt idx="22">
                  <c:v>496804.91713236319</c:v>
                </c:pt>
                <c:pt idx="23">
                  <c:v>316219.01465684047</c:v>
                </c:pt>
                <c:pt idx="24">
                  <c:v>376677.95943886007</c:v>
                </c:pt>
                <c:pt idx="25">
                  <c:v>570629.79145866539</c:v>
                </c:pt>
                <c:pt idx="26">
                  <c:v>763757.85111041879</c:v>
                </c:pt>
                <c:pt idx="27">
                  <c:v>1046762.1974038673</c:v>
                </c:pt>
                <c:pt idx="28">
                  <c:v>1222326.3915428999</c:v>
                </c:pt>
                <c:pt idx="29">
                  <c:v>1540421.9041620789</c:v>
                </c:pt>
                <c:pt idx="30">
                  <c:v>1747965.0721655258</c:v>
                </c:pt>
                <c:pt idx="31">
                  <c:v>1890693.9608752162</c:v>
                </c:pt>
                <c:pt idx="32">
                  <c:v>2126537.998838217</c:v>
                </c:pt>
                <c:pt idx="33">
                  <c:v>2007675.7625837906</c:v>
                </c:pt>
                <c:pt idx="34">
                  <c:v>1936827.0681061405</c:v>
                </c:pt>
                <c:pt idx="35">
                  <c:v>1814206.8154220073</c:v>
                </c:pt>
                <c:pt idx="36">
                  <c:v>1932190.9585658463</c:v>
                </c:pt>
                <c:pt idx="37">
                  <c:v>2182721.0177753288</c:v>
                </c:pt>
                <c:pt idx="38">
                  <c:v>2430937.141199775</c:v>
                </c:pt>
                <c:pt idx="39">
                  <c:v>2767084.8711314816</c:v>
                </c:pt>
                <c:pt idx="40">
                  <c:v>2993573.5191931981</c:v>
                </c:pt>
                <c:pt idx="41">
                  <c:v>3360318.1536072404</c:v>
                </c:pt>
                <c:pt idx="42">
                  <c:v>3614375.5035773264</c:v>
                </c:pt>
                <c:pt idx="43">
                  <c:v>3801753.9137091888</c:v>
                </c:pt>
                <c:pt idx="44">
                  <c:v>4080695.1077070311</c:v>
                </c:pt>
                <c:pt idx="45">
                  <c:v>4003650.6787945805</c:v>
                </c:pt>
                <c:pt idx="46">
                  <c:v>3973520.4479823764</c:v>
                </c:pt>
                <c:pt idx="47">
                  <c:v>3890589.0843179203</c:v>
                </c:pt>
                <c:pt idx="48">
                  <c:v>4047207.6514138309</c:v>
                </c:pt>
                <c:pt idx="49">
                  <c:v>4335234.0381812109</c:v>
                </c:pt>
                <c:pt idx="50">
                  <c:v>4619707.1181189101</c:v>
                </c:pt>
                <c:pt idx="51">
                  <c:v>4990787.2480458226</c:v>
                </c:pt>
                <c:pt idx="52">
                  <c:v>5250834.0143989511</c:v>
                </c:pt>
                <c:pt idx="53">
                  <c:v>5649752.1613312429</c:v>
                </c:pt>
                <c:pt idx="54">
                  <c:v>5934619.439161459</c:v>
                </c:pt>
                <c:pt idx="55">
                  <c:v>6151482.2631389396</c:v>
                </c:pt>
                <c:pt idx="56">
                  <c:v>6458622.9446957791</c:v>
                </c:pt>
                <c:pt idx="57">
                  <c:v>6408526.1400852781</c:v>
                </c:pt>
                <c:pt idx="58">
                  <c:v>6404114.244718872</c:v>
                </c:pt>
                <c:pt idx="59">
                  <c:v>6345688.2744194539</c:v>
                </c:pt>
                <c:pt idx="60">
                  <c:v>6525618.7492022617</c:v>
                </c:pt>
                <c:pt idx="61">
                  <c:v>6835796.6456169253</c:v>
                </c:pt>
                <c:pt idx="62">
                  <c:v>7141314.5747121833</c:v>
                </c:pt>
                <c:pt idx="63">
                  <c:v>7532406.5972442981</c:v>
                </c:pt>
                <c:pt idx="64">
                  <c:v>7811515.2796900878</c:v>
                </c:pt>
                <c:pt idx="65">
                  <c:v>8228617.7296555601</c:v>
                </c:pt>
                <c:pt idx="66">
                  <c:v>8530828.7532156687</c:v>
                </c:pt>
                <c:pt idx="67">
                  <c:v>8764174.5468906127</c:v>
                </c:pt>
                <c:pt idx="68">
                  <c:v>9086849.5548625737</c:v>
                </c:pt>
                <c:pt idx="69">
                  <c:v>9051191.6534142215</c:v>
                </c:pt>
                <c:pt idx="70">
                  <c:v>9059948.3080897219</c:v>
                </c:pt>
                <c:pt idx="71">
                  <c:v>9013266.9590179957</c:v>
                </c:pt>
                <c:pt idx="72">
                  <c:v>9203443.4217143618</c:v>
                </c:pt>
                <c:pt idx="73">
                  <c:v>9522422.6728757303</c:v>
                </c:pt>
                <c:pt idx="74">
                  <c:v>9835504.3433136195</c:v>
                </c:pt>
                <c:pt idx="75">
                  <c:v>10233268.886162093</c:v>
                </c:pt>
                <c:pt idx="76">
                  <c:v>10518586.450765204</c:v>
                </c:pt>
                <c:pt idx="77">
                  <c:v>10941850.478586774</c:v>
                </c:pt>
                <c:pt idx="78">
                  <c:v>11250463.482629016</c:v>
                </c:pt>
                <c:pt idx="79">
                  <c:v>11490508.737877242</c:v>
                </c:pt>
                <c:pt idx="80">
                  <c:v>11819918.042287625</c:v>
                </c:pt>
                <c:pt idx="81">
                  <c:v>11790444.817192303</c:v>
                </c:pt>
                <c:pt idx="82">
                  <c:v>11804016.635837594</c:v>
                </c:pt>
                <c:pt idx="83">
                  <c:v>11759816.602709144</c:v>
                </c:pt>
                <c:pt idx="84">
                  <c:v>11949314.791613279</c:v>
                </c:pt>
                <c:pt idx="85">
                  <c:v>12264386.847773155</c:v>
                </c:pt>
                <c:pt idx="86">
                  <c:v>12570067.586714547</c:v>
                </c:pt>
                <c:pt idx="87">
                  <c:v>12958683.635375429</c:v>
                </c:pt>
                <c:pt idx="88">
                  <c:v>13235065.915418781</c:v>
                </c:pt>
                <c:pt idx="89">
                  <c:v>13649100.961652959</c:v>
                </c:pt>
                <c:pt idx="90">
                  <c:v>13957872.086788788</c:v>
                </c:pt>
                <c:pt idx="91">
                  <c:v>14199694.251208087</c:v>
                </c:pt>
                <c:pt idx="92">
                  <c:v>14521451.748096203</c:v>
                </c:pt>
                <c:pt idx="93">
                  <c:v>14559015.918735173</c:v>
                </c:pt>
                <c:pt idx="94">
                  <c:v>14518802.916229591</c:v>
                </c:pt>
                <c:pt idx="95">
                  <c:v>14504200.186767379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AB-4CDA-979E-AD8046198448}"/>
            </c:ext>
          </c:extLst>
        </c:ser>
        <c:ser>
          <c:idx val="5"/>
          <c:order val="5"/>
          <c:tx>
            <c:strRef>
              <c:f>Planilha6!$B$18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31750" cap="rnd" cmpd="sng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rgbClr val="FF0000"/>
                </a:solidFill>
                <a:round/>
              </a:ln>
              <a:effectLst/>
            </c:spPr>
          </c:marker>
          <c:val>
            <c:numRef>
              <c:f>Planilha6!$C$18:$CT$18</c:f>
              <c:numCache>
                <c:formatCode>0</c:formatCode>
                <c:ptCount val="96"/>
                <c:pt idx="0">
                  <c:v>2996914</c:v>
                </c:pt>
                <c:pt idx="1">
                  <c:v>2996914</c:v>
                </c:pt>
                <c:pt idx="2">
                  <c:v>2996914</c:v>
                </c:pt>
                <c:pt idx="3">
                  <c:v>2996914</c:v>
                </c:pt>
                <c:pt idx="4">
                  <c:v>2996914</c:v>
                </c:pt>
                <c:pt idx="5">
                  <c:v>2996914</c:v>
                </c:pt>
                <c:pt idx="6">
                  <c:v>2996914</c:v>
                </c:pt>
                <c:pt idx="7">
                  <c:v>2996914</c:v>
                </c:pt>
                <c:pt idx="8">
                  <c:v>2996914</c:v>
                </c:pt>
                <c:pt idx="9">
                  <c:v>2996914</c:v>
                </c:pt>
                <c:pt idx="10">
                  <c:v>2996914</c:v>
                </c:pt>
                <c:pt idx="11">
                  <c:v>2996914</c:v>
                </c:pt>
                <c:pt idx="12">
                  <c:v>2996914</c:v>
                </c:pt>
                <c:pt idx="13">
                  <c:v>2996914</c:v>
                </c:pt>
                <c:pt idx="14">
                  <c:v>2996914</c:v>
                </c:pt>
                <c:pt idx="15">
                  <c:v>2996914</c:v>
                </c:pt>
                <c:pt idx="16">
                  <c:v>2996914</c:v>
                </c:pt>
                <c:pt idx="17">
                  <c:v>2996914</c:v>
                </c:pt>
                <c:pt idx="18">
                  <c:v>2996914</c:v>
                </c:pt>
                <c:pt idx="19">
                  <c:v>2996914</c:v>
                </c:pt>
                <c:pt idx="20">
                  <c:v>2996914</c:v>
                </c:pt>
                <c:pt idx="21">
                  <c:v>2996914</c:v>
                </c:pt>
                <c:pt idx="22">
                  <c:v>2996914</c:v>
                </c:pt>
                <c:pt idx="23">
                  <c:v>2996914</c:v>
                </c:pt>
                <c:pt idx="24">
                  <c:v>2996914</c:v>
                </c:pt>
                <c:pt idx="25">
                  <c:v>2996914</c:v>
                </c:pt>
                <c:pt idx="26">
                  <c:v>2996914</c:v>
                </c:pt>
                <c:pt idx="27">
                  <c:v>2996914</c:v>
                </c:pt>
                <c:pt idx="28">
                  <c:v>2996914</c:v>
                </c:pt>
                <c:pt idx="29">
                  <c:v>2996914</c:v>
                </c:pt>
                <c:pt idx="30">
                  <c:v>2996914</c:v>
                </c:pt>
                <c:pt idx="31">
                  <c:v>2996914</c:v>
                </c:pt>
                <c:pt idx="32">
                  <c:v>2996914</c:v>
                </c:pt>
                <c:pt idx="33">
                  <c:v>2996914</c:v>
                </c:pt>
                <c:pt idx="34">
                  <c:v>2996914</c:v>
                </c:pt>
                <c:pt idx="35">
                  <c:v>2996914</c:v>
                </c:pt>
                <c:pt idx="36">
                  <c:v>2996914</c:v>
                </c:pt>
                <c:pt idx="37">
                  <c:v>2996914</c:v>
                </c:pt>
                <c:pt idx="38">
                  <c:v>2996914</c:v>
                </c:pt>
                <c:pt idx="39">
                  <c:v>2996914</c:v>
                </c:pt>
                <c:pt idx="40">
                  <c:v>2996914</c:v>
                </c:pt>
                <c:pt idx="41">
                  <c:v>2996914</c:v>
                </c:pt>
                <c:pt idx="42">
                  <c:v>2996914</c:v>
                </c:pt>
                <c:pt idx="43">
                  <c:v>2996914</c:v>
                </c:pt>
                <c:pt idx="44">
                  <c:v>2996914</c:v>
                </c:pt>
                <c:pt idx="45">
                  <c:v>2996914</c:v>
                </c:pt>
                <c:pt idx="46">
                  <c:v>2996914</c:v>
                </c:pt>
                <c:pt idx="47">
                  <c:v>2996914</c:v>
                </c:pt>
                <c:pt idx="48">
                  <c:v>2996914</c:v>
                </c:pt>
                <c:pt idx="49">
                  <c:v>2996914</c:v>
                </c:pt>
                <c:pt idx="50">
                  <c:v>2996914</c:v>
                </c:pt>
                <c:pt idx="51">
                  <c:v>2996914</c:v>
                </c:pt>
                <c:pt idx="52">
                  <c:v>2996914</c:v>
                </c:pt>
                <c:pt idx="53">
                  <c:v>2996914</c:v>
                </c:pt>
                <c:pt idx="54">
                  <c:v>2996914</c:v>
                </c:pt>
                <c:pt idx="55">
                  <c:v>2996914</c:v>
                </c:pt>
                <c:pt idx="56">
                  <c:v>2996914</c:v>
                </c:pt>
                <c:pt idx="57">
                  <c:v>2996914</c:v>
                </c:pt>
                <c:pt idx="58">
                  <c:v>2996914</c:v>
                </c:pt>
                <c:pt idx="59">
                  <c:v>2996914</c:v>
                </c:pt>
                <c:pt idx="60">
                  <c:v>2996914</c:v>
                </c:pt>
                <c:pt idx="61">
                  <c:v>2996914</c:v>
                </c:pt>
                <c:pt idx="62">
                  <c:v>2996914</c:v>
                </c:pt>
                <c:pt idx="63">
                  <c:v>2996914</c:v>
                </c:pt>
                <c:pt idx="64">
                  <c:v>2996914</c:v>
                </c:pt>
                <c:pt idx="65">
                  <c:v>2996914</c:v>
                </c:pt>
                <c:pt idx="66">
                  <c:v>2996914</c:v>
                </c:pt>
                <c:pt idx="67">
                  <c:v>2996914</c:v>
                </c:pt>
                <c:pt idx="68">
                  <c:v>2996914</c:v>
                </c:pt>
                <c:pt idx="69">
                  <c:v>2996914</c:v>
                </c:pt>
                <c:pt idx="70">
                  <c:v>2996914</c:v>
                </c:pt>
                <c:pt idx="71">
                  <c:v>2996914</c:v>
                </c:pt>
                <c:pt idx="72">
                  <c:v>2996914</c:v>
                </c:pt>
                <c:pt idx="73">
                  <c:v>2996914</c:v>
                </c:pt>
                <c:pt idx="74">
                  <c:v>2996914</c:v>
                </c:pt>
                <c:pt idx="75">
                  <c:v>2996914</c:v>
                </c:pt>
                <c:pt idx="76">
                  <c:v>2996914</c:v>
                </c:pt>
                <c:pt idx="77">
                  <c:v>2996914</c:v>
                </c:pt>
                <c:pt idx="78">
                  <c:v>2996914</c:v>
                </c:pt>
                <c:pt idx="79">
                  <c:v>2996914</c:v>
                </c:pt>
                <c:pt idx="80">
                  <c:v>2996914</c:v>
                </c:pt>
                <c:pt idx="81">
                  <c:v>2996914</c:v>
                </c:pt>
                <c:pt idx="82">
                  <c:v>2996914</c:v>
                </c:pt>
                <c:pt idx="83">
                  <c:v>2996914</c:v>
                </c:pt>
                <c:pt idx="84">
                  <c:v>2996914</c:v>
                </c:pt>
                <c:pt idx="85">
                  <c:v>2996914</c:v>
                </c:pt>
                <c:pt idx="86">
                  <c:v>2996914</c:v>
                </c:pt>
                <c:pt idx="87">
                  <c:v>2996914</c:v>
                </c:pt>
                <c:pt idx="88">
                  <c:v>2996914</c:v>
                </c:pt>
                <c:pt idx="89">
                  <c:v>2996914</c:v>
                </c:pt>
                <c:pt idx="90">
                  <c:v>2996914</c:v>
                </c:pt>
                <c:pt idx="91">
                  <c:v>2996914</c:v>
                </c:pt>
                <c:pt idx="92">
                  <c:v>2996914</c:v>
                </c:pt>
                <c:pt idx="93">
                  <c:v>2996914</c:v>
                </c:pt>
                <c:pt idx="94">
                  <c:v>2996914</c:v>
                </c:pt>
                <c:pt idx="95">
                  <c:v>2996914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4-4FAC-A188-F122617D4528}"/>
            </c:ext>
          </c:extLst>
        </c:ser>
        <c:ser>
          <c:idx val="6"/>
          <c:order val="6"/>
          <c:tx>
            <c:strRef>
              <c:f>Planilha6!$B$19</c:f>
              <c:strCache>
                <c:ptCount val="1"/>
                <c:pt idx="0">
                  <c:v>Actual</c:v>
                </c:pt>
              </c:strCache>
            </c:strRef>
          </c:tx>
          <c:spPr>
            <a:ln w="508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Planilha6!$C$19:$AL$19</c:f>
              <c:numCache>
                <c:formatCode>0</c:formatCode>
                <c:ptCount val="36"/>
                <c:pt idx="0">
                  <c:v>-40864</c:v>
                </c:pt>
                <c:pt idx="1">
                  <c:v>35612</c:v>
                </c:pt>
                <c:pt idx="2">
                  <c:v>-63624</c:v>
                </c:pt>
                <c:pt idx="3">
                  <c:v>59856</c:v>
                </c:pt>
                <c:pt idx="4">
                  <c:v>34253</c:v>
                </c:pt>
                <c:pt idx="5">
                  <c:v>9821</c:v>
                </c:pt>
                <c:pt idx="6">
                  <c:v>35900</c:v>
                </c:pt>
                <c:pt idx="7">
                  <c:v>35457</c:v>
                </c:pt>
                <c:pt idx="8">
                  <c:v>34392</c:v>
                </c:pt>
                <c:pt idx="9">
                  <c:v>76599</c:v>
                </c:pt>
                <c:pt idx="10">
                  <c:v>-12292</c:v>
                </c:pt>
                <c:pt idx="11">
                  <c:v>-328539</c:v>
                </c:pt>
                <c:pt idx="12">
                  <c:v>77822</c:v>
                </c:pt>
                <c:pt idx="13">
                  <c:v>61188</c:v>
                </c:pt>
                <c:pt idx="14">
                  <c:v>56151</c:v>
                </c:pt>
                <c:pt idx="15">
                  <c:v>115898</c:v>
                </c:pt>
                <c:pt idx="16">
                  <c:v>33659</c:v>
                </c:pt>
                <c:pt idx="17">
                  <c:v>-661</c:v>
                </c:pt>
                <c:pt idx="18">
                  <c:v>47319</c:v>
                </c:pt>
                <c:pt idx="19">
                  <c:v>110431</c:v>
                </c:pt>
                <c:pt idx="20">
                  <c:v>137336</c:v>
                </c:pt>
                <c:pt idx="21">
                  <c:v>57733</c:v>
                </c:pt>
                <c:pt idx="22">
                  <c:v>58664</c:v>
                </c:pt>
                <c:pt idx="23">
                  <c:v>-334462</c:v>
                </c:pt>
                <c:pt idx="24">
                  <c:v>34313</c:v>
                </c:pt>
                <c:pt idx="25">
                  <c:v>173139</c:v>
                </c:pt>
                <c:pt idx="26">
                  <c:v>-43196</c:v>
                </c:pt>
                <c:pt idx="27">
                  <c:v>129601</c:v>
                </c:pt>
                <c:pt idx="28">
                  <c:v>32140</c:v>
                </c:pt>
                <c:pt idx="29">
                  <c:v>48436</c:v>
                </c:pt>
                <c:pt idx="30">
                  <c:v>43820</c:v>
                </c:pt>
                <c:pt idx="31">
                  <c:v>121387</c:v>
                </c:pt>
                <c:pt idx="32">
                  <c:v>157213</c:v>
                </c:pt>
                <c:pt idx="33">
                  <c:v>70852</c:v>
                </c:pt>
                <c:pt idx="34">
                  <c:v>99232</c:v>
                </c:pt>
                <c:pt idx="35">
                  <c:v>-307311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AA-4CCE-B9AC-995593631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  <c:majorUnit val="6"/>
        <c:major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010650" cy="62293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9D1646-605A-487F-973A-E6F11AC62A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T29"/>
  <sheetViews>
    <sheetView tabSelected="1" topLeftCell="H1" workbookViewId="0">
      <selection activeCell="T20" sqref="T20"/>
    </sheetView>
  </sheetViews>
  <sheetFormatPr defaultRowHeight="15" x14ac:dyDescent="0.25"/>
  <cols>
    <col min="3" max="3" width="11.5703125" bestFit="1" customWidth="1"/>
    <col min="4" max="97" width="10.42578125" bestFit="1" customWidth="1"/>
    <col min="98" max="98" width="14.28515625" bestFit="1" customWidth="1"/>
  </cols>
  <sheetData>
    <row r="2" spans="2:98" x14ac:dyDescent="0.25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0</v>
      </c>
    </row>
    <row r="3" spans="2:98" x14ac:dyDescent="0.25">
      <c r="C3" s="1">
        <f>DATE(LEFT(C2,4),SUBSTITUTE(RIGHT(C2,2),"M",""),1)</f>
        <v>42736</v>
      </c>
      <c r="D3" s="1">
        <f t="shared" ref="D3:BO3" si="0">DATE(LEFT(D2,4),SUBSTITUTE(RIGHT(D2,2),"M",""),1)</f>
        <v>42767</v>
      </c>
      <c r="E3" s="1">
        <f t="shared" si="0"/>
        <v>42795</v>
      </c>
      <c r="F3" s="1">
        <f t="shared" si="0"/>
        <v>42826</v>
      </c>
      <c r="G3" s="1">
        <f t="shared" si="0"/>
        <v>42856</v>
      </c>
      <c r="H3" s="1">
        <f t="shared" si="0"/>
        <v>42887</v>
      </c>
      <c r="I3" s="1">
        <f t="shared" si="0"/>
        <v>42917</v>
      </c>
      <c r="J3" s="1">
        <f t="shared" si="0"/>
        <v>42948</v>
      </c>
      <c r="K3" s="1">
        <f t="shared" si="0"/>
        <v>42979</v>
      </c>
      <c r="L3" s="1">
        <f t="shared" si="0"/>
        <v>43009</v>
      </c>
      <c r="M3" s="1">
        <f t="shared" si="0"/>
        <v>43040</v>
      </c>
      <c r="N3" s="1">
        <f t="shared" si="0"/>
        <v>43070</v>
      </c>
      <c r="O3" s="1">
        <f t="shared" si="0"/>
        <v>43101</v>
      </c>
      <c r="P3" s="1">
        <f t="shared" si="0"/>
        <v>43132</v>
      </c>
      <c r="Q3" s="1">
        <f t="shared" si="0"/>
        <v>43160</v>
      </c>
      <c r="R3" s="1">
        <f t="shared" si="0"/>
        <v>43191</v>
      </c>
      <c r="S3" s="1">
        <f t="shared" si="0"/>
        <v>43221</v>
      </c>
      <c r="T3" s="1">
        <f t="shared" si="0"/>
        <v>43252</v>
      </c>
      <c r="U3" s="1">
        <f t="shared" si="0"/>
        <v>43282</v>
      </c>
      <c r="V3" s="1">
        <f t="shared" si="0"/>
        <v>43313</v>
      </c>
      <c r="W3" s="1">
        <f t="shared" si="0"/>
        <v>43344</v>
      </c>
      <c r="X3" s="1">
        <f t="shared" si="0"/>
        <v>43374</v>
      </c>
      <c r="Y3" s="1">
        <f t="shared" si="0"/>
        <v>43405</v>
      </c>
      <c r="Z3" s="1">
        <f t="shared" si="0"/>
        <v>43435</v>
      </c>
      <c r="AA3" s="1">
        <f t="shared" si="0"/>
        <v>43466</v>
      </c>
      <c r="AB3" s="1">
        <f t="shared" si="0"/>
        <v>43497</v>
      </c>
      <c r="AC3" s="1">
        <f t="shared" si="0"/>
        <v>43525</v>
      </c>
      <c r="AD3" s="1">
        <f t="shared" si="0"/>
        <v>43556</v>
      </c>
      <c r="AE3" s="1">
        <f t="shared" si="0"/>
        <v>43586</v>
      </c>
      <c r="AF3" s="1">
        <f t="shared" si="0"/>
        <v>43617</v>
      </c>
      <c r="AG3" s="1">
        <f t="shared" si="0"/>
        <v>43647</v>
      </c>
      <c r="AH3" s="1">
        <f t="shared" si="0"/>
        <v>43678</v>
      </c>
      <c r="AI3" s="1">
        <f t="shared" si="0"/>
        <v>43709</v>
      </c>
      <c r="AJ3" s="1">
        <f t="shared" si="0"/>
        <v>43739</v>
      </c>
      <c r="AK3" s="1">
        <f t="shared" si="0"/>
        <v>43770</v>
      </c>
      <c r="AL3" s="1">
        <f t="shared" si="0"/>
        <v>43800</v>
      </c>
      <c r="AM3" s="1">
        <f t="shared" si="0"/>
        <v>43831</v>
      </c>
      <c r="AN3" s="1">
        <f t="shared" si="0"/>
        <v>43862</v>
      </c>
      <c r="AO3" s="1">
        <f t="shared" si="0"/>
        <v>43891</v>
      </c>
      <c r="AP3" s="1">
        <f t="shared" si="0"/>
        <v>43922</v>
      </c>
      <c r="AQ3" s="1">
        <f t="shared" si="0"/>
        <v>43952</v>
      </c>
      <c r="AR3" s="1">
        <f t="shared" si="0"/>
        <v>43983</v>
      </c>
      <c r="AS3" s="1">
        <f t="shared" si="0"/>
        <v>44013</v>
      </c>
      <c r="AT3" s="1">
        <f t="shared" si="0"/>
        <v>44044</v>
      </c>
      <c r="AU3" s="1">
        <f t="shared" si="0"/>
        <v>44075</v>
      </c>
      <c r="AV3" s="1">
        <f t="shared" si="0"/>
        <v>44105</v>
      </c>
      <c r="AW3" s="1">
        <f t="shared" si="0"/>
        <v>44136</v>
      </c>
      <c r="AX3" s="1">
        <f t="shared" si="0"/>
        <v>44166</v>
      </c>
      <c r="AY3" s="1">
        <f t="shared" si="0"/>
        <v>44197</v>
      </c>
      <c r="AZ3" s="1">
        <f t="shared" si="0"/>
        <v>44228</v>
      </c>
      <c r="BA3" s="1">
        <f t="shared" si="0"/>
        <v>44256</v>
      </c>
      <c r="BB3" s="1">
        <f t="shared" si="0"/>
        <v>44287</v>
      </c>
      <c r="BC3" s="1">
        <f t="shared" si="0"/>
        <v>44317</v>
      </c>
      <c r="BD3" s="1">
        <f t="shared" si="0"/>
        <v>44348</v>
      </c>
      <c r="BE3" s="1">
        <f t="shared" si="0"/>
        <v>44378</v>
      </c>
      <c r="BF3" s="1">
        <f t="shared" si="0"/>
        <v>44409</v>
      </c>
      <c r="BG3" s="1">
        <f t="shared" si="0"/>
        <v>44440</v>
      </c>
      <c r="BH3" s="1">
        <f t="shared" si="0"/>
        <v>44470</v>
      </c>
      <c r="BI3" s="1">
        <f t="shared" si="0"/>
        <v>44501</v>
      </c>
      <c r="BJ3" s="1">
        <f t="shared" si="0"/>
        <v>44531</v>
      </c>
      <c r="BK3" s="1">
        <f t="shared" si="0"/>
        <v>44562</v>
      </c>
      <c r="BL3" s="1">
        <f t="shared" si="0"/>
        <v>44593</v>
      </c>
      <c r="BM3" s="1">
        <f t="shared" si="0"/>
        <v>44621</v>
      </c>
      <c r="BN3" s="1">
        <f t="shared" si="0"/>
        <v>44652</v>
      </c>
      <c r="BO3" s="1">
        <f t="shared" si="0"/>
        <v>44682</v>
      </c>
      <c r="BP3" s="1">
        <f t="shared" ref="BP3:CT3" si="1">DATE(LEFT(BP2,4),SUBSTITUTE(RIGHT(BP2,2),"M",""),1)</f>
        <v>44713</v>
      </c>
      <c r="BQ3" s="1">
        <f t="shared" si="1"/>
        <v>44743</v>
      </c>
      <c r="BR3" s="1">
        <f t="shared" si="1"/>
        <v>44774</v>
      </c>
      <c r="BS3" s="1">
        <f t="shared" si="1"/>
        <v>44805</v>
      </c>
      <c r="BT3" s="1">
        <f t="shared" si="1"/>
        <v>44835</v>
      </c>
      <c r="BU3" s="1">
        <f t="shared" si="1"/>
        <v>44866</v>
      </c>
      <c r="BV3" s="1">
        <f t="shared" si="1"/>
        <v>44896</v>
      </c>
      <c r="BW3" s="1">
        <f t="shared" si="1"/>
        <v>44927</v>
      </c>
      <c r="BX3" s="1">
        <f t="shared" si="1"/>
        <v>44958</v>
      </c>
      <c r="BY3" s="1">
        <f t="shared" si="1"/>
        <v>44986</v>
      </c>
      <c r="BZ3" s="1">
        <f t="shared" si="1"/>
        <v>45017</v>
      </c>
      <c r="CA3" s="1">
        <f t="shared" si="1"/>
        <v>45047</v>
      </c>
      <c r="CB3" s="1">
        <f t="shared" si="1"/>
        <v>45078</v>
      </c>
      <c r="CC3" s="1">
        <f t="shared" si="1"/>
        <v>45108</v>
      </c>
      <c r="CD3" s="1">
        <f t="shared" si="1"/>
        <v>45139</v>
      </c>
      <c r="CE3" s="1">
        <f t="shared" si="1"/>
        <v>45170</v>
      </c>
      <c r="CF3" s="1">
        <f t="shared" si="1"/>
        <v>45200</v>
      </c>
      <c r="CG3" s="1">
        <f t="shared" si="1"/>
        <v>45231</v>
      </c>
      <c r="CH3" s="1">
        <f t="shared" si="1"/>
        <v>45261</v>
      </c>
      <c r="CI3" s="1">
        <f t="shared" si="1"/>
        <v>45292</v>
      </c>
      <c r="CJ3" s="1">
        <f t="shared" si="1"/>
        <v>45323</v>
      </c>
      <c r="CK3" s="1">
        <f t="shared" si="1"/>
        <v>45352</v>
      </c>
      <c r="CL3" s="1">
        <f t="shared" si="1"/>
        <v>45383</v>
      </c>
      <c r="CM3" s="1">
        <f t="shared" si="1"/>
        <v>45413</v>
      </c>
      <c r="CN3" s="1">
        <f t="shared" si="1"/>
        <v>45444</v>
      </c>
      <c r="CO3" s="1">
        <f t="shared" si="1"/>
        <v>45474</v>
      </c>
      <c r="CP3" s="1">
        <f t="shared" si="1"/>
        <v>45505</v>
      </c>
      <c r="CQ3" s="1">
        <f t="shared" si="1"/>
        <v>45536</v>
      </c>
      <c r="CR3" s="1">
        <f t="shared" si="1"/>
        <v>45566</v>
      </c>
      <c r="CS3" s="1">
        <f t="shared" si="1"/>
        <v>45597</v>
      </c>
      <c r="CT3" s="1">
        <f t="shared" si="1"/>
        <v>45627</v>
      </c>
    </row>
    <row r="5" spans="2:98" x14ac:dyDescent="0.25">
      <c r="B5" t="s">
        <v>99</v>
      </c>
      <c r="C5" s="2">
        <v>-243895.53243511831</v>
      </c>
      <c r="D5" s="2">
        <v>-116304.80496222834</v>
      </c>
      <c r="E5" s="2">
        <v>-59059.249576854192</v>
      </c>
      <c r="F5" s="2">
        <v>32037.613626875198</v>
      </c>
      <c r="G5" s="2">
        <v>-32450.126601932679</v>
      </c>
      <c r="H5" s="2">
        <v>128055.01021075962</v>
      </c>
      <c r="I5" s="2">
        <v>35488.680560219138</v>
      </c>
      <c r="J5" s="2">
        <v>-22940.819895372882</v>
      </c>
      <c r="K5" s="2">
        <v>25664.168484979691</v>
      </c>
      <c r="L5" s="2">
        <v>-223554.3377355939</v>
      </c>
      <c r="M5" s="2">
        <v>-305188.47795485688</v>
      </c>
      <c r="N5" s="2">
        <v>-461904.07491900981</v>
      </c>
      <c r="O5" s="2">
        <v>-210132.47039022061</v>
      </c>
      <c r="P5" s="2">
        <v>-60543.308255640164</v>
      </c>
      <c r="Q5" s="2">
        <v>-4862.6706564390806</v>
      </c>
      <c r="R5" s="2">
        <v>84534.399295010633</v>
      </c>
      <c r="S5" s="2">
        <v>7636.0657351247391</v>
      </c>
      <c r="T5" s="2">
        <v>154278.68042820258</v>
      </c>
      <c r="U5" s="2">
        <v>53183.85885706079</v>
      </c>
      <c r="V5" s="2">
        <v>-10798.645553907763</v>
      </c>
      <c r="W5" s="2">
        <v>36685.371869048511</v>
      </c>
      <c r="X5" s="2">
        <v>-208960.40489206556</v>
      </c>
      <c r="Y5" s="2">
        <v>-284510.98049635289</v>
      </c>
      <c r="Z5" s="2">
        <v>-434828.45074187953</v>
      </c>
      <c r="AA5" s="2">
        <v>-178146.29142423029</v>
      </c>
      <c r="AB5" s="2">
        <v>-26071.157197145163</v>
      </c>
      <c r="AC5" s="2">
        <v>29682.447341516523</v>
      </c>
      <c r="AD5" s="2">
        <v>117392.67252764468</v>
      </c>
      <c r="AE5" s="2">
        <v>37907.175872767599</v>
      </c>
      <c r="AF5" s="2">
        <v>181831.37601460482</v>
      </c>
      <c r="AG5" s="2">
        <v>78423.186154964569</v>
      </c>
      <c r="AH5" s="2">
        <v>12819.010367957046</v>
      </c>
      <c r="AI5" s="2">
        <v>59453.888864025139</v>
      </c>
      <c r="AJ5" s="2">
        <v>-186336.14280223567</v>
      </c>
      <c r="AK5" s="2">
        <v>-261494.50414036357</v>
      </c>
      <c r="AL5" s="2">
        <v>-411109.91760227073</v>
      </c>
      <c r="AM5" s="2">
        <v>-153663.63413550245</v>
      </c>
      <c r="AN5" s="2">
        <v>-990.35636696905567</v>
      </c>
      <c r="AO5" s="2">
        <v>55032.369574873912</v>
      </c>
      <c r="AP5" s="2">
        <v>142618.53759048381</v>
      </c>
      <c r="AQ5" s="2">
        <v>62656.582838925315</v>
      </c>
      <c r="AR5" s="2">
        <v>205873.31357474436</v>
      </c>
      <c r="AS5" s="2">
        <v>101683.92713079249</v>
      </c>
      <c r="AT5" s="2">
        <v>35369.536500998001</v>
      </c>
      <c r="AU5" s="2">
        <v>81460.921096869613</v>
      </c>
      <c r="AV5" s="2">
        <v>-164674.28392745729</v>
      </c>
      <c r="AW5" s="2">
        <v>-240005.55182577216</v>
      </c>
      <c r="AX5" s="2">
        <v>-389683.84655846679</v>
      </c>
      <c r="AY5" s="2">
        <v>-132262.4933987702</v>
      </c>
      <c r="AZ5" s="2">
        <v>20363.980885838526</v>
      </c>
      <c r="BA5" s="2">
        <v>76282.961373232902</v>
      </c>
      <c r="BB5" s="2">
        <v>163700.16670568244</v>
      </c>
      <c r="BC5" s="2">
        <v>83516.480858497351</v>
      </c>
      <c r="BD5" s="2">
        <v>226481.58395996201</v>
      </c>
      <c r="BE5" s="2">
        <v>122033.33589104465</v>
      </c>
      <c r="BF5" s="2">
        <v>55467.344668802602</v>
      </c>
      <c r="BG5" s="2">
        <v>101317.15005781452</v>
      </c>
      <c r="BH5" s="2">
        <v>-145057.39709775342</v>
      </c>
      <c r="BI5" s="2">
        <v>-220639.00813913843</v>
      </c>
      <c r="BJ5" s="2">
        <v>-370590.1469555595</v>
      </c>
      <c r="BK5" s="2">
        <v>-113466.91516860854</v>
      </c>
      <c r="BL5" s="2">
        <v>38846.625722407509</v>
      </c>
      <c r="BM5" s="2">
        <v>94461.97054935075</v>
      </c>
      <c r="BN5" s="2">
        <v>181618.29372516079</v>
      </c>
      <c r="BO5" s="2">
        <v>101250.91289320473</v>
      </c>
      <c r="BP5" s="2">
        <v>244134.09149990798</v>
      </c>
      <c r="BQ5" s="2">
        <v>139709.34303422633</v>
      </c>
      <c r="BR5" s="2">
        <v>73246.278161940339</v>
      </c>
      <c r="BS5" s="2">
        <v>119219.36195951297</v>
      </c>
      <c r="BT5" s="2">
        <v>-127098.64171350417</v>
      </c>
      <c r="BU5" s="2">
        <v>-202789.24439048234</v>
      </c>
      <c r="BV5" s="2">
        <v>-353098.17230859539</v>
      </c>
      <c r="BW5" s="2">
        <v>-96616.227915559022</v>
      </c>
      <c r="BX5" s="2">
        <v>54816.496285799505</v>
      </c>
      <c r="BY5" s="2">
        <v>109449.62870562561</v>
      </c>
      <c r="BZ5" s="2">
        <v>195741.91706666825</v>
      </c>
      <c r="CA5" s="2">
        <v>114880.62678609911</v>
      </c>
      <c r="CB5" s="2">
        <v>257843.82766330667</v>
      </c>
      <c r="CC5" s="2">
        <v>154145.54013848252</v>
      </c>
      <c r="CD5" s="2">
        <v>88940.454307938373</v>
      </c>
      <c r="CE5" s="2">
        <v>136404.35943638344</v>
      </c>
      <c r="CF5" s="2">
        <v>-108605.65911290022</v>
      </c>
      <c r="CG5" s="2">
        <v>-183667.34045887308</v>
      </c>
      <c r="CH5" s="2">
        <v>-334361.4805069064</v>
      </c>
      <c r="CI5" s="2">
        <v>-79286.313349966091</v>
      </c>
      <c r="CJ5" s="2">
        <v>69373.161413479247</v>
      </c>
      <c r="CK5" s="2">
        <v>120694.68687116896</v>
      </c>
      <c r="CL5" s="2">
        <v>204254.52800135541</v>
      </c>
      <c r="CM5" s="2">
        <v>119534.10006722901</v>
      </c>
      <c r="CN5" s="2">
        <v>263074.13506680442</v>
      </c>
      <c r="CO5" s="2">
        <v>158359.84472205449</v>
      </c>
      <c r="CP5" s="2">
        <v>89716.039346141857</v>
      </c>
      <c r="CQ5" s="2">
        <v>174226.20257482288</v>
      </c>
      <c r="CR5" s="2">
        <v>-125197.89486912872</v>
      </c>
      <c r="CS5" s="2">
        <v>-186181.79501518165</v>
      </c>
      <c r="CT5" s="2">
        <v>-124616.26679131502</v>
      </c>
    </row>
    <row r="6" spans="2:98" x14ac:dyDescent="0.25">
      <c r="B6" t="s">
        <v>100</v>
      </c>
      <c r="C6" s="2">
        <v>-211072.76771537063</v>
      </c>
      <c r="D6" s="2">
        <v>-95086.702505068999</v>
      </c>
      <c r="E6" s="2">
        <v>-47279.636085782011</v>
      </c>
      <c r="F6" s="2">
        <v>50560.56917837236</v>
      </c>
      <c r="G6" s="2">
        <v>-19332.015808645254</v>
      </c>
      <c r="H6" s="2">
        <v>142214.43456323465</v>
      </c>
      <c r="I6" s="2">
        <v>47834.824149899825</v>
      </c>
      <c r="J6" s="2">
        <v>-11272.766058366024</v>
      </c>
      <c r="K6" s="2">
        <v>48261.87617221885</v>
      </c>
      <c r="L6" s="2">
        <v>-229920.63186168682</v>
      </c>
      <c r="M6" s="2">
        <v>-280199.5183255939</v>
      </c>
      <c r="N6" s="2">
        <v>-411390.02192492294</v>
      </c>
      <c r="O6" s="2">
        <v>-162995.91295435242</v>
      </c>
      <c r="P6" s="2">
        <v>-17200.942237167314</v>
      </c>
      <c r="Q6" s="2">
        <v>25026.393625934623</v>
      </c>
      <c r="R6" s="2">
        <v>116005.00664545063</v>
      </c>
      <c r="S6" s="2">
        <v>32734.673400648517</v>
      </c>
      <c r="T6" s="2">
        <v>179587.76279957365</v>
      </c>
      <c r="U6" s="2">
        <v>76988.451989487046</v>
      </c>
      <c r="V6" s="2">
        <v>13368.933043614077</v>
      </c>
      <c r="W6" s="2">
        <v>72880.851753235271</v>
      </c>
      <c r="X6" s="2">
        <v>-200731.38758442571</v>
      </c>
      <c r="Y6" s="2">
        <v>-244475.40307394014</v>
      </c>
      <c r="Z6" s="2">
        <v>-369410.0214713561</v>
      </c>
      <c r="AA6" s="2">
        <v>-116751.45458526733</v>
      </c>
      <c r="AB6" s="2">
        <v>30542.334353053124</v>
      </c>
      <c r="AC6" s="2">
        <v>71738.174447008001</v>
      </c>
      <c r="AD6" s="2">
        <v>160005.74276508958</v>
      </c>
      <c r="AE6" s="2">
        <v>73327.312960161857</v>
      </c>
      <c r="AF6" s="2">
        <v>216893.11467070252</v>
      </c>
      <c r="AG6" s="2">
        <v>111646.682605751</v>
      </c>
      <c r="AH6" s="2">
        <v>46245.752845921728</v>
      </c>
      <c r="AI6" s="2">
        <v>104840.33803050962</v>
      </c>
      <c r="AJ6" s="2">
        <v>-168974.62320922315</v>
      </c>
      <c r="AK6" s="2">
        <v>-212439.97137161583</v>
      </c>
      <c r="AL6" s="2">
        <v>-336879.45984288555</v>
      </c>
      <c r="AM6" s="2">
        <v>-83766.714734639565</v>
      </c>
      <c r="AN6" s="2">
        <v>63727.64865885672</v>
      </c>
      <c r="AO6" s="2">
        <v>104739.93356680856</v>
      </c>
      <c r="AP6" s="2">
        <v>192414.98538132411</v>
      </c>
      <c r="AQ6" s="2">
        <v>104811.74704768184</v>
      </c>
      <c r="AR6" s="2">
        <v>247266.65704043329</v>
      </c>
      <c r="AS6" s="2">
        <v>140890.700555188</v>
      </c>
      <c r="AT6" s="2">
        <v>74482.508802135679</v>
      </c>
      <c r="AU6" s="2">
        <v>132274.01022450681</v>
      </c>
      <c r="AV6" s="2">
        <v>-142126.49438013212</v>
      </c>
      <c r="AW6" s="2">
        <v>-186003.12801050022</v>
      </c>
      <c r="AX6" s="2">
        <v>-310754.23488412215</v>
      </c>
      <c r="AY6" s="2">
        <v>-57931.326753262416</v>
      </c>
      <c r="AZ6" s="2">
        <v>89235.435671586631</v>
      </c>
      <c r="BA6" s="2">
        <v>129851.77052418217</v>
      </c>
      <c r="BB6" s="2">
        <v>217060.51708220146</v>
      </c>
      <c r="BC6" s="2">
        <v>128938.98812363556</v>
      </c>
      <c r="BD6" s="2">
        <v>270850.74708933546</v>
      </c>
      <c r="BE6" s="2">
        <v>163931.67582755396</v>
      </c>
      <c r="BF6" s="2">
        <v>96995.557864163216</v>
      </c>
      <c r="BG6" s="2">
        <v>154277.01940066015</v>
      </c>
      <c r="BH6" s="2">
        <v>-120623.35627541957</v>
      </c>
      <c r="BI6" s="2">
        <v>-165002.22279480143</v>
      </c>
      <c r="BJ6" s="2">
        <v>-290268.06770241761</v>
      </c>
      <c r="BK6" s="2">
        <v>-37973.664595204034</v>
      </c>
      <c r="BL6" s="2">
        <v>108662.10571070138</v>
      </c>
      <c r="BM6" s="2">
        <v>148768.18086074671</v>
      </c>
      <c r="BN6" s="2">
        <v>235517.38498833586</v>
      </c>
      <c r="BO6" s="2">
        <v>147014.99131763642</v>
      </c>
      <c r="BP6" s="2">
        <v>288640.08941990836</v>
      </c>
      <c r="BQ6" s="2">
        <v>181522.18972850413</v>
      </c>
      <c r="BR6" s="2">
        <v>114441.03058732924</v>
      </c>
      <c r="BS6" s="2">
        <v>171569.95740119362</v>
      </c>
      <c r="BT6" s="2">
        <v>-103570.28408701734</v>
      </c>
      <c r="BU6" s="2">
        <v>-148356.96887293647</v>
      </c>
      <c r="BV6" s="2">
        <v>-274254.92826897383</v>
      </c>
      <c r="BW6" s="2">
        <v>-22822.413803674182</v>
      </c>
      <c r="BX6" s="2">
        <v>122787.46579334873</v>
      </c>
      <c r="BY6" s="2">
        <v>161845.61202985825</v>
      </c>
      <c r="BZ6" s="2">
        <v>247723.78613567539</v>
      </c>
      <c r="CA6" s="2">
        <v>158735.27203605874</v>
      </c>
      <c r="CB6" s="2">
        <v>300407.63036965812</v>
      </c>
      <c r="CC6" s="2">
        <v>193891.12533218789</v>
      </c>
      <c r="CD6" s="2">
        <v>127820.80222827458</v>
      </c>
      <c r="CE6" s="2">
        <v>186065.91462350026</v>
      </c>
      <c r="CF6" s="2">
        <v>-88244.31687068849</v>
      </c>
      <c r="CG6" s="2">
        <v>-132916.29163869124</v>
      </c>
      <c r="CH6" s="2">
        <v>-259700.86114246407</v>
      </c>
      <c r="CI6" s="2">
        <v>-10126.135127941841</v>
      </c>
      <c r="CJ6" s="2">
        <v>132593.2474195945</v>
      </c>
      <c r="CK6" s="2">
        <v>168292.92346023576</v>
      </c>
      <c r="CL6" s="2">
        <v>251692.06818379633</v>
      </c>
      <c r="CM6" s="2">
        <v>159892.26056375075</v>
      </c>
      <c r="CN6" s="2">
        <v>301917.45911762543</v>
      </c>
      <c r="CO6" s="2">
        <v>197061.74484197053</v>
      </c>
      <c r="CP6" s="2">
        <v>128854.03514017028</v>
      </c>
      <c r="CQ6" s="2">
        <v>212187.06163650841</v>
      </c>
      <c r="CR6" s="2">
        <v>-83318.049253316072</v>
      </c>
      <c r="CS6" s="2">
        <v>-148622.9788626275</v>
      </c>
      <c r="CT6" s="2">
        <v>-96308.99540956298</v>
      </c>
    </row>
    <row r="7" spans="2:98" x14ac:dyDescent="0.25">
      <c r="B7" t="s">
        <v>101</v>
      </c>
      <c r="C7" s="2">
        <v>-178887.3786827513</v>
      </c>
      <c r="D7" s="2">
        <v>-74280.62818596141</v>
      </c>
      <c r="E7" s="2">
        <v>-35728.767470624036</v>
      </c>
      <c r="F7" s="2">
        <v>68723.832862865427</v>
      </c>
      <c r="G7" s="2">
        <v>-6468.6417796763744</v>
      </c>
      <c r="H7" s="2">
        <v>156098.90118734483</v>
      </c>
      <c r="I7" s="2">
        <v>59941.221581051781</v>
      </c>
      <c r="J7" s="2">
        <v>168.70924708467646</v>
      </c>
      <c r="K7" s="2">
        <v>70420.765570149932</v>
      </c>
      <c r="L7" s="2">
        <v>-236163.30078046626</v>
      </c>
      <c r="M7" s="2">
        <v>-255695.81200909434</v>
      </c>
      <c r="N7" s="2">
        <v>-361856.88658087677</v>
      </c>
      <c r="O7" s="2">
        <v>-116774.68656817106</v>
      </c>
      <c r="P7" s="2">
        <v>25299.771027228926</v>
      </c>
      <c r="Q7" s="2">
        <v>54335.050893626314</v>
      </c>
      <c r="R7" s="2">
        <v>146864.49545802225</v>
      </c>
      <c r="S7" s="2">
        <v>57345.89853019853</v>
      </c>
      <c r="T7" s="2">
        <v>204405.3754880956</v>
      </c>
      <c r="U7" s="2">
        <v>100330.79067643518</v>
      </c>
      <c r="V7" s="2">
        <v>37067.208486866446</v>
      </c>
      <c r="W7" s="2">
        <v>108373.462179011</v>
      </c>
      <c r="X7" s="2">
        <v>-192662.16716183306</v>
      </c>
      <c r="Y7" s="2">
        <v>-205217.26484310895</v>
      </c>
      <c r="Z7" s="2">
        <v>-305261.93358319846</v>
      </c>
      <c r="AA7" s="2">
        <v>-56548.826161728401</v>
      </c>
      <c r="AB7" s="2">
        <v>86056.465036315203</v>
      </c>
      <c r="AC7" s="2">
        <v>112977.23366390396</v>
      </c>
      <c r="AD7" s="2">
        <v>201791.32223034819</v>
      </c>
      <c r="AE7" s="2">
        <v>108059.6367445936</v>
      </c>
      <c r="AF7" s="2">
        <v>251273.9996583584</v>
      </c>
      <c r="AG7" s="2">
        <v>144225.02167689783</v>
      </c>
      <c r="AH7" s="2">
        <v>79023.391168972419</v>
      </c>
      <c r="AI7" s="2">
        <v>149345.44098893381</v>
      </c>
      <c r="AJ7" s="2">
        <v>-151950.24189736001</v>
      </c>
      <c r="AK7" s="2">
        <v>-164338.01425568707</v>
      </c>
      <c r="AL7" s="2">
        <v>-264090.4616748605</v>
      </c>
      <c r="AM7" s="2">
        <v>-15227.103208712322</v>
      </c>
      <c r="AN7" s="2">
        <v>127188.91363627069</v>
      </c>
      <c r="AO7" s="2">
        <v>153482.24088322101</v>
      </c>
      <c r="AP7" s="2">
        <v>241244.45048809645</v>
      </c>
      <c r="AQ7" s="2">
        <v>146148.31242776033</v>
      </c>
      <c r="AR7" s="2">
        <v>287856.19525207853</v>
      </c>
      <c r="AS7" s="2">
        <v>179336.1290909113</v>
      </c>
      <c r="AT7" s="2">
        <v>112835.95771123335</v>
      </c>
      <c r="AU7" s="2">
        <v>182100.37480671424</v>
      </c>
      <c r="AV7" s="2">
        <v>-120016.5537763272</v>
      </c>
      <c r="AW7" s="2">
        <v>-133049.36149999057</v>
      </c>
      <c r="AX7" s="2">
        <v>-233357.33429932949</v>
      </c>
      <c r="AY7" s="2">
        <v>14956.424664422455</v>
      </c>
      <c r="AZ7" s="2">
        <v>156769.49578042669</v>
      </c>
      <c r="BA7" s="2">
        <v>182380.34260696353</v>
      </c>
      <c r="BB7" s="2">
        <v>269384.67839064432</v>
      </c>
      <c r="BC7" s="2">
        <v>173479.44897902149</v>
      </c>
      <c r="BD7" s="2">
        <v>314358.31839125743</v>
      </c>
      <c r="BE7" s="2">
        <v>205016.40413096099</v>
      </c>
      <c r="BF7" s="2">
        <v>137717.3468095678</v>
      </c>
      <c r="BG7" s="2">
        <v>206208.47649972225</v>
      </c>
      <c r="BH7" s="2">
        <v>-96663.792959518498</v>
      </c>
      <c r="BI7" s="2">
        <v>-110445.83194468939</v>
      </c>
      <c r="BJ7" s="2">
        <v>-211505.73946027897</v>
      </c>
      <c r="BK7" s="2">
        <v>36053.604581793828</v>
      </c>
      <c r="BL7" s="2">
        <v>177121.85927223988</v>
      </c>
      <c r="BM7" s="2">
        <v>202019.83472608746</v>
      </c>
      <c r="BN7" s="2">
        <v>288369.82553141535</v>
      </c>
      <c r="BO7" s="2">
        <v>191890.39046167745</v>
      </c>
      <c r="BP7" s="2">
        <v>332281.83835760033</v>
      </c>
      <c r="BQ7" s="2">
        <v>222523.08495799516</v>
      </c>
      <c r="BR7" s="2">
        <v>154835.83414011696</v>
      </c>
      <c r="BS7" s="2">
        <v>222903.97191113036</v>
      </c>
      <c r="BT7" s="2">
        <v>-80498.816769352081</v>
      </c>
      <c r="BU7" s="2">
        <v>-94981.697824885719</v>
      </c>
      <c r="BV7" s="2">
        <v>-196942.71817101614</v>
      </c>
      <c r="BW7" s="2">
        <v>49538.419772384936</v>
      </c>
      <c r="BX7" s="2">
        <v>189438.52688475559</v>
      </c>
      <c r="BY7" s="2">
        <v>213224.13304830409</v>
      </c>
      <c r="BZ7" s="2">
        <v>298696.23446273821</v>
      </c>
      <c r="CA7" s="2">
        <v>201738.31673107974</v>
      </c>
      <c r="CB7" s="2">
        <v>342144.89901562838</v>
      </c>
      <c r="CC7" s="2">
        <v>232864.90260875222</v>
      </c>
      <c r="CD7" s="2">
        <v>165946.14402151873</v>
      </c>
      <c r="CE7" s="2">
        <v>234763.10656664599</v>
      </c>
      <c r="CF7" s="2">
        <v>-68278.365590002853</v>
      </c>
      <c r="CG7" s="2">
        <v>-83150.762621318281</v>
      </c>
      <c r="CH7" s="2">
        <v>-186490.05455202633</v>
      </c>
      <c r="CI7" s="2">
        <v>57691.041781043605</v>
      </c>
      <c r="CJ7" s="2">
        <v>194585.68102949869</v>
      </c>
      <c r="CK7" s="2">
        <v>214966.86378690437</v>
      </c>
      <c r="CL7" s="2">
        <v>298208.43262045167</v>
      </c>
      <c r="CM7" s="2">
        <v>199466.71772213734</v>
      </c>
      <c r="CN7" s="2">
        <v>340006.49599706952</v>
      </c>
      <c r="CO7" s="2">
        <v>235012.10406054207</v>
      </c>
      <c r="CP7" s="2">
        <v>167232.02161825437</v>
      </c>
      <c r="CQ7" s="2">
        <v>249410.76985684934</v>
      </c>
      <c r="CR7" s="2">
        <v>-42251.456134790787</v>
      </c>
      <c r="CS7" s="2">
        <v>-111793.50639752172</v>
      </c>
      <c r="CT7" s="2">
        <v>-68551.414667880978</v>
      </c>
    </row>
    <row r="8" spans="2:98" x14ac:dyDescent="0.25">
      <c r="B8" t="s">
        <v>102</v>
      </c>
      <c r="C8" s="2">
        <v>-147315.08211281113</v>
      </c>
      <c r="D8" s="2">
        <v>-53870.884243039764</v>
      </c>
      <c r="E8" s="2">
        <v>-24397.928834851326</v>
      </c>
      <c r="F8" s="2">
        <v>86541.108495098946</v>
      </c>
      <c r="G8" s="2">
        <v>6149.7006402667903</v>
      </c>
      <c r="H8" s="2">
        <v>169718.88563207426</v>
      </c>
      <c r="I8" s="2">
        <v>71817.006885449213</v>
      </c>
      <c r="J8" s="2">
        <v>11392.238382470918</v>
      </c>
      <c r="K8" s="2">
        <v>92157.555112229311</v>
      </c>
      <c r="L8" s="2">
        <v>-242287.05445925202</v>
      </c>
      <c r="M8" s="2">
        <v>-231658.87145500717</v>
      </c>
      <c r="N8" s="2">
        <v>-313267.29713902611</v>
      </c>
      <c r="O8" s="2">
        <v>-71433.918252091622</v>
      </c>
      <c r="P8" s="2">
        <v>66990.897465302143</v>
      </c>
      <c r="Q8" s="2">
        <v>83085.413935206423</v>
      </c>
      <c r="R8" s="2">
        <v>177136.14859230097</v>
      </c>
      <c r="S8" s="2">
        <v>81488.309794894318</v>
      </c>
      <c r="T8" s="2">
        <v>228750.24288012309</v>
      </c>
      <c r="U8" s="2">
        <v>123228.48623989115</v>
      </c>
      <c r="V8" s="2">
        <v>60314.060644912497</v>
      </c>
      <c r="W8" s="2">
        <v>143189.98160241326</v>
      </c>
      <c r="X8" s="2">
        <v>-184746.65556083564</v>
      </c>
      <c r="Y8" s="2">
        <v>-166706.94633332395</v>
      </c>
      <c r="Z8" s="2">
        <v>-242335.78864373817</v>
      </c>
      <c r="AA8" s="2">
        <v>2507.0155107624196</v>
      </c>
      <c r="AB8" s="2">
        <v>140513.11914038821</v>
      </c>
      <c r="AC8" s="2">
        <v>153430.73902752111</v>
      </c>
      <c r="AD8" s="2">
        <v>242780.93729720026</v>
      </c>
      <c r="AE8" s="2">
        <v>142130.352061221</v>
      </c>
      <c r="AF8" s="2">
        <v>284999.97065927327</v>
      </c>
      <c r="AG8" s="2">
        <v>176182.78306570326</v>
      </c>
      <c r="AH8" s="2">
        <v>111176.65540165844</v>
      </c>
      <c r="AI8" s="2">
        <v>193002.77593849794</v>
      </c>
      <c r="AJ8" s="2">
        <v>-135250.15431559595</v>
      </c>
      <c r="AK8" s="2">
        <v>-117152.34083973146</v>
      </c>
      <c r="AL8" s="2">
        <v>-192688.00527265141</v>
      </c>
      <c r="AM8" s="2">
        <v>52006.912191628202</v>
      </c>
      <c r="AN8" s="2">
        <v>189441.31880495889</v>
      </c>
      <c r="AO8" s="2">
        <v>201296.06660821976</v>
      </c>
      <c r="AP8" s="2">
        <v>289143.77375369781</v>
      </c>
      <c r="AQ8" s="2">
        <v>186697.46658090319</v>
      </c>
      <c r="AR8" s="2">
        <v>327672.55219454714</v>
      </c>
      <c r="AS8" s="2">
        <v>217049.21903548608</v>
      </c>
      <c r="AT8" s="2">
        <v>150458.82012904857</v>
      </c>
      <c r="AU8" s="2">
        <v>230977.6078268617</v>
      </c>
      <c r="AV8" s="2">
        <v>-98327.780613460534</v>
      </c>
      <c r="AW8" s="2">
        <v>-81104.299749431084</v>
      </c>
      <c r="AX8" s="2">
        <v>-157434.75040945571</v>
      </c>
      <c r="AY8" s="2">
        <v>86455.753187156341</v>
      </c>
      <c r="AZ8" s="2">
        <v>223017.11429352069</v>
      </c>
      <c r="BA8" s="2">
        <v>233908.30936580099</v>
      </c>
      <c r="BB8" s="2">
        <v>320712.1281514439</v>
      </c>
      <c r="BC8" s="2">
        <v>217171.46830067234</v>
      </c>
      <c r="BD8" s="2">
        <v>357037.12344748795</v>
      </c>
      <c r="BE8" s="2">
        <v>245318.51839703287</v>
      </c>
      <c r="BF8" s="2">
        <v>177663.43527038521</v>
      </c>
      <c r="BG8" s="2">
        <v>257150.70258805715</v>
      </c>
      <c r="BH8" s="2">
        <v>-73160.630144576804</v>
      </c>
      <c r="BI8" s="2">
        <v>-56928.673896370565</v>
      </c>
      <c r="BJ8" s="2">
        <v>-134243.73764698565</v>
      </c>
      <c r="BK8" s="2">
        <v>108670.74443833786</v>
      </c>
      <c r="BL8" s="2">
        <v>244277.53790515478</v>
      </c>
      <c r="BM8" s="2">
        <v>254257.10944016359</v>
      </c>
      <c r="BN8" s="2">
        <v>340215.49145081977</v>
      </c>
      <c r="BO8" s="2">
        <v>235910.96790550416</v>
      </c>
      <c r="BP8" s="2">
        <v>375092.26512905367</v>
      </c>
      <c r="BQ8" s="2">
        <v>262742.96306810877</v>
      </c>
      <c r="BR8" s="2">
        <v>194461.16588181324</v>
      </c>
      <c r="BS8" s="2">
        <v>273260.13596404111</v>
      </c>
      <c r="BT8" s="2">
        <v>-57866.832805486665</v>
      </c>
      <c r="BU8" s="2">
        <v>-42623.160684877417</v>
      </c>
      <c r="BV8" s="2">
        <v>-121103.21151734682</v>
      </c>
      <c r="BW8" s="2">
        <v>120520.86759664568</v>
      </c>
      <c r="BX8" s="2">
        <v>254819.96643629915</v>
      </c>
      <c r="BY8" s="2">
        <v>263623.95581494167</v>
      </c>
      <c r="BZ8" s="2">
        <v>348697.71972821013</v>
      </c>
      <c r="CA8" s="2">
        <v>243922.20579781104</v>
      </c>
      <c r="CB8" s="2">
        <v>383087.12352546252</v>
      </c>
      <c r="CC8" s="2">
        <v>271096.27689412783</v>
      </c>
      <c r="CD8" s="2">
        <v>203345.24448622664</v>
      </c>
      <c r="CE8" s="2">
        <v>282532.67631129234</v>
      </c>
      <c r="CF8" s="2">
        <v>-48692.741364801892</v>
      </c>
      <c r="CG8" s="2">
        <v>-34333.206322586506</v>
      </c>
      <c r="CH8" s="2">
        <v>-114673.82466413346</v>
      </c>
      <c r="CI8" s="2">
        <v>124216.38406404651</v>
      </c>
      <c r="CJ8" s="2">
        <v>255397.2342793484</v>
      </c>
      <c r="CK8" s="2">
        <v>260751.72239426186</v>
      </c>
      <c r="CL8" s="2">
        <v>343838.71696658974</v>
      </c>
      <c r="CM8" s="2">
        <v>238287.32966915023</v>
      </c>
      <c r="CN8" s="2">
        <v>377369.9831123699</v>
      </c>
      <c r="CO8" s="2">
        <v>272239.55515551503</v>
      </c>
      <c r="CP8" s="2">
        <v>204878.95419425124</v>
      </c>
      <c r="CQ8" s="2">
        <v>285925.41177012376</v>
      </c>
      <c r="CR8" s="2">
        <v>-1967.1316004156542</v>
      </c>
      <c r="CS8" s="2">
        <v>-75665.590528482688</v>
      </c>
      <c r="CT8" s="2">
        <v>-41322.582033536724</v>
      </c>
    </row>
    <row r="9" spans="2:98" x14ac:dyDescent="0.25">
      <c r="B9" t="s">
        <v>103</v>
      </c>
      <c r="C9" s="2">
        <v>-116332.95662048043</v>
      </c>
      <c r="D9" s="2">
        <v>-33842.653268293907</v>
      </c>
      <c r="E9" s="2">
        <v>-13278.894026306545</v>
      </c>
      <c r="F9" s="2">
        <v>104025.33135948425</v>
      </c>
      <c r="G9" s="2">
        <v>18532.172326919295</v>
      </c>
      <c r="H9" s="2">
        <v>183084.2759620249</v>
      </c>
      <c r="I9" s="2">
        <v>83470.801844765578</v>
      </c>
      <c r="J9" s="2">
        <v>22405.969593599541</v>
      </c>
      <c r="K9" s="2">
        <v>113488.025637274</v>
      </c>
      <c r="L9" s="2">
        <v>-248296.33872338425</v>
      </c>
      <c r="M9" s="2">
        <v>-208071.24592232902</v>
      </c>
      <c r="N9" s="2">
        <v>-265585.97771478351</v>
      </c>
      <c r="O9" s="2">
        <v>-26940.690755143631</v>
      </c>
      <c r="P9" s="2">
        <v>107902.70469983875</v>
      </c>
      <c r="Q9" s="2">
        <v>111298.35542114124</v>
      </c>
      <c r="R9" s="2">
        <v>206841.94317043346</v>
      </c>
      <c r="S9" s="2">
        <v>105179.43450713385</v>
      </c>
      <c r="T9" s="2">
        <v>252640.03927054661</v>
      </c>
      <c r="U9" s="2">
        <v>145698.16233268473</v>
      </c>
      <c r="V9" s="2">
        <v>83126.366657138744</v>
      </c>
      <c r="W9" s="2">
        <v>177355.68670379752</v>
      </c>
      <c r="X9" s="2">
        <v>-176979.10614564369</v>
      </c>
      <c r="Y9" s="2">
        <v>-128916.48917805424</v>
      </c>
      <c r="Z9" s="2">
        <v>-180585.90247552274</v>
      </c>
      <c r="AA9" s="2">
        <v>60458.944782019578</v>
      </c>
      <c r="AB9" s="2">
        <v>193951.83201980527</v>
      </c>
      <c r="AC9" s="2">
        <v>193128.05965175343</v>
      </c>
      <c r="AD9" s="2">
        <v>283004.34629344841</v>
      </c>
      <c r="AE9" s="2">
        <v>175564.19413903265</v>
      </c>
      <c r="AF9" s="2">
        <v>318095.51261917903</v>
      </c>
      <c r="AG9" s="2">
        <v>207543.16800344692</v>
      </c>
      <c r="AH9" s="2">
        <v>142728.88870969045</v>
      </c>
      <c r="AI9" s="2">
        <v>235844.03796300082</v>
      </c>
      <c r="AJ9" s="2">
        <v>-118862.23625442639</v>
      </c>
      <c r="AK9" s="2">
        <v>-70848.694477650017</v>
      </c>
      <c r="AL9" s="2">
        <v>-122620.25268413301</v>
      </c>
      <c r="AM9" s="2">
        <v>117984.14314383891</v>
      </c>
      <c r="AN9" s="2">
        <v>250530.05920948269</v>
      </c>
      <c r="AO9" s="2">
        <v>248216.12342444598</v>
      </c>
      <c r="AP9" s="2">
        <v>336147.72993170674</v>
      </c>
      <c r="AQ9" s="2">
        <v>226488.64806171626</v>
      </c>
      <c r="AR9" s="2">
        <v>366744.63441404223</v>
      </c>
      <c r="AS9" s="2">
        <v>254057.34997008619</v>
      </c>
      <c r="AT9" s="2">
        <v>187378.41013186239</v>
      </c>
      <c r="AU9" s="2">
        <v>278941.19399784226</v>
      </c>
      <c r="AV9" s="2">
        <v>-77044.428912450792</v>
      </c>
      <c r="AW9" s="2">
        <v>-30130.230812204296</v>
      </c>
      <c r="AX9" s="2">
        <v>-82931.363664456352</v>
      </c>
      <c r="AY9" s="2">
        <v>156618.56709591055</v>
      </c>
      <c r="AZ9" s="2">
        <v>288026.38676737953</v>
      </c>
      <c r="BA9" s="2">
        <v>284473.07993769919</v>
      </c>
      <c r="BB9" s="2">
        <v>371080.12992691295</v>
      </c>
      <c r="BC9" s="2">
        <v>260046.76635312825</v>
      </c>
      <c r="BD9" s="2">
        <v>398918.1469322918</v>
      </c>
      <c r="BE9" s="2">
        <v>284867.27783021569</v>
      </c>
      <c r="BF9" s="2">
        <v>216862.82397748076</v>
      </c>
      <c r="BG9" s="2">
        <v>307140.68155683967</v>
      </c>
      <c r="BH9" s="2">
        <v>-50096.804610500883</v>
      </c>
      <c r="BI9" s="2">
        <v>-4411.8953664063665</v>
      </c>
      <c r="BJ9" s="2">
        <v>-58425.970299418026</v>
      </c>
      <c r="BK9" s="2">
        <v>179930.4747828074</v>
      </c>
      <c r="BL9" s="2">
        <v>310177.89641466353</v>
      </c>
      <c r="BM9" s="2">
        <v>305517.92909525795</v>
      </c>
      <c r="BN9" s="2">
        <v>391092.02253211458</v>
      </c>
      <c r="BO9" s="2">
        <v>279108.68244578963</v>
      </c>
      <c r="BP9" s="2">
        <v>417102.44996547193</v>
      </c>
      <c r="BQ9" s="2">
        <v>302211.02356010943</v>
      </c>
      <c r="BR9" s="2">
        <v>233345.79367494411</v>
      </c>
      <c r="BS9" s="2">
        <v>322675.00797196105</v>
      </c>
      <c r="BT9" s="2">
        <v>-35657.901448351942</v>
      </c>
      <c r="BU9" s="2">
        <v>8756.6546754995361</v>
      </c>
      <c r="BV9" s="2">
        <v>-46681.349071726698</v>
      </c>
      <c r="BW9" s="2">
        <v>190176.46269636668</v>
      </c>
      <c r="BX9" s="2">
        <v>318979.25116136915</v>
      </c>
      <c r="BY9" s="2">
        <v>313081.6704378897</v>
      </c>
      <c r="BZ9" s="2">
        <v>397764.54284847365</v>
      </c>
      <c r="CA9" s="2">
        <v>285317.56460311118</v>
      </c>
      <c r="CB9" s="2">
        <v>423264.02782157104</v>
      </c>
      <c r="CC9" s="2">
        <v>308613.00404224172</v>
      </c>
      <c r="CD9" s="2">
        <v>240045.25524822701</v>
      </c>
      <c r="CE9" s="2">
        <v>329409.3044103838</v>
      </c>
      <c r="CF9" s="2">
        <v>-29473.225095322166</v>
      </c>
      <c r="CG9" s="2">
        <v>13571.81864529122</v>
      </c>
      <c r="CH9" s="2">
        <v>-44200.033128449526</v>
      </c>
      <c r="CI9" s="2">
        <v>189498.18890413517</v>
      </c>
      <c r="CJ9" s="2">
        <v>315072.05615987547</v>
      </c>
      <c r="CK9" s="2">
        <v>305680.73894139263</v>
      </c>
      <c r="CL9" s="2">
        <v>388616.04866088257</v>
      </c>
      <c r="CM9" s="2">
        <v>276382.28004335181</v>
      </c>
      <c r="CN9" s="2">
        <v>414035.04623417783</v>
      </c>
      <c r="CO9" s="2">
        <v>308771.12513583002</v>
      </c>
      <c r="CP9" s="2">
        <v>241822.16441929821</v>
      </c>
      <c r="CQ9" s="2">
        <v>321757.49688811577</v>
      </c>
      <c r="CR9" s="2">
        <v>37564.170638968695</v>
      </c>
      <c r="CS9" s="2">
        <v>-40213.002505582037</v>
      </c>
      <c r="CT9" s="2">
        <v>-14602.729462212592</v>
      </c>
    </row>
    <row r="10" spans="2:98" x14ac:dyDescent="0.25">
      <c r="B10" t="s">
        <v>96</v>
      </c>
      <c r="C10" s="2">
        <v>-350729.77507926355</v>
      </c>
      <c r="D10" s="2">
        <v>-280629.09403357661</v>
      </c>
      <c r="E10" s="2">
        <v>-220954.30875303768</v>
      </c>
      <c r="F10" s="2">
        <v>-103242.20446133515</v>
      </c>
      <c r="G10" s="2">
        <v>-140653.97414241551</v>
      </c>
      <c r="H10" s="2">
        <v>-111966.8697126981</v>
      </c>
      <c r="I10" s="2">
        <v>-171586.88267212486</v>
      </c>
      <c r="J10" s="2">
        <v>-208651.27987549375</v>
      </c>
      <c r="K10" s="2">
        <v>-232510.22081863228</v>
      </c>
      <c r="L10" s="2">
        <v>-254844.67825797768</v>
      </c>
      <c r="M10" s="2">
        <v>-230479.28828892103</v>
      </c>
      <c r="N10" s="2">
        <v>-213736.86456256159</v>
      </c>
      <c r="O10" s="2">
        <v>-175449.4482828748</v>
      </c>
      <c r="P10" s="2">
        <v>-144442.49772503658</v>
      </c>
      <c r="Q10" s="2">
        <v>-120179.80397842362</v>
      </c>
      <c r="R10" s="2">
        <v>-100354.65614937656</v>
      </c>
      <c r="S10" s="2">
        <v>-95096.035831974092</v>
      </c>
      <c r="T10" s="2">
        <v>-91302.09743876438</v>
      </c>
      <c r="U10" s="2">
        <v>-94487.566664359852</v>
      </c>
      <c r="V10" s="2">
        <v>-96977.898004266041</v>
      </c>
      <c r="W10" s="2">
        <v>-97736.531215610143</v>
      </c>
      <c r="X10" s="2">
        <v>-96348.423200462828</v>
      </c>
      <c r="Y10" s="2">
        <v>-89791.428702397665</v>
      </c>
      <c r="Z10" s="2">
        <v>-80921.649982699251</v>
      </c>
      <c r="AA10" s="2">
        <v>-69016.573165012625</v>
      </c>
      <c r="AB10" s="2">
        <v>-56819.258250723011</v>
      </c>
      <c r="AC10" s="2">
        <v>-45673.848190912278</v>
      </c>
      <c r="AD10" s="2">
        <v>-36481.810670310952</v>
      </c>
      <c r="AE10" s="2">
        <v>-30259.736406097556</v>
      </c>
      <c r="AF10" s="2">
        <v>-26176.137386852497</v>
      </c>
      <c r="AG10" s="2">
        <v>-23863.225284262498</v>
      </c>
      <c r="AH10" s="2">
        <v>-22044.157511516503</v>
      </c>
      <c r="AI10" s="2">
        <v>-19852.489432819282</v>
      </c>
      <c r="AJ10" s="2">
        <v>-16761.507980690527</v>
      </c>
      <c r="AK10" s="2">
        <v>-12478.174830902866</v>
      </c>
      <c r="AL10" s="2">
        <v>-7336.4926313364431</v>
      </c>
      <c r="AM10" s="2">
        <v>-1671.0476725729568</v>
      </c>
      <c r="AN10" s="2">
        <v>3965.1095737748983</v>
      </c>
      <c r="AO10" s="2">
        <v>9165.2533822848418</v>
      </c>
      <c r="AP10" s="2">
        <v>13687.750523540861</v>
      </c>
      <c r="AQ10" s="2">
        <v>17435.104154522309</v>
      </c>
      <c r="AR10" s="2">
        <v>20530.824836058397</v>
      </c>
      <c r="AS10" s="2">
        <v>23151.968460752214</v>
      </c>
      <c r="AT10" s="2">
        <v>25549.627110381476</v>
      </c>
      <c r="AU10" s="2">
        <v>27937.179467834754</v>
      </c>
      <c r="AV10" s="2">
        <v>30460.711611106413</v>
      </c>
      <c r="AW10" s="2">
        <v>33188.189015109194</v>
      </c>
      <c r="AX10" s="2">
        <v>36087.973832247699</v>
      </c>
      <c r="AY10" s="2">
        <v>39076.101780133744</v>
      </c>
      <c r="AZ10" s="2">
        <v>42030.192287367099</v>
      </c>
      <c r="BA10" s="2">
        <v>44836.699670267823</v>
      </c>
      <c r="BB10" s="2">
        <v>47416.276407820944</v>
      </c>
      <c r="BC10" s="2">
        <v>49736.358884958405</v>
      </c>
      <c r="BD10" s="2">
        <v>51816.385081132285</v>
      </c>
      <c r="BE10" s="2">
        <v>53709.051233052072</v>
      </c>
      <c r="BF10" s="2">
        <v>55484.87356506483</v>
      </c>
      <c r="BG10" s="2">
        <v>57209.295976827227</v>
      </c>
      <c r="BH10" s="2">
        <v>58928.232007513114</v>
      </c>
      <c r="BI10" s="2">
        <v>60661.609506160486</v>
      </c>
      <c r="BJ10" s="2">
        <v>62403.329402888281</v>
      </c>
      <c r="BK10" s="2">
        <v>64129.960546964539</v>
      </c>
      <c r="BL10" s="2">
        <v>65809.995323485797</v>
      </c>
      <c r="BM10" s="2">
        <v>67414.384064592639</v>
      </c>
      <c r="BN10" s="2">
        <v>68923.60392589886</v>
      </c>
      <c r="BO10" s="2">
        <v>70330.860505480974</v>
      </c>
      <c r="BP10" s="2">
        <v>71641.885218515759</v>
      </c>
      <c r="BQ10" s="2">
        <v>72871.254378348734</v>
      </c>
      <c r="BR10" s="2">
        <v>74037.763238558458</v>
      </c>
      <c r="BS10" s="2">
        <v>75159.400878396365</v>
      </c>
      <c r="BT10" s="2">
        <v>76249.616396201949</v>
      </c>
      <c r="BU10" s="2">
        <v>77315.384520279084</v>
      </c>
      <c r="BV10" s="2">
        <v>78357.103937833832</v>
      </c>
      <c r="BW10" s="2">
        <v>79370.215946877695</v>
      </c>
      <c r="BX10" s="2">
        <v>80347.620732505544</v>
      </c>
      <c r="BY10" s="2">
        <v>81282.323086580625</v>
      </c>
      <c r="BZ10" s="2">
        <v>82169.512681903754</v>
      </c>
      <c r="CA10" s="2">
        <v>83007.691367618798</v>
      </c>
      <c r="CB10" s="2">
        <v>83798.762703552828</v>
      </c>
      <c r="CC10" s="2">
        <v>84547.211394713479</v>
      </c>
      <c r="CD10" s="2">
        <v>85258.804179284256</v>
      </c>
      <c r="CE10" s="2">
        <v>85939.19688210306</v>
      </c>
      <c r="CF10" s="2">
        <v>86592.841026369933</v>
      </c>
      <c r="CG10" s="2">
        <v>87222.400655216683</v>
      </c>
      <c r="CH10" s="2">
        <v>87828.718395573524</v>
      </c>
      <c r="CI10" s="2">
        <v>88411.238150921883</v>
      </c>
      <c r="CJ10" s="2">
        <v>88968.674655912924</v>
      </c>
      <c r="CK10" s="2">
        <v>89499.721952095832</v>
      </c>
      <c r="CL10" s="2">
        <v>90003.613255371107</v>
      </c>
      <c r="CM10" s="2">
        <v>90480.426592168951</v>
      </c>
      <c r="CN10" s="2">
        <v>90931.114554910833</v>
      </c>
      <c r="CO10" s="2">
        <v>91357.304537938136</v>
      </c>
      <c r="CP10" s="2">
        <v>91760.967024520534</v>
      </c>
      <c r="CQ10" s="2">
        <v>92144.057332363169</v>
      </c>
      <c r="CR10" s="2">
        <v>92508.224826075777</v>
      </c>
      <c r="CS10" s="2">
        <v>92854.647411832251</v>
      </c>
      <c r="CT10" s="2">
        <v>93184.007458283231</v>
      </c>
    </row>
    <row r="11" spans="2:98" x14ac:dyDescent="0.25">
      <c r="C11" s="2">
        <v>-40864</v>
      </c>
      <c r="D11" s="2">
        <v>35612</v>
      </c>
      <c r="E11" s="2">
        <v>-63624</v>
      </c>
      <c r="F11" s="2">
        <v>59856</v>
      </c>
      <c r="G11" s="2">
        <v>34253</v>
      </c>
      <c r="H11" s="2">
        <v>9821</v>
      </c>
      <c r="I11" s="2">
        <v>35900</v>
      </c>
      <c r="J11" s="2">
        <v>35457</v>
      </c>
      <c r="K11" s="2">
        <v>34392</v>
      </c>
      <c r="L11" s="2">
        <v>76599</v>
      </c>
      <c r="M11" s="2">
        <v>-12292</v>
      </c>
      <c r="N11" s="2">
        <v>-328539</v>
      </c>
      <c r="O11" s="2">
        <v>77822</v>
      </c>
      <c r="P11" s="2">
        <v>61188</v>
      </c>
      <c r="Q11" s="2">
        <v>56151</v>
      </c>
      <c r="R11" s="2">
        <v>115898</v>
      </c>
      <c r="S11" s="2">
        <v>33659</v>
      </c>
      <c r="T11" s="2">
        <v>-661</v>
      </c>
      <c r="U11" s="2">
        <v>47309</v>
      </c>
      <c r="V11">
        <v>110431</v>
      </c>
      <c r="W11">
        <v>137336</v>
      </c>
      <c r="X11">
        <v>57733</v>
      </c>
      <c r="Y11">
        <v>58664</v>
      </c>
      <c r="Z11">
        <v>-334462</v>
      </c>
      <c r="AA11">
        <v>34313</v>
      </c>
      <c r="AB11">
        <v>173139</v>
      </c>
      <c r="AC11">
        <v>-43196</v>
      </c>
      <c r="AD11">
        <v>129601</v>
      </c>
      <c r="AE11">
        <v>32140</v>
      </c>
      <c r="AF11">
        <v>48436</v>
      </c>
      <c r="AG11">
        <v>43820</v>
      </c>
      <c r="AH11">
        <v>121387</v>
      </c>
      <c r="AI11">
        <v>157213</v>
      </c>
      <c r="AJ11">
        <v>70852</v>
      </c>
      <c r="AK11">
        <v>99232</v>
      </c>
      <c r="AL11">
        <v>-307311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</row>
    <row r="13" spans="2:98" x14ac:dyDescent="0.25">
      <c r="B13" t="str">
        <f t="shared" ref="B13:C17" si="2">B5</f>
        <v>0% growth</v>
      </c>
      <c r="C13" s="2">
        <f t="shared" si="2"/>
        <v>-243895.53243511831</v>
      </c>
      <c r="D13" s="2">
        <f t="shared" ref="D13:AI13" si="3">D5+C13</f>
        <v>-360200.33739734662</v>
      </c>
      <c r="E13" s="2">
        <f t="shared" si="3"/>
        <v>-419259.58697420079</v>
      </c>
      <c r="F13" s="2">
        <f t="shared" si="3"/>
        <v>-387221.97334732558</v>
      </c>
      <c r="G13" s="2">
        <f t="shared" si="3"/>
        <v>-419672.09994925826</v>
      </c>
      <c r="H13" s="2">
        <f t="shared" si="3"/>
        <v>-291617.08973849867</v>
      </c>
      <c r="I13" s="2">
        <f t="shared" si="3"/>
        <v>-256128.40917827954</v>
      </c>
      <c r="J13" s="2">
        <f t="shared" si="3"/>
        <v>-279069.22907365242</v>
      </c>
      <c r="K13" s="2">
        <f t="shared" si="3"/>
        <v>-253405.06058867273</v>
      </c>
      <c r="L13" s="2">
        <f t="shared" si="3"/>
        <v>-476959.39832426666</v>
      </c>
      <c r="M13" s="2">
        <f t="shared" si="3"/>
        <v>-782147.87627912359</v>
      </c>
      <c r="N13" s="2">
        <f t="shared" si="3"/>
        <v>-1244051.9511981334</v>
      </c>
      <c r="O13" s="2">
        <f t="shared" si="3"/>
        <v>-1454184.421588354</v>
      </c>
      <c r="P13" s="2">
        <f t="shared" si="3"/>
        <v>-1514727.7298439941</v>
      </c>
      <c r="Q13" s="2">
        <f t="shared" si="3"/>
        <v>-1519590.4005004333</v>
      </c>
      <c r="R13" s="2">
        <f t="shared" si="3"/>
        <v>-1435056.0012054227</v>
      </c>
      <c r="S13" s="2">
        <f t="shared" si="3"/>
        <v>-1427419.9354702979</v>
      </c>
      <c r="T13" s="2">
        <f t="shared" si="3"/>
        <v>-1273141.2550420954</v>
      </c>
      <c r="U13" s="2">
        <f t="shared" si="3"/>
        <v>-1219957.3961850347</v>
      </c>
      <c r="V13" s="2">
        <f t="shared" si="3"/>
        <v>-1230756.0417389425</v>
      </c>
      <c r="W13" s="2">
        <f t="shared" si="3"/>
        <v>-1194070.6698698939</v>
      </c>
      <c r="X13" s="2">
        <f t="shared" si="3"/>
        <v>-1403031.0747619595</v>
      </c>
      <c r="Y13" s="2">
        <f t="shared" si="3"/>
        <v>-1687542.0552583123</v>
      </c>
      <c r="Z13" s="2">
        <f t="shared" si="3"/>
        <v>-2122370.5060001919</v>
      </c>
      <c r="AA13" s="2">
        <f t="shared" si="3"/>
        <v>-2300516.7974244221</v>
      </c>
      <c r="AB13" s="2">
        <f t="shared" si="3"/>
        <v>-2326587.9546215674</v>
      </c>
      <c r="AC13" s="2">
        <f t="shared" si="3"/>
        <v>-2296905.5072800508</v>
      </c>
      <c r="AD13" s="2">
        <f t="shared" si="3"/>
        <v>-2179512.834752406</v>
      </c>
      <c r="AE13" s="2">
        <f t="shared" si="3"/>
        <v>-2141605.6588796382</v>
      </c>
      <c r="AF13" s="2">
        <f t="shared" si="3"/>
        <v>-1959774.2828650335</v>
      </c>
      <c r="AG13" s="2">
        <f t="shared" si="3"/>
        <v>-1881351.0967100689</v>
      </c>
      <c r="AH13" s="2">
        <f t="shared" si="3"/>
        <v>-1868532.0863421119</v>
      </c>
      <c r="AI13" s="2">
        <f t="shared" si="3"/>
        <v>-1809078.1974780867</v>
      </c>
      <c r="AJ13" s="2">
        <f t="shared" ref="AJ13:BO13" si="4">AJ5+AI13</f>
        <v>-1995414.3402803224</v>
      </c>
      <c r="AK13" s="2">
        <f t="shared" si="4"/>
        <v>-2256908.8444206859</v>
      </c>
      <c r="AL13" s="2">
        <f t="shared" si="4"/>
        <v>-2668018.7620229567</v>
      </c>
      <c r="AM13" s="2">
        <f t="shared" si="4"/>
        <v>-2821682.3961584591</v>
      </c>
      <c r="AN13" s="2">
        <f t="shared" si="4"/>
        <v>-2822672.7525254283</v>
      </c>
      <c r="AO13" s="2">
        <f t="shared" si="4"/>
        <v>-2767640.3829505546</v>
      </c>
      <c r="AP13" s="2">
        <f t="shared" si="4"/>
        <v>-2625021.8453600709</v>
      </c>
      <c r="AQ13" s="2">
        <f t="shared" si="4"/>
        <v>-2562365.2625211454</v>
      </c>
      <c r="AR13" s="2">
        <f t="shared" si="4"/>
        <v>-2356491.948946401</v>
      </c>
      <c r="AS13" s="2">
        <f t="shared" si="4"/>
        <v>-2254808.0218156087</v>
      </c>
      <c r="AT13" s="2">
        <f t="shared" si="4"/>
        <v>-2219438.4853146109</v>
      </c>
      <c r="AU13" s="2">
        <f t="shared" si="4"/>
        <v>-2137977.5642177411</v>
      </c>
      <c r="AV13" s="2">
        <f t="shared" si="4"/>
        <v>-2302651.8481451985</v>
      </c>
      <c r="AW13" s="2">
        <f t="shared" si="4"/>
        <v>-2542657.3999709706</v>
      </c>
      <c r="AX13" s="2">
        <f t="shared" si="4"/>
        <v>-2932341.2465294376</v>
      </c>
      <c r="AY13" s="2">
        <f t="shared" si="4"/>
        <v>-3064603.7399282078</v>
      </c>
      <c r="AZ13" s="2">
        <f t="shared" si="4"/>
        <v>-3044239.7590423692</v>
      </c>
      <c r="BA13" s="2">
        <f t="shared" si="4"/>
        <v>-2967956.7976691364</v>
      </c>
      <c r="BB13" s="2">
        <f t="shared" si="4"/>
        <v>-2804256.630963454</v>
      </c>
      <c r="BC13" s="2">
        <f t="shared" si="4"/>
        <v>-2720740.1501049567</v>
      </c>
      <c r="BD13" s="2">
        <f t="shared" si="4"/>
        <v>-2494258.5661449945</v>
      </c>
      <c r="BE13" s="2">
        <f t="shared" si="4"/>
        <v>-2372225.2302539498</v>
      </c>
      <c r="BF13" s="2">
        <f t="shared" si="4"/>
        <v>-2316757.885585147</v>
      </c>
      <c r="BG13" s="2">
        <f t="shared" si="4"/>
        <v>-2215440.7355273324</v>
      </c>
      <c r="BH13" s="2">
        <f t="shared" si="4"/>
        <v>-2360498.1326250858</v>
      </c>
      <c r="BI13" s="2">
        <f t="shared" si="4"/>
        <v>-2581137.1407642243</v>
      </c>
      <c r="BJ13" s="2">
        <f t="shared" si="4"/>
        <v>-2951727.2877197838</v>
      </c>
      <c r="BK13" s="2">
        <f t="shared" si="4"/>
        <v>-3065194.2028883924</v>
      </c>
      <c r="BL13" s="2">
        <f t="shared" si="4"/>
        <v>-3026347.577165985</v>
      </c>
      <c r="BM13" s="2">
        <f t="shared" si="4"/>
        <v>-2931885.6066166344</v>
      </c>
      <c r="BN13" s="2">
        <f t="shared" si="4"/>
        <v>-2750267.3128914735</v>
      </c>
      <c r="BO13" s="2">
        <f t="shared" si="4"/>
        <v>-2649016.3999982686</v>
      </c>
      <c r="BP13" s="2">
        <f t="shared" ref="BP13:CT13" si="5">BP5+BO13</f>
        <v>-2404882.3084983607</v>
      </c>
      <c r="BQ13" s="2">
        <f t="shared" si="5"/>
        <v>-2265172.9654641342</v>
      </c>
      <c r="BR13" s="2">
        <f t="shared" si="5"/>
        <v>-2191926.6873021941</v>
      </c>
      <c r="BS13" s="2">
        <f t="shared" si="5"/>
        <v>-2072707.325342681</v>
      </c>
      <c r="BT13" s="2">
        <f t="shared" si="5"/>
        <v>-2199805.967056185</v>
      </c>
      <c r="BU13" s="2">
        <f t="shared" si="5"/>
        <v>-2402595.2114466676</v>
      </c>
      <c r="BV13" s="2">
        <f t="shared" si="5"/>
        <v>-2755693.3837552629</v>
      </c>
      <c r="BW13" s="2">
        <f t="shared" si="5"/>
        <v>-2852309.6116708219</v>
      </c>
      <c r="BX13" s="2">
        <f t="shared" si="5"/>
        <v>-2797493.1153850225</v>
      </c>
      <c r="BY13" s="2">
        <f t="shared" si="5"/>
        <v>-2688043.4866793971</v>
      </c>
      <c r="BZ13" s="2">
        <f t="shared" si="5"/>
        <v>-2492301.5696127289</v>
      </c>
      <c r="CA13" s="2">
        <f t="shared" si="5"/>
        <v>-2377420.9428266296</v>
      </c>
      <c r="CB13" s="2">
        <f t="shared" si="5"/>
        <v>-2119577.115163323</v>
      </c>
      <c r="CC13" s="2">
        <f t="shared" si="5"/>
        <v>-1965431.5750248404</v>
      </c>
      <c r="CD13" s="2">
        <f t="shared" si="5"/>
        <v>-1876491.120716902</v>
      </c>
      <c r="CE13" s="2">
        <f t="shared" si="5"/>
        <v>-1740086.7612805185</v>
      </c>
      <c r="CF13" s="2">
        <f t="shared" si="5"/>
        <v>-1848692.4203934188</v>
      </c>
      <c r="CG13" s="2">
        <f t="shared" si="5"/>
        <v>-2032359.7608522917</v>
      </c>
      <c r="CH13" s="2">
        <f t="shared" si="5"/>
        <v>-2366721.241359198</v>
      </c>
      <c r="CI13" s="2">
        <f t="shared" si="5"/>
        <v>-2446007.554709164</v>
      </c>
      <c r="CJ13" s="2">
        <f t="shared" si="5"/>
        <v>-2376634.3932956848</v>
      </c>
      <c r="CK13" s="2">
        <f t="shared" si="5"/>
        <v>-2255939.7064245157</v>
      </c>
      <c r="CL13" s="2">
        <f t="shared" si="5"/>
        <v>-2051685.1784231602</v>
      </c>
      <c r="CM13" s="2">
        <f t="shared" si="5"/>
        <v>-1932151.0783559312</v>
      </c>
      <c r="CN13" s="2">
        <f t="shared" si="5"/>
        <v>-1669076.9432891267</v>
      </c>
      <c r="CO13" s="2">
        <f t="shared" si="5"/>
        <v>-1510717.0985670723</v>
      </c>
      <c r="CP13" s="2">
        <f t="shared" si="5"/>
        <v>-1421001.0592209306</v>
      </c>
      <c r="CQ13" s="2">
        <f t="shared" si="5"/>
        <v>-1246774.8566461077</v>
      </c>
      <c r="CR13" s="2">
        <f t="shared" si="5"/>
        <v>-1371972.7515152365</v>
      </c>
      <c r="CS13" s="2">
        <f t="shared" si="5"/>
        <v>-1558154.5465304181</v>
      </c>
      <c r="CT13" s="3">
        <f t="shared" si="5"/>
        <v>-1682770.8133217331</v>
      </c>
    </row>
    <row r="14" spans="2:98" x14ac:dyDescent="0.25">
      <c r="B14" t="str">
        <f t="shared" si="2"/>
        <v>2% growth</v>
      </c>
      <c r="C14" s="2">
        <f t="shared" si="2"/>
        <v>-211072.76771537063</v>
      </c>
      <c r="D14" s="2">
        <f t="shared" ref="D14:AI14" si="6">D6+C14</f>
        <v>-306159.4702204396</v>
      </c>
      <c r="E14" s="2">
        <f t="shared" si="6"/>
        <v>-353439.10630622163</v>
      </c>
      <c r="F14" s="2">
        <f t="shared" si="6"/>
        <v>-302878.5371278493</v>
      </c>
      <c r="G14" s="2">
        <f t="shared" si="6"/>
        <v>-322210.55293649453</v>
      </c>
      <c r="H14" s="2">
        <f t="shared" si="6"/>
        <v>-179996.11837325987</v>
      </c>
      <c r="I14" s="2">
        <f t="shared" si="6"/>
        <v>-132161.29422336005</v>
      </c>
      <c r="J14" s="2">
        <f t="shared" si="6"/>
        <v>-143434.06028172607</v>
      </c>
      <c r="K14" s="2">
        <f t="shared" si="6"/>
        <v>-95172.184109507216</v>
      </c>
      <c r="L14" s="2">
        <f t="shared" si="6"/>
        <v>-325092.81597119407</v>
      </c>
      <c r="M14" s="2">
        <f t="shared" si="6"/>
        <v>-605292.33429678797</v>
      </c>
      <c r="N14" s="2">
        <f t="shared" si="6"/>
        <v>-1016682.3562217109</v>
      </c>
      <c r="O14" s="2">
        <f t="shared" si="6"/>
        <v>-1179678.2691760634</v>
      </c>
      <c r="P14" s="2">
        <f t="shared" si="6"/>
        <v>-1196879.2114132307</v>
      </c>
      <c r="Q14" s="2">
        <f t="shared" si="6"/>
        <v>-1171852.8177872961</v>
      </c>
      <c r="R14" s="2">
        <f t="shared" si="6"/>
        <v>-1055847.8111418455</v>
      </c>
      <c r="S14" s="2">
        <f t="shared" si="6"/>
        <v>-1023113.137741197</v>
      </c>
      <c r="T14" s="2">
        <f t="shared" si="6"/>
        <v>-843525.3749416233</v>
      </c>
      <c r="U14" s="2">
        <f t="shared" si="6"/>
        <v>-766536.92295213626</v>
      </c>
      <c r="V14" s="2">
        <f t="shared" si="6"/>
        <v>-753167.98990852223</v>
      </c>
      <c r="W14" s="2">
        <f t="shared" si="6"/>
        <v>-680287.1381552869</v>
      </c>
      <c r="X14" s="2">
        <f t="shared" si="6"/>
        <v>-881018.52573971264</v>
      </c>
      <c r="Y14" s="2">
        <f t="shared" si="6"/>
        <v>-1125493.9288136528</v>
      </c>
      <c r="Z14" s="2">
        <f t="shared" si="6"/>
        <v>-1494903.9502850089</v>
      </c>
      <c r="AA14" s="2">
        <f t="shared" si="6"/>
        <v>-1611655.4048702761</v>
      </c>
      <c r="AB14" s="2">
        <f t="shared" si="6"/>
        <v>-1581113.0705172231</v>
      </c>
      <c r="AC14" s="2">
        <f t="shared" si="6"/>
        <v>-1509374.8960702152</v>
      </c>
      <c r="AD14" s="2">
        <f t="shared" si="6"/>
        <v>-1349369.1533051257</v>
      </c>
      <c r="AE14" s="2">
        <f t="shared" si="6"/>
        <v>-1276041.8403449638</v>
      </c>
      <c r="AF14" s="2">
        <f t="shared" si="6"/>
        <v>-1059148.7256742613</v>
      </c>
      <c r="AG14" s="2">
        <f t="shared" si="6"/>
        <v>-947502.04306851036</v>
      </c>
      <c r="AH14" s="2">
        <f t="shared" si="6"/>
        <v>-901256.29022258869</v>
      </c>
      <c r="AI14" s="2">
        <f t="shared" si="6"/>
        <v>-796415.95219207904</v>
      </c>
      <c r="AJ14" s="2">
        <f t="shared" ref="AJ14:BO14" si="7">AJ6+AI14</f>
        <v>-965390.57540130219</v>
      </c>
      <c r="AK14" s="2">
        <f t="shared" si="7"/>
        <v>-1177830.546772918</v>
      </c>
      <c r="AL14" s="2">
        <f t="shared" si="7"/>
        <v>-1514710.0066158036</v>
      </c>
      <c r="AM14" s="2">
        <f t="shared" si="7"/>
        <v>-1598476.7213504431</v>
      </c>
      <c r="AN14" s="2">
        <f t="shared" si="7"/>
        <v>-1534749.0726915863</v>
      </c>
      <c r="AO14" s="2">
        <f t="shared" si="7"/>
        <v>-1430009.1391247779</v>
      </c>
      <c r="AP14" s="2">
        <f t="shared" si="7"/>
        <v>-1237594.1537434538</v>
      </c>
      <c r="AQ14" s="2">
        <f t="shared" si="7"/>
        <v>-1132782.406695772</v>
      </c>
      <c r="AR14" s="2">
        <f t="shared" si="7"/>
        <v>-885515.7496553387</v>
      </c>
      <c r="AS14" s="2">
        <f t="shared" si="7"/>
        <v>-744625.0491001507</v>
      </c>
      <c r="AT14" s="2">
        <f t="shared" si="7"/>
        <v>-670142.540298015</v>
      </c>
      <c r="AU14" s="2">
        <f t="shared" si="7"/>
        <v>-537868.53007350815</v>
      </c>
      <c r="AV14" s="2">
        <f t="shared" si="7"/>
        <v>-679995.02445364022</v>
      </c>
      <c r="AW14" s="2">
        <f t="shared" si="7"/>
        <v>-865998.15246414044</v>
      </c>
      <c r="AX14" s="2">
        <f t="shared" si="7"/>
        <v>-1176752.3873482626</v>
      </c>
      <c r="AY14" s="2">
        <f t="shared" si="7"/>
        <v>-1234683.714101525</v>
      </c>
      <c r="AZ14" s="2">
        <f t="shared" si="7"/>
        <v>-1145448.2784299385</v>
      </c>
      <c r="BA14" s="2">
        <f t="shared" si="7"/>
        <v>-1015596.5079057564</v>
      </c>
      <c r="BB14" s="2">
        <f t="shared" si="7"/>
        <v>-798535.99082355492</v>
      </c>
      <c r="BC14" s="2">
        <f t="shared" si="7"/>
        <v>-669597.00269991939</v>
      </c>
      <c r="BD14" s="2">
        <f t="shared" si="7"/>
        <v>-398746.25561058393</v>
      </c>
      <c r="BE14" s="2">
        <f t="shared" si="7"/>
        <v>-234814.57978302997</v>
      </c>
      <c r="BF14" s="2">
        <f t="shared" si="7"/>
        <v>-137819.02191886675</v>
      </c>
      <c r="BG14" s="2">
        <f t="shared" si="7"/>
        <v>16457.997481793398</v>
      </c>
      <c r="BH14" s="2">
        <f t="shared" si="7"/>
        <v>-104165.35879362618</v>
      </c>
      <c r="BI14" s="2">
        <f t="shared" si="7"/>
        <v>-269167.58158842759</v>
      </c>
      <c r="BJ14" s="2">
        <f t="shared" si="7"/>
        <v>-559435.64929084526</v>
      </c>
      <c r="BK14" s="2">
        <f t="shared" si="7"/>
        <v>-597409.31388604932</v>
      </c>
      <c r="BL14" s="2">
        <f t="shared" si="7"/>
        <v>-488747.20817534794</v>
      </c>
      <c r="BM14" s="2">
        <f t="shared" si="7"/>
        <v>-339979.02731460123</v>
      </c>
      <c r="BN14" s="2">
        <f t="shared" si="7"/>
        <v>-104461.64232626537</v>
      </c>
      <c r="BO14" s="2">
        <f t="shared" si="7"/>
        <v>42553.348991371051</v>
      </c>
      <c r="BP14" s="2">
        <f t="shared" ref="BP14:CT14" si="8">BP6+BO14</f>
        <v>331193.43841127941</v>
      </c>
      <c r="BQ14" s="2">
        <f t="shared" si="8"/>
        <v>512715.62813978351</v>
      </c>
      <c r="BR14" s="2">
        <f t="shared" si="8"/>
        <v>627156.65872711269</v>
      </c>
      <c r="BS14" s="2">
        <f t="shared" si="8"/>
        <v>798726.61612830637</v>
      </c>
      <c r="BT14" s="2">
        <f t="shared" si="8"/>
        <v>695156.33204128908</v>
      </c>
      <c r="BU14" s="2">
        <f t="shared" si="8"/>
        <v>546799.36316835263</v>
      </c>
      <c r="BV14" s="2">
        <f t="shared" si="8"/>
        <v>272544.4348993788</v>
      </c>
      <c r="BW14" s="2">
        <f t="shared" si="8"/>
        <v>249722.02109570461</v>
      </c>
      <c r="BX14" s="2">
        <f t="shared" si="8"/>
        <v>372509.48688905337</v>
      </c>
      <c r="BY14" s="2">
        <f t="shared" si="8"/>
        <v>534355.09891891165</v>
      </c>
      <c r="BZ14" s="2">
        <f t="shared" si="8"/>
        <v>782078.88505458704</v>
      </c>
      <c r="CA14" s="2">
        <f t="shared" si="8"/>
        <v>940814.15709064575</v>
      </c>
      <c r="CB14" s="2">
        <f t="shared" si="8"/>
        <v>1241221.7874603039</v>
      </c>
      <c r="CC14" s="2">
        <f t="shared" si="8"/>
        <v>1435112.9127924917</v>
      </c>
      <c r="CD14" s="2">
        <f t="shared" si="8"/>
        <v>1562933.7150207662</v>
      </c>
      <c r="CE14" s="2">
        <f t="shared" si="8"/>
        <v>1748999.6296442666</v>
      </c>
      <c r="CF14" s="2">
        <f t="shared" si="8"/>
        <v>1660755.3127735781</v>
      </c>
      <c r="CG14" s="2">
        <f t="shared" si="8"/>
        <v>1527839.0211348869</v>
      </c>
      <c r="CH14" s="2">
        <f t="shared" si="8"/>
        <v>1268138.1599924229</v>
      </c>
      <c r="CI14" s="2">
        <f t="shared" si="8"/>
        <v>1258012.0248644811</v>
      </c>
      <c r="CJ14" s="2">
        <f t="shared" si="8"/>
        <v>1390605.2722840756</v>
      </c>
      <c r="CK14" s="2">
        <f t="shared" si="8"/>
        <v>1558898.1957443114</v>
      </c>
      <c r="CL14" s="2">
        <f t="shared" si="8"/>
        <v>1810590.2639281077</v>
      </c>
      <c r="CM14" s="2">
        <f t="shared" si="8"/>
        <v>1970482.5244918584</v>
      </c>
      <c r="CN14" s="2">
        <f t="shared" si="8"/>
        <v>2272399.983609484</v>
      </c>
      <c r="CO14" s="2">
        <f t="shared" si="8"/>
        <v>2469461.7284514545</v>
      </c>
      <c r="CP14" s="2">
        <f t="shared" si="8"/>
        <v>2598315.7635916248</v>
      </c>
      <c r="CQ14" s="2">
        <f t="shared" si="8"/>
        <v>2810502.8252281332</v>
      </c>
      <c r="CR14" s="2">
        <f t="shared" si="8"/>
        <v>2727184.7759748171</v>
      </c>
      <c r="CS14" s="2">
        <f t="shared" si="8"/>
        <v>2578561.7971121897</v>
      </c>
      <c r="CT14" s="3">
        <f t="shared" si="8"/>
        <v>2482252.8017026265</v>
      </c>
    </row>
    <row r="15" spans="2:98" x14ac:dyDescent="0.25">
      <c r="B15" t="str">
        <f t="shared" si="2"/>
        <v>4% growth</v>
      </c>
      <c r="C15" s="2">
        <f t="shared" si="2"/>
        <v>-178887.3786827513</v>
      </c>
      <c r="D15" s="2">
        <f t="shared" ref="D15:AI15" si="9">D7+C15</f>
        <v>-253168.00686871272</v>
      </c>
      <c r="E15" s="2">
        <f t="shared" si="9"/>
        <v>-288896.77433933679</v>
      </c>
      <c r="F15" s="2">
        <f t="shared" si="9"/>
        <v>-220172.94147647137</v>
      </c>
      <c r="G15" s="2">
        <f t="shared" si="9"/>
        <v>-226641.58325614774</v>
      </c>
      <c r="H15" s="2">
        <f t="shared" si="9"/>
        <v>-70542.682068802911</v>
      </c>
      <c r="I15" s="2">
        <f t="shared" si="9"/>
        <v>-10601.46048775113</v>
      </c>
      <c r="J15" s="2">
        <f t="shared" si="9"/>
        <v>-10432.751240666454</v>
      </c>
      <c r="K15" s="2">
        <f t="shared" si="9"/>
        <v>59988.014329483478</v>
      </c>
      <c r="L15" s="2">
        <f t="shared" si="9"/>
        <v>-176175.28645098279</v>
      </c>
      <c r="M15" s="2">
        <f t="shared" si="9"/>
        <v>-431871.09846007713</v>
      </c>
      <c r="N15" s="2">
        <f t="shared" si="9"/>
        <v>-793727.98504095385</v>
      </c>
      <c r="O15" s="2">
        <f t="shared" si="9"/>
        <v>-910502.67160912487</v>
      </c>
      <c r="P15" s="2">
        <f t="shared" si="9"/>
        <v>-885202.90058189596</v>
      </c>
      <c r="Q15" s="2">
        <f t="shared" si="9"/>
        <v>-830867.84968826966</v>
      </c>
      <c r="R15" s="2">
        <f t="shared" si="9"/>
        <v>-684003.35423024744</v>
      </c>
      <c r="S15" s="2">
        <f t="shared" si="9"/>
        <v>-626657.45570004894</v>
      </c>
      <c r="T15" s="2">
        <f t="shared" si="9"/>
        <v>-422252.08021195338</v>
      </c>
      <c r="U15" s="2">
        <f t="shared" si="9"/>
        <v>-321921.28953551821</v>
      </c>
      <c r="V15" s="2">
        <f t="shared" si="9"/>
        <v>-284854.08104865177</v>
      </c>
      <c r="W15" s="2">
        <f t="shared" si="9"/>
        <v>-176480.61886964078</v>
      </c>
      <c r="X15" s="2">
        <f t="shared" si="9"/>
        <v>-369142.78603147384</v>
      </c>
      <c r="Y15" s="2">
        <f t="shared" si="9"/>
        <v>-574360.05087458272</v>
      </c>
      <c r="Z15" s="2">
        <f t="shared" si="9"/>
        <v>-879621.98445778119</v>
      </c>
      <c r="AA15" s="2">
        <f t="shared" si="9"/>
        <v>-936170.81061950955</v>
      </c>
      <c r="AB15" s="2">
        <f t="shared" si="9"/>
        <v>-850114.3455831944</v>
      </c>
      <c r="AC15" s="2">
        <f t="shared" si="9"/>
        <v>-737137.11191929039</v>
      </c>
      <c r="AD15" s="2">
        <f t="shared" si="9"/>
        <v>-535345.78968894226</v>
      </c>
      <c r="AE15" s="2">
        <f t="shared" si="9"/>
        <v>-427286.15294434864</v>
      </c>
      <c r="AF15" s="2">
        <f t="shared" si="9"/>
        <v>-176012.15328599024</v>
      </c>
      <c r="AG15" s="2">
        <f t="shared" si="9"/>
        <v>-31787.131609092408</v>
      </c>
      <c r="AH15" s="2">
        <f t="shared" si="9"/>
        <v>47236.259559880011</v>
      </c>
      <c r="AI15" s="2">
        <f t="shared" si="9"/>
        <v>196581.70054881382</v>
      </c>
      <c r="AJ15" s="2">
        <f t="shared" ref="AJ15:BO15" si="10">AJ7+AI15</f>
        <v>44631.45865145381</v>
      </c>
      <c r="AK15" s="2">
        <f t="shared" si="10"/>
        <v>-119706.55560423326</v>
      </c>
      <c r="AL15" s="2">
        <f t="shared" si="10"/>
        <v>-383797.01727909374</v>
      </c>
      <c r="AM15" s="2">
        <f t="shared" si="10"/>
        <v>-399024.12048780604</v>
      </c>
      <c r="AN15" s="2">
        <f t="shared" si="10"/>
        <v>-271835.20685153536</v>
      </c>
      <c r="AO15" s="2">
        <f t="shared" si="10"/>
        <v>-118352.96596831435</v>
      </c>
      <c r="AP15" s="2">
        <f t="shared" si="10"/>
        <v>122891.4845197821</v>
      </c>
      <c r="AQ15" s="2">
        <f t="shared" si="10"/>
        <v>269039.79694754246</v>
      </c>
      <c r="AR15" s="2">
        <f t="shared" si="10"/>
        <v>556895.99219962093</v>
      </c>
      <c r="AS15" s="2">
        <f t="shared" si="10"/>
        <v>736232.12129053217</v>
      </c>
      <c r="AT15" s="2">
        <f t="shared" si="10"/>
        <v>849068.07900176547</v>
      </c>
      <c r="AU15" s="2">
        <f t="shared" si="10"/>
        <v>1031168.4538084797</v>
      </c>
      <c r="AV15" s="2">
        <f t="shared" si="10"/>
        <v>911151.90003215254</v>
      </c>
      <c r="AW15" s="2">
        <f t="shared" si="10"/>
        <v>778102.53853216197</v>
      </c>
      <c r="AX15" s="2">
        <f t="shared" si="10"/>
        <v>544745.20423283242</v>
      </c>
      <c r="AY15" s="2">
        <f t="shared" si="10"/>
        <v>559701.62889725482</v>
      </c>
      <c r="AZ15" s="2">
        <f t="shared" si="10"/>
        <v>716471.12467768148</v>
      </c>
      <c r="BA15" s="2">
        <f t="shared" si="10"/>
        <v>898851.46728464495</v>
      </c>
      <c r="BB15" s="2">
        <f t="shared" si="10"/>
        <v>1168236.1456752892</v>
      </c>
      <c r="BC15" s="2">
        <f t="shared" si="10"/>
        <v>1341715.5946543107</v>
      </c>
      <c r="BD15" s="2">
        <f t="shared" si="10"/>
        <v>1656073.9130455682</v>
      </c>
      <c r="BE15" s="2">
        <f t="shared" si="10"/>
        <v>1861090.3171765292</v>
      </c>
      <c r="BF15" s="2">
        <f t="shared" si="10"/>
        <v>1998807.6639860971</v>
      </c>
      <c r="BG15" s="2">
        <f t="shared" si="10"/>
        <v>2205016.1404858194</v>
      </c>
      <c r="BH15" s="2">
        <f t="shared" si="10"/>
        <v>2108352.3475263007</v>
      </c>
      <c r="BI15" s="2">
        <f t="shared" si="10"/>
        <v>1997906.5155816113</v>
      </c>
      <c r="BJ15" s="2">
        <f t="shared" si="10"/>
        <v>1786400.7761213323</v>
      </c>
      <c r="BK15" s="2">
        <f t="shared" si="10"/>
        <v>1822454.3807031261</v>
      </c>
      <c r="BL15" s="2">
        <f t="shared" si="10"/>
        <v>1999576.239975366</v>
      </c>
      <c r="BM15" s="2">
        <f t="shared" si="10"/>
        <v>2201596.0747014536</v>
      </c>
      <c r="BN15" s="2">
        <f t="shared" si="10"/>
        <v>2489965.9002328687</v>
      </c>
      <c r="BO15" s="2">
        <f t="shared" si="10"/>
        <v>2681856.290694546</v>
      </c>
      <c r="BP15" s="2">
        <f t="shared" ref="BP15:CT15" si="11">BP7+BO15</f>
        <v>3014138.1290521463</v>
      </c>
      <c r="BQ15" s="2">
        <f t="shared" si="11"/>
        <v>3236661.2140101413</v>
      </c>
      <c r="BR15" s="2">
        <f t="shared" si="11"/>
        <v>3391497.0481502581</v>
      </c>
      <c r="BS15" s="2">
        <f t="shared" si="11"/>
        <v>3614401.0200613886</v>
      </c>
      <c r="BT15" s="2">
        <f t="shared" si="11"/>
        <v>3533902.2032920364</v>
      </c>
      <c r="BU15" s="2">
        <f t="shared" si="11"/>
        <v>3438920.5054671508</v>
      </c>
      <c r="BV15" s="2">
        <f t="shared" si="11"/>
        <v>3241977.7872961345</v>
      </c>
      <c r="BW15" s="2">
        <f t="shared" si="11"/>
        <v>3291516.2070685197</v>
      </c>
      <c r="BX15" s="2">
        <f t="shared" si="11"/>
        <v>3480954.7339532753</v>
      </c>
      <c r="BY15" s="2">
        <f t="shared" si="11"/>
        <v>3694178.8670015791</v>
      </c>
      <c r="BZ15" s="2">
        <f t="shared" si="11"/>
        <v>3992875.1014643172</v>
      </c>
      <c r="CA15" s="2">
        <f t="shared" si="11"/>
        <v>4194613.4181953967</v>
      </c>
      <c r="CB15" s="2">
        <f t="shared" si="11"/>
        <v>4536758.3172110254</v>
      </c>
      <c r="CC15" s="2">
        <f t="shared" si="11"/>
        <v>4769623.2198197776</v>
      </c>
      <c r="CD15" s="2">
        <f t="shared" si="11"/>
        <v>4935569.3638412962</v>
      </c>
      <c r="CE15" s="2">
        <f t="shared" si="11"/>
        <v>5170332.4704079423</v>
      </c>
      <c r="CF15" s="2">
        <f t="shared" si="11"/>
        <v>5102054.1048179399</v>
      </c>
      <c r="CG15" s="2">
        <f t="shared" si="11"/>
        <v>5018903.3421966219</v>
      </c>
      <c r="CH15" s="2">
        <f t="shared" si="11"/>
        <v>4832413.2876445958</v>
      </c>
      <c r="CI15" s="2">
        <f t="shared" si="11"/>
        <v>4890104.3294256395</v>
      </c>
      <c r="CJ15" s="2">
        <f t="shared" si="11"/>
        <v>5084690.0104551381</v>
      </c>
      <c r="CK15" s="2">
        <f t="shared" si="11"/>
        <v>5299656.8742420422</v>
      </c>
      <c r="CL15" s="2">
        <f t="shared" si="11"/>
        <v>5597865.306862494</v>
      </c>
      <c r="CM15" s="2">
        <f t="shared" si="11"/>
        <v>5797332.0245846314</v>
      </c>
      <c r="CN15" s="2">
        <f t="shared" si="11"/>
        <v>6137338.5205817008</v>
      </c>
      <c r="CO15" s="2">
        <f t="shared" si="11"/>
        <v>6372350.6246422427</v>
      </c>
      <c r="CP15" s="2">
        <f t="shared" si="11"/>
        <v>6539582.6462604972</v>
      </c>
      <c r="CQ15" s="2">
        <f t="shared" si="11"/>
        <v>6788993.4161173468</v>
      </c>
      <c r="CR15" s="2">
        <f t="shared" si="11"/>
        <v>6746741.9599825563</v>
      </c>
      <c r="CS15" s="2">
        <f t="shared" si="11"/>
        <v>6634948.4535850342</v>
      </c>
      <c r="CT15" s="3">
        <f t="shared" si="11"/>
        <v>6566397.0389171531</v>
      </c>
    </row>
    <row r="16" spans="2:98" x14ac:dyDescent="0.25">
      <c r="B16" t="str">
        <f t="shared" si="2"/>
        <v>6% growth</v>
      </c>
      <c r="C16" s="2">
        <f t="shared" si="2"/>
        <v>-147315.08211281113</v>
      </c>
      <c r="D16" s="2">
        <f t="shared" ref="D16:AI16" si="12">D8+C16</f>
        <v>-201185.96635585089</v>
      </c>
      <c r="E16" s="2">
        <f t="shared" si="12"/>
        <v>-225583.89519070223</v>
      </c>
      <c r="F16" s="2">
        <f t="shared" si="12"/>
        <v>-139042.78669560328</v>
      </c>
      <c r="G16" s="2">
        <f t="shared" si="12"/>
        <v>-132893.08605533649</v>
      </c>
      <c r="H16" s="2">
        <f t="shared" si="12"/>
        <v>36825.799576737772</v>
      </c>
      <c r="I16" s="2">
        <f t="shared" si="12"/>
        <v>108642.80646218699</v>
      </c>
      <c r="J16" s="2">
        <f t="shared" si="12"/>
        <v>120035.04484465791</v>
      </c>
      <c r="K16" s="2">
        <f t="shared" si="12"/>
        <v>212192.59995688722</v>
      </c>
      <c r="L16" s="2">
        <f t="shared" si="12"/>
        <v>-30094.454502364795</v>
      </c>
      <c r="M16" s="2">
        <f t="shared" si="12"/>
        <v>-261753.32595737197</v>
      </c>
      <c r="N16" s="2">
        <f t="shared" si="12"/>
        <v>-575020.62309639808</v>
      </c>
      <c r="O16" s="2">
        <f t="shared" si="12"/>
        <v>-646454.5413484897</v>
      </c>
      <c r="P16" s="2">
        <f t="shared" si="12"/>
        <v>-579463.64388318756</v>
      </c>
      <c r="Q16" s="2">
        <f t="shared" si="12"/>
        <v>-496378.22994798113</v>
      </c>
      <c r="R16" s="2">
        <f t="shared" si="12"/>
        <v>-319242.08135568013</v>
      </c>
      <c r="S16" s="2">
        <f t="shared" si="12"/>
        <v>-237753.77156078583</v>
      </c>
      <c r="T16" s="2">
        <f t="shared" si="12"/>
        <v>-9003.528680662741</v>
      </c>
      <c r="U16" s="2">
        <f t="shared" si="12"/>
        <v>114224.95755922841</v>
      </c>
      <c r="V16" s="2">
        <f t="shared" si="12"/>
        <v>174539.01820414091</v>
      </c>
      <c r="W16" s="2">
        <f t="shared" si="12"/>
        <v>317728.99980655417</v>
      </c>
      <c r="X16" s="2">
        <f t="shared" si="12"/>
        <v>132982.34424571853</v>
      </c>
      <c r="Y16" s="2">
        <f t="shared" si="12"/>
        <v>-33724.602087605424</v>
      </c>
      <c r="Z16" s="2">
        <f t="shared" si="12"/>
        <v>-276060.39073134359</v>
      </c>
      <c r="AA16" s="2">
        <f t="shared" si="12"/>
        <v>-273553.37522058119</v>
      </c>
      <c r="AB16" s="2">
        <f t="shared" si="12"/>
        <v>-133040.25608019298</v>
      </c>
      <c r="AC16" s="2">
        <f t="shared" si="12"/>
        <v>20390.482947328128</v>
      </c>
      <c r="AD16" s="2">
        <f t="shared" si="12"/>
        <v>263171.42024452839</v>
      </c>
      <c r="AE16" s="2">
        <f t="shared" si="12"/>
        <v>405301.77230574936</v>
      </c>
      <c r="AF16" s="2">
        <f t="shared" si="12"/>
        <v>690301.74296502257</v>
      </c>
      <c r="AG16" s="2">
        <f t="shared" si="12"/>
        <v>866484.5260307258</v>
      </c>
      <c r="AH16" s="2">
        <f t="shared" si="12"/>
        <v>977661.1814323843</v>
      </c>
      <c r="AI16" s="2">
        <f t="shared" si="12"/>
        <v>1170663.9573708822</v>
      </c>
      <c r="AJ16" s="2">
        <f t="shared" ref="AJ16:BO16" si="13">AJ8+AI16</f>
        <v>1035413.8030552862</v>
      </c>
      <c r="AK16" s="2">
        <f t="shared" si="13"/>
        <v>918261.46221555467</v>
      </c>
      <c r="AL16" s="2">
        <f t="shared" si="13"/>
        <v>725573.45694290323</v>
      </c>
      <c r="AM16" s="2">
        <f t="shared" si="13"/>
        <v>777580.36913453147</v>
      </c>
      <c r="AN16" s="2">
        <f t="shared" si="13"/>
        <v>967021.68793949042</v>
      </c>
      <c r="AO16" s="2">
        <f t="shared" si="13"/>
        <v>1168317.7545477101</v>
      </c>
      <c r="AP16" s="2">
        <f t="shared" si="13"/>
        <v>1457461.5283014078</v>
      </c>
      <c r="AQ16" s="2">
        <f t="shared" si="13"/>
        <v>1644158.994882311</v>
      </c>
      <c r="AR16" s="2">
        <f t="shared" si="13"/>
        <v>1971831.5470768581</v>
      </c>
      <c r="AS16" s="2">
        <f t="shared" si="13"/>
        <v>2188880.7661123443</v>
      </c>
      <c r="AT16" s="2">
        <f t="shared" si="13"/>
        <v>2339339.5862413929</v>
      </c>
      <c r="AU16" s="2">
        <f t="shared" si="13"/>
        <v>2570317.1940682544</v>
      </c>
      <c r="AV16" s="2">
        <f t="shared" si="13"/>
        <v>2471989.4134547939</v>
      </c>
      <c r="AW16" s="2">
        <f t="shared" si="13"/>
        <v>2390885.1137053627</v>
      </c>
      <c r="AX16" s="2">
        <f t="shared" si="13"/>
        <v>2233450.3632959072</v>
      </c>
      <c r="AY16" s="2">
        <f t="shared" si="13"/>
        <v>2319906.1164830634</v>
      </c>
      <c r="AZ16" s="2">
        <f t="shared" si="13"/>
        <v>2542923.2307765842</v>
      </c>
      <c r="BA16" s="2">
        <f t="shared" si="13"/>
        <v>2776831.5401423853</v>
      </c>
      <c r="BB16" s="2">
        <f t="shared" si="13"/>
        <v>3097543.6682938291</v>
      </c>
      <c r="BC16" s="2">
        <f t="shared" si="13"/>
        <v>3314715.1365945013</v>
      </c>
      <c r="BD16" s="2">
        <f t="shared" si="13"/>
        <v>3671752.2600419894</v>
      </c>
      <c r="BE16" s="2">
        <f t="shared" si="13"/>
        <v>3917070.7784390221</v>
      </c>
      <c r="BF16" s="2">
        <f t="shared" si="13"/>
        <v>4094734.2137094075</v>
      </c>
      <c r="BG16" s="2">
        <f t="shared" si="13"/>
        <v>4351884.9162974646</v>
      </c>
      <c r="BH16" s="2">
        <f t="shared" si="13"/>
        <v>4278724.2861528881</v>
      </c>
      <c r="BI16" s="2">
        <f t="shared" si="13"/>
        <v>4221795.6122565176</v>
      </c>
      <c r="BJ16" s="2">
        <f t="shared" si="13"/>
        <v>4087551.8746095318</v>
      </c>
      <c r="BK16" s="2">
        <f t="shared" si="13"/>
        <v>4196222.6190478699</v>
      </c>
      <c r="BL16" s="2">
        <f t="shared" si="13"/>
        <v>4440500.1569530247</v>
      </c>
      <c r="BM16" s="2">
        <f t="shared" si="13"/>
        <v>4694757.2663931884</v>
      </c>
      <c r="BN16" s="2">
        <f t="shared" si="13"/>
        <v>5034972.7578440085</v>
      </c>
      <c r="BO16" s="2">
        <f t="shared" si="13"/>
        <v>5270883.7257495131</v>
      </c>
      <c r="BP16" s="2">
        <f t="shared" ref="BP16:CT16" si="14">BP8+BO16</f>
        <v>5645975.9908785671</v>
      </c>
      <c r="BQ16" s="2">
        <f t="shared" si="14"/>
        <v>5908718.9539466761</v>
      </c>
      <c r="BR16" s="2">
        <f t="shared" si="14"/>
        <v>6103180.1198284896</v>
      </c>
      <c r="BS16" s="2">
        <f t="shared" si="14"/>
        <v>6376440.2557925303</v>
      </c>
      <c r="BT16" s="2">
        <f t="shared" si="14"/>
        <v>6318573.4229870439</v>
      </c>
      <c r="BU16" s="2">
        <f t="shared" si="14"/>
        <v>6275950.2623021668</v>
      </c>
      <c r="BV16" s="2">
        <f t="shared" si="14"/>
        <v>6154847.0507848198</v>
      </c>
      <c r="BW16" s="2">
        <f t="shared" si="14"/>
        <v>6275367.9183814656</v>
      </c>
      <c r="BX16" s="2">
        <f t="shared" si="14"/>
        <v>6530187.8848177651</v>
      </c>
      <c r="BY16" s="2">
        <f t="shared" si="14"/>
        <v>6793811.8406327069</v>
      </c>
      <c r="BZ16" s="2">
        <f t="shared" si="14"/>
        <v>7142509.5603609169</v>
      </c>
      <c r="CA16" s="2">
        <f t="shared" si="14"/>
        <v>7386431.7661587279</v>
      </c>
      <c r="CB16" s="2">
        <f t="shared" si="14"/>
        <v>7769518.88968419</v>
      </c>
      <c r="CC16" s="2">
        <f t="shared" si="14"/>
        <v>8040615.166578318</v>
      </c>
      <c r="CD16" s="2">
        <f t="shared" si="14"/>
        <v>8243960.4110645447</v>
      </c>
      <c r="CE16" s="2">
        <f t="shared" si="14"/>
        <v>8526493.0873758364</v>
      </c>
      <c r="CF16" s="2">
        <f t="shared" si="14"/>
        <v>8477800.3460110351</v>
      </c>
      <c r="CG16" s="2">
        <f t="shared" si="14"/>
        <v>8443467.139688449</v>
      </c>
      <c r="CH16" s="2">
        <f t="shared" si="14"/>
        <v>8328793.3150243154</v>
      </c>
      <c r="CI16" s="2">
        <f t="shared" si="14"/>
        <v>8453009.6990883611</v>
      </c>
      <c r="CJ16" s="2">
        <f t="shared" si="14"/>
        <v>8708406.9333677087</v>
      </c>
      <c r="CK16" s="2">
        <f t="shared" si="14"/>
        <v>8969158.6557619702</v>
      </c>
      <c r="CL16" s="2">
        <f t="shared" si="14"/>
        <v>9312997.3727285601</v>
      </c>
      <c r="CM16" s="2">
        <f t="shared" si="14"/>
        <v>9551284.7023977097</v>
      </c>
      <c r="CN16" s="2">
        <f t="shared" si="14"/>
        <v>9928654.6855100803</v>
      </c>
      <c r="CO16" s="2">
        <f t="shared" si="14"/>
        <v>10200894.240665596</v>
      </c>
      <c r="CP16" s="2">
        <f t="shared" si="14"/>
        <v>10405773.194859847</v>
      </c>
      <c r="CQ16" s="2">
        <f t="shared" si="14"/>
        <v>10691698.606629971</v>
      </c>
      <c r="CR16" s="2">
        <f t="shared" si="14"/>
        <v>10689731.475029556</v>
      </c>
      <c r="CS16" s="2">
        <f t="shared" si="14"/>
        <v>10614065.884501074</v>
      </c>
      <c r="CT16" s="3">
        <f t="shared" si="14"/>
        <v>10572743.302467536</v>
      </c>
    </row>
    <row r="17" spans="2:98" x14ac:dyDescent="0.25">
      <c r="B17" t="str">
        <f t="shared" si="2"/>
        <v>8% growth</v>
      </c>
      <c r="C17" s="2">
        <f t="shared" si="2"/>
        <v>-116332.95662048043</v>
      </c>
      <c r="D17" s="2">
        <f t="shared" ref="D17:AI19" si="15">D9+C17</f>
        <v>-150175.60988877434</v>
      </c>
      <c r="E17" s="2">
        <f t="shared" si="15"/>
        <v>-163454.50391508089</v>
      </c>
      <c r="F17" s="2">
        <f t="shared" si="15"/>
        <v>-59429.17255559664</v>
      </c>
      <c r="G17" s="2">
        <f t="shared" si="15"/>
        <v>-40897.000228677345</v>
      </c>
      <c r="H17" s="2">
        <f t="shared" si="15"/>
        <v>142187.27573334755</v>
      </c>
      <c r="I17" s="2">
        <f t="shared" si="15"/>
        <v>225658.07757811312</v>
      </c>
      <c r="J17" s="2">
        <f t="shared" si="15"/>
        <v>248064.04717171268</v>
      </c>
      <c r="K17" s="2">
        <f t="shared" si="15"/>
        <v>361552.07280898665</v>
      </c>
      <c r="L17" s="2">
        <f t="shared" si="15"/>
        <v>113255.73408560239</v>
      </c>
      <c r="M17" s="2">
        <f t="shared" si="15"/>
        <v>-94815.511836726626</v>
      </c>
      <c r="N17" s="2">
        <f t="shared" si="15"/>
        <v>-360401.48955151014</v>
      </c>
      <c r="O17" s="2">
        <f t="shared" si="15"/>
        <v>-387342.18030665378</v>
      </c>
      <c r="P17" s="2">
        <f t="shared" si="15"/>
        <v>-279439.47560681502</v>
      </c>
      <c r="Q17" s="2">
        <f t="shared" si="15"/>
        <v>-168141.12018567376</v>
      </c>
      <c r="R17" s="2">
        <f t="shared" si="15"/>
        <v>38700.822984759696</v>
      </c>
      <c r="S17" s="2">
        <f t="shared" si="15"/>
        <v>143880.25749189354</v>
      </c>
      <c r="T17" s="2">
        <f t="shared" si="15"/>
        <v>396520.29676244012</v>
      </c>
      <c r="U17" s="2">
        <f t="shared" si="15"/>
        <v>542218.45909512485</v>
      </c>
      <c r="V17" s="2">
        <f t="shared" si="15"/>
        <v>625344.82575226366</v>
      </c>
      <c r="W17" s="2">
        <f t="shared" si="15"/>
        <v>802700.5124560612</v>
      </c>
      <c r="X17" s="2">
        <f t="shared" si="15"/>
        <v>625721.40631041746</v>
      </c>
      <c r="Y17" s="2">
        <f t="shared" si="15"/>
        <v>496804.91713236319</v>
      </c>
      <c r="Z17" s="2">
        <f t="shared" si="15"/>
        <v>316219.01465684047</v>
      </c>
      <c r="AA17" s="2">
        <f t="shared" si="15"/>
        <v>376677.95943886007</v>
      </c>
      <c r="AB17" s="2">
        <f t="shared" si="15"/>
        <v>570629.79145866539</v>
      </c>
      <c r="AC17" s="2">
        <f t="shared" si="15"/>
        <v>763757.85111041879</v>
      </c>
      <c r="AD17" s="2">
        <f t="shared" si="15"/>
        <v>1046762.1974038673</v>
      </c>
      <c r="AE17" s="2">
        <f t="shared" si="15"/>
        <v>1222326.3915428999</v>
      </c>
      <c r="AF17" s="2">
        <f t="shared" si="15"/>
        <v>1540421.9041620789</v>
      </c>
      <c r="AG17" s="2">
        <f t="shared" si="15"/>
        <v>1747965.0721655258</v>
      </c>
      <c r="AH17" s="2">
        <f t="shared" si="15"/>
        <v>1890693.9608752162</v>
      </c>
      <c r="AI17" s="2">
        <f t="shared" si="15"/>
        <v>2126537.998838217</v>
      </c>
      <c r="AJ17" s="2">
        <f t="shared" ref="AJ17:BO17" si="16">AJ9+AI17</f>
        <v>2007675.7625837906</v>
      </c>
      <c r="AK17" s="2">
        <f t="shared" si="16"/>
        <v>1936827.0681061405</v>
      </c>
      <c r="AL17" s="2">
        <f t="shared" si="16"/>
        <v>1814206.8154220073</v>
      </c>
      <c r="AM17" s="2">
        <f t="shared" si="16"/>
        <v>1932190.9585658463</v>
      </c>
      <c r="AN17" s="2">
        <f t="shared" si="16"/>
        <v>2182721.0177753288</v>
      </c>
      <c r="AO17" s="2">
        <f t="shared" si="16"/>
        <v>2430937.141199775</v>
      </c>
      <c r="AP17" s="2">
        <f t="shared" si="16"/>
        <v>2767084.8711314816</v>
      </c>
      <c r="AQ17" s="2">
        <f t="shared" si="16"/>
        <v>2993573.5191931981</v>
      </c>
      <c r="AR17" s="2">
        <f t="shared" si="16"/>
        <v>3360318.1536072404</v>
      </c>
      <c r="AS17" s="2">
        <f t="shared" si="16"/>
        <v>3614375.5035773264</v>
      </c>
      <c r="AT17" s="2">
        <f t="shared" si="16"/>
        <v>3801753.9137091888</v>
      </c>
      <c r="AU17" s="2">
        <f t="shared" si="16"/>
        <v>4080695.1077070311</v>
      </c>
      <c r="AV17" s="2">
        <f t="shared" si="16"/>
        <v>4003650.6787945805</v>
      </c>
      <c r="AW17" s="2">
        <f t="shared" si="16"/>
        <v>3973520.4479823764</v>
      </c>
      <c r="AX17" s="2">
        <f t="shared" si="16"/>
        <v>3890589.0843179203</v>
      </c>
      <c r="AY17" s="2">
        <f t="shared" si="16"/>
        <v>4047207.6514138309</v>
      </c>
      <c r="AZ17" s="2">
        <f t="shared" si="16"/>
        <v>4335234.0381812109</v>
      </c>
      <c r="BA17" s="2">
        <f t="shared" si="16"/>
        <v>4619707.1181189101</v>
      </c>
      <c r="BB17" s="2">
        <f t="shared" si="16"/>
        <v>4990787.2480458226</v>
      </c>
      <c r="BC17" s="2">
        <f t="shared" si="16"/>
        <v>5250834.0143989511</v>
      </c>
      <c r="BD17" s="2">
        <f t="shared" si="16"/>
        <v>5649752.1613312429</v>
      </c>
      <c r="BE17" s="2">
        <f t="shared" si="16"/>
        <v>5934619.439161459</v>
      </c>
      <c r="BF17" s="2">
        <f t="shared" si="16"/>
        <v>6151482.2631389396</v>
      </c>
      <c r="BG17" s="2">
        <f t="shared" si="16"/>
        <v>6458622.9446957791</v>
      </c>
      <c r="BH17" s="2">
        <f t="shared" si="16"/>
        <v>6408526.1400852781</v>
      </c>
      <c r="BI17" s="2">
        <f t="shared" si="16"/>
        <v>6404114.244718872</v>
      </c>
      <c r="BJ17" s="2">
        <f t="shared" si="16"/>
        <v>6345688.2744194539</v>
      </c>
      <c r="BK17" s="2">
        <f t="shared" si="16"/>
        <v>6525618.7492022617</v>
      </c>
      <c r="BL17" s="2">
        <f t="shared" si="16"/>
        <v>6835796.6456169253</v>
      </c>
      <c r="BM17" s="2">
        <f t="shared" si="16"/>
        <v>7141314.5747121833</v>
      </c>
      <c r="BN17" s="2">
        <f t="shared" si="16"/>
        <v>7532406.5972442981</v>
      </c>
      <c r="BO17" s="2">
        <f t="shared" si="16"/>
        <v>7811515.2796900878</v>
      </c>
      <c r="BP17" s="2">
        <f t="shared" ref="BP17:CT17" si="17">BP9+BO17</f>
        <v>8228617.7296555601</v>
      </c>
      <c r="BQ17" s="2">
        <f t="shared" si="17"/>
        <v>8530828.7532156687</v>
      </c>
      <c r="BR17" s="2">
        <f t="shared" si="17"/>
        <v>8764174.5468906127</v>
      </c>
      <c r="BS17" s="2">
        <f t="shared" si="17"/>
        <v>9086849.5548625737</v>
      </c>
      <c r="BT17" s="2">
        <f t="shared" si="17"/>
        <v>9051191.6534142215</v>
      </c>
      <c r="BU17" s="2">
        <f t="shared" si="17"/>
        <v>9059948.3080897219</v>
      </c>
      <c r="BV17" s="2">
        <f t="shared" si="17"/>
        <v>9013266.9590179957</v>
      </c>
      <c r="BW17" s="2">
        <f t="shared" si="17"/>
        <v>9203443.4217143618</v>
      </c>
      <c r="BX17" s="2">
        <f t="shared" si="17"/>
        <v>9522422.6728757303</v>
      </c>
      <c r="BY17" s="2">
        <f t="shared" si="17"/>
        <v>9835504.3433136195</v>
      </c>
      <c r="BZ17" s="2">
        <f t="shared" si="17"/>
        <v>10233268.886162093</v>
      </c>
      <c r="CA17" s="2">
        <f t="shared" si="17"/>
        <v>10518586.450765204</v>
      </c>
      <c r="CB17" s="2">
        <f t="shared" si="17"/>
        <v>10941850.478586774</v>
      </c>
      <c r="CC17" s="2">
        <f t="shared" si="17"/>
        <v>11250463.482629016</v>
      </c>
      <c r="CD17" s="2">
        <f t="shared" si="17"/>
        <v>11490508.737877242</v>
      </c>
      <c r="CE17" s="2">
        <f t="shared" si="17"/>
        <v>11819918.042287625</v>
      </c>
      <c r="CF17" s="2">
        <f t="shared" si="17"/>
        <v>11790444.817192303</v>
      </c>
      <c r="CG17" s="2">
        <f t="shared" si="17"/>
        <v>11804016.635837594</v>
      </c>
      <c r="CH17" s="2">
        <f t="shared" si="17"/>
        <v>11759816.602709144</v>
      </c>
      <c r="CI17" s="2">
        <f t="shared" si="17"/>
        <v>11949314.791613279</v>
      </c>
      <c r="CJ17" s="2">
        <f t="shared" si="17"/>
        <v>12264386.847773155</v>
      </c>
      <c r="CK17" s="2">
        <f t="shared" si="17"/>
        <v>12570067.586714547</v>
      </c>
      <c r="CL17" s="2">
        <f t="shared" si="17"/>
        <v>12958683.635375429</v>
      </c>
      <c r="CM17" s="2">
        <f t="shared" si="17"/>
        <v>13235065.915418781</v>
      </c>
      <c r="CN17" s="2">
        <f t="shared" si="17"/>
        <v>13649100.961652959</v>
      </c>
      <c r="CO17" s="2">
        <f t="shared" si="17"/>
        <v>13957872.086788788</v>
      </c>
      <c r="CP17" s="2">
        <f t="shared" si="17"/>
        <v>14199694.251208087</v>
      </c>
      <c r="CQ17" s="2">
        <f t="shared" si="17"/>
        <v>14521451.748096203</v>
      </c>
      <c r="CR17" s="2">
        <f t="shared" si="17"/>
        <v>14559015.918735173</v>
      </c>
      <c r="CS17" s="2">
        <f t="shared" si="17"/>
        <v>14518802.916229591</v>
      </c>
      <c r="CT17" s="3">
        <f t="shared" si="17"/>
        <v>14504200.186767379</v>
      </c>
    </row>
    <row r="18" spans="2:98" x14ac:dyDescent="0.25">
      <c r="B18" t="s">
        <v>98</v>
      </c>
      <c r="C18" s="2">
        <v>2996914</v>
      </c>
      <c r="D18" s="2">
        <v>2996914</v>
      </c>
      <c r="E18" s="2">
        <v>2996914</v>
      </c>
      <c r="F18" s="2">
        <v>2996914</v>
      </c>
      <c r="G18" s="2">
        <v>2996914</v>
      </c>
      <c r="H18" s="2">
        <v>2996914</v>
      </c>
      <c r="I18" s="2">
        <v>2996914</v>
      </c>
      <c r="J18" s="2">
        <v>2996914</v>
      </c>
      <c r="K18" s="2">
        <v>2996914</v>
      </c>
      <c r="L18" s="2">
        <v>2996914</v>
      </c>
      <c r="M18" s="2">
        <v>2996914</v>
      </c>
      <c r="N18" s="2">
        <v>2996914</v>
      </c>
      <c r="O18" s="2">
        <v>2996914</v>
      </c>
      <c r="P18" s="2">
        <v>2996914</v>
      </c>
      <c r="Q18" s="2">
        <v>2996914</v>
      </c>
      <c r="R18" s="2">
        <v>2996914</v>
      </c>
      <c r="S18" s="2">
        <v>2996914</v>
      </c>
      <c r="T18" s="2">
        <v>2996914</v>
      </c>
      <c r="U18" s="2">
        <v>2996914</v>
      </c>
      <c r="V18" s="2">
        <v>2996914</v>
      </c>
      <c r="W18" s="2">
        <v>2996914</v>
      </c>
      <c r="X18" s="2">
        <v>2996914</v>
      </c>
      <c r="Y18" s="2">
        <v>2996914</v>
      </c>
      <c r="Z18" s="2">
        <v>2996914</v>
      </c>
      <c r="AA18" s="2">
        <v>2996914</v>
      </c>
      <c r="AB18" s="2">
        <v>2996914</v>
      </c>
      <c r="AC18" s="2">
        <v>2996914</v>
      </c>
      <c r="AD18" s="2">
        <v>2996914</v>
      </c>
      <c r="AE18" s="2">
        <v>2996914</v>
      </c>
      <c r="AF18" s="2">
        <v>2996914</v>
      </c>
      <c r="AG18" s="2">
        <v>2996914</v>
      </c>
      <c r="AH18" s="2">
        <v>2996914</v>
      </c>
      <c r="AI18" s="2">
        <v>2996914</v>
      </c>
      <c r="AJ18" s="2">
        <v>2996914</v>
      </c>
      <c r="AK18" s="2">
        <v>2996914</v>
      </c>
      <c r="AL18" s="2">
        <v>2996914</v>
      </c>
      <c r="AM18" s="2">
        <v>2996914</v>
      </c>
      <c r="AN18" s="2">
        <v>2996914</v>
      </c>
      <c r="AO18" s="2">
        <v>2996914</v>
      </c>
      <c r="AP18" s="2">
        <v>2996914</v>
      </c>
      <c r="AQ18" s="2">
        <v>2996914</v>
      </c>
      <c r="AR18" s="2">
        <v>2996914</v>
      </c>
      <c r="AS18" s="2">
        <v>2996914</v>
      </c>
      <c r="AT18" s="2">
        <v>2996914</v>
      </c>
      <c r="AU18" s="2">
        <v>2996914</v>
      </c>
      <c r="AV18" s="2">
        <v>2996914</v>
      </c>
      <c r="AW18" s="2">
        <v>2996914</v>
      </c>
      <c r="AX18" s="2">
        <v>2996914</v>
      </c>
      <c r="AY18" s="2">
        <v>2996914</v>
      </c>
      <c r="AZ18" s="2">
        <v>2996914</v>
      </c>
      <c r="BA18" s="2">
        <v>2996914</v>
      </c>
      <c r="BB18" s="2">
        <v>2996914</v>
      </c>
      <c r="BC18" s="2">
        <v>2996914</v>
      </c>
      <c r="BD18" s="2">
        <v>2996914</v>
      </c>
      <c r="BE18" s="2">
        <v>2996914</v>
      </c>
      <c r="BF18" s="2">
        <v>2996914</v>
      </c>
      <c r="BG18" s="2">
        <v>2996914</v>
      </c>
      <c r="BH18" s="2">
        <v>2996914</v>
      </c>
      <c r="BI18" s="2">
        <v>2996914</v>
      </c>
      <c r="BJ18" s="2">
        <v>2996914</v>
      </c>
      <c r="BK18" s="2">
        <v>2996914</v>
      </c>
      <c r="BL18" s="2">
        <v>2996914</v>
      </c>
      <c r="BM18" s="2">
        <v>2996914</v>
      </c>
      <c r="BN18" s="2">
        <v>2996914</v>
      </c>
      <c r="BO18" s="2">
        <v>2996914</v>
      </c>
      <c r="BP18" s="2">
        <v>2996914</v>
      </c>
      <c r="BQ18" s="2">
        <v>2996914</v>
      </c>
      <c r="BR18" s="2">
        <v>2996914</v>
      </c>
      <c r="BS18" s="2">
        <v>2996914</v>
      </c>
      <c r="BT18" s="2">
        <v>2996914</v>
      </c>
      <c r="BU18" s="2">
        <v>2996914</v>
      </c>
      <c r="BV18" s="2">
        <v>2996914</v>
      </c>
      <c r="BW18" s="2">
        <v>2996914</v>
      </c>
      <c r="BX18" s="2">
        <v>2996914</v>
      </c>
      <c r="BY18" s="2">
        <v>2996914</v>
      </c>
      <c r="BZ18" s="2">
        <v>2996914</v>
      </c>
      <c r="CA18" s="2">
        <v>2996914</v>
      </c>
      <c r="CB18" s="2">
        <v>2996914</v>
      </c>
      <c r="CC18" s="2">
        <v>2996914</v>
      </c>
      <c r="CD18" s="2">
        <v>2996914</v>
      </c>
      <c r="CE18" s="2">
        <v>2996914</v>
      </c>
      <c r="CF18" s="2">
        <v>2996914</v>
      </c>
      <c r="CG18" s="2">
        <v>2996914</v>
      </c>
      <c r="CH18" s="2">
        <v>2996914</v>
      </c>
      <c r="CI18" s="2">
        <v>2996914</v>
      </c>
      <c r="CJ18" s="2">
        <v>2996914</v>
      </c>
      <c r="CK18" s="2">
        <v>2996914</v>
      </c>
      <c r="CL18" s="2">
        <v>2996914</v>
      </c>
      <c r="CM18" s="2">
        <v>2996914</v>
      </c>
      <c r="CN18" s="2">
        <v>2996914</v>
      </c>
      <c r="CO18" s="2">
        <v>2996914</v>
      </c>
      <c r="CP18" s="2">
        <v>2996914</v>
      </c>
      <c r="CQ18" s="2">
        <v>2996914</v>
      </c>
      <c r="CR18" s="2">
        <v>2996914</v>
      </c>
      <c r="CS18" s="2">
        <v>2996914</v>
      </c>
      <c r="CT18" s="2">
        <v>2996914</v>
      </c>
    </row>
    <row r="19" spans="2:98" x14ac:dyDescent="0.25">
      <c r="B19" t="s">
        <v>97</v>
      </c>
      <c r="C19" s="2">
        <v>-40864</v>
      </c>
      <c r="D19" s="2">
        <v>35612</v>
      </c>
      <c r="E19" s="2">
        <v>-63624</v>
      </c>
      <c r="F19" s="2">
        <v>59856</v>
      </c>
      <c r="G19" s="2">
        <v>34253</v>
      </c>
      <c r="H19" s="2">
        <v>9821</v>
      </c>
      <c r="I19" s="2">
        <v>35900</v>
      </c>
      <c r="J19" s="2">
        <v>35457</v>
      </c>
      <c r="K19" s="2">
        <v>34392</v>
      </c>
      <c r="L19" s="2">
        <v>76599</v>
      </c>
      <c r="M19" s="2">
        <v>-12292</v>
      </c>
      <c r="N19" s="2">
        <v>-328539</v>
      </c>
      <c r="O19" s="2">
        <v>77822</v>
      </c>
      <c r="P19" s="2">
        <v>61188</v>
      </c>
      <c r="Q19" s="2">
        <v>56151</v>
      </c>
      <c r="R19" s="2">
        <v>115898</v>
      </c>
      <c r="S19" s="2">
        <v>33659</v>
      </c>
      <c r="T19" s="2">
        <v>-661</v>
      </c>
      <c r="U19" s="2">
        <v>47319</v>
      </c>
      <c r="V19" s="2">
        <v>110431</v>
      </c>
      <c r="W19" s="2">
        <v>137336</v>
      </c>
      <c r="X19" s="2">
        <v>57733</v>
      </c>
      <c r="Y19" s="2">
        <v>58664</v>
      </c>
      <c r="Z19" s="2">
        <v>-334462</v>
      </c>
      <c r="AA19" s="2">
        <v>34313</v>
      </c>
      <c r="AB19" s="2">
        <v>173139</v>
      </c>
      <c r="AC19" s="2">
        <v>-43196</v>
      </c>
      <c r="AD19" s="2">
        <v>129601</v>
      </c>
      <c r="AE19" s="2">
        <v>32140</v>
      </c>
      <c r="AF19" s="2">
        <v>48436</v>
      </c>
      <c r="AG19" s="2">
        <v>43820</v>
      </c>
      <c r="AH19" s="2">
        <v>121387</v>
      </c>
      <c r="AI19" s="2">
        <v>157213</v>
      </c>
      <c r="AJ19" s="2">
        <v>70852</v>
      </c>
      <c r="AK19" s="2">
        <v>99232</v>
      </c>
      <c r="AL19" s="2">
        <v>-307311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3"/>
    </row>
    <row r="21" spans="2:98" x14ac:dyDescent="0.25">
      <c r="Q21" s="2"/>
    </row>
    <row r="29" spans="2:98" x14ac:dyDescent="0.25"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Planilha6</vt:lpstr>
      <vt:lpstr>Graf Net Employ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Bruno Tebaldi</cp:lastModifiedBy>
  <cp:lastPrinted>2017-03-17T19:12:11Z</cp:lastPrinted>
  <dcterms:created xsi:type="dcterms:W3CDTF">2017-03-14T15:55:45Z</dcterms:created>
  <dcterms:modified xsi:type="dcterms:W3CDTF">2020-07-03T14:02:29Z</dcterms:modified>
</cp:coreProperties>
</file>