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Base de dados\"/>
    </mc:Choice>
  </mc:AlternateContent>
  <xr:revisionPtr revIDLastSave="0" documentId="13_ncr:1_{D68BF6FE-2048-4EDD-B5DE-77D5DF203CD5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ToImport" sheetId="11" r:id="rId1"/>
    <sheet name="PIM_US" sheetId="10" r:id="rId2"/>
    <sheet name="PIM_BR" sheetId="8" r:id="rId3"/>
    <sheet name="1" sheetId="3" r:id="rId4"/>
    <sheet name="PIM(2012 = 100)" sheetId="1" r:id="rId5"/>
    <sheet name="OBS_PIM(2012 = 100)" sheetId="2" r:id="rId6"/>
    <sheet name="PIM(2002 = 100)" sheetId="6" r:id="rId7"/>
    <sheet name="OBS_PIM(2002 = 100)" sheetId="7" r:id="rId8"/>
    <sheet name="FRE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41" i="11" l="1"/>
  <c r="E529" i="11"/>
  <c r="E517" i="11"/>
  <c r="J543" i="11"/>
  <c r="I543" i="11"/>
  <c r="J541" i="11"/>
  <c r="D541" i="11" s="1"/>
  <c r="C541" i="11"/>
  <c r="J529" i="11"/>
  <c r="D529" i="11" s="1"/>
  <c r="D517" i="11"/>
  <c r="J517" i="11"/>
  <c r="C529" i="11"/>
  <c r="C517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06" i="11"/>
  <c r="A507" i="1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06" i="11"/>
  <c r="E505" i="11" l="1"/>
  <c r="D505" i="11"/>
  <c r="E504" i="11"/>
  <c r="D504" i="11"/>
  <c r="F504" i="11" s="1"/>
  <c r="E503" i="11"/>
  <c r="D503" i="11"/>
  <c r="E502" i="11"/>
  <c r="G502" i="11" s="1"/>
  <c r="D502" i="11"/>
  <c r="F502" i="11" s="1"/>
  <c r="E501" i="11"/>
  <c r="D501" i="11"/>
  <c r="E500" i="11"/>
  <c r="G500" i="11" s="1"/>
  <c r="D500" i="11"/>
  <c r="F500" i="11" s="1"/>
  <c r="E499" i="11"/>
  <c r="D499" i="11"/>
  <c r="E498" i="11"/>
  <c r="G498" i="11" s="1"/>
  <c r="D498" i="11"/>
  <c r="F498" i="11" s="1"/>
  <c r="E497" i="11"/>
  <c r="D497" i="11"/>
  <c r="E496" i="11"/>
  <c r="G496" i="11" s="1"/>
  <c r="D496" i="11"/>
  <c r="F496" i="11" s="1"/>
  <c r="E495" i="11"/>
  <c r="D495" i="11"/>
  <c r="E494" i="11"/>
  <c r="G494" i="11" s="1"/>
  <c r="D494" i="11"/>
  <c r="F494" i="11" s="1"/>
  <c r="E493" i="11"/>
  <c r="D493" i="11"/>
  <c r="E492" i="11"/>
  <c r="G492" i="11" s="1"/>
  <c r="D492" i="11"/>
  <c r="F492" i="11" s="1"/>
  <c r="E491" i="11"/>
  <c r="D491" i="11"/>
  <c r="E490" i="11"/>
  <c r="G490" i="11" s="1"/>
  <c r="D490" i="11"/>
  <c r="F490" i="11" s="1"/>
  <c r="E489" i="11"/>
  <c r="D489" i="11"/>
  <c r="E488" i="11"/>
  <c r="G488" i="11" s="1"/>
  <c r="D488" i="11"/>
  <c r="F488" i="11" s="1"/>
  <c r="E487" i="11"/>
  <c r="D487" i="11"/>
  <c r="E486" i="11"/>
  <c r="G486" i="11" s="1"/>
  <c r="D486" i="11"/>
  <c r="F486" i="11" s="1"/>
  <c r="E485" i="11"/>
  <c r="D485" i="11"/>
  <c r="E484" i="11"/>
  <c r="G484" i="11" s="1"/>
  <c r="D484" i="11"/>
  <c r="F484" i="11" s="1"/>
  <c r="E483" i="11"/>
  <c r="D483" i="11"/>
  <c r="E482" i="11"/>
  <c r="G482" i="11" s="1"/>
  <c r="D482" i="11"/>
  <c r="F482" i="11" s="1"/>
  <c r="E481" i="11"/>
  <c r="D481" i="11"/>
  <c r="E480" i="11"/>
  <c r="G480" i="11" s="1"/>
  <c r="D480" i="11"/>
  <c r="F480" i="11" s="1"/>
  <c r="E479" i="11"/>
  <c r="D479" i="11"/>
  <c r="E478" i="11"/>
  <c r="G478" i="11" s="1"/>
  <c r="D478" i="11"/>
  <c r="F478" i="11" s="1"/>
  <c r="E477" i="11"/>
  <c r="D477" i="11"/>
  <c r="E476" i="11"/>
  <c r="G476" i="11" s="1"/>
  <c r="D476" i="11"/>
  <c r="F476" i="11" s="1"/>
  <c r="E475" i="11"/>
  <c r="D475" i="11"/>
  <c r="E474" i="11"/>
  <c r="G474" i="11" s="1"/>
  <c r="D474" i="11"/>
  <c r="E473" i="11"/>
  <c r="D473" i="11"/>
  <c r="E472" i="11"/>
  <c r="G472" i="11" s="1"/>
  <c r="D472" i="11"/>
  <c r="F472" i="11" s="1"/>
  <c r="E471" i="11"/>
  <c r="D471" i="11"/>
  <c r="F471" i="11" s="1"/>
  <c r="E470" i="11"/>
  <c r="D470" i="11"/>
  <c r="E469" i="11"/>
  <c r="D469" i="11"/>
  <c r="E468" i="11"/>
  <c r="G468" i="11" s="1"/>
  <c r="D468" i="11"/>
  <c r="E467" i="11"/>
  <c r="D467" i="11"/>
  <c r="F467" i="11" s="1"/>
  <c r="E466" i="11"/>
  <c r="D466" i="11"/>
  <c r="E465" i="11"/>
  <c r="D465" i="11"/>
  <c r="F465" i="11" s="1"/>
  <c r="E464" i="11"/>
  <c r="D464" i="11"/>
  <c r="E463" i="11"/>
  <c r="D463" i="11"/>
  <c r="E462" i="11"/>
  <c r="D462" i="11"/>
  <c r="F463" i="11" s="1"/>
  <c r="E461" i="11"/>
  <c r="D461" i="11"/>
  <c r="E460" i="11"/>
  <c r="D460" i="11"/>
  <c r="F460" i="11" s="1"/>
  <c r="E459" i="11"/>
  <c r="D459" i="11"/>
  <c r="E458" i="11"/>
  <c r="G458" i="11" s="1"/>
  <c r="D458" i="11"/>
  <c r="F459" i="11" s="1"/>
  <c r="E457" i="11"/>
  <c r="D457" i="11"/>
  <c r="E456" i="11"/>
  <c r="G456" i="11" s="1"/>
  <c r="D456" i="11"/>
  <c r="F456" i="11" s="1"/>
  <c r="E455" i="11"/>
  <c r="D455" i="11"/>
  <c r="F455" i="11" s="1"/>
  <c r="E454" i="11"/>
  <c r="D454" i="11"/>
  <c r="E453" i="11"/>
  <c r="D453" i="11"/>
  <c r="E452" i="11"/>
  <c r="G452" i="11" s="1"/>
  <c r="D452" i="11"/>
  <c r="E451" i="11"/>
  <c r="D451" i="11"/>
  <c r="F451" i="11" s="1"/>
  <c r="E450" i="11"/>
  <c r="D450" i="11"/>
  <c r="E449" i="11"/>
  <c r="D449" i="11"/>
  <c r="F449" i="11" s="1"/>
  <c r="E448" i="11"/>
  <c r="D448" i="11"/>
  <c r="E447" i="11"/>
  <c r="D447" i="11"/>
  <c r="F447" i="11" s="1"/>
  <c r="E446" i="11"/>
  <c r="D446" i="11"/>
  <c r="E445" i="11"/>
  <c r="D445" i="11"/>
  <c r="E444" i="11"/>
  <c r="D444" i="11"/>
  <c r="E443" i="11"/>
  <c r="D443" i="11"/>
  <c r="E442" i="11"/>
  <c r="G442" i="11" s="1"/>
  <c r="D442" i="11"/>
  <c r="F443" i="11" s="1"/>
  <c r="E441" i="11"/>
  <c r="D441" i="11"/>
  <c r="E440" i="11"/>
  <c r="D440" i="11"/>
  <c r="F440" i="11" s="1"/>
  <c r="E439" i="11"/>
  <c r="D439" i="11"/>
  <c r="F439" i="11" s="1"/>
  <c r="E438" i="11"/>
  <c r="D438" i="11"/>
  <c r="E437" i="11"/>
  <c r="D437" i="11"/>
  <c r="E436" i="11"/>
  <c r="G436" i="11" s="1"/>
  <c r="D436" i="11"/>
  <c r="E435" i="11"/>
  <c r="D435" i="11"/>
  <c r="F435" i="11" s="1"/>
  <c r="E434" i="11"/>
  <c r="G434" i="11" s="1"/>
  <c r="D434" i="11"/>
  <c r="E433" i="11"/>
  <c r="D433" i="11"/>
  <c r="F433" i="11" s="1"/>
  <c r="E432" i="11"/>
  <c r="D432" i="11"/>
  <c r="E431" i="11"/>
  <c r="D431" i="11"/>
  <c r="F431" i="11" s="1"/>
  <c r="E430" i="11"/>
  <c r="D430" i="11"/>
  <c r="E429" i="11"/>
  <c r="D429" i="11"/>
  <c r="E428" i="11"/>
  <c r="D428" i="11"/>
  <c r="E427" i="11"/>
  <c r="D427" i="11"/>
  <c r="E426" i="11"/>
  <c r="D426" i="11"/>
  <c r="F427" i="11" s="1"/>
  <c r="E425" i="11"/>
  <c r="D425" i="11"/>
  <c r="E424" i="11"/>
  <c r="D424" i="11"/>
  <c r="F424" i="11" s="1"/>
  <c r="E423" i="11"/>
  <c r="D423" i="11"/>
  <c r="F423" i="11" s="1"/>
  <c r="E422" i="11"/>
  <c r="D422" i="11"/>
  <c r="E421" i="11"/>
  <c r="D421" i="11"/>
  <c r="E420" i="11"/>
  <c r="D420" i="11"/>
  <c r="E419" i="11"/>
  <c r="D419" i="11"/>
  <c r="E418" i="11"/>
  <c r="D418" i="11"/>
  <c r="E417" i="11"/>
  <c r="D417" i="11"/>
  <c r="E416" i="11"/>
  <c r="D416" i="11"/>
  <c r="F416" i="11" s="1"/>
  <c r="E415" i="11"/>
  <c r="D415" i="11"/>
  <c r="E414" i="11"/>
  <c r="D414" i="11"/>
  <c r="F414" i="11" s="1"/>
  <c r="E413" i="11"/>
  <c r="D413" i="11"/>
  <c r="E412" i="11"/>
  <c r="D412" i="11"/>
  <c r="F412" i="11" s="1"/>
  <c r="E411" i="11"/>
  <c r="D411" i="11"/>
  <c r="E410" i="11"/>
  <c r="D410" i="11"/>
  <c r="F410" i="11" s="1"/>
  <c r="E409" i="11"/>
  <c r="D409" i="11"/>
  <c r="E408" i="11"/>
  <c r="D408" i="11"/>
  <c r="F408" i="11" s="1"/>
  <c r="E407" i="11"/>
  <c r="D407" i="11"/>
  <c r="E406" i="11"/>
  <c r="D406" i="11"/>
  <c r="F406" i="11" s="1"/>
  <c r="E405" i="11"/>
  <c r="D405" i="11"/>
  <c r="E404" i="11"/>
  <c r="D404" i="11"/>
  <c r="F404" i="11" s="1"/>
  <c r="E403" i="11"/>
  <c r="D403" i="11"/>
  <c r="E402" i="11"/>
  <c r="D402" i="11"/>
  <c r="F402" i="11" s="1"/>
  <c r="E401" i="11"/>
  <c r="D401" i="11"/>
  <c r="E400" i="11"/>
  <c r="D400" i="11"/>
  <c r="F400" i="11" s="1"/>
  <c r="E399" i="11"/>
  <c r="D399" i="11"/>
  <c r="E398" i="11"/>
  <c r="D398" i="11"/>
  <c r="F398" i="11" s="1"/>
  <c r="E397" i="11"/>
  <c r="D397" i="11"/>
  <c r="E396" i="11"/>
  <c r="D396" i="11"/>
  <c r="F396" i="11" s="1"/>
  <c r="E395" i="11"/>
  <c r="D395" i="11"/>
  <c r="E394" i="11"/>
  <c r="D394" i="11"/>
  <c r="F394" i="11" s="1"/>
  <c r="E393" i="11"/>
  <c r="D393" i="11"/>
  <c r="E392" i="11"/>
  <c r="D392" i="11"/>
  <c r="F392" i="11" s="1"/>
  <c r="E391" i="11"/>
  <c r="D391" i="11"/>
  <c r="E390" i="11"/>
  <c r="D390" i="11"/>
  <c r="F390" i="11" s="1"/>
  <c r="E389" i="11"/>
  <c r="D389" i="11"/>
  <c r="E388" i="11"/>
  <c r="D388" i="11"/>
  <c r="F388" i="11" s="1"/>
  <c r="E387" i="11"/>
  <c r="D387" i="11"/>
  <c r="E386" i="11"/>
  <c r="D386" i="11"/>
  <c r="F386" i="11" s="1"/>
  <c r="E385" i="11"/>
  <c r="D385" i="11"/>
  <c r="E384" i="11"/>
  <c r="D384" i="11"/>
  <c r="F384" i="11" s="1"/>
  <c r="E383" i="11"/>
  <c r="D383" i="11"/>
  <c r="E382" i="11"/>
  <c r="D382" i="11"/>
  <c r="F382" i="11" s="1"/>
  <c r="E381" i="11"/>
  <c r="D381" i="11"/>
  <c r="E380" i="11"/>
  <c r="D380" i="11"/>
  <c r="F380" i="11" s="1"/>
  <c r="E379" i="11"/>
  <c r="D379" i="11"/>
  <c r="E378" i="11"/>
  <c r="D378" i="11"/>
  <c r="F378" i="11" s="1"/>
  <c r="E377" i="11"/>
  <c r="D377" i="11"/>
  <c r="E376" i="11"/>
  <c r="D376" i="11"/>
  <c r="F376" i="11" s="1"/>
  <c r="E375" i="11"/>
  <c r="D375" i="11"/>
  <c r="E374" i="11"/>
  <c r="D374" i="11"/>
  <c r="F374" i="11" s="1"/>
  <c r="E373" i="11"/>
  <c r="D373" i="11"/>
  <c r="E372" i="11"/>
  <c r="D372" i="11"/>
  <c r="F372" i="11" s="1"/>
  <c r="E371" i="11"/>
  <c r="D371" i="11"/>
  <c r="E370" i="11"/>
  <c r="D370" i="11"/>
  <c r="F370" i="11" s="1"/>
  <c r="E369" i="11"/>
  <c r="D369" i="11"/>
  <c r="E368" i="11"/>
  <c r="D368" i="11"/>
  <c r="F368" i="11" s="1"/>
  <c r="E367" i="11"/>
  <c r="D367" i="11"/>
  <c r="E366" i="11"/>
  <c r="D366" i="11"/>
  <c r="F366" i="11" s="1"/>
  <c r="E365" i="11"/>
  <c r="D365" i="11"/>
  <c r="E364" i="11"/>
  <c r="G364" i="11" s="1"/>
  <c r="D364" i="11"/>
  <c r="F364" i="11" s="1"/>
  <c r="E363" i="11"/>
  <c r="D363" i="11"/>
  <c r="E362" i="11"/>
  <c r="D362" i="11"/>
  <c r="E361" i="11"/>
  <c r="D361" i="11"/>
  <c r="F362" i="11" s="1"/>
  <c r="E360" i="11"/>
  <c r="G360" i="11" s="1"/>
  <c r="D360" i="11"/>
  <c r="E359" i="11"/>
  <c r="D359" i="11"/>
  <c r="F359" i="11" s="1"/>
  <c r="E358" i="11"/>
  <c r="D358" i="11"/>
  <c r="E357" i="11"/>
  <c r="D357" i="11"/>
  <c r="F358" i="11" s="1"/>
  <c r="E356" i="11"/>
  <c r="D356" i="11"/>
  <c r="E355" i="11"/>
  <c r="D355" i="11"/>
  <c r="E354" i="11"/>
  <c r="D354" i="11"/>
  <c r="F354" i="11" s="1"/>
  <c r="E353" i="11"/>
  <c r="D353" i="11"/>
  <c r="E352" i="11"/>
  <c r="D352" i="11"/>
  <c r="E351" i="11"/>
  <c r="D351" i="11"/>
  <c r="E350" i="11"/>
  <c r="D350" i="11"/>
  <c r="E349" i="11"/>
  <c r="D349" i="11"/>
  <c r="E348" i="11"/>
  <c r="D348" i="11"/>
  <c r="E347" i="11"/>
  <c r="D347" i="11"/>
  <c r="E346" i="11"/>
  <c r="D346" i="11"/>
  <c r="E345" i="11"/>
  <c r="D345" i="11"/>
  <c r="E344" i="11"/>
  <c r="D344" i="11"/>
  <c r="E343" i="11"/>
  <c r="D343" i="11"/>
  <c r="E342" i="11"/>
  <c r="D342" i="11"/>
  <c r="E341" i="11"/>
  <c r="D341" i="11"/>
  <c r="E340" i="11"/>
  <c r="D340" i="11"/>
  <c r="E339" i="11"/>
  <c r="D339" i="11"/>
  <c r="E338" i="11"/>
  <c r="D338" i="11"/>
  <c r="E337" i="11"/>
  <c r="D337" i="11"/>
  <c r="E336" i="11"/>
  <c r="D336" i="11"/>
  <c r="E335" i="11"/>
  <c r="D335" i="11"/>
  <c r="E334" i="11"/>
  <c r="D334" i="11"/>
  <c r="E333" i="11"/>
  <c r="D333" i="11"/>
  <c r="E332" i="11"/>
  <c r="D332" i="11"/>
  <c r="E331" i="11"/>
  <c r="D331" i="11"/>
  <c r="E330" i="11"/>
  <c r="D330" i="11"/>
  <c r="E329" i="11"/>
  <c r="D329" i="11"/>
  <c r="E328" i="11"/>
  <c r="D328" i="11"/>
  <c r="E327" i="11"/>
  <c r="D327" i="11"/>
  <c r="E326" i="11"/>
  <c r="D326" i="11"/>
  <c r="E325" i="11"/>
  <c r="D325" i="11"/>
  <c r="E324" i="11"/>
  <c r="D324" i="11"/>
  <c r="E323" i="11"/>
  <c r="D323" i="11"/>
  <c r="E322" i="11"/>
  <c r="D322" i="11"/>
  <c r="E321" i="11"/>
  <c r="D321" i="11"/>
  <c r="E320" i="11"/>
  <c r="D320" i="11"/>
  <c r="E319" i="11"/>
  <c r="D319" i="11"/>
  <c r="E318" i="11"/>
  <c r="D318" i="11"/>
  <c r="E317" i="11"/>
  <c r="D317" i="11"/>
  <c r="E316" i="11"/>
  <c r="D316" i="11"/>
  <c r="E315" i="11"/>
  <c r="D315" i="11"/>
  <c r="E314" i="11"/>
  <c r="D314" i="11"/>
  <c r="E313" i="11"/>
  <c r="D313" i="11"/>
  <c r="E312" i="11"/>
  <c r="D312" i="11"/>
  <c r="E311" i="11"/>
  <c r="D311" i="11"/>
  <c r="E310" i="11"/>
  <c r="D310" i="11"/>
  <c r="E309" i="11"/>
  <c r="D309" i="11"/>
  <c r="E308" i="11"/>
  <c r="D308" i="11"/>
  <c r="E307" i="11"/>
  <c r="D307" i="11"/>
  <c r="E306" i="11"/>
  <c r="D306" i="11"/>
  <c r="E305" i="11"/>
  <c r="D305" i="11"/>
  <c r="E304" i="11"/>
  <c r="D304" i="11"/>
  <c r="E303" i="11"/>
  <c r="D303" i="11"/>
  <c r="E302" i="11"/>
  <c r="D302" i="11"/>
  <c r="E301" i="11"/>
  <c r="D301" i="11"/>
  <c r="E300" i="11"/>
  <c r="D300" i="11"/>
  <c r="E299" i="11"/>
  <c r="D299" i="11"/>
  <c r="E298" i="11"/>
  <c r="D298" i="11"/>
  <c r="E297" i="11"/>
  <c r="D297" i="11"/>
  <c r="E296" i="11"/>
  <c r="D296" i="11"/>
  <c r="E295" i="11"/>
  <c r="D295" i="11"/>
  <c r="E294" i="11"/>
  <c r="D294" i="11"/>
  <c r="E293" i="11"/>
  <c r="D293" i="11"/>
  <c r="E292" i="11"/>
  <c r="D292" i="11"/>
  <c r="E291" i="11"/>
  <c r="D291" i="11"/>
  <c r="E290" i="11"/>
  <c r="D290" i="11"/>
  <c r="E289" i="11"/>
  <c r="D289" i="11"/>
  <c r="E288" i="11"/>
  <c r="D288" i="11"/>
  <c r="E287" i="11"/>
  <c r="D287" i="11"/>
  <c r="E286" i="11"/>
  <c r="D286" i="11"/>
  <c r="E285" i="11"/>
  <c r="D285" i="11"/>
  <c r="E284" i="11"/>
  <c r="D284" i="11"/>
  <c r="E283" i="11"/>
  <c r="D283" i="11"/>
  <c r="E282" i="11"/>
  <c r="D282" i="11"/>
  <c r="E281" i="11"/>
  <c r="D281" i="11"/>
  <c r="E280" i="11"/>
  <c r="D280" i="11"/>
  <c r="E279" i="11"/>
  <c r="D279" i="11"/>
  <c r="E278" i="11"/>
  <c r="D278" i="11"/>
  <c r="E277" i="11"/>
  <c r="D277" i="11"/>
  <c r="E276" i="11"/>
  <c r="D276" i="11"/>
  <c r="E275" i="11"/>
  <c r="D275" i="11"/>
  <c r="E274" i="11"/>
  <c r="D274" i="11"/>
  <c r="E273" i="11"/>
  <c r="D273" i="11"/>
  <c r="E272" i="11"/>
  <c r="D272" i="11"/>
  <c r="E271" i="11"/>
  <c r="D271" i="11"/>
  <c r="E270" i="11"/>
  <c r="D270" i="11"/>
  <c r="E269" i="11"/>
  <c r="D269" i="11"/>
  <c r="E268" i="11"/>
  <c r="D268" i="11"/>
  <c r="E267" i="11"/>
  <c r="D267" i="11"/>
  <c r="E266" i="11"/>
  <c r="D266" i="11"/>
  <c r="E265" i="11"/>
  <c r="D265" i="11"/>
  <c r="E264" i="11"/>
  <c r="D264" i="11"/>
  <c r="E263" i="11"/>
  <c r="D263" i="11"/>
  <c r="E262" i="11"/>
  <c r="D262" i="11"/>
  <c r="E261" i="11"/>
  <c r="D261" i="11"/>
  <c r="E260" i="11"/>
  <c r="D260" i="11"/>
  <c r="E259" i="11"/>
  <c r="D259" i="11"/>
  <c r="E258" i="11"/>
  <c r="D258" i="11"/>
  <c r="E257" i="11"/>
  <c r="D257" i="11"/>
  <c r="E256" i="11"/>
  <c r="D256" i="11"/>
  <c r="E255" i="11"/>
  <c r="D255" i="11"/>
  <c r="E254" i="11"/>
  <c r="D254" i="11"/>
  <c r="E253" i="11"/>
  <c r="D253" i="11"/>
  <c r="E252" i="11"/>
  <c r="D252" i="11"/>
  <c r="E251" i="11"/>
  <c r="D251" i="11"/>
  <c r="E250" i="11"/>
  <c r="D250" i="11"/>
  <c r="E249" i="11"/>
  <c r="D249" i="11"/>
  <c r="E248" i="11"/>
  <c r="D248" i="11"/>
  <c r="E247" i="11"/>
  <c r="D247" i="11"/>
  <c r="E246" i="11"/>
  <c r="D246" i="11"/>
  <c r="E245" i="11"/>
  <c r="D245" i="11"/>
  <c r="E244" i="11"/>
  <c r="D244" i="11"/>
  <c r="E243" i="11"/>
  <c r="D243" i="11"/>
  <c r="E242" i="11"/>
  <c r="D242" i="11"/>
  <c r="E241" i="11"/>
  <c r="D241" i="11"/>
  <c r="E240" i="11"/>
  <c r="D240" i="11"/>
  <c r="E239" i="11"/>
  <c r="D239" i="11"/>
  <c r="E238" i="11"/>
  <c r="D238" i="11"/>
  <c r="E237" i="11"/>
  <c r="D237" i="11"/>
  <c r="E236" i="11"/>
  <c r="D236" i="11"/>
  <c r="E235" i="11"/>
  <c r="D235" i="11"/>
  <c r="E234" i="11"/>
  <c r="D234" i="11"/>
  <c r="E233" i="11"/>
  <c r="D233" i="11"/>
  <c r="E232" i="11"/>
  <c r="D232" i="11"/>
  <c r="E231" i="11"/>
  <c r="D231" i="11"/>
  <c r="E230" i="11"/>
  <c r="D230" i="11"/>
  <c r="E229" i="11"/>
  <c r="G229" i="11" s="1"/>
  <c r="D229" i="11"/>
  <c r="G228" i="11"/>
  <c r="E228" i="11"/>
  <c r="D228" i="11"/>
  <c r="F228" i="11" s="1"/>
  <c r="E227" i="11"/>
  <c r="D227" i="11"/>
  <c r="E226" i="11"/>
  <c r="G227" i="11" s="1"/>
  <c r="D226" i="11"/>
  <c r="F226" i="11" s="1"/>
  <c r="E225" i="11"/>
  <c r="G225" i="11" s="1"/>
  <c r="D225" i="11"/>
  <c r="G224" i="11"/>
  <c r="E224" i="11"/>
  <c r="D224" i="11"/>
  <c r="F224" i="11" s="1"/>
  <c r="E223" i="11"/>
  <c r="D223" i="11"/>
  <c r="G222" i="11"/>
  <c r="E222" i="11"/>
  <c r="G223" i="11" s="1"/>
  <c r="D222" i="11"/>
  <c r="F222" i="11" s="1"/>
  <c r="E221" i="11"/>
  <c r="D221" i="11"/>
  <c r="E220" i="11"/>
  <c r="G221" i="11" s="1"/>
  <c r="D220" i="11"/>
  <c r="F220" i="11" s="1"/>
  <c r="E219" i="11"/>
  <c r="D219" i="11"/>
  <c r="E218" i="11"/>
  <c r="G219" i="11" s="1"/>
  <c r="D218" i="11"/>
  <c r="F218" i="11" s="1"/>
  <c r="E217" i="11"/>
  <c r="D217" i="11"/>
  <c r="E216" i="11"/>
  <c r="G216" i="11" s="1"/>
  <c r="D216" i="11"/>
  <c r="F216" i="11" s="1"/>
  <c r="E215" i="11"/>
  <c r="D215" i="11"/>
  <c r="E214" i="11"/>
  <c r="G214" i="11" s="1"/>
  <c r="D214" i="11"/>
  <c r="F214" i="11" s="1"/>
  <c r="E213" i="11"/>
  <c r="D213" i="11"/>
  <c r="E212" i="11"/>
  <c r="G212" i="11" s="1"/>
  <c r="D212" i="11"/>
  <c r="F212" i="11" s="1"/>
  <c r="E211" i="11"/>
  <c r="D211" i="11"/>
  <c r="E210" i="11"/>
  <c r="G210" i="11" s="1"/>
  <c r="D210" i="11"/>
  <c r="F210" i="11" s="1"/>
  <c r="E209" i="11"/>
  <c r="D209" i="11"/>
  <c r="E208" i="11"/>
  <c r="G208" i="11" s="1"/>
  <c r="D208" i="11"/>
  <c r="F208" i="11" s="1"/>
  <c r="E207" i="11"/>
  <c r="D207" i="11"/>
  <c r="E206" i="11"/>
  <c r="G206" i="11" s="1"/>
  <c r="D206" i="11"/>
  <c r="F206" i="11" s="1"/>
  <c r="E205" i="11"/>
  <c r="D205" i="11"/>
  <c r="E204" i="11"/>
  <c r="G204" i="11" s="1"/>
  <c r="D204" i="11"/>
  <c r="F204" i="11" s="1"/>
  <c r="E203" i="11"/>
  <c r="D203" i="11"/>
  <c r="E202" i="11"/>
  <c r="G202" i="11" s="1"/>
  <c r="D202" i="11"/>
  <c r="F202" i="11" s="1"/>
  <c r="E201" i="11"/>
  <c r="D201" i="11"/>
  <c r="E200" i="11"/>
  <c r="G200" i="11" s="1"/>
  <c r="D200" i="11"/>
  <c r="F200" i="11" s="1"/>
  <c r="E199" i="11"/>
  <c r="D199" i="11"/>
  <c r="E198" i="11"/>
  <c r="G198" i="11" s="1"/>
  <c r="D198" i="11"/>
  <c r="F198" i="11" s="1"/>
  <c r="E197" i="11"/>
  <c r="D197" i="11"/>
  <c r="E196" i="11"/>
  <c r="G196" i="11" s="1"/>
  <c r="D196" i="11"/>
  <c r="F196" i="11" s="1"/>
  <c r="E195" i="11"/>
  <c r="D195" i="11"/>
  <c r="E194" i="11"/>
  <c r="G194" i="11" s="1"/>
  <c r="D194" i="11"/>
  <c r="F194" i="11" s="1"/>
  <c r="E193" i="11"/>
  <c r="D193" i="11"/>
  <c r="E192" i="11"/>
  <c r="G192" i="11" s="1"/>
  <c r="D192" i="11"/>
  <c r="F192" i="11" s="1"/>
  <c r="E191" i="11"/>
  <c r="D191" i="11"/>
  <c r="E190" i="11"/>
  <c r="G190" i="11" s="1"/>
  <c r="D190" i="11"/>
  <c r="F190" i="11" s="1"/>
  <c r="E189" i="11"/>
  <c r="D189" i="11"/>
  <c r="E188" i="11"/>
  <c r="G188" i="11" s="1"/>
  <c r="D188" i="11"/>
  <c r="F188" i="11" s="1"/>
  <c r="E187" i="11"/>
  <c r="D187" i="11"/>
  <c r="E186" i="11"/>
  <c r="G186" i="11" s="1"/>
  <c r="D186" i="11"/>
  <c r="F186" i="11" s="1"/>
  <c r="E185" i="11"/>
  <c r="D185" i="11"/>
  <c r="E184" i="11"/>
  <c r="G184" i="11" s="1"/>
  <c r="D184" i="11"/>
  <c r="F184" i="11" s="1"/>
  <c r="E183" i="11"/>
  <c r="D183" i="11"/>
  <c r="E182" i="11"/>
  <c r="G182" i="11" s="1"/>
  <c r="D182" i="11"/>
  <c r="F182" i="11" s="1"/>
  <c r="E181" i="11"/>
  <c r="D181" i="11"/>
  <c r="E180" i="11"/>
  <c r="G180" i="11" s="1"/>
  <c r="D180" i="11"/>
  <c r="F180" i="11" s="1"/>
  <c r="E179" i="11"/>
  <c r="D179" i="11"/>
  <c r="E178" i="11"/>
  <c r="G178" i="11" s="1"/>
  <c r="D178" i="11"/>
  <c r="F178" i="11" s="1"/>
  <c r="E177" i="11"/>
  <c r="D177" i="11"/>
  <c r="E176" i="11"/>
  <c r="G176" i="11" s="1"/>
  <c r="D176" i="11"/>
  <c r="F176" i="11" s="1"/>
  <c r="E175" i="11"/>
  <c r="D175" i="11"/>
  <c r="E174" i="11"/>
  <c r="D174" i="11"/>
  <c r="E173" i="11"/>
  <c r="D173" i="11"/>
  <c r="E172" i="11"/>
  <c r="D172" i="11"/>
  <c r="E171" i="11"/>
  <c r="D171" i="11"/>
  <c r="E170" i="11"/>
  <c r="D170" i="11"/>
  <c r="E169" i="11"/>
  <c r="D169" i="11"/>
  <c r="E168" i="11"/>
  <c r="D168" i="11"/>
  <c r="E167" i="11"/>
  <c r="D167" i="11"/>
  <c r="E166" i="11"/>
  <c r="D166" i="11"/>
  <c r="E165" i="11"/>
  <c r="D165" i="11"/>
  <c r="E164" i="11"/>
  <c r="D164" i="11"/>
  <c r="E163" i="11"/>
  <c r="D163" i="11"/>
  <c r="E162" i="11"/>
  <c r="D162" i="11"/>
  <c r="E161" i="11"/>
  <c r="D161" i="11"/>
  <c r="E160" i="11"/>
  <c r="D160" i="11"/>
  <c r="E159" i="11"/>
  <c r="D159" i="11"/>
  <c r="F158" i="11"/>
  <c r="E158" i="11"/>
  <c r="D158" i="11"/>
  <c r="E157" i="11"/>
  <c r="D157" i="11"/>
  <c r="E156" i="11"/>
  <c r="G156" i="11" s="1"/>
  <c r="D156" i="11"/>
  <c r="F156" i="11" s="1"/>
  <c r="E155" i="11"/>
  <c r="D155" i="11"/>
  <c r="F155" i="11" s="1"/>
  <c r="F154" i="11"/>
  <c r="E154" i="11"/>
  <c r="D154" i="11"/>
  <c r="E153" i="11"/>
  <c r="G153" i="11" s="1"/>
  <c r="D153" i="11"/>
  <c r="E152" i="11"/>
  <c r="G152" i="11" s="1"/>
  <c r="D152" i="11"/>
  <c r="F152" i="11" s="1"/>
  <c r="F151" i="11"/>
  <c r="E151" i="11"/>
  <c r="D151" i="11"/>
  <c r="E150" i="11"/>
  <c r="G150" i="11" s="1"/>
  <c r="D150" i="11"/>
  <c r="E149" i="11"/>
  <c r="G149" i="11" s="1"/>
  <c r="D149" i="11"/>
  <c r="F150" i="11" s="1"/>
  <c r="E148" i="11"/>
  <c r="G148" i="11" s="1"/>
  <c r="D148" i="11"/>
  <c r="F147" i="11"/>
  <c r="E147" i="11"/>
  <c r="D147" i="11"/>
  <c r="E146" i="11"/>
  <c r="G146" i="11" s="1"/>
  <c r="D146" i="11"/>
  <c r="E145" i="11"/>
  <c r="D145" i="11"/>
  <c r="F145" i="11" s="1"/>
  <c r="E144" i="11"/>
  <c r="G144" i="11" s="1"/>
  <c r="D144" i="11"/>
  <c r="E143" i="11"/>
  <c r="D143" i="11"/>
  <c r="F143" i="11" s="1"/>
  <c r="F142" i="11"/>
  <c r="E142" i="11"/>
  <c r="D142" i="11"/>
  <c r="E141" i="11"/>
  <c r="D141" i="11"/>
  <c r="E140" i="11"/>
  <c r="G140" i="11" s="1"/>
  <c r="D140" i="11"/>
  <c r="F140" i="11" s="1"/>
  <c r="E139" i="11"/>
  <c r="D139" i="11"/>
  <c r="F139" i="11" s="1"/>
  <c r="F138" i="11"/>
  <c r="E138" i="11"/>
  <c r="D138" i="11"/>
  <c r="E137" i="11"/>
  <c r="G137" i="11" s="1"/>
  <c r="D137" i="11"/>
  <c r="E136" i="11"/>
  <c r="G136" i="11" s="1"/>
  <c r="D136" i="11"/>
  <c r="F136" i="11" s="1"/>
  <c r="F135" i="11"/>
  <c r="E135" i="11"/>
  <c r="D135" i="11"/>
  <c r="E134" i="11"/>
  <c r="G134" i="11" s="1"/>
  <c r="D134" i="11"/>
  <c r="E133" i="11"/>
  <c r="G133" i="11" s="1"/>
  <c r="D133" i="11"/>
  <c r="F133" i="11" s="1"/>
  <c r="E132" i="11"/>
  <c r="G132" i="11" s="1"/>
  <c r="D132" i="11"/>
  <c r="F131" i="11"/>
  <c r="E131" i="11"/>
  <c r="D131" i="11"/>
  <c r="E130" i="11"/>
  <c r="G130" i="11" s="1"/>
  <c r="D130" i="11"/>
  <c r="E129" i="11"/>
  <c r="D129" i="11"/>
  <c r="F129" i="11" s="1"/>
  <c r="E128" i="11"/>
  <c r="G128" i="11" s="1"/>
  <c r="D128" i="11"/>
  <c r="E127" i="11"/>
  <c r="D127" i="11"/>
  <c r="F127" i="11" s="1"/>
  <c r="F126" i="11"/>
  <c r="E126" i="11"/>
  <c r="D126" i="11"/>
  <c r="E125" i="11"/>
  <c r="D125" i="11"/>
  <c r="E124" i="11"/>
  <c r="G124" i="11" s="1"/>
  <c r="D124" i="11"/>
  <c r="F124" i="11" s="1"/>
  <c r="E123" i="11"/>
  <c r="D123" i="11"/>
  <c r="F123" i="11" s="1"/>
  <c r="F122" i="11"/>
  <c r="E122" i="11"/>
  <c r="D122" i="11"/>
  <c r="E121" i="11"/>
  <c r="G121" i="11" s="1"/>
  <c r="D121" i="11"/>
  <c r="E120" i="11"/>
  <c r="G120" i="11" s="1"/>
  <c r="D120" i="11"/>
  <c r="F120" i="11" s="1"/>
  <c r="F119" i="11"/>
  <c r="E119" i="11"/>
  <c r="D119" i="11"/>
  <c r="E118" i="11"/>
  <c r="G118" i="11" s="1"/>
  <c r="D118" i="11"/>
  <c r="E117" i="11"/>
  <c r="G117" i="11" s="1"/>
  <c r="D117" i="11"/>
  <c r="F118" i="11" s="1"/>
  <c r="E116" i="11"/>
  <c r="G116" i="11" s="1"/>
  <c r="D116" i="11"/>
  <c r="F115" i="11"/>
  <c r="E115" i="11"/>
  <c r="D115" i="11"/>
  <c r="E114" i="11"/>
  <c r="G114" i="11" s="1"/>
  <c r="D114" i="11"/>
  <c r="E113" i="11"/>
  <c r="D113" i="11"/>
  <c r="F113" i="11" s="1"/>
  <c r="E112" i="11"/>
  <c r="G112" i="11" s="1"/>
  <c r="D112" i="11"/>
  <c r="E111" i="11"/>
  <c r="D111" i="11"/>
  <c r="F111" i="11" s="1"/>
  <c r="E110" i="11"/>
  <c r="D110" i="11"/>
  <c r="E109" i="11"/>
  <c r="G109" i="11" s="1"/>
  <c r="D109" i="11"/>
  <c r="F110" i="11" s="1"/>
  <c r="E108" i="11"/>
  <c r="D108" i="11"/>
  <c r="F109" i="11" s="1"/>
  <c r="E107" i="11"/>
  <c r="D107" i="11"/>
  <c r="E106" i="11"/>
  <c r="G106" i="11" s="1"/>
  <c r="D106" i="11"/>
  <c r="F106" i="11" s="1"/>
  <c r="E105" i="11"/>
  <c r="D105" i="11"/>
  <c r="E104" i="11"/>
  <c r="D104" i="11"/>
  <c r="E103" i="11"/>
  <c r="G103" i="11" s="1"/>
  <c r="D103" i="11"/>
  <c r="F103" i="11" s="1"/>
  <c r="E102" i="11"/>
  <c r="D102" i="11"/>
  <c r="E101" i="11"/>
  <c r="G101" i="11" s="1"/>
  <c r="D101" i="11"/>
  <c r="F101" i="11" s="1"/>
  <c r="E100" i="11"/>
  <c r="D100" i="11"/>
  <c r="F100" i="11" s="1"/>
  <c r="E99" i="11"/>
  <c r="D99" i="11"/>
  <c r="E98" i="11"/>
  <c r="G98" i="11" s="1"/>
  <c r="D98" i="11"/>
  <c r="F98" i="11" s="1"/>
  <c r="E97" i="11"/>
  <c r="D97" i="11"/>
  <c r="E96" i="11"/>
  <c r="D96" i="11"/>
  <c r="E95" i="11"/>
  <c r="D95" i="11"/>
  <c r="F95" i="11" s="1"/>
  <c r="E94" i="11"/>
  <c r="G94" i="11" s="1"/>
  <c r="D94" i="11"/>
  <c r="E93" i="11"/>
  <c r="D93" i="11"/>
  <c r="F93" i="11" s="1"/>
  <c r="F92" i="11"/>
  <c r="E92" i="11"/>
  <c r="D92" i="11"/>
  <c r="E91" i="11"/>
  <c r="D91" i="11"/>
  <c r="E90" i="11"/>
  <c r="D90" i="11"/>
  <c r="F90" i="11" s="1"/>
  <c r="E89" i="11"/>
  <c r="G89" i="11" s="1"/>
  <c r="D89" i="11"/>
  <c r="E88" i="11"/>
  <c r="D88" i="11"/>
  <c r="F88" i="11" s="1"/>
  <c r="E87" i="11"/>
  <c r="D87" i="11"/>
  <c r="F87" i="11" s="1"/>
  <c r="E86" i="11"/>
  <c r="G86" i="11" s="1"/>
  <c r="D86" i="11"/>
  <c r="E85" i="11"/>
  <c r="G85" i="11" s="1"/>
  <c r="D85" i="11"/>
  <c r="F84" i="11"/>
  <c r="E84" i="11"/>
  <c r="D84" i="11"/>
  <c r="G83" i="11"/>
  <c r="F83" i="11"/>
  <c r="E83" i="11"/>
  <c r="D83" i="11"/>
  <c r="G82" i="11"/>
  <c r="F82" i="11"/>
  <c r="E82" i="11"/>
  <c r="D82" i="11"/>
  <c r="G81" i="11"/>
  <c r="F81" i="11"/>
  <c r="E81" i="11"/>
  <c r="D81" i="11"/>
  <c r="G80" i="11"/>
  <c r="F80" i="11"/>
  <c r="E80" i="11"/>
  <c r="D80" i="11"/>
  <c r="G79" i="11"/>
  <c r="F79" i="11"/>
  <c r="E79" i="11"/>
  <c r="D79" i="11"/>
  <c r="G78" i="11"/>
  <c r="F78" i="11"/>
  <c r="E78" i="11"/>
  <c r="D78" i="11"/>
  <c r="G77" i="11"/>
  <c r="F77" i="11"/>
  <c r="E77" i="11"/>
  <c r="D77" i="11"/>
  <c r="G76" i="11"/>
  <c r="F76" i="11"/>
  <c r="E76" i="11"/>
  <c r="D76" i="11"/>
  <c r="G75" i="11"/>
  <c r="F75" i="11"/>
  <c r="E75" i="11"/>
  <c r="D75" i="11"/>
  <c r="G74" i="11"/>
  <c r="F74" i="11"/>
  <c r="E74" i="11"/>
  <c r="D74" i="11"/>
  <c r="G73" i="11"/>
  <c r="F73" i="11"/>
  <c r="E73" i="11"/>
  <c r="D73" i="11"/>
  <c r="G72" i="11"/>
  <c r="F72" i="11"/>
  <c r="E72" i="11"/>
  <c r="D72" i="11"/>
  <c r="G71" i="11"/>
  <c r="F71" i="11"/>
  <c r="E71" i="11"/>
  <c r="D71" i="11"/>
  <c r="G70" i="11"/>
  <c r="F70" i="11"/>
  <c r="E70" i="11"/>
  <c r="D70" i="11"/>
  <c r="G69" i="11"/>
  <c r="F69" i="11"/>
  <c r="E69" i="11"/>
  <c r="D69" i="11"/>
  <c r="G68" i="11"/>
  <c r="F68" i="11"/>
  <c r="E68" i="11"/>
  <c r="D68" i="11"/>
  <c r="G67" i="11"/>
  <c r="F67" i="11"/>
  <c r="E67" i="11"/>
  <c r="D67" i="11"/>
  <c r="G66" i="11"/>
  <c r="F66" i="11"/>
  <c r="E66" i="11"/>
  <c r="D66" i="11"/>
  <c r="G65" i="11"/>
  <c r="F65" i="11"/>
  <c r="E65" i="11"/>
  <c r="D65" i="11"/>
  <c r="G64" i="11"/>
  <c r="F64" i="11"/>
  <c r="E64" i="11"/>
  <c r="D64" i="11"/>
  <c r="G63" i="11"/>
  <c r="F63" i="11"/>
  <c r="E63" i="11"/>
  <c r="D63" i="11"/>
  <c r="G62" i="11"/>
  <c r="F62" i="11"/>
  <c r="E62" i="11"/>
  <c r="D62" i="11"/>
  <c r="G61" i="11"/>
  <c r="F61" i="11"/>
  <c r="E61" i="11"/>
  <c r="D61" i="11"/>
  <c r="G60" i="11"/>
  <c r="F60" i="11"/>
  <c r="E60" i="11"/>
  <c r="D60" i="11"/>
  <c r="G59" i="11"/>
  <c r="F59" i="11"/>
  <c r="E59" i="11"/>
  <c r="D59" i="11"/>
  <c r="G58" i="11"/>
  <c r="F58" i="11"/>
  <c r="E58" i="11"/>
  <c r="D58" i="11"/>
  <c r="G57" i="11"/>
  <c r="F57" i="11"/>
  <c r="E57" i="11"/>
  <c r="D57" i="11"/>
  <c r="G56" i="11"/>
  <c r="F56" i="11"/>
  <c r="E56" i="11"/>
  <c r="D56" i="11"/>
  <c r="G55" i="11"/>
  <c r="F55" i="11"/>
  <c r="E55" i="11"/>
  <c r="D55" i="11"/>
  <c r="G54" i="11"/>
  <c r="F54" i="11"/>
  <c r="E54" i="11"/>
  <c r="D54" i="11"/>
  <c r="G53" i="11"/>
  <c r="F53" i="11"/>
  <c r="E53" i="11"/>
  <c r="D53" i="11"/>
  <c r="G52" i="11"/>
  <c r="F52" i="11"/>
  <c r="E52" i="11"/>
  <c r="D52" i="11"/>
  <c r="G51" i="11"/>
  <c r="F51" i="11"/>
  <c r="E51" i="11"/>
  <c r="D51" i="11"/>
  <c r="G50" i="11"/>
  <c r="F50" i="11"/>
  <c r="E50" i="11"/>
  <c r="D50" i="11"/>
  <c r="G49" i="11"/>
  <c r="F49" i="11"/>
  <c r="E49" i="11"/>
  <c r="D49" i="11"/>
  <c r="G48" i="11"/>
  <c r="F48" i="11"/>
  <c r="E48" i="11"/>
  <c r="D48" i="11"/>
  <c r="G47" i="11"/>
  <c r="F47" i="11"/>
  <c r="E47" i="11"/>
  <c r="D47" i="11"/>
  <c r="F46" i="11"/>
  <c r="E46" i="11"/>
  <c r="D46" i="11"/>
  <c r="E45" i="11"/>
  <c r="G46" i="11" s="1"/>
  <c r="D45" i="11"/>
  <c r="E44" i="11"/>
  <c r="D44" i="11"/>
  <c r="F45" i="11" s="1"/>
  <c r="E43" i="11"/>
  <c r="G43" i="11" s="1"/>
  <c r="D43" i="11"/>
  <c r="E42" i="11"/>
  <c r="G42" i="11" s="1"/>
  <c r="D42" i="11"/>
  <c r="F43" i="11" s="1"/>
  <c r="E41" i="11"/>
  <c r="D41" i="11"/>
  <c r="G40" i="11"/>
  <c r="E40" i="11"/>
  <c r="G41" i="11" s="1"/>
  <c r="D40" i="11"/>
  <c r="E39" i="11"/>
  <c r="G39" i="11" s="1"/>
  <c r="D39" i="11"/>
  <c r="E38" i="11"/>
  <c r="G38" i="11" s="1"/>
  <c r="D38" i="11"/>
  <c r="F38" i="11" s="1"/>
  <c r="E37" i="11"/>
  <c r="D37" i="11"/>
  <c r="F37" i="11" s="1"/>
  <c r="E36" i="11"/>
  <c r="G37" i="11" s="1"/>
  <c r="D36" i="11"/>
  <c r="E35" i="11"/>
  <c r="G35" i="11" s="1"/>
  <c r="D35" i="11"/>
  <c r="E34" i="11"/>
  <c r="G34" i="11" s="1"/>
  <c r="D34" i="11"/>
  <c r="F34" i="11" s="1"/>
  <c r="E33" i="11"/>
  <c r="D33" i="11"/>
  <c r="F33" i="11" s="1"/>
  <c r="E32" i="11"/>
  <c r="G33" i="11" s="1"/>
  <c r="D32" i="11"/>
  <c r="E31" i="11"/>
  <c r="G31" i="11" s="1"/>
  <c r="D31" i="11"/>
  <c r="E30" i="11"/>
  <c r="G30" i="11" s="1"/>
  <c r="D30" i="11"/>
  <c r="F30" i="11" s="1"/>
  <c r="E29" i="11"/>
  <c r="D29" i="11"/>
  <c r="F29" i="11" s="1"/>
  <c r="E28" i="11"/>
  <c r="G29" i="11" s="1"/>
  <c r="D28" i="11"/>
  <c r="E27" i="11"/>
  <c r="G28" i="11" s="1"/>
  <c r="D27" i="11"/>
  <c r="E26" i="11"/>
  <c r="G26" i="11" s="1"/>
  <c r="D26" i="11"/>
  <c r="F26" i="11" s="1"/>
  <c r="E25" i="11"/>
  <c r="D25" i="11"/>
  <c r="F25" i="11" s="1"/>
  <c r="E24" i="11"/>
  <c r="G25" i="11" s="1"/>
  <c r="D24" i="11"/>
  <c r="E23" i="11"/>
  <c r="G24" i="11" s="1"/>
  <c r="D23" i="11"/>
  <c r="E22" i="11"/>
  <c r="G22" i="11" s="1"/>
  <c r="D22" i="11"/>
  <c r="F22" i="11" s="1"/>
  <c r="E21" i="11"/>
  <c r="D21" i="11"/>
  <c r="F21" i="11" s="1"/>
  <c r="E20" i="11"/>
  <c r="G21" i="11" s="1"/>
  <c r="D20" i="11"/>
  <c r="E19" i="11"/>
  <c r="G20" i="11" s="1"/>
  <c r="D19" i="11"/>
  <c r="E18" i="11"/>
  <c r="G18" i="11" s="1"/>
  <c r="D18" i="11"/>
  <c r="F18" i="11" s="1"/>
  <c r="E17" i="11"/>
  <c r="D17" i="11"/>
  <c r="F17" i="11" s="1"/>
  <c r="E16" i="11"/>
  <c r="G17" i="11" s="1"/>
  <c r="D16" i="11"/>
  <c r="E15" i="11"/>
  <c r="G15" i="11" s="1"/>
  <c r="D15" i="11"/>
  <c r="E14" i="11"/>
  <c r="G14" i="11" s="1"/>
  <c r="D14" i="11"/>
  <c r="F14" i="11" s="1"/>
  <c r="E13" i="11"/>
  <c r="D13" i="11"/>
  <c r="F13" i="11" s="1"/>
  <c r="E12" i="11"/>
  <c r="G13" i="11" s="1"/>
  <c r="D12" i="11"/>
  <c r="E11" i="11"/>
  <c r="G11" i="11" s="1"/>
  <c r="D11" i="11"/>
  <c r="E10" i="11"/>
  <c r="G10" i="11" s="1"/>
  <c r="D10" i="11"/>
  <c r="F10" i="11" s="1"/>
  <c r="E9" i="11"/>
  <c r="D9" i="11"/>
  <c r="F9" i="11" s="1"/>
  <c r="E8" i="11"/>
  <c r="G9" i="11" s="1"/>
  <c r="D8" i="11"/>
  <c r="E7" i="11"/>
  <c r="G7" i="11" s="1"/>
  <c r="D7" i="11"/>
  <c r="E6" i="11"/>
  <c r="G6" i="11" s="1"/>
  <c r="D6" i="11"/>
  <c r="F6" i="11" s="1"/>
  <c r="E5" i="11"/>
  <c r="D5" i="11"/>
  <c r="F5" i="11" s="1"/>
  <c r="E4" i="11"/>
  <c r="G5" i="11" s="1"/>
  <c r="D4" i="11"/>
  <c r="E3" i="11"/>
  <c r="G4" i="11" s="1"/>
  <c r="D3" i="11"/>
  <c r="E2" i="11"/>
  <c r="G2" i="11" s="1"/>
  <c r="D2" i="11"/>
  <c r="F2" i="11" s="1"/>
  <c r="G8" i="11" l="1"/>
  <c r="G16" i="11"/>
  <c r="G32" i="11"/>
  <c r="G36" i="11"/>
  <c r="F104" i="11"/>
  <c r="G3" i="11"/>
  <c r="G19" i="11"/>
  <c r="G23" i="11"/>
  <c r="G27" i="11"/>
  <c r="F96" i="11"/>
  <c r="F121" i="11"/>
  <c r="F134" i="11"/>
  <c r="F153" i="11"/>
  <c r="F4" i="11"/>
  <c r="F8" i="11"/>
  <c r="F12" i="11"/>
  <c r="F16" i="11"/>
  <c r="F20" i="11"/>
  <c r="F24" i="11"/>
  <c r="F28" i="11"/>
  <c r="F32" i="11"/>
  <c r="F36" i="11"/>
  <c r="F41" i="11"/>
  <c r="G45" i="11"/>
  <c r="F85" i="11"/>
  <c r="G90" i="11"/>
  <c r="G105" i="11"/>
  <c r="G107" i="11"/>
  <c r="F108" i="11"/>
  <c r="G110" i="11"/>
  <c r="G113" i="11"/>
  <c r="F114" i="11"/>
  <c r="F116" i="11"/>
  <c r="F117" i="11"/>
  <c r="G126" i="11"/>
  <c r="G129" i="11"/>
  <c r="F130" i="11"/>
  <c r="F132" i="11"/>
  <c r="G142" i="11"/>
  <c r="G145" i="11"/>
  <c r="F146" i="11"/>
  <c r="F148" i="11"/>
  <c r="F149" i="11"/>
  <c r="G158" i="11"/>
  <c r="F160" i="11"/>
  <c r="F162" i="11"/>
  <c r="F164" i="11"/>
  <c r="F166" i="11"/>
  <c r="F168" i="11"/>
  <c r="F170" i="11"/>
  <c r="F172" i="11"/>
  <c r="F174" i="11"/>
  <c r="G12" i="11"/>
  <c r="F42" i="11"/>
  <c r="F91" i="11"/>
  <c r="F137" i="11"/>
  <c r="F3" i="11"/>
  <c r="F7" i="11"/>
  <c r="F11" i="11"/>
  <c r="F15" i="11"/>
  <c r="F19" i="11"/>
  <c r="F23" i="11"/>
  <c r="F27" i="11"/>
  <c r="F31" i="11"/>
  <c r="F35" i="11"/>
  <c r="F39" i="11"/>
  <c r="F44" i="11"/>
  <c r="G44" i="11"/>
  <c r="G99" i="11"/>
  <c r="G102" i="11"/>
  <c r="G104" i="11"/>
  <c r="F107" i="11"/>
  <c r="F112" i="11"/>
  <c r="G122" i="11"/>
  <c r="G125" i="11"/>
  <c r="F128" i="11"/>
  <c r="G138" i="11"/>
  <c r="G141" i="11"/>
  <c r="F144" i="11"/>
  <c r="G154" i="11"/>
  <c r="G157" i="11"/>
  <c r="F99" i="11"/>
  <c r="F125" i="11"/>
  <c r="F141" i="11"/>
  <c r="F157" i="11"/>
  <c r="G226" i="11"/>
  <c r="F86" i="11"/>
  <c r="F89" i="11"/>
  <c r="F94" i="11"/>
  <c r="F97" i="11"/>
  <c r="G100" i="11"/>
  <c r="F102" i="11"/>
  <c r="F105" i="11"/>
  <c r="G108" i="11"/>
  <c r="G111" i="11"/>
  <c r="G115" i="11"/>
  <c r="G119" i="11"/>
  <c r="G123" i="11"/>
  <c r="G127" i="11"/>
  <c r="G131" i="11"/>
  <c r="G135" i="11"/>
  <c r="G139" i="11"/>
  <c r="G143" i="11"/>
  <c r="G147" i="11"/>
  <c r="G151" i="11"/>
  <c r="G155" i="11"/>
  <c r="G161" i="11"/>
  <c r="G163" i="11"/>
  <c r="G165" i="11"/>
  <c r="G167" i="11"/>
  <c r="G169" i="11"/>
  <c r="G171" i="11"/>
  <c r="G173" i="11"/>
  <c r="G175" i="11"/>
  <c r="G177" i="11"/>
  <c r="G179" i="11"/>
  <c r="G181" i="11"/>
  <c r="G183" i="11"/>
  <c r="G185" i="11"/>
  <c r="G187" i="11"/>
  <c r="G189" i="11"/>
  <c r="G191" i="11"/>
  <c r="G193" i="11"/>
  <c r="G195" i="11"/>
  <c r="G197" i="11"/>
  <c r="G199" i="11"/>
  <c r="G201" i="11"/>
  <c r="G203" i="11"/>
  <c r="G205" i="11"/>
  <c r="G207" i="11"/>
  <c r="G209" i="11"/>
  <c r="G211" i="11"/>
  <c r="G213" i="11"/>
  <c r="G215" i="11"/>
  <c r="G218" i="11"/>
  <c r="G220" i="11"/>
  <c r="G231" i="11"/>
  <c r="G233" i="11"/>
  <c r="G235" i="11"/>
  <c r="G237" i="11"/>
  <c r="G239" i="11"/>
  <c r="G341" i="11"/>
  <c r="G343" i="11"/>
  <c r="G345" i="11"/>
  <c r="G347" i="11"/>
  <c r="G349" i="11"/>
  <c r="G351" i="11"/>
  <c r="G353" i="11"/>
  <c r="G355" i="11"/>
  <c r="G429" i="11"/>
  <c r="G445" i="11"/>
  <c r="G461" i="11"/>
  <c r="G465" i="11"/>
  <c r="G93" i="11"/>
  <c r="G97" i="11"/>
  <c r="G84" i="11"/>
  <c r="G88" i="11"/>
  <c r="G92" i="11"/>
  <c r="G96" i="11"/>
  <c r="F40" i="11"/>
  <c r="G87" i="11"/>
  <c r="G91" i="11"/>
  <c r="G95" i="11"/>
  <c r="G160" i="11"/>
  <c r="G162" i="11"/>
  <c r="G164" i="11"/>
  <c r="G166" i="11"/>
  <c r="G168" i="11"/>
  <c r="G170" i="11"/>
  <c r="G172" i="11"/>
  <c r="G174" i="11"/>
  <c r="F225" i="11"/>
  <c r="F229" i="11"/>
  <c r="F159" i="11"/>
  <c r="F161" i="11"/>
  <c r="F163" i="11"/>
  <c r="F165" i="11"/>
  <c r="F167" i="11"/>
  <c r="F169" i="11"/>
  <c r="F171" i="11"/>
  <c r="F173" i="11"/>
  <c r="F175" i="11"/>
  <c r="F177" i="11"/>
  <c r="F179" i="11"/>
  <c r="F181" i="11"/>
  <c r="F183" i="11"/>
  <c r="F185" i="11"/>
  <c r="F187" i="11"/>
  <c r="F189" i="11"/>
  <c r="F191" i="11"/>
  <c r="F193" i="11"/>
  <c r="F195" i="11"/>
  <c r="F197" i="11"/>
  <c r="F199" i="11"/>
  <c r="F201" i="11"/>
  <c r="F203" i="11"/>
  <c r="F205" i="11"/>
  <c r="F207" i="11"/>
  <c r="F209" i="11"/>
  <c r="F211" i="11"/>
  <c r="F213" i="11"/>
  <c r="F215" i="11"/>
  <c r="F217" i="11"/>
  <c r="F219" i="11"/>
  <c r="F221" i="11"/>
  <c r="G159" i="11"/>
  <c r="F223" i="11"/>
  <c r="F227" i="11"/>
  <c r="F231" i="11"/>
  <c r="F233" i="11"/>
  <c r="F235" i="11"/>
  <c r="F237" i="11"/>
  <c r="F239" i="11"/>
  <c r="F241" i="11"/>
  <c r="F243" i="11"/>
  <c r="F245" i="11"/>
  <c r="F247" i="11"/>
  <c r="F249" i="11"/>
  <c r="F251" i="11"/>
  <c r="F253" i="11"/>
  <c r="F255" i="11"/>
  <c r="F257" i="11"/>
  <c r="F259" i="11"/>
  <c r="F261" i="11"/>
  <c r="F263" i="11"/>
  <c r="F265" i="11"/>
  <c r="F267" i="11"/>
  <c r="F269" i="11"/>
  <c r="F271" i="11"/>
  <c r="F273" i="11"/>
  <c r="F275" i="11"/>
  <c r="F277" i="11"/>
  <c r="G217" i="11"/>
  <c r="G241" i="11"/>
  <c r="G243" i="11"/>
  <c r="G245" i="11"/>
  <c r="G247" i="11"/>
  <c r="G249" i="11"/>
  <c r="G251" i="11"/>
  <c r="G253" i="11"/>
  <c r="G255" i="11"/>
  <c r="G257" i="11"/>
  <c r="G259" i="11"/>
  <c r="G261" i="11"/>
  <c r="G263" i="11"/>
  <c r="G265" i="11"/>
  <c r="G267" i="11"/>
  <c r="G269" i="11"/>
  <c r="G271" i="11"/>
  <c r="G273" i="11"/>
  <c r="G275" i="11"/>
  <c r="G277" i="11"/>
  <c r="G279" i="11"/>
  <c r="G281" i="11"/>
  <c r="F356" i="11"/>
  <c r="G359" i="11"/>
  <c r="G361" i="11"/>
  <c r="F363" i="11"/>
  <c r="G424" i="11"/>
  <c r="G426" i="11"/>
  <c r="F428" i="11"/>
  <c r="G433" i="11"/>
  <c r="G440" i="11"/>
  <c r="F444" i="11"/>
  <c r="G449" i="11"/>
  <c r="G504" i="11"/>
  <c r="F279" i="11"/>
  <c r="F281" i="11"/>
  <c r="F283" i="11"/>
  <c r="F285" i="11"/>
  <c r="F287" i="11"/>
  <c r="F289" i="11"/>
  <c r="F291" i="11"/>
  <c r="F293" i="11"/>
  <c r="F295" i="11"/>
  <c r="F297" i="11"/>
  <c r="F299" i="11"/>
  <c r="F301" i="11"/>
  <c r="F303" i="11"/>
  <c r="F305" i="11"/>
  <c r="F307" i="11"/>
  <c r="F309" i="11"/>
  <c r="F311" i="11"/>
  <c r="F313" i="11"/>
  <c r="F315" i="11"/>
  <c r="F317" i="11"/>
  <c r="F319" i="11"/>
  <c r="F321" i="11"/>
  <c r="F323" i="11"/>
  <c r="F325" i="11"/>
  <c r="F327" i="11"/>
  <c r="F329" i="11"/>
  <c r="F331" i="11"/>
  <c r="F333" i="11"/>
  <c r="F335" i="11"/>
  <c r="F337" i="11"/>
  <c r="F339" i="11"/>
  <c r="F341" i="11"/>
  <c r="F343" i="11"/>
  <c r="F345" i="11"/>
  <c r="F347" i="11"/>
  <c r="F349" i="11"/>
  <c r="F351" i="11"/>
  <c r="G356" i="11"/>
  <c r="G363" i="11"/>
  <c r="G367" i="11"/>
  <c r="G369" i="11"/>
  <c r="G371" i="11"/>
  <c r="G373" i="11"/>
  <c r="G375" i="11"/>
  <c r="G377" i="11"/>
  <c r="G379" i="11"/>
  <c r="G381" i="11"/>
  <c r="G383" i="11"/>
  <c r="G385" i="11"/>
  <c r="G387" i="11"/>
  <c r="G389" i="11"/>
  <c r="G391" i="11"/>
  <c r="G393" i="11"/>
  <c r="G395" i="11"/>
  <c r="G397" i="11"/>
  <c r="G399" i="11"/>
  <c r="G401" i="11"/>
  <c r="G403" i="11"/>
  <c r="G405" i="11"/>
  <c r="G407" i="11"/>
  <c r="G409" i="11"/>
  <c r="G411" i="11"/>
  <c r="G413" i="11"/>
  <c r="G415" i="11"/>
  <c r="G417" i="11"/>
  <c r="G419" i="11"/>
  <c r="G421" i="11"/>
  <c r="F425" i="11"/>
  <c r="G428" i="11"/>
  <c r="F432" i="11"/>
  <c r="G437" i="11"/>
  <c r="F441" i="11"/>
  <c r="G444" i="11"/>
  <c r="F448" i="11"/>
  <c r="G453" i="11"/>
  <c r="F457" i="11"/>
  <c r="G460" i="11"/>
  <c r="F464" i="11"/>
  <c r="G469" i="11"/>
  <c r="F473" i="11"/>
  <c r="F475" i="11"/>
  <c r="G283" i="11"/>
  <c r="G285" i="11"/>
  <c r="G287" i="11"/>
  <c r="G289" i="11"/>
  <c r="G291" i="11"/>
  <c r="G293" i="11"/>
  <c r="G295" i="11"/>
  <c r="G297" i="11"/>
  <c r="G299" i="11"/>
  <c r="G301" i="11"/>
  <c r="G303" i="11"/>
  <c r="G305" i="11"/>
  <c r="G307" i="11"/>
  <c r="G309" i="11"/>
  <c r="G311" i="11"/>
  <c r="G313" i="11"/>
  <c r="G315" i="11"/>
  <c r="G317" i="11"/>
  <c r="G319" i="11"/>
  <c r="G321" i="11"/>
  <c r="G323" i="11"/>
  <c r="G325" i="11"/>
  <c r="G327" i="11"/>
  <c r="G329" i="11"/>
  <c r="G331" i="11"/>
  <c r="G333" i="11"/>
  <c r="G335" i="11"/>
  <c r="G337" i="11"/>
  <c r="G339" i="11"/>
  <c r="F355" i="11"/>
  <c r="F418" i="11"/>
  <c r="F420" i="11"/>
  <c r="G425" i="11"/>
  <c r="G432" i="11"/>
  <c r="F436" i="11"/>
  <c r="G441" i="11"/>
  <c r="G448" i="11"/>
  <c r="G450" i="11"/>
  <c r="F452" i="11"/>
  <c r="G457" i="11"/>
  <c r="G464" i="11"/>
  <c r="G466" i="11"/>
  <c r="F468" i="11"/>
  <c r="G473" i="11"/>
  <c r="F442" i="11"/>
  <c r="F474" i="11"/>
  <c r="F230" i="11"/>
  <c r="F232" i="11"/>
  <c r="F234" i="11"/>
  <c r="F236" i="11"/>
  <c r="F238" i="11"/>
  <c r="F240" i="11"/>
  <c r="F242" i="11"/>
  <c r="F244" i="11"/>
  <c r="F246" i="11"/>
  <c r="F248" i="11"/>
  <c r="F250" i="11"/>
  <c r="F252" i="11"/>
  <c r="F254" i="11"/>
  <c r="F256" i="11"/>
  <c r="F258" i="11"/>
  <c r="F260" i="11"/>
  <c r="F262" i="11"/>
  <c r="F264" i="11"/>
  <c r="F266" i="11"/>
  <c r="F268" i="11"/>
  <c r="F270" i="11"/>
  <c r="F272" i="11"/>
  <c r="F274" i="11"/>
  <c r="F276" i="11"/>
  <c r="F278" i="11"/>
  <c r="F280" i="11"/>
  <c r="F282" i="11"/>
  <c r="F284" i="11"/>
  <c r="F286" i="11"/>
  <c r="F288" i="11"/>
  <c r="F290" i="11"/>
  <c r="F292" i="11"/>
  <c r="F294" i="11"/>
  <c r="F296" i="11"/>
  <c r="F298" i="11"/>
  <c r="F300" i="11"/>
  <c r="F302" i="11"/>
  <c r="F304" i="11"/>
  <c r="F306" i="11"/>
  <c r="F308" i="11"/>
  <c r="F310" i="11"/>
  <c r="F312" i="11"/>
  <c r="F314" i="11"/>
  <c r="F316" i="11"/>
  <c r="F318" i="11"/>
  <c r="F320" i="11"/>
  <c r="F322" i="11"/>
  <c r="F324" i="11"/>
  <c r="F326" i="11"/>
  <c r="F328" i="11"/>
  <c r="F330" i="11"/>
  <c r="F332" i="11"/>
  <c r="F334" i="11"/>
  <c r="F336" i="11"/>
  <c r="F338" i="11"/>
  <c r="F340" i="11"/>
  <c r="F342" i="11"/>
  <c r="F344" i="11"/>
  <c r="F346" i="11"/>
  <c r="F348" i="11"/>
  <c r="F350" i="11"/>
  <c r="F352" i="11"/>
  <c r="F353" i="11"/>
  <c r="F360" i="11"/>
  <c r="F361" i="11"/>
  <c r="F434" i="11"/>
  <c r="F466" i="11"/>
  <c r="F357" i="11"/>
  <c r="F450" i="11"/>
  <c r="G230" i="11"/>
  <c r="G232" i="11"/>
  <c r="G234" i="11"/>
  <c r="G236" i="11"/>
  <c r="G238" i="11"/>
  <c r="G240" i="11"/>
  <c r="G242" i="11"/>
  <c r="G244" i="11"/>
  <c r="G246" i="11"/>
  <c r="G248" i="11"/>
  <c r="G250" i="11"/>
  <c r="G252" i="11"/>
  <c r="G254" i="11"/>
  <c r="G256" i="11"/>
  <c r="G258" i="11"/>
  <c r="G260" i="11"/>
  <c r="G262" i="11"/>
  <c r="G264" i="11"/>
  <c r="G266" i="11"/>
  <c r="G268" i="11"/>
  <c r="G270" i="11"/>
  <c r="G272" i="11"/>
  <c r="G274" i="11"/>
  <c r="G276" i="11"/>
  <c r="G278" i="11"/>
  <c r="G280" i="11"/>
  <c r="G282" i="11"/>
  <c r="G284" i="11"/>
  <c r="G286" i="11"/>
  <c r="G288" i="11"/>
  <c r="G290" i="11"/>
  <c r="G292" i="11"/>
  <c r="G294" i="11"/>
  <c r="G296" i="11"/>
  <c r="G298" i="11"/>
  <c r="G300" i="11"/>
  <c r="G302" i="11"/>
  <c r="G304" i="11"/>
  <c r="G306" i="11"/>
  <c r="G308" i="11"/>
  <c r="G310" i="11"/>
  <c r="G312" i="11"/>
  <c r="G314" i="11"/>
  <c r="G316" i="11"/>
  <c r="G318" i="11"/>
  <c r="G320" i="11"/>
  <c r="G322" i="11"/>
  <c r="G324" i="11"/>
  <c r="G326" i="11"/>
  <c r="G328" i="11"/>
  <c r="G330" i="11"/>
  <c r="G332" i="11"/>
  <c r="G334" i="11"/>
  <c r="G336" i="11"/>
  <c r="G338" i="11"/>
  <c r="G340" i="11"/>
  <c r="G342" i="11"/>
  <c r="G344" i="11"/>
  <c r="G346" i="11"/>
  <c r="G348" i="11"/>
  <c r="G350" i="11"/>
  <c r="G352" i="11"/>
  <c r="G357" i="11"/>
  <c r="G365" i="11"/>
  <c r="F426" i="11"/>
  <c r="F458" i="11"/>
  <c r="G366" i="11"/>
  <c r="G368" i="11"/>
  <c r="G370" i="11"/>
  <c r="G372" i="11"/>
  <c r="G374" i="11"/>
  <c r="G376" i="11"/>
  <c r="G378" i="11"/>
  <c r="G380" i="11"/>
  <c r="G382" i="11"/>
  <c r="G384" i="11"/>
  <c r="G386" i="11"/>
  <c r="G388" i="11"/>
  <c r="G390" i="11"/>
  <c r="G392" i="11"/>
  <c r="G394" i="11"/>
  <c r="G396" i="11"/>
  <c r="G398" i="11"/>
  <c r="G400" i="11"/>
  <c r="G402" i="11"/>
  <c r="G404" i="11"/>
  <c r="G406" i="11"/>
  <c r="G408" i="11"/>
  <c r="G410" i="11"/>
  <c r="G412" i="11"/>
  <c r="G414" i="11"/>
  <c r="G416" i="11"/>
  <c r="G418" i="11"/>
  <c r="G420" i="11"/>
  <c r="G422" i="11"/>
  <c r="G430" i="11"/>
  <c r="G438" i="11"/>
  <c r="G446" i="11"/>
  <c r="G454" i="11"/>
  <c r="G462" i="11"/>
  <c r="G470" i="11"/>
  <c r="G354" i="11"/>
  <c r="G358" i="11"/>
  <c r="G362" i="11"/>
  <c r="F365" i="11"/>
  <c r="F367" i="11"/>
  <c r="F369" i="11"/>
  <c r="F371" i="11"/>
  <c r="F373" i="11"/>
  <c r="F375" i="11"/>
  <c r="F377" i="11"/>
  <c r="F379" i="11"/>
  <c r="F381" i="11"/>
  <c r="F383" i="11"/>
  <c r="F385" i="11"/>
  <c r="F387" i="11"/>
  <c r="F389" i="11"/>
  <c r="F391" i="11"/>
  <c r="F393" i="11"/>
  <c r="F395" i="11"/>
  <c r="F397" i="11"/>
  <c r="F399" i="11"/>
  <c r="F401" i="11"/>
  <c r="F403" i="11"/>
  <c r="F405" i="11"/>
  <c r="F407" i="11"/>
  <c r="F409" i="11"/>
  <c r="F411" i="11"/>
  <c r="F413" i="11"/>
  <c r="F415" i="11"/>
  <c r="F417" i="11"/>
  <c r="F419" i="11"/>
  <c r="F421" i="11"/>
  <c r="F422" i="11"/>
  <c r="F429" i="11"/>
  <c r="F430" i="11"/>
  <c r="F437" i="11"/>
  <c r="F438" i="11"/>
  <c r="F445" i="11"/>
  <c r="F446" i="11"/>
  <c r="F453" i="11"/>
  <c r="F454" i="11"/>
  <c r="F461" i="11"/>
  <c r="F462" i="11"/>
  <c r="F469" i="11"/>
  <c r="F470" i="11"/>
  <c r="F477" i="11"/>
  <c r="F479" i="11"/>
  <c r="F481" i="11"/>
  <c r="F483" i="11"/>
  <c r="F485" i="11"/>
  <c r="F487" i="11"/>
  <c r="F489" i="11"/>
  <c r="F491" i="11"/>
  <c r="F493" i="11"/>
  <c r="F495" i="11"/>
  <c r="F497" i="11"/>
  <c r="F499" i="11"/>
  <c r="F501" i="11"/>
  <c r="F503" i="11"/>
  <c r="F505" i="11"/>
  <c r="G423" i="11"/>
  <c r="G427" i="11"/>
  <c r="G431" i="11"/>
  <c r="G435" i="11"/>
  <c r="G439" i="11"/>
  <c r="G443" i="11"/>
  <c r="G447" i="11"/>
  <c r="G451" i="11"/>
  <c r="G455" i="11"/>
  <c r="G459" i="11"/>
  <c r="G463" i="11"/>
  <c r="G467" i="11"/>
  <c r="G471" i="11"/>
  <c r="G475" i="11"/>
  <c r="G477" i="11"/>
  <c r="G479" i="11"/>
  <c r="G481" i="11"/>
  <c r="G483" i="11"/>
  <c r="G485" i="11"/>
  <c r="G487" i="11"/>
  <c r="G489" i="11"/>
  <c r="G491" i="11"/>
  <c r="G493" i="11"/>
  <c r="G495" i="11"/>
  <c r="G497" i="11"/>
  <c r="G499" i="11"/>
  <c r="G501" i="11"/>
  <c r="G503" i="11"/>
  <c r="G505" i="1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52" i="1"/>
  <c r="A472" i="11" l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D673" i="9" l="1"/>
  <c r="E673" i="9"/>
  <c r="D674" i="9"/>
  <c r="E674" i="9" s="1"/>
  <c r="D675" i="9"/>
  <c r="E675" i="9" s="1"/>
  <c r="D676" i="9"/>
  <c r="E676" i="9" s="1"/>
  <c r="D677" i="9"/>
  <c r="E677" i="9" s="1"/>
  <c r="D678" i="9"/>
  <c r="E678" i="9" s="1"/>
  <c r="D679" i="9"/>
  <c r="E679" i="9"/>
  <c r="D680" i="9"/>
  <c r="E680" i="9" s="1"/>
  <c r="D681" i="9"/>
  <c r="E681" i="9" s="1"/>
  <c r="D682" i="9"/>
  <c r="E682" i="9" s="1"/>
  <c r="D683" i="9"/>
  <c r="E683" i="9"/>
  <c r="D684" i="9"/>
  <c r="E684" i="9" s="1"/>
  <c r="D685" i="9"/>
  <c r="E685" i="9" s="1"/>
  <c r="D686" i="9"/>
  <c r="E686" i="9" s="1"/>
  <c r="D687" i="9"/>
  <c r="E687" i="9" s="1"/>
  <c r="D688" i="9"/>
  <c r="E688" i="9" s="1"/>
  <c r="D689" i="9"/>
  <c r="E689" i="9"/>
  <c r="D690" i="9"/>
  <c r="E690" i="9" s="1"/>
  <c r="D691" i="9"/>
  <c r="E691" i="9" s="1"/>
  <c r="D692" i="9"/>
  <c r="E692" i="9" s="1"/>
  <c r="D693" i="9"/>
  <c r="E693" i="9" s="1"/>
  <c r="D694" i="9"/>
  <c r="E694" i="9" s="1"/>
  <c r="D695" i="9"/>
  <c r="E695" i="9"/>
  <c r="D696" i="9"/>
  <c r="E696" i="9" s="1"/>
  <c r="D697" i="9"/>
  <c r="E697" i="9" s="1"/>
  <c r="D698" i="9"/>
  <c r="E698" i="9" s="1"/>
  <c r="D699" i="9"/>
  <c r="E699" i="9"/>
  <c r="D700" i="9"/>
  <c r="E700" i="9" s="1"/>
  <c r="D701" i="9"/>
  <c r="E701" i="9" s="1"/>
  <c r="D702" i="9"/>
  <c r="E702" i="9" s="1"/>
  <c r="D703" i="9"/>
  <c r="E703" i="9" s="1"/>
  <c r="D704" i="9"/>
  <c r="E704" i="9" s="1"/>
  <c r="D705" i="9"/>
  <c r="E705" i="9"/>
  <c r="D706" i="9"/>
  <c r="E706" i="9" s="1"/>
  <c r="D707" i="9"/>
  <c r="E707" i="9" s="1"/>
  <c r="D708" i="9"/>
  <c r="E708" i="9" s="1"/>
  <c r="D709" i="9"/>
  <c r="E709" i="9" s="1"/>
  <c r="D710" i="9"/>
  <c r="E710" i="9" s="1"/>
  <c r="D711" i="9"/>
  <c r="E711" i="9"/>
  <c r="D712" i="9"/>
  <c r="E712" i="9" s="1"/>
  <c r="D713" i="9"/>
  <c r="E713" i="9" s="1"/>
  <c r="D714" i="9"/>
  <c r="E714" i="9" s="1"/>
  <c r="D715" i="9"/>
  <c r="E715" i="9"/>
  <c r="D716" i="9"/>
  <c r="E716" i="9" s="1"/>
  <c r="D717" i="9"/>
  <c r="E717" i="9" s="1"/>
  <c r="D718" i="9"/>
  <c r="E718" i="9" s="1"/>
  <c r="D719" i="9"/>
  <c r="E719" i="9" s="1"/>
  <c r="D720" i="9"/>
  <c r="E720" i="9" s="1"/>
  <c r="D721" i="9"/>
  <c r="E721" i="9"/>
  <c r="D722" i="9"/>
  <c r="E722" i="9" s="1"/>
  <c r="D723" i="9"/>
  <c r="E723" i="9" s="1"/>
  <c r="D724" i="9"/>
  <c r="E724" i="9" s="1"/>
  <c r="D725" i="9"/>
  <c r="E725" i="9" s="1"/>
  <c r="D726" i="9"/>
  <c r="E726" i="9" s="1"/>
  <c r="D727" i="9"/>
  <c r="E727" i="9"/>
  <c r="D728" i="9"/>
  <c r="E728" i="9" s="1"/>
  <c r="D729" i="9"/>
  <c r="E729" i="9" s="1"/>
  <c r="D730" i="9"/>
  <c r="E730" i="9" s="1"/>
  <c r="D731" i="9"/>
  <c r="E731" i="9"/>
  <c r="D732" i="9"/>
  <c r="E732" i="9" s="1"/>
  <c r="D733" i="9"/>
  <c r="E733" i="9" s="1"/>
  <c r="D734" i="9"/>
  <c r="E734" i="9" s="1"/>
  <c r="D735" i="9"/>
  <c r="E735" i="9" s="1"/>
  <c r="D736" i="9"/>
  <c r="E736" i="9" s="1"/>
  <c r="D737" i="9"/>
  <c r="E737" i="9"/>
  <c r="D738" i="9"/>
  <c r="E738" i="9" s="1"/>
  <c r="D739" i="9"/>
  <c r="E739" i="9" s="1"/>
  <c r="D740" i="9"/>
  <c r="E740" i="9" s="1"/>
  <c r="D741" i="9"/>
  <c r="E741" i="9" s="1"/>
  <c r="D742" i="9"/>
  <c r="E742" i="9" s="1"/>
  <c r="D743" i="9"/>
  <c r="E743" i="9"/>
  <c r="D744" i="9"/>
  <c r="E744" i="9" s="1"/>
  <c r="D745" i="9"/>
  <c r="E745" i="9" s="1"/>
  <c r="D746" i="9"/>
  <c r="E746" i="9" s="1"/>
  <c r="D747" i="9"/>
  <c r="E747" i="9"/>
  <c r="D748" i="9"/>
  <c r="E748" i="9" s="1"/>
  <c r="D749" i="9"/>
  <c r="E749" i="9" s="1"/>
  <c r="D750" i="9"/>
  <c r="E750" i="9" s="1"/>
  <c r="D751" i="9"/>
  <c r="E751" i="9" s="1"/>
  <c r="D752" i="9"/>
  <c r="E752" i="9" s="1"/>
  <c r="D753" i="9"/>
  <c r="E753" i="9"/>
  <c r="D754" i="9"/>
  <c r="E754" i="9" s="1"/>
  <c r="D755" i="9"/>
  <c r="E755" i="9" s="1"/>
  <c r="D756" i="9"/>
  <c r="E756" i="9" s="1"/>
  <c r="D757" i="9"/>
  <c r="E757" i="9" s="1"/>
  <c r="D758" i="9"/>
  <c r="E758" i="9" s="1"/>
  <c r="D759" i="9"/>
  <c r="E759" i="9"/>
  <c r="D760" i="9"/>
  <c r="E760" i="9" s="1"/>
  <c r="D761" i="9"/>
  <c r="E761" i="9" s="1"/>
  <c r="D762" i="9"/>
  <c r="E762" i="9" s="1"/>
  <c r="D763" i="9"/>
  <c r="E763" i="9"/>
  <c r="D764" i="9"/>
  <c r="E764" i="9" s="1"/>
  <c r="D765" i="9"/>
  <c r="E765" i="9" s="1"/>
  <c r="D766" i="9"/>
  <c r="E766" i="9" s="1"/>
  <c r="D767" i="9"/>
  <c r="E767" i="9" s="1"/>
  <c r="D768" i="9"/>
  <c r="E768" i="9" s="1"/>
  <c r="D769" i="9"/>
  <c r="E769" i="9"/>
  <c r="D770" i="9"/>
  <c r="E770" i="9" s="1"/>
  <c r="D771" i="9"/>
  <c r="E771" i="9" s="1"/>
  <c r="D772" i="9"/>
  <c r="E772" i="9" s="1"/>
  <c r="D773" i="9"/>
  <c r="E773" i="9" s="1"/>
  <c r="D774" i="9"/>
  <c r="E774" i="9" s="1"/>
  <c r="D775" i="9"/>
  <c r="E775" i="9"/>
  <c r="D776" i="9"/>
  <c r="E776" i="9" s="1"/>
  <c r="D777" i="9"/>
  <c r="E777" i="9" s="1"/>
  <c r="D778" i="9"/>
  <c r="E778" i="9" s="1"/>
  <c r="D779" i="9"/>
  <c r="E779" i="9"/>
  <c r="D780" i="9"/>
  <c r="E780" i="9" s="1"/>
  <c r="D781" i="9"/>
  <c r="E781" i="9" s="1"/>
  <c r="D782" i="9"/>
  <c r="E782" i="9" s="1"/>
  <c r="D783" i="9"/>
  <c r="E783" i="9" s="1"/>
  <c r="D784" i="9"/>
  <c r="E784" i="9" s="1"/>
  <c r="D785" i="9"/>
  <c r="E785" i="9"/>
  <c r="D786" i="9"/>
  <c r="E786" i="9" s="1"/>
  <c r="D787" i="9"/>
  <c r="E787" i="9" s="1"/>
  <c r="D788" i="9"/>
  <c r="E788" i="9" s="1"/>
  <c r="D789" i="9"/>
  <c r="E789" i="9" s="1"/>
  <c r="D790" i="9"/>
  <c r="E790" i="9" s="1"/>
  <c r="D791" i="9"/>
  <c r="E791" i="9"/>
  <c r="D792" i="9"/>
  <c r="E792" i="9" s="1"/>
  <c r="D793" i="9"/>
  <c r="E793" i="9" s="1"/>
  <c r="D794" i="9"/>
  <c r="E794" i="9" s="1"/>
  <c r="D795" i="9"/>
  <c r="E795" i="9"/>
  <c r="D796" i="9"/>
  <c r="E796" i="9" s="1"/>
  <c r="D797" i="9"/>
  <c r="E797" i="9" s="1"/>
  <c r="D798" i="9"/>
  <c r="E798" i="9" s="1"/>
  <c r="D799" i="9"/>
  <c r="E799" i="9" s="1"/>
  <c r="D800" i="9"/>
  <c r="E800" i="9" s="1"/>
  <c r="D801" i="9"/>
  <c r="E801" i="9"/>
  <c r="D802" i="9"/>
  <c r="E802" i="9" s="1"/>
  <c r="D803" i="9"/>
  <c r="E803" i="9" s="1"/>
  <c r="D804" i="9"/>
  <c r="E804" i="9" s="1"/>
  <c r="D805" i="9"/>
  <c r="E805" i="9" s="1"/>
  <c r="D806" i="9"/>
  <c r="E806" i="9" s="1"/>
  <c r="D807" i="9"/>
  <c r="E807" i="9"/>
  <c r="D808" i="9"/>
  <c r="E808" i="9" s="1"/>
  <c r="D809" i="9"/>
  <c r="E809" i="9" s="1"/>
  <c r="D810" i="9"/>
  <c r="E810" i="9" s="1"/>
  <c r="D811" i="9"/>
  <c r="E811" i="9"/>
  <c r="D812" i="9"/>
  <c r="E812" i="9" s="1"/>
  <c r="D813" i="9"/>
  <c r="E813" i="9" s="1"/>
  <c r="D814" i="9"/>
  <c r="E814" i="9" s="1"/>
  <c r="D815" i="9"/>
  <c r="E815" i="9" s="1"/>
  <c r="D816" i="9"/>
  <c r="E816" i="9" s="1"/>
  <c r="D817" i="9"/>
  <c r="E817" i="9"/>
  <c r="D818" i="9"/>
  <c r="E818" i="9" s="1"/>
  <c r="D819" i="9"/>
  <c r="E819" i="9" s="1"/>
  <c r="D820" i="9"/>
  <c r="E820" i="9" s="1"/>
  <c r="D821" i="9"/>
  <c r="E821" i="9" s="1"/>
  <c r="D822" i="9"/>
  <c r="E822" i="9" s="1"/>
  <c r="D823" i="9"/>
  <c r="E823" i="9"/>
  <c r="D824" i="9"/>
  <c r="E824" i="9" s="1"/>
  <c r="D825" i="9"/>
  <c r="E825" i="9" s="1"/>
  <c r="D826" i="9"/>
  <c r="E826" i="9" s="1"/>
  <c r="D827" i="9"/>
  <c r="E827" i="9"/>
  <c r="D828" i="9"/>
  <c r="E828" i="9" s="1"/>
  <c r="D829" i="9"/>
  <c r="E829" i="9" s="1"/>
  <c r="D830" i="9"/>
  <c r="E830" i="9" s="1"/>
  <c r="D831" i="9"/>
  <c r="E831" i="9" s="1"/>
  <c r="D832" i="9"/>
  <c r="E832" i="9" s="1"/>
  <c r="D833" i="9"/>
  <c r="E833" i="9"/>
  <c r="D834" i="9"/>
  <c r="E834" i="9" s="1"/>
  <c r="D835" i="9"/>
  <c r="E835" i="9" s="1"/>
  <c r="D836" i="9"/>
  <c r="E836" i="9" s="1"/>
  <c r="D837" i="9"/>
  <c r="E837" i="9" s="1"/>
  <c r="D838" i="9"/>
  <c r="E838" i="9" s="1"/>
  <c r="D839" i="9"/>
  <c r="E839" i="9"/>
  <c r="D840" i="9"/>
  <c r="E840" i="9" s="1"/>
  <c r="D841" i="9"/>
  <c r="E841" i="9" s="1"/>
  <c r="D842" i="9"/>
  <c r="E842" i="9" s="1"/>
  <c r="D843" i="9"/>
  <c r="E843" i="9"/>
  <c r="D844" i="9"/>
  <c r="E844" i="9"/>
  <c r="D845" i="9"/>
  <c r="E845" i="9"/>
  <c r="D846" i="9"/>
  <c r="E846" i="9"/>
  <c r="D847" i="9"/>
  <c r="E847" i="9"/>
  <c r="D848" i="9"/>
  <c r="E848" i="9"/>
  <c r="D849" i="9"/>
  <c r="E849" i="9"/>
  <c r="D850" i="9"/>
  <c r="E850" i="9"/>
  <c r="D851" i="9"/>
  <c r="E851" i="9"/>
  <c r="D852" i="9"/>
  <c r="E852" i="9"/>
  <c r="D853" i="9"/>
  <c r="E853" i="9"/>
  <c r="D854" i="9"/>
  <c r="E854" i="9"/>
  <c r="D855" i="9"/>
  <c r="E855" i="9"/>
  <c r="D856" i="9"/>
  <c r="E856" i="9"/>
  <c r="D857" i="9"/>
  <c r="E857" i="9"/>
  <c r="D858" i="9"/>
  <c r="E858" i="9"/>
  <c r="D859" i="9"/>
  <c r="E859" i="9"/>
  <c r="D860" i="9"/>
  <c r="E860" i="9"/>
  <c r="D861" i="9"/>
  <c r="E861" i="9"/>
  <c r="D862" i="9"/>
  <c r="E862" i="9"/>
  <c r="D863" i="9"/>
  <c r="E863" i="9"/>
  <c r="D864" i="9"/>
  <c r="E864" i="9"/>
  <c r="D865" i="9"/>
  <c r="E865" i="9"/>
  <c r="D866" i="9"/>
  <c r="E866" i="9"/>
  <c r="D867" i="9"/>
  <c r="E867" i="9"/>
  <c r="D868" i="9"/>
  <c r="E868" i="9"/>
  <c r="D869" i="9"/>
  <c r="E869" i="9"/>
  <c r="D870" i="9"/>
  <c r="E870" i="9"/>
  <c r="D871" i="9"/>
  <c r="E871" i="9"/>
  <c r="D872" i="9"/>
  <c r="E872" i="9"/>
  <c r="D873" i="9"/>
  <c r="E873" i="9"/>
  <c r="D874" i="9"/>
  <c r="E874" i="9"/>
  <c r="D875" i="9"/>
  <c r="E875" i="9"/>
  <c r="D876" i="9"/>
  <c r="E876" i="9"/>
  <c r="D877" i="9"/>
  <c r="E877" i="9"/>
  <c r="D878" i="9"/>
  <c r="E878" i="9"/>
  <c r="D879" i="9"/>
  <c r="E879" i="9"/>
  <c r="D880" i="9"/>
  <c r="E880" i="9"/>
  <c r="D881" i="9"/>
  <c r="E881" i="9"/>
  <c r="D882" i="9"/>
  <c r="E882" i="9"/>
  <c r="D883" i="9"/>
  <c r="E883" i="9"/>
  <c r="D884" i="9"/>
  <c r="E884" i="9"/>
  <c r="D885" i="9"/>
  <c r="E885" i="9"/>
  <c r="D886" i="9"/>
  <c r="E886" i="9"/>
  <c r="D887" i="9"/>
  <c r="E887" i="9"/>
  <c r="D888" i="9"/>
  <c r="E888" i="9"/>
  <c r="D889" i="9"/>
  <c r="E889" i="9"/>
  <c r="D890" i="9"/>
  <c r="E890" i="9"/>
  <c r="D891" i="9"/>
  <c r="E891" i="9"/>
  <c r="D892" i="9"/>
  <c r="E892" i="9"/>
  <c r="D893" i="9"/>
  <c r="E893" i="9"/>
  <c r="D894" i="9"/>
  <c r="E894" i="9"/>
  <c r="D895" i="9"/>
  <c r="E895" i="9"/>
  <c r="D896" i="9"/>
  <c r="E896" i="9"/>
  <c r="D897" i="9"/>
  <c r="E897" i="9"/>
  <c r="D898" i="9"/>
  <c r="E898" i="9"/>
  <c r="D899" i="9"/>
  <c r="E899" i="9"/>
  <c r="D900" i="9"/>
  <c r="E900" i="9"/>
  <c r="D901" i="9"/>
  <c r="E901" i="9"/>
  <c r="D902" i="9"/>
  <c r="E902" i="9"/>
  <c r="D903" i="9"/>
  <c r="E903" i="9"/>
  <c r="D904" i="9"/>
  <c r="E904" i="9"/>
  <c r="D905" i="9"/>
  <c r="E905" i="9"/>
  <c r="D906" i="9"/>
  <c r="E906" i="9"/>
  <c r="D907" i="9"/>
  <c r="E907" i="9"/>
  <c r="D908" i="9"/>
  <c r="E908" i="9"/>
  <c r="D909" i="9"/>
  <c r="E909" i="9"/>
  <c r="D910" i="9"/>
  <c r="E910" i="9"/>
  <c r="D911" i="9"/>
  <c r="E911" i="9"/>
  <c r="D912" i="9"/>
  <c r="E912" i="9"/>
  <c r="D913" i="9"/>
  <c r="E913" i="9"/>
  <c r="D914" i="9"/>
  <c r="E914" i="9"/>
  <c r="D915" i="9"/>
  <c r="E915" i="9"/>
  <c r="D916" i="9"/>
  <c r="E916" i="9"/>
  <c r="D917" i="9"/>
  <c r="E917" i="9"/>
  <c r="D918" i="9"/>
  <c r="E918" i="9"/>
  <c r="D919" i="9"/>
  <c r="E919" i="9"/>
  <c r="D920" i="9"/>
  <c r="E920" i="9"/>
  <c r="D921" i="9"/>
  <c r="E921" i="9"/>
  <c r="D922" i="9"/>
  <c r="E922" i="9"/>
  <c r="D923" i="9"/>
  <c r="E923" i="9"/>
  <c r="D924" i="9"/>
  <c r="E924" i="9"/>
  <c r="D925" i="9"/>
  <c r="E925" i="9"/>
  <c r="D926" i="9"/>
  <c r="E926" i="9"/>
  <c r="D927" i="9"/>
  <c r="E927" i="9"/>
  <c r="D928" i="9"/>
  <c r="E928" i="9"/>
  <c r="D929" i="9"/>
  <c r="E929" i="9"/>
  <c r="D930" i="9"/>
  <c r="E930" i="9"/>
  <c r="D931" i="9"/>
  <c r="E931" i="9"/>
  <c r="D932" i="9"/>
  <c r="E932" i="9"/>
  <c r="D933" i="9"/>
  <c r="E933" i="9"/>
  <c r="D934" i="9"/>
  <c r="E934" i="9"/>
  <c r="D935" i="9"/>
  <c r="E935" i="9"/>
  <c r="D936" i="9"/>
  <c r="E936" i="9"/>
  <c r="D937" i="9"/>
  <c r="E937" i="9"/>
  <c r="D938" i="9"/>
  <c r="E938" i="9"/>
  <c r="D939" i="9"/>
  <c r="E939" i="9"/>
  <c r="D940" i="9"/>
  <c r="E940" i="9"/>
  <c r="D941" i="9"/>
  <c r="E941" i="9"/>
  <c r="D942" i="9"/>
  <c r="E942" i="9"/>
  <c r="D943" i="9"/>
  <c r="E943" i="9"/>
  <c r="D944" i="9"/>
  <c r="E944" i="9"/>
  <c r="D945" i="9"/>
  <c r="E945" i="9"/>
  <c r="D946" i="9"/>
  <c r="E946" i="9"/>
  <c r="D947" i="9"/>
  <c r="E947" i="9"/>
  <c r="D948" i="9"/>
  <c r="E948" i="9"/>
  <c r="D949" i="9"/>
  <c r="E949" i="9"/>
  <c r="D950" i="9"/>
  <c r="E950" i="9"/>
  <c r="D951" i="9"/>
  <c r="E951" i="9"/>
  <c r="D952" i="9"/>
  <c r="E952" i="9"/>
  <c r="D953" i="9"/>
  <c r="E953" i="9"/>
  <c r="D954" i="9"/>
  <c r="E954" i="9"/>
  <c r="D955" i="9"/>
  <c r="E955" i="9"/>
  <c r="D956" i="9"/>
  <c r="E956" i="9"/>
  <c r="D957" i="9"/>
  <c r="E957" i="9"/>
  <c r="D958" i="9"/>
  <c r="E958" i="9"/>
  <c r="D959" i="9"/>
  <c r="E959" i="9"/>
  <c r="D960" i="9"/>
  <c r="E960" i="9"/>
  <c r="D961" i="9"/>
  <c r="E961" i="9"/>
  <c r="D962" i="9"/>
  <c r="E962" i="9"/>
  <c r="D963" i="9"/>
  <c r="E963" i="9"/>
  <c r="D964" i="9"/>
  <c r="E964" i="9"/>
  <c r="D965" i="9"/>
  <c r="E965" i="9"/>
  <c r="D966" i="9"/>
  <c r="E966" i="9"/>
  <c r="D967" i="9"/>
  <c r="E967" i="9"/>
  <c r="D968" i="9"/>
  <c r="E968" i="9"/>
  <c r="D969" i="9"/>
  <c r="E969" i="9"/>
  <c r="D970" i="9"/>
  <c r="E970" i="9"/>
  <c r="D971" i="9"/>
  <c r="E971" i="9"/>
  <c r="D972" i="9"/>
  <c r="E972" i="9"/>
  <c r="D973" i="9"/>
  <c r="E973" i="9"/>
  <c r="D974" i="9"/>
  <c r="E974" i="9"/>
  <c r="D975" i="9"/>
  <c r="E975" i="9"/>
  <c r="D976" i="9"/>
  <c r="E976" i="9"/>
  <c r="D977" i="9"/>
  <c r="E977" i="9"/>
  <c r="D978" i="9"/>
  <c r="E978" i="9"/>
  <c r="D979" i="9"/>
  <c r="E979" i="9"/>
  <c r="D980" i="9"/>
  <c r="E980" i="9"/>
  <c r="D981" i="9"/>
  <c r="E981" i="9"/>
  <c r="D982" i="9"/>
  <c r="E982" i="9"/>
  <c r="D983" i="9"/>
  <c r="E983" i="9"/>
  <c r="D984" i="9"/>
  <c r="E984" i="9"/>
  <c r="D985" i="9"/>
  <c r="E985" i="9"/>
  <c r="D986" i="9"/>
  <c r="E986" i="9"/>
  <c r="D987" i="9"/>
  <c r="E987" i="9"/>
  <c r="D988" i="9"/>
  <c r="E988" i="9"/>
  <c r="D989" i="9"/>
  <c r="E989" i="9"/>
  <c r="D990" i="9"/>
  <c r="E990" i="9"/>
  <c r="D991" i="9"/>
  <c r="E991" i="9"/>
  <c r="D992" i="9"/>
  <c r="E992" i="9"/>
  <c r="D993" i="9"/>
  <c r="E993" i="9"/>
  <c r="D994" i="9"/>
  <c r="E994" i="9"/>
  <c r="D995" i="9"/>
  <c r="E995" i="9"/>
  <c r="D996" i="9"/>
  <c r="E996" i="9"/>
  <c r="D997" i="9"/>
  <c r="E997" i="9"/>
  <c r="D998" i="9"/>
  <c r="E998" i="9"/>
  <c r="D999" i="9"/>
  <c r="E999" i="9"/>
  <c r="D1000" i="9"/>
  <c r="E1000" i="9"/>
  <c r="D1001" i="9"/>
  <c r="E1001" i="9"/>
  <c r="D1002" i="9"/>
  <c r="E1002" i="9"/>
  <c r="D1003" i="9"/>
  <c r="E1003" i="9"/>
  <c r="D1004" i="9"/>
  <c r="E1004" i="9"/>
  <c r="D1005" i="9"/>
  <c r="E1005" i="9"/>
  <c r="D1006" i="9"/>
  <c r="E1006" i="9"/>
  <c r="D1007" i="9"/>
  <c r="E1007" i="9"/>
  <c r="D1008" i="9"/>
  <c r="E1008" i="9"/>
  <c r="D1009" i="9"/>
  <c r="E1009" i="9"/>
  <c r="D1010" i="9"/>
  <c r="E1010" i="9"/>
  <c r="D1011" i="9"/>
  <c r="E1011" i="9"/>
  <c r="D1012" i="9"/>
  <c r="E1012" i="9"/>
  <c r="D1013" i="9"/>
  <c r="E1013" i="9"/>
  <c r="D1014" i="9"/>
  <c r="E1014" i="9"/>
  <c r="D1015" i="9"/>
  <c r="E1015" i="9"/>
  <c r="D1016" i="9"/>
  <c r="E1016" i="9"/>
  <c r="D1017" i="9"/>
  <c r="E1017" i="9"/>
  <c r="D1018" i="9"/>
  <c r="E1018" i="9"/>
  <c r="D1019" i="9"/>
  <c r="E1019" i="9"/>
  <c r="D1020" i="9"/>
  <c r="E1020" i="9"/>
  <c r="D1021" i="9"/>
  <c r="E1021" i="9"/>
  <c r="D1022" i="9"/>
  <c r="E1022" i="9"/>
  <c r="D1023" i="9"/>
  <c r="E1023" i="9"/>
  <c r="D1024" i="9"/>
  <c r="E1024" i="9"/>
  <c r="D1025" i="9"/>
  <c r="E1025" i="9"/>
  <c r="D1026" i="9"/>
  <c r="E1026" i="9"/>
  <c r="D1027" i="9"/>
  <c r="E1027" i="9"/>
  <c r="D1028" i="9"/>
  <c r="E1028" i="9"/>
  <c r="D1029" i="9"/>
  <c r="E1029" i="9"/>
  <c r="D1030" i="9"/>
  <c r="E1030" i="9"/>
  <c r="D1031" i="9"/>
  <c r="E1031" i="9"/>
  <c r="D1032" i="9"/>
  <c r="E1032" i="9"/>
  <c r="D1033" i="9"/>
  <c r="E1033" i="9"/>
  <c r="D1034" i="9"/>
  <c r="E1034" i="9"/>
  <c r="D1035" i="9"/>
  <c r="E1035" i="9"/>
  <c r="D1036" i="9"/>
  <c r="E1036" i="9"/>
  <c r="D1037" i="9"/>
  <c r="E1037" i="9"/>
  <c r="D1038" i="9"/>
  <c r="E1038" i="9"/>
  <c r="D1039" i="9"/>
  <c r="E1039" i="9"/>
  <c r="D1040" i="9"/>
  <c r="E1040" i="9"/>
  <c r="D1041" i="9"/>
  <c r="E1041" i="9"/>
  <c r="D1042" i="9"/>
  <c r="E1042" i="9"/>
  <c r="D1043" i="9"/>
  <c r="E1043" i="9"/>
  <c r="D1044" i="9"/>
  <c r="E1044" i="9"/>
  <c r="D1045" i="9"/>
  <c r="E1045" i="9"/>
  <c r="D1046" i="9"/>
  <c r="E1046" i="9"/>
  <c r="D1047" i="9"/>
  <c r="E1047" i="9"/>
  <c r="D1048" i="9"/>
  <c r="E1048" i="9"/>
  <c r="D1049" i="9"/>
  <c r="E1049" i="9"/>
  <c r="D1050" i="9"/>
  <c r="E1050" i="9"/>
  <c r="D1051" i="9"/>
  <c r="E1051" i="9"/>
  <c r="D1052" i="9"/>
  <c r="E1052" i="9"/>
  <c r="D1053" i="9"/>
  <c r="E1053" i="9"/>
  <c r="D1054" i="9"/>
  <c r="E1054" i="9"/>
  <c r="D1055" i="9"/>
  <c r="E1055" i="9"/>
  <c r="D1056" i="9"/>
  <c r="E1056" i="9"/>
  <c r="D1057" i="9"/>
  <c r="E1057" i="9"/>
  <c r="D1058" i="9"/>
  <c r="E1058" i="9"/>
  <c r="D1059" i="9"/>
  <c r="E1059" i="9"/>
  <c r="D1060" i="9"/>
  <c r="E1060" i="9"/>
  <c r="D1061" i="9"/>
  <c r="E1061" i="9"/>
  <c r="D1062" i="9"/>
  <c r="E1062" i="9"/>
  <c r="D1063" i="9"/>
  <c r="E1063" i="9"/>
  <c r="D1064" i="9"/>
  <c r="E1064" i="9"/>
  <c r="D1065" i="9"/>
  <c r="E1065" i="9"/>
  <c r="D1066" i="9"/>
  <c r="E1066" i="9"/>
  <c r="D1067" i="9"/>
  <c r="E1067" i="9"/>
  <c r="D1068" i="9"/>
  <c r="E1068" i="9"/>
  <c r="D1069" i="9"/>
  <c r="E1069" i="9"/>
  <c r="D1070" i="9"/>
  <c r="E1070" i="9"/>
  <c r="D1071" i="9"/>
  <c r="E1071" i="9"/>
  <c r="D1072" i="9"/>
  <c r="E1072" i="9"/>
  <c r="D1073" i="9"/>
  <c r="E1073" i="9"/>
  <c r="D1074" i="9"/>
  <c r="E1074" i="9"/>
  <c r="D1075" i="9"/>
  <c r="E1075" i="9"/>
  <c r="D1076" i="9"/>
  <c r="E1076" i="9"/>
  <c r="D1077" i="9"/>
  <c r="E1077" i="9"/>
  <c r="D1078" i="9"/>
  <c r="E1078" i="9"/>
  <c r="D1079" i="9"/>
  <c r="E1079" i="9"/>
  <c r="D1080" i="9"/>
  <c r="E1080" i="9"/>
  <c r="D1081" i="9"/>
  <c r="E1081" i="9"/>
  <c r="D1082" i="9"/>
  <c r="E1082" i="9"/>
  <c r="D1083" i="9"/>
  <c r="E1083" i="9"/>
  <c r="D1084" i="9"/>
  <c r="E1084" i="9"/>
  <c r="D1085" i="9"/>
  <c r="E1085" i="9"/>
  <c r="D1086" i="9"/>
  <c r="E1086" i="9"/>
  <c r="D1087" i="9"/>
  <c r="E1087" i="9"/>
  <c r="D1088" i="9"/>
  <c r="E1088" i="9"/>
  <c r="D1089" i="9"/>
  <c r="E1089" i="9"/>
  <c r="D1090" i="9"/>
  <c r="E1090" i="9"/>
  <c r="D1091" i="9"/>
  <c r="E1091" i="9"/>
  <c r="D1092" i="9"/>
  <c r="E1092" i="9"/>
  <c r="D1093" i="9"/>
  <c r="E1093" i="9"/>
  <c r="D1094" i="9"/>
  <c r="E1094" i="9"/>
  <c r="D1095" i="9"/>
  <c r="E1095" i="9"/>
  <c r="D1096" i="9"/>
  <c r="E1096" i="9"/>
  <c r="D1097" i="9"/>
  <c r="E1097" i="9"/>
  <c r="D1098" i="9"/>
  <c r="E1098" i="9"/>
  <c r="D1099" i="9"/>
  <c r="E1099" i="9"/>
  <c r="D1100" i="9"/>
  <c r="E1100" i="9"/>
  <c r="D1101" i="9"/>
  <c r="E1101" i="9"/>
  <c r="D1102" i="9"/>
  <c r="E1102" i="9"/>
  <c r="D1103" i="9"/>
  <c r="E1103" i="9"/>
  <c r="D1104" i="9"/>
  <c r="E1104" i="9"/>
  <c r="D1105" i="9"/>
  <c r="E1105" i="9"/>
  <c r="D1106" i="9"/>
  <c r="E1106" i="9"/>
  <c r="D1107" i="9"/>
  <c r="E1107" i="9"/>
  <c r="D1108" i="9"/>
  <c r="E1108" i="9"/>
  <c r="D1109" i="9"/>
  <c r="E1109" i="9"/>
  <c r="D1110" i="9"/>
  <c r="E1110" i="9"/>
  <c r="D1111" i="9"/>
  <c r="E1111" i="9"/>
  <c r="D1112" i="9"/>
  <c r="E1112" i="9"/>
  <c r="D1113" i="9"/>
  <c r="E1113" i="9"/>
  <c r="D1114" i="9"/>
  <c r="E1114" i="9"/>
  <c r="D1115" i="9"/>
  <c r="E1115" i="9"/>
  <c r="D1116" i="9"/>
  <c r="E1116" i="9"/>
  <c r="D1117" i="9"/>
  <c r="E1117" i="9"/>
  <c r="D1118" i="9"/>
  <c r="E1118" i="9"/>
  <c r="D1119" i="9"/>
  <c r="E1119" i="9"/>
  <c r="D1120" i="9"/>
  <c r="E1120" i="9"/>
  <c r="D1121" i="9"/>
  <c r="E1121" i="9"/>
  <c r="D1122" i="9"/>
  <c r="E1122" i="9"/>
  <c r="D1123" i="9"/>
  <c r="E1123" i="9"/>
  <c r="D1124" i="9"/>
  <c r="E1124" i="9"/>
  <c r="D1125" i="9"/>
  <c r="E1125" i="9"/>
  <c r="D1126" i="9"/>
  <c r="E1126" i="9"/>
  <c r="D1127" i="9"/>
  <c r="E1127" i="9"/>
  <c r="D1128" i="9"/>
  <c r="E1128" i="9"/>
  <c r="D1129" i="9"/>
  <c r="E1129" i="9"/>
  <c r="D1130" i="9"/>
  <c r="E1130" i="9"/>
  <c r="D1131" i="9"/>
  <c r="E1131" i="9"/>
  <c r="D1132" i="9"/>
  <c r="E1132" i="9"/>
  <c r="D1133" i="9"/>
  <c r="E1133" i="9"/>
  <c r="D1134" i="9"/>
  <c r="E1134" i="9"/>
  <c r="D1135" i="9"/>
  <c r="E1135" i="9"/>
  <c r="D1136" i="9"/>
  <c r="E1136" i="9"/>
  <c r="D1137" i="9"/>
  <c r="E1137" i="9"/>
  <c r="D1138" i="9"/>
  <c r="E1138" i="9"/>
  <c r="D1139" i="9"/>
  <c r="E1139" i="9"/>
  <c r="D1140" i="9"/>
  <c r="E1140" i="9"/>
  <c r="D1141" i="9"/>
  <c r="E1141" i="9"/>
  <c r="D1142" i="9"/>
  <c r="E1142" i="9"/>
  <c r="D1143" i="9"/>
  <c r="E1143" i="9"/>
  <c r="D1144" i="9"/>
  <c r="E1144" i="9"/>
  <c r="D1145" i="9"/>
  <c r="E1145" i="9"/>
  <c r="D1146" i="9"/>
  <c r="E1146" i="9"/>
  <c r="D1147" i="9"/>
  <c r="E1147" i="9"/>
  <c r="D1148" i="9"/>
  <c r="E1148" i="9"/>
  <c r="D1149" i="9"/>
  <c r="E1149" i="9"/>
  <c r="D1150" i="9"/>
  <c r="E1150" i="9"/>
  <c r="D1151" i="9"/>
  <c r="E1151" i="9"/>
  <c r="D1152" i="9"/>
  <c r="E1152" i="9"/>
  <c r="D1153" i="9"/>
  <c r="E1153" i="9"/>
  <c r="D1154" i="9"/>
  <c r="E1154" i="9"/>
  <c r="D1155" i="9"/>
  <c r="E1155" i="9"/>
  <c r="D1156" i="9"/>
  <c r="E1156" i="9"/>
  <c r="D1157" i="9"/>
  <c r="E1157" i="9"/>
  <c r="D1158" i="9"/>
  <c r="E1158" i="9"/>
  <c r="D1159" i="9"/>
  <c r="E1159" i="9"/>
  <c r="D1160" i="9"/>
  <c r="E1160" i="9"/>
  <c r="D1161" i="9"/>
  <c r="E1161" i="9"/>
  <c r="D1162" i="9"/>
  <c r="E1162" i="9"/>
  <c r="D1163" i="9"/>
  <c r="E1163" i="9"/>
  <c r="D1164" i="9"/>
  <c r="E1164" i="9"/>
  <c r="D1165" i="9"/>
  <c r="E1165" i="9"/>
  <c r="D1166" i="9"/>
  <c r="E1166" i="9"/>
  <c r="D1167" i="9"/>
  <c r="E1167" i="9"/>
  <c r="D1168" i="9"/>
  <c r="E1168" i="9"/>
  <c r="D1169" i="9"/>
  <c r="E1169" i="9"/>
  <c r="D1170" i="9"/>
  <c r="E1170" i="9"/>
  <c r="D1171" i="9"/>
  <c r="E1171" i="9"/>
  <c r="D1172" i="9"/>
  <c r="E1172" i="9"/>
  <c r="D1173" i="9"/>
  <c r="E1173" i="9"/>
  <c r="D1174" i="9"/>
  <c r="E1174" i="9"/>
  <c r="D1175" i="9"/>
  <c r="E1175" i="9"/>
  <c r="D1176" i="9"/>
  <c r="E1176" i="9"/>
  <c r="D1177" i="9"/>
  <c r="E1177" i="9"/>
  <c r="D1178" i="9"/>
  <c r="E1178" i="9"/>
  <c r="D1179" i="9"/>
  <c r="E1179" i="9"/>
  <c r="D1180" i="9"/>
  <c r="E1180" i="9"/>
  <c r="D1181" i="9"/>
  <c r="E1181" i="9"/>
  <c r="D1182" i="9"/>
  <c r="E1182" i="9"/>
  <c r="D1183" i="9"/>
  <c r="E1183" i="9"/>
  <c r="D1184" i="9"/>
  <c r="E1184" i="9"/>
  <c r="D1185" i="9"/>
  <c r="E1185" i="9"/>
  <c r="D1186" i="9"/>
  <c r="E1186" i="9"/>
  <c r="D672" i="9"/>
  <c r="E672" i="9" s="1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2" i="10"/>
  <c r="A472" i="10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B505" i="8" l="1"/>
  <c r="B341" i="8"/>
  <c r="B357" i="8"/>
  <c r="B373" i="8"/>
  <c r="B389" i="8"/>
  <c r="B405" i="8"/>
  <c r="B421" i="8"/>
  <c r="B437" i="8"/>
  <c r="B453" i="8"/>
  <c r="B469" i="8"/>
  <c r="D327" i="8"/>
  <c r="B327" i="8" s="1"/>
  <c r="D328" i="8"/>
  <c r="B328" i="8" s="1"/>
  <c r="D329" i="8"/>
  <c r="B329" i="8" s="1"/>
  <c r="D330" i="8"/>
  <c r="B330" i="8" s="1"/>
  <c r="D331" i="8"/>
  <c r="B331" i="8" s="1"/>
  <c r="D332" i="8"/>
  <c r="B332" i="8" s="1"/>
  <c r="D333" i="8"/>
  <c r="B333" i="8" s="1"/>
  <c r="D334" i="8"/>
  <c r="B334" i="8" s="1"/>
  <c r="D335" i="8"/>
  <c r="B335" i="8" s="1"/>
  <c r="D336" i="8"/>
  <c r="B336" i="8" s="1"/>
  <c r="D337" i="8"/>
  <c r="B337" i="8" s="1"/>
  <c r="D338" i="8"/>
  <c r="B338" i="8" s="1"/>
  <c r="D339" i="8"/>
  <c r="B339" i="8" s="1"/>
  <c r="D340" i="8"/>
  <c r="B340" i="8" s="1"/>
  <c r="D341" i="8"/>
  <c r="D342" i="8"/>
  <c r="B342" i="8" s="1"/>
  <c r="D343" i="8"/>
  <c r="B343" i="8" s="1"/>
  <c r="D344" i="8"/>
  <c r="B344" i="8" s="1"/>
  <c r="D345" i="8"/>
  <c r="B345" i="8" s="1"/>
  <c r="D346" i="8"/>
  <c r="B346" i="8" s="1"/>
  <c r="D347" i="8"/>
  <c r="B347" i="8" s="1"/>
  <c r="D348" i="8"/>
  <c r="B348" i="8" s="1"/>
  <c r="D349" i="8"/>
  <c r="B349" i="8" s="1"/>
  <c r="D350" i="8"/>
  <c r="B350" i="8" s="1"/>
  <c r="D351" i="8"/>
  <c r="B351" i="8" s="1"/>
  <c r="D352" i="8"/>
  <c r="B352" i="8" s="1"/>
  <c r="D353" i="8"/>
  <c r="B353" i="8" s="1"/>
  <c r="D354" i="8"/>
  <c r="B354" i="8" s="1"/>
  <c r="D355" i="8"/>
  <c r="B355" i="8" s="1"/>
  <c r="D356" i="8"/>
  <c r="B356" i="8" s="1"/>
  <c r="D357" i="8"/>
  <c r="D358" i="8"/>
  <c r="B358" i="8" s="1"/>
  <c r="D359" i="8"/>
  <c r="B359" i="8" s="1"/>
  <c r="D360" i="8"/>
  <c r="B360" i="8" s="1"/>
  <c r="D361" i="8"/>
  <c r="B361" i="8" s="1"/>
  <c r="D362" i="8"/>
  <c r="B362" i="8" s="1"/>
  <c r="D363" i="8"/>
  <c r="B363" i="8" s="1"/>
  <c r="D364" i="8"/>
  <c r="B364" i="8" s="1"/>
  <c r="D365" i="8"/>
  <c r="B365" i="8" s="1"/>
  <c r="D366" i="8"/>
  <c r="B366" i="8" s="1"/>
  <c r="D367" i="8"/>
  <c r="B367" i="8" s="1"/>
  <c r="D368" i="8"/>
  <c r="B368" i="8" s="1"/>
  <c r="D369" i="8"/>
  <c r="B369" i="8" s="1"/>
  <c r="D370" i="8"/>
  <c r="B370" i="8" s="1"/>
  <c r="D371" i="8"/>
  <c r="B371" i="8" s="1"/>
  <c r="D372" i="8"/>
  <c r="B372" i="8" s="1"/>
  <c r="D373" i="8"/>
  <c r="D374" i="8"/>
  <c r="B374" i="8" s="1"/>
  <c r="D375" i="8"/>
  <c r="B375" i="8" s="1"/>
  <c r="D376" i="8"/>
  <c r="B376" i="8" s="1"/>
  <c r="D377" i="8"/>
  <c r="B377" i="8" s="1"/>
  <c r="D378" i="8"/>
  <c r="B378" i="8" s="1"/>
  <c r="D379" i="8"/>
  <c r="B379" i="8" s="1"/>
  <c r="D380" i="8"/>
  <c r="B380" i="8" s="1"/>
  <c r="D381" i="8"/>
  <c r="B381" i="8" s="1"/>
  <c r="D382" i="8"/>
  <c r="B382" i="8" s="1"/>
  <c r="D383" i="8"/>
  <c r="B383" i="8" s="1"/>
  <c r="D384" i="8"/>
  <c r="B384" i="8" s="1"/>
  <c r="D385" i="8"/>
  <c r="B385" i="8" s="1"/>
  <c r="D386" i="8"/>
  <c r="B386" i="8" s="1"/>
  <c r="D387" i="8"/>
  <c r="B387" i="8" s="1"/>
  <c r="D388" i="8"/>
  <c r="B388" i="8" s="1"/>
  <c r="D389" i="8"/>
  <c r="D390" i="8"/>
  <c r="B390" i="8" s="1"/>
  <c r="D391" i="8"/>
  <c r="B391" i="8" s="1"/>
  <c r="D392" i="8"/>
  <c r="B392" i="8" s="1"/>
  <c r="D393" i="8"/>
  <c r="B393" i="8" s="1"/>
  <c r="D394" i="8"/>
  <c r="B394" i="8" s="1"/>
  <c r="D395" i="8"/>
  <c r="B395" i="8" s="1"/>
  <c r="D396" i="8"/>
  <c r="B396" i="8" s="1"/>
  <c r="D397" i="8"/>
  <c r="B397" i="8" s="1"/>
  <c r="D398" i="8"/>
  <c r="B398" i="8" s="1"/>
  <c r="D399" i="8"/>
  <c r="B399" i="8" s="1"/>
  <c r="D400" i="8"/>
  <c r="B400" i="8" s="1"/>
  <c r="D401" i="8"/>
  <c r="B401" i="8" s="1"/>
  <c r="D402" i="8"/>
  <c r="B402" i="8" s="1"/>
  <c r="D403" i="8"/>
  <c r="B403" i="8" s="1"/>
  <c r="D404" i="8"/>
  <c r="B404" i="8" s="1"/>
  <c r="D405" i="8"/>
  <c r="D406" i="8"/>
  <c r="B406" i="8" s="1"/>
  <c r="D407" i="8"/>
  <c r="B407" i="8" s="1"/>
  <c r="D408" i="8"/>
  <c r="B408" i="8" s="1"/>
  <c r="D409" i="8"/>
  <c r="B409" i="8" s="1"/>
  <c r="D410" i="8"/>
  <c r="B410" i="8" s="1"/>
  <c r="D411" i="8"/>
  <c r="B411" i="8" s="1"/>
  <c r="D412" i="8"/>
  <c r="B412" i="8" s="1"/>
  <c r="D413" i="8"/>
  <c r="B413" i="8" s="1"/>
  <c r="D414" i="8"/>
  <c r="B414" i="8" s="1"/>
  <c r="D415" i="8"/>
  <c r="B415" i="8" s="1"/>
  <c r="D416" i="8"/>
  <c r="B416" i="8" s="1"/>
  <c r="D417" i="8"/>
  <c r="B417" i="8" s="1"/>
  <c r="D418" i="8"/>
  <c r="B418" i="8" s="1"/>
  <c r="D419" i="8"/>
  <c r="B419" i="8" s="1"/>
  <c r="D420" i="8"/>
  <c r="B420" i="8" s="1"/>
  <c r="D421" i="8"/>
  <c r="D422" i="8"/>
  <c r="B422" i="8" s="1"/>
  <c r="D423" i="8"/>
  <c r="B423" i="8" s="1"/>
  <c r="D424" i="8"/>
  <c r="B424" i="8" s="1"/>
  <c r="D425" i="8"/>
  <c r="B425" i="8" s="1"/>
  <c r="D426" i="8"/>
  <c r="B426" i="8" s="1"/>
  <c r="D427" i="8"/>
  <c r="B427" i="8" s="1"/>
  <c r="D428" i="8"/>
  <c r="B428" i="8" s="1"/>
  <c r="D429" i="8"/>
  <c r="B429" i="8" s="1"/>
  <c r="D430" i="8"/>
  <c r="B430" i="8" s="1"/>
  <c r="D431" i="8"/>
  <c r="B431" i="8" s="1"/>
  <c r="D432" i="8"/>
  <c r="B432" i="8" s="1"/>
  <c r="D433" i="8"/>
  <c r="B433" i="8" s="1"/>
  <c r="D434" i="8"/>
  <c r="B434" i="8" s="1"/>
  <c r="D435" i="8"/>
  <c r="B435" i="8" s="1"/>
  <c r="D436" i="8"/>
  <c r="B436" i="8" s="1"/>
  <c r="D437" i="8"/>
  <c r="D438" i="8"/>
  <c r="B438" i="8" s="1"/>
  <c r="D439" i="8"/>
  <c r="B439" i="8" s="1"/>
  <c r="D440" i="8"/>
  <c r="B440" i="8" s="1"/>
  <c r="D441" i="8"/>
  <c r="B441" i="8" s="1"/>
  <c r="D442" i="8"/>
  <c r="B442" i="8" s="1"/>
  <c r="D443" i="8"/>
  <c r="B443" i="8" s="1"/>
  <c r="D444" i="8"/>
  <c r="B444" i="8" s="1"/>
  <c r="D445" i="8"/>
  <c r="B445" i="8" s="1"/>
  <c r="D446" i="8"/>
  <c r="B446" i="8" s="1"/>
  <c r="D447" i="8"/>
  <c r="B447" i="8" s="1"/>
  <c r="D448" i="8"/>
  <c r="B448" i="8" s="1"/>
  <c r="D449" i="8"/>
  <c r="B449" i="8" s="1"/>
  <c r="D450" i="8"/>
  <c r="B450" i="8" s="1"/>
  <c r="D451" i="8"/>
  <c r="B451" i="8" s="1"/>
  <c r="D452" i="8"/>
  <c r="B452" i="8" s="1"/>
  <c r="D453" i="8"/>
  <c r="D454" i="8"/>
  <c r="B454" i="8" s="1"/>
  <c r="D455" i="8"/>
  <c r="B455" i="8" s="1"/>
  <c r="D456" i="8"/>
  <c r="B456" i="8" s="1"/>
  <c r="D457" i="8"/>
  <c r="B457" i="8" s="1"/>
  <c r="D458" i="8"/>
  <c r="B458" i="8" s="1"/>
  <c r="D459" i="8"/>
  <c r="B459" i="8" s="1"/>
  <c r="D460" i="8"/>
  <c r="B460" i="8" s="1"/>
  <c r="D461" i="8"/>
  <c r="B461" i="8" s="1"/>
  <c r="D462" i="8"/>
  <c r="B462" i="8" s="1"/>
  <c r="D463" i="8"/>
  <c r="B463" i="8" s="1"/>
  <c r="D464" i="8"/>
  <c r="B464" i="8" s="1"/>
  <c r="D465" i="8"/>
  <c r="B465" i="8" s="1"/>
  <c r="D466" i="8"/>
  <c r="B466" i="8" s="1"/>
  <c r="D467" i="8"/>
  <c r="B467" i="8" s="1"/>
  <c r="D468" i="8"/>
  <c r="B468" i="8" s="1"/>
  <c r="D469" i="8"/>
  <c r="D470" i="8"/>
  <c r="B470" i="8" s="1"/>
  <c r="D471" i="8"/>
  <c r="B471" i="8" s="1"/>
  <c r="D472" i="8"/>
  <c r="B472" i="8" s="1"/>
  <c r="D473" i="8"/>
  <c r="B473" i="8" s="1"/>
  <c r="D474" i="8"/>
  <c r="B474" i="8" s="1"/>
  <c r="D475" i="8"/>
  <c r="B475" i="8" s="1"/>
  <c r="D476" i="8"/>
  <c r="B476" i="8" s="1"/>
  <c r="D477" i="8"/>
  <c r="B477" i="8" s="1"/>
  <c r="D478" i="8"/>
  <c r="B478" i="8" s="1"/>
  <c r="D479" i="8"/>
  <c r="B479" i="8" s="1"/>
  <c r="D480" i="8"/>
  <c r="B480" i="8" s="1"/>
  <c r="D481" i="8"/>
  <c r="B481" i="8" s="1"/>
  <c r="D482" i="8"/>
  <c r="B482" i="8" s="1"/>
  <c r="D483" i="8"/>
  <c r="B483" i="8" s="1"/>
  <c r="D484" i="8"/>
  <c r="B484" i="8" s="1"/>
  <c r="D485" i="8"/>
  <c r="B485" i="8" s="1"/>
  <c r="D486" i="8"/>
  <c r="B486" i="8" s="1"/>
  <c r="D487" i="8"/>
  <c r="B487" i="8" s="1"/>
  <c r="D488" i="8"/>
  <c r="B488" i="8" s="1"/>
  <c r="D489" i="8"/>
  <c r="B489" i="8" s="1"/>
  <c r="D490" i="8"/>
  <c r="B490" i="8" s="1"/>
  <c r="D491" i="8"/>
  <c r="B491" i="8" s="1"/>
  <c r="D492" i="8"/>
  <c r="B492" i="8" s="1"/>
  <c r="D493" i="8"/>
  <c r="B493" i="8" s="1"/>
  <c r="D494" i="8"/>
  <c r="B494" i="8" s="1"/>
  <c r="D495" i="8"/>
  <c r="B495" i="8" s="1"/>
  <c r="D496" i="8"/>
  <c r="B496" i="8" s="1"/>
  <c r="D497" i="8"/>
  <c r="B497" i="8" s="1"/>
  <c r="D498" i="8"/>
  <c r="B498" i="8" s="1"/>
  <c r="D499" i="8"/>
  <c r="B499" i="8" s="1"/>
  <c r="D500" i="8"/>
  <c r="B500" i="8" s="1"/>
  <c r="D501" i="8"/>
  <c r="B501" i="8" s="1"/>
  <c r="D502" i="8"/>
  <c r="B502" i="8" s="1"/>
  <c r="D503" i="8"/>
  <c r="B503" i="8" s="1"/>
  <c r="D504" i="8"/>
  <c r="B504" i="8" s="1"/>
  <c r="D505" i="8"/>
  <c r="D326" i="8"/>
  <c r="B326" i="8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2" i="8"/>
  <c r="A472" i="8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B325" i="8" l="1"/>
  <c r="B324" i="8" s="1"/>
  <c r="B323" i="8" s="1"/>
  <c r="B322" i="8" s="1"/>
  <c r="B321" i="8" s="1"/>
  <c r="B320" i="8" s="1"/>
  <c r="B319" i="8" s="1"/>
  <c r="B318" i="8" s="1"/>
  <c r="B317" i="8" s="1"/>
  <c r="B316" i="8" s="1"/>
  <c r="B315" i="8" s="1"/>
  <c r="B314" i="8" s="1"/>
  <c r="B313" i="8" s="1"/>
  <c r="B312" i="8" s="1"/>
  <c r="B311" i="8" s="1"/>
  <c r="B310" i="8" s="1"/>
  <c r="B309" i="8" s="1"/>
  <c r="B308" i="8" s="1"/>
  <c r="B307" i="8" s="1"/>
  <c r="B306" i="8" s="1"/>
  <c r="B305" i="8" s="1"/>
  <c r="B304" i="8" s="1"/>
  <c r="B303" i="8" s="1"/>
  <c r="B302" i="8" s="1"/>
  <c r="B301" i="8" s="1"/>
  <c r="B300" i="8" s="1"/>
  <c r="B299" i="8" s="1"/>
  <c r="B298" i="8" s="1"/>
  <c r="B297" i="8" s="1"/>
  <c r="B296" i="8" s="1"/>
  <c r="B295" i="8" s="1"/>
  <c r="B294" i="8" s="1"/>
  <c r="B293" i="8" s="1"/>
  <c r="B292" i="8" s="1"/>
  <c r="B291" i="8" s="1"/>
  <c r="B290" i="8" s="1"/>
  <c r="B289" i="8" s="1"/>
  <c r="B288" i="8" s="1"/>
  <c r="B287" i="8" s="1"/>
  <c r="B286" i="8" s="1"/>
  <c r="B285" i="8" s="1"/>
  <c r="B284" i="8" s="1"/>
  <c r="B283" i="8" s="1"/>
  <c r="B282" i="8" s="1"/>
  <c r="B281" i="8" s="1"/>
  <c r="B280" i="8" s="1"/>
  <c r="B279" i="8" s="1"/>
  <c r="B278" i="8" s="1"/>
  <c r="B277" i="8" s="1"/>
  <c r="B276" i="8" s="1"/>
  <c r="B275" i="8" s="1"/>
  <c r="B274" i="8" s="1"/>
  <c r="B273" i="8" s="1"/>
  <c r="B272" i="8" s="1"/>
  <c r="B271" i="8" s="1"/>
  <c r="B270" i="8" s="1"/>
  <c r="B269" i="8" s="1"/>
  <c r="B268" i="8" s="1"/>
  <c r="B267" i="8" s="1"/>
  <c r="B266" i="8" s="1"/>
  <c r="B265" i="8" s="1"/>
  <c r="B264" i="8" s="1"/>
  <c r="B263" i="8" s="1"/>
  <c r="B262" i="8" s="1"/>
  <c r="B261" i="8" s="1"/>
  <c r="B260" i="8" s="1"/>
  <c r="B259" i="8" s="1"/>
  <c r="B258" i="8" s="1"/>
  <c r="B257" i="8" s="1"/>
  <c r="B256" i="8" s="1"/>
  <c r="B255" i="8" s="1"/>
  <c r="B254" i="8" s="1"/>
  <c r="B253" i="8" s="1"/>
  <c r="B252" i="8" s="1"/>
  <c r="B251" i="8" s="1"/>
  <c r="B250" i="8" s="1"/>
  <c r="B249" i="8" s="1"/>
  <c r="B248" i="8" s="1"/>
  <c r="B247" i="8" s="1"/>
  <c r="B246" i="8" s="1"/>
  <c r="B245" i="8" s="1"/>
  <c r="B244" i="8" s="1"/>
  <c r="B243" i="8" s="1"/>
  <c r="B242" i="8" s="1"/>
  <c r="B241" i="8" s="1"/>
  <c r="B240" i="8" s="1"/>
  <c r="B239" i="8" s="1"/>
  <c r="B238" i="8" s="1"/>
  <c r="B237" i="8" s="1"/>
  <c r="B236" i="8" s="1"/>
  <c r="B235" i="8" s="1"/>
  <c r="B234" i="8" s="1"/>
  <c r="B233" i="8" s="1"/>
  <c r="B232" i="8" s="1"/>
  <c r="B231" i="8" s="1"/>
  <c r="B230" i="8" s="1"/>
  <c r="B229" i="8" s="1"/>
  <c r="B228" i="8" s="1"/>
  <c r="B227" i="8" s="1"/>
  <c r="B226" i="8" s="1"/>
  <c r="B225" i="8" s="1"/>
  <c r="B224" i="8" s="1"/>
  <c r="B223" i="8" s="1"/>
  <c r="B222" i="8" s="1"/>
  <c r="B221" i="8" s="1"/>
  <c r="B220" i="8" s="1"/>
  <c r="B219" i="8" s="1"/>
  <c r="B218" i="8" s="1"/>
  <c r="B217" i="8" s="1"/>
  <c r="B216" i="8" s="1"/>
  <c r="B215" i="8" s="1"/>
  <c r="B214" i="8" s="1"/>
  <c r="B213" i="8" s="1"/>
  <c r="B212" i="8" s="1"/>
  <c r="B211" i="8" s="1"/>
  <c r="B210" i="8" s="1"/>
  <c r="B209" i="8" s="1"/>
  <c r="B208" i="8" s="1"/>
  <c r="B207" i="8" s="1"/>
  <c r="B206" i="8" s="1"/>
  <c r="B205" i="8" s="1"/>
  <c r="B204" i="8" s="1"/>
  <c r="B203" i="8" s="1"/>
  <c r="B202" i="8" s="1"/>
  <c r="B201" i="8" s="1"/>
  <c r="B200" i="8" s="1"/>
  <c r="B199" i="8" s="1"/>
  <c r="B198" i="8" s="1"/>
  <c r="B197" i="8" s="1"/>
  <c r="B196" i="8" s="1"/>
  <c r="B195" i="8" s="1"/>
  <c r="B194" i="8" s="1"/>
  <c r="B193" i="8" s="1"/>
  <c r="B192" i="8" s="1"/>
  <c r="B191" i="8" s="1"/>
  <c r="B190" i="8" s="1"/>
  <c r="B189" i="8" s="1"/>
  <c r="B188" i="8" s="1"/>
  <c r="B187" i="8" s="1"/>
  <c r="B186" i="8" s="1"/>
  <c r="B185" i="8" s="1"/>
  <c r="B184" i="8" s="1"/>
  <c r="B183" i="8" s="1"/>
  <c r="B182" i="8" s="1"/>
  <c r="B181" i="8" s="1"/>
  <c r="B180" i="8" s="1"/>
  <c r="B179" i="8" s="1"/>
  <c r="B178" i="8" s="1"/>
  <c r="B177" i="8" s="1"/>
  <c r="B176" i="8" s="1"/>
  <c r="B175" i="8" s="1"/>
  <c r="B174" i="8" s="1"/>
  <c r="B173" i="8" s="1"/>
  <c r="B172" i="8" s="1"/>
  <c r="B171" i="8" s="1"/>
  <c r="B170" i="8" s="1"/>
  <c r="B169" i="8" s="1"/>
  <c r="B168" i="8" s="1"/>
  <c r="B167" i="8" s="1"/>
  <c r="B166" i="8" s="1"/>
  <c r="B165" i="8" s="1"/>
  <c r="B164" i="8" s="1"/>
  <c r="B163" i="8" s="1"/>
  <c r="B162" i="8" s="1"/>
  <c r="B161" i="8" s="1"/>
  <c r="B160" i="8" s="1"/>
  <c r="B159" i="8" s="1"/>
  <c r="B158" i="8" s="1"/>
  <c r="B157" i="8" s="1"/>
  <c r="B156" i="8" s="1"/>
  <c r="B155" i="8" s="1"/>
  <c r="B154" i="8" s="1"/>
  <c r="B153" i="8" s="1"/>
  <c r="B152" i="8" s="1"/>
  <c r="B151" i="8" s="1"/>
  <c r="B150" i="8" s="1"/>
  <c r="B149" i="8" s="1"/>
  <c r="B148" i="8" s="1"/>
  <c r="B147" i="8" s="1"/>
  <c r="B146" i="8" s="1"/>
  <c r="B145" i="8" s="1"/>
  <c r="B144" i="8" s="1"/>
  <c r="B143" i="8" s="1"/>
  <c r="B142" i="8" s="1"/>
  <c r="B141" i="8" s="1"/>
  <c r="B140" i="8" s="1"/>
  <c r="B139" i="8" s="1"/>
  <c r="B138" i="8" s="1"/>
  <c r="B137" i="8" s="1"/>
  <c r="B136" i="8" s="1"/>
  <c r="B135" i="8" s="1"/>
  <c r="B134" i="8" s="1"/>
  <c r="B133" i="8" s="1"/>
  <c r="B132" i="8" s="1"/>
  <c r="B131" i="8" s="1"/>
  <c r="B130" i="8" s="1"/>
  <c r="B129" i="8" s="1"/>
  <c r="B128" i="8" s="1"/>
  <c r="B127" i="8" s="1"/>
  <c r="B126" i="8" s="1"/>
  <c r="B125" i="8" s="1"/>
  <c r="B124" i="8" s="1"/>
  <c r="B123" i="8" s="1"/>
  <c r="B122" i="8" s="1"/>
  <c r="B121" i="8" s="1"/>
  <c r="B120" i="8" s="1"/>
  <c r="B119" i="8" s="1"/>
  <c r="B118" i="8" s="1"/>
  <c r="B117" i="8" s="1"/>
  <c r="B116" i="8" s="1"/>
  <c r="B115" i="8" s="1"/>
  <c r="B114" i="8" s="1"/>
  <c r="B113" i="8" s="1"/>
  <c r="B112" i="8" s="1"/>
  <c r="B111" i="8" s="1"/>
  <c r="B110" i="8" s="1"/>
  <c r="B109" i="8" s="1"/>
  <c r="B108" i="8" s="1"/>
  <c r="B107" i="8" s="1"/>
  <c r="B106" i="8" s="1"/>
  <c r="B105" i="8" s="1"/>
  <c r="B104" i="8" s="1"/>
  <c r="B103" i="8" s="1"/>
  <c r="B102" i="8" s="1"/>
  <c r="B101" i="8" s="1"/>
  <c r="B100" i="8" s="1"/>
  <c r="B99" i="8" s="1"/>
  <c r="B98" i="8" s="1"/>
  <c r="B97" i="8" s="1"/>
  <c r="B96" i="8" s="1"/>
  <c r="B95" i="8" s="1"/>
  <c r="B94" i="8" s="1"/>
  <c r="B93" i="8" s="1"/>
  <c r="B92" i="8" s="1"/>
  <c r="B91" i="8" s="1"/>
  <c r="B90" i="8" s="1"/>
  <c r="B89" i="8" s="1"/>
  <c r="B88" i="8" s="1"/>
  <c r="B87" i="8" s="1"/>
  <c r="B86" i="8" s="1"/>
  <c r="B85" i="8" s="1"/>
  <c r="B84" i="8" s="1"/>
  <c r="B83" i="8" s="1"/>
  <c r="B82" i="8" s="1"/>
  <c r="B81" i="8" s="1"/>
  <c r="B80" i="8" s="1"/>
  <c r="B79" i="8" s="1"/>
  <c r="B78" i="8" s="1"/>
  <c r="B77" i="8" s="1"/>
  <c r="B76" i="8" s="1"/>
  <c r="B75" i="8" s="1"/>
  <c r="B74" i="8" s="1"/>
  <c r="B73" i="8" s="1"/>
  <c r="B72" i="8" s="1"/>
  <c r="B71" i="8" s="1"/>
  <c r="B70" i="8" s="1"/>
  <c r="B69" i="8" s="1"/>
  <c r="B68" i="8" s="1"/>
  <c r="B67" i="8" s="1"/>
  <c r="B66" i="8" s="1"/>
  <c r="B65" i="8" s="1"/>
  <c r="B64" i="8" s="1"/>
  <c r="B63" i="8" s="1"/>
  <c r="B62" i="8" s="1"/>
  <c r="B61" i="8" s="1"/>
  <c r="B60" i="8" s="1"/>
  <c r="B59" i="8" s="1"/>
  <c r="B58" i="8" s="1"/>
  <c r="B57" i="8" s="1"/>
  <c r="B56" i="8" s="1"/>
  <c r="B55" i="8" s="1"/>
  <c r="B54" i="8" s="1"/>
  <c r="B53" i="8" s="1"/>
  <c r="B52" i="8" s="1"/>
  <c r="B51" i="8" s="1"/>
  <c r="B50" i="8" s="1"/>
  <c r="B49" i="8" s="1"/>
  <c r="B48" i="8" s="1"/>
  <c r="B47" i="8" s="1"/>
  <c r="B46" i="8" s="1"/>
  <c r="B45" i="8" s="1"/>
  <c r="B44" i="8" s="1"/>
  <c r="B43" i="8" s="1"/>
  <c r="B42" i="8" s="1"/>
  <c r="B41" i="8" s="1"/>
  <c r="B40" i="8" s="1"/>
  <c r="B39" i="8" s="1"/>
  <c r="B38" i="8" s="1"/>
  <c r="B37" i="8" s="1"/>
  <c r="B36" i="8" s="1"/>
  <c r="B35" i="8" s="1"/>
  <c r="B34" i="8" s="1"/>
  <c r="B33" i="8" s="1"/>
  <c r="B32" i="8" s="1"/>
  <c r="B31" i="8" s="1"/>
  <c r="B30" i="8" s="1"/>
  <c r="B29" i="8" s="1"/>
  <c r="B28" i="8" s="1"/>
  <c r="B27" i="8" s="1"/>
  <c r="B26" i="8" s="1"/>
  <c r="B25" i="8" s="1"/>
  <c r="B24" i="8" s="1"/>
  <c r="B23" i="8" s="1"/>
  <c r="B22" i="8" s="1"/>
  <c r="B21" i="8" s="1"/>
  <c r="B20" i="8" s="1"/>
  <c r="B19" i="8" s="1"/>
  <c r="B18" i="8" s="1"/>
  <c r="B17" i="8" s="1"/>
  <c r="B16" i="8" s="1"/>
  <c r="B15" i="8" s="1"/>
  <c r="B14" i="8" s="1"/>
  <c r="B13" i="8" s="1"/>
  <c r="B12" i="8" s="1"/>
  <c r="B11" i="8" s="1"/>
  <c r="B10" i="8" s="1"/>
  <c r="B9" i="8" s="1"/>
  <c r="B8" i="8" s="1"/>
  <c r="B7" i="8" s="1"/>
  <c r="B6" i="8" s="1"/>
  <c r="B5" i="8" s="1"/>
  <c r="B4" i="8" s="1"/>
  <c r="B3" i="8" s="1"/>
  <c r="B2" i="8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3" i="6"/>
  <c r="E326" i="6"/>
  <c r="D3" i="1"/>
  <c r="D6" i="1"/>
  <c r="D7" i="1"/>
  <c r="D10" i="1"/>
  <c r="D11" i="1"/>
  <c r="D14" i="1"/>
  <c r="D15" i="1"/>
  <c r="D18" i="1"/>
  <c r="D19" i="1"/>
  <c r="D22" i="1"/>
  <c r="D23" i="1"/>
  <c r="D26" i="1"/>
  <c r="D27" i="1"/>
  <c r="D30" i="1"/>
  <c r="D31" i="1"/>
  <c r="D34" i="1"/>
  <c r="D35" i="1"/>
  <c r="D38" i="1"/>
  <c r="D39" i="1"/>
  <c r="D42" i="1"/>
  <c r="D43" i="1"/>
  <c r="D46" i="1"/>
  <c r="D47" i="1"/>
  <c r="D50" i="1"/>
  <c r="D51" i="1"/>
  <c r="D54" i="1"/>
  <c r="D55" i="1"/>
  <c r="D58" i="1"/>
  <c r="D59" i="1"/>
  <c r="D62" i="1"/>
  <c r="D63" i="1"/>
  <c r="D66" i="1"/>
  <c r="D67" i="1"/>
  <c r="D70" i="1"/>
  <c r="D71" i="1"/>
  <c r="D74" i="1"/>
  <c r="D75" i="1"/>
  <c r="D78" i="1"/>
  <c r="D79" i="1"/>
  <c r="D82" i="1"/>
  <c r="D83" i="1"/>
  <c r="D86" i="1"/>
  <c r="D87" i="1"/>
  <c r="D90" i="1"/>
  <c r="D91" i="1"/>
  <c r="D94" i="1"/>
  <c r="D95" i="1"/>
  <c r="D98" i="1"/>
  <c r="D99" i="1"/>
  <c r="D102" i="1"/>
  <c r="D103" i="1"/>
  <c r="D106" i="1"/>
  <c r="D107" i="1"/>
  <c r="D110" i="1"/>
  <c r="D111" i="1"/>
  <c r="D114" i="1"/>
  <c r="D115" i="1"/>
  <c r="D118" i="1"/>
  <c r="D119" i="1"/>
  <c r="D122" i="1"/>
  <c r="D123" i="1"/>
  <c r="D126" i="1"/>
  <c r="D127" i="1"/>
  <c r="D130" i="1"/>
  <c r="D131" i="1"/>
  <c r="D134" i="1"/>
  <c r="D135" i="1"/>
  <c r="D138" i="1"/>
  <c r="D139" i="1"/>
  <c r="D142" i="1"/>
  <c r="D143" i="1"/>
  <c r="D146" i="1"/>
  <c r="D147" i="1"/>
  <c r="D150" i="1"/>
  <c r="D151" i="1"/>
  <c r="D154" i="1"/>
  <c r="D155" i="1"/>
  <c r="D158" i="1"/>
  <c r="D159" i="1"/>
  <c r="D162" i="1"/>
  <c r="D163" i="1"/>
  <c r="D166" i="1"/>
  <c r="D167" i="1"/>
  <c r="D170" i="1"/>
  <c r="D171" i="1"/>
  <c r="D174" i="1"/>
  <c r="D175" i="1"/>
  <c r="D178" i="1"/>
  <c r="D179" i="1"/>
  <c r="C3" i="1"/>
  <c r="C4" i="1"/>
  <c r="D4" i="1" s="1"/>
  <c r="C5" i="1"/>
  <c r="D5" i="1" s="1"/>
  <c r="C6" i="1"/>
  <c r="C7" i="1"/>
  <c r="C8" i="1"/>
  <c r="D8" i="1" s="1"/>
  <c r="C9" i="1"/>
  <c r="D9" i="1" s="1"/>
  <c r="C10" i="1"/>
  <c r="C11" i="1"/>
  <c r="C12" i="1"/>
  <c r="D12" i="1" s="1"/>
  <c r="C13" i="1"/>
  <c r="D13" i="1" s="1"/>
  <c r="C14" i="1"/>
  <c r="C15" i="1"/>
  <c r="C16" i="1"/>
  <c r="D16" i="1" s="1"/>
  <c r="C17" i="1"/>
  <c r="D17" i="1" s="1"/>
  <c r="C18" i="1"/>
  <c r="C19" i="1"/>
  <c r="C20" i="1"/>
  <c r="D20" i="1" s="1"/>
  <c r="C21" i="1"/>
  <c r="D21" i="1" s="1"/>
  <c r="C22" i="1"/>
  <c r="C23" i="1"/>
  <c r="C24" i="1"/>
  <c r="D24" i="1" s="1"/>
  <c r="C25" i="1"/>
  <c r="D25" i="1" s="1"/>
  <c r="C26" i="1"/>
  <c r="C27" i="1"/>
  <c r="C28" i="1"/>
  <c r="D28" i="1" s="1"/>
  <c r="C29" i="1"/>
  <c r="D29" i="1" s="1"/>
  <c r="C30" i="1"/>
  <c r="C31" i="1"/>
  <c r="C32" i="1"/>
  <c r="D32" i="1" s="1"/>
  <c r="C33" i="1"/>
  <c r="D33" i="1" s="1"/>
  <c r="C34" i="1"/>
  <c r="C35" i="1"/>
  <c r="C36" i="1"/>
  <c r="D36" i="1" s="1"/>
  <c r="C37" i="1"/>
  <c r="D37" i="1" s="1"/>
  <c r="C38" i="1"/>
  <c r="C39" i="1"/>
  <c r="C40" i="1"/>
  <c r="D40" i="1" s="1"/>
  <c r="C41" i="1"/>
  <c r="D41" i="1" s="1"/>
  <c r="C42" i="1"/>
  <c r="C43" i="1"/>
  <c r="C44" i="1"/>
  <c r="D44" i="1" s="1"/>
  <c r="C45" i="1"/>
  <c r="D45" i="1" s="1"/>
  <c r="C46" i="1"/>
  <c r="C47" i="1"/>
  <c r="C48" i="1"/>
  <c r="D48" i="1" s="1"/>
  <c r="C49" i="1"/>
  <c r="D49" i="1" s="1"/>
  <c r="C50" i="1"/>
  <c r="C51" i="1"/>
  <c r="C52" i="1"/>
  <c r="D52" i="1" s="1"/>
  <c r="C53" i="1"/>
  <c r="D53" i="1" s="1"/>
  <c r="C54" i="1"/>
  <c r="C55" i="1"/>
  <c r="C56" i="1"/>
  <c r="D56" i="1" s="1"/>
  <c r="C57" i="1"/>
  <c r="D57" i="1" s="1"/>
  <c r="C58" i="1"/>
  <c r="C59" i="1"/>
  <c r="C60" i="1"/>
  <c r="D60" i="1" s="1"/>
  <c r="C61" i="1"/>
  <c r="D61" i="1" s="1"/>
  <c r="C62" i="1"/>
  <c r="C63" i="1"/>
  <c r="C64" i="1"/>
  <c r="D64" i="1" s="1"/>
  <c r="C65" i="1"/>
  <c r="D65" i="1" s="1"/>
  <c r="C66" i="1"/>
  <c r="C67" i="1"/>
  <c r="C68" i="1"/>
  <c r="D68" i="1" s="1"/>
  <c r="C69" i="1"/>
  <c r="D69" i="1" s="1"/>
  <c r="C70" i="1"/>
  <c r="C71" i="1"/>
  <c r="C72" i="1"/>
  <c r="D72" i="1" s="1"/>
  <c r="C73" i="1"/>
  <c r="D73" i="1" s="1"/>
  <c r="C74" i="1"/>
  <c r="C75" i="1"/>
  <c r="C76" i="1"/>
  <c r="D76" i="1" s="1"/>
  <c r="C77" i="1"/>
  <c r="D77" i="1" s="1"/>
  <c r="C78" i="1"/>
  <c r="C79" i="1"/>
  <c r="C80" i="1"/>
  <c r="D80" i="1" s="1"/>
  <c r="C81" i="1"/>
  <c r="D81" i="1" s="1"/>
  <c r="C82" i="1"/>
  <c r="C83" i="1"/>
  <c r="C84" i="1"/>
  <c r="D84" i="1" s="1"/>
  <c r="C85" i="1"/>
  <c r="D85" i="1" s="1"/>
  <c r="C86" i="1"/>
  <c r="C87" i="1"/>
  <c r="C88" i="1"/>
  <c r="D88" i="1" s="1"/>
  <c r="C89" i="1"/>
  <c r="D89" i="1" s="1"/>
  <c r="C90" i="1"/>
  <c r="C91" i="1"/>
  <c r="C92" i="1"/>
  <c r="D92" i="1" s="1"/>
  <c r="C93" i="1"/>
  <c r="D93" i="1" s="1"/>
  <c r="C94" i="1"/>
  <c r="C95" i="1"/>
  <c r="C96" i="1"/>
  <c r="D96" i="1" s="1"/>
  <c r="C97" i="1"/>
  <c r="D97" i="1" s="1"/>
  <c r="C98" i="1"/>
  <c r="C99" i="1"/>
  <c r="C100" i="1"/>
  <c r="D100" i="1" s="1"/>
  <c r="C101" i="1"/>
  <c r="D101" i="1" s="1"/>
  <c r="C102" i="1"/>
  <c r="C103" i="1"/>
  <c r="C104" i="1"/>
  <c r="D104" i="1" s="1"/>
  <c r="C105" i="1"/>
  <c r="D105" i="1" s="1"/>
  <c r="C106" i="1"/>
  <c r="C107" i="1"/>
  <c r="C108" i="1"/>
  <c r="D108" i="1" s="1"/>
  <c r="C109" i="1"/>
  <c r="D109" i="1" s="1"/>
  <c r="C110" i="1"/>
  <c r="C111" i="1"/>
  <c r="C112" i="1"/>
  <c r="D112" i="1" s="1"/>
  <c r="C113" i="1"/>
  <c r="D113" i="1" s="1"/>
  <c r="C114" i="1"/>
  <c r="C115" i="1"/>
  <c r="C116" i="1"/>
  <c r="D116" i="1" s="1"/>
  <c r="C117" i="1"/>
  <c r="D117" i="1" s="1"/>
  <c r="C118" i="1"/>
  <c r="C119" i="1"/>
  <c r="C120" i="1"/>
  <c r="D120" i="1" s="1"/>
  <c r="C121" i="1"/>
  <c r="D121" i="1" s="1"/>
  <c r="C122" i="1"/>
  <c r="C123" i="1"/>
  <c r="C124" i="1"/>
  <c r="D124" i="1" s="1"/>
  <c r="C125" i="1"/>
  <c r="D125" i="1" s="1"/>
  <c r="C126" i="1"/>
  <c r="C127" i="1"/>
  <c r="C128" i="1"/>
  <c r="D128" i="1" s="1"/>
  <c r="C129" i="1"/>
  <c r="D129" i="1" s="1"/>
  <c r="C130" i="1"/>
  <c r="C131" i="1"/>
  <c r="C132" i="1"/>
  <c r="D132" i="1" s="1"/>
  <c r="C133" i="1"/>
  <c r="D133" i="1" s="1"/>
  <c r="C134" i="1"/>
  <c r="C135" i="1"/>
  <c r="C136" i="1"/>
  <c r="D136" i="1" s="1"/>
  <c r="C137" i="1"/>
  <c r="D137" i="1" s="1"/>
  <c r="C138" i="1"/>
  <c r="C139" i="1"/>
  <c r="C140" i="1"/>
  <c r="D140" i="1" s="1"/>
  <c r="C141" i="1"/>
  <c r="D141" i="1" s="1"/>
  <c r="C142" i="1"/>
  <c r="C143" i="1"/>
  <c r="C144" i="1"/>
  <c r="D144" i="1" s="1"/>
  <c r="C145" i="1"/>
  <c r="D145" i="1" s="1"/>
  <c r="C146" i="1"/>
  <c r="C147" i="1"/>
  <c r="C148" i="1"/>
  <c r="D148" i="1" s="1"/>
  <c r="C149" i="1"/>
  <c r="D149" i="1" s="1"/>
  <c r="C150" i="1"/>
  <c r="C151" i="1"/>
  <c r="C152" i="1"/>
  <c r="D152" i="1" s="1"/>
  <c r="C153" i="1"/>
  <c r="D153" i="1" s="1"/>
  <c r="C154" i="1"/>
  <c r="C155" i="1"/>
  <c r="C156" i="1"/>
  <c r="D156" i="1" s="1"/>
  <c r="C157" i="1"/>
  <c r="D157" i="1" s="1"/>
  <c r="C158" i="1"/>
  <c r="C159" i="1"/>
  <c r="C160" i="1"/>
  <c r="D160" i="1" s="1"/>
  <c r="C161" i="1"/>
  <c r="D161" i="1" s="1"/>
  <c r="C162" i="1"/>
  <c r="C163" i="1"/>
  <c r="C164" i="1"/>
  <c r="D164" i="1" s="1"/>
  <c r="C165" i="1"/>
  <c r="D165" i="1" s="1"/>
  <c r="C166" i="1"/>
  <c r="C167" i="1"/>
  <c r="C168" i="1"/>
  <c r="D168" i="1" s="1"/>
  <c r="C169" i="1"/>
  <c r="D169" i="1" s="1"/>
  <c r="C170" i="1"/>
  <c r="C171" i="1"/>
  <c r="C172" i="1"/>
  <c r="D172" i="1" s="1"/>
  <c r="C173" i="1"/>
  <c r="D173" i="1" s="1"/>
  <c r="C174" i="1"/>
  <c r="C175" i="1"/>
  <c r="C176" i="1"/>
  <c r="D176" i="1" s="1"/>
  <c r="C177" i="1"/>
  <c r="D177" i="1" s="1"/>
  <c r="C178" i="1"/>
  <c r="C179" i="1"/>
  <c r="C2" i="1"/>
  <c r="D2" i="1" s="1"/>
  <c r="H326" i="6" l="1"/>
  <c r="E325" i="6"/>
  <c r="H325" i="6" l="1"/>
  <c r="E324" i="6"/>
  <c r="E323" i="6" l="1"/>
  <c r="H324" i="6"/>
  <c r="E322" i="6" l="1"/>
  <c r="H323" i="6"/>
  <c r="E321" i="6" l="1"/>
  <c r="H322" i="6"/>
  <c r="E320" i="6" l="1"/>
  <c r="H321" i="6"/>
  <c r="E319" i="6" l="1"/>
  <c r="H320" i="6"/>
  <c r="E318" i="6" l="1"/>
  <c r="H319" i="6"/>
  <c r="E317" i="6" l="1"/>
  <c r="H318" i="6"/>
  <c r="E316" i="6" l="1"/>
  <c r="H317" i="6"/>
  <c r="E315" i="6" l="1"/>
  <c r="H316" i="6"/>
  <c r="E314" i="6" l="1"/>
  <c r="H315" i="6"/>
  <c r="E313" i="6" l="1"/>
  <c r="H314" i="6"/>
  <c r="E312" i="6" l="1"/>
  <c r="H313" i="6"/>
  <c r="E311" i="6" l="1"/>
  <c r="H312" i="6"/>
  <c r="E310" i="6" l="1"/>
  <c r="H311" i="6"/>
  <c r="E309" i="6" l="1"/>
  <c r="H310" i="6"/>
  <c r="E308" i="6" l="1"/>
  <c r="H309" i="6"/>
  <c r="E307" i="6" l="1"/>
  <c r="H308" i="6"/>
  <c r="E306" i="6" l="1"/>
  <c r="H307" i="6"/>
  <c r="E305" i="6" l="1"/>
  <c r="H306" i="6"/>
  <c r="E304" i="6" l="1"/>
  <c r="H305" i="6"/>
  <c r="E303" i="6" l="1"/>
  <c r="H304" i="6"/>
  <c r="E302" i="6" l="1"/>
  <c r="H303" i="6"/>
  <c r="E301" i="6" l="1"/>
  <c r="H302" i="6"/>
  <c r="E300" i="6" l="1"/>
  <c r="H301" i="6"/>
  <c r="E299" i="6" l="1"/>
  <c r="H300" i="6"/>
  <c r="E298" i="6" l="1"/>
  <c r="H299" i="6"/>
  <c r="E297" i="6" l="1"/>
  <c r="H298" i="6"/>
  <c r="E296" i="6" l="1"/>
  <c r="H297" i="6"/>
  <c r="E295" i="6" l="1"/>
  <c r="H296" i="6"/>
  <c r="E294" i="6" l="1"/>
  <c r="H295" i="6"/>
  <c r="E293" i="6" l="1"/>
  <c r="H294" i="6"/>
  <c r="E292" i="6" l="1"/>
  <c r="H293" i="6"/>
  <c r="E291" i="6" l="1"/>
  <c r="H292" i="6"/>
  <c r="E290" i="6" l="1"/>
  <c r="H291" i="6"/>
  <c r="E289" i="6" l="1"/>
  <c r="H290" i="6"/>
  <c r="E288" i="6" l="1"/>
  <c r="H289" i="6"/>
  <c r="E287" i="6" l="1"/>
  <c r="H288" i="6"/>
  <c r="E286" i="6" l="1"/>
  <c r="H287" i="6"/>
  <c r="E285" i="6" l="1"/>
  <c r="H286" i="6"/>
  <c r="E284" i="6" l="1"/>
  <c r="H285" i="6"/>
  <c r="E283" i="6" l="1"/>
  <c r="H284" i="6"/>
  <c r="E282" i="6" l="1"/>
  <c r="H283" i="6"/>
  <c r="E281" i="6" l="1"/>
  <c r="H282" i="6"/>
  <c r="E280" i="6" l="1"/>
  <c r="H281" i="6"/>
  <c r="E279" i="6" l="1"/>
  <c r="H280" i="6"/>
  <c r="E278" i="6" l="1"/>
  <c r="H279" i="6"/>
  <c r="E277" i="6" l="1"/>
  <c r="H278" i="6"/>
  <c r="E276" i="6" l="1"/>
  <c r="H277" i="6"/>
  <c r="E275" i="6" l="1"/>
  <c r="H276" i="6"/>
  <c r="E274" i="6" l="1"/>
  <c r="H275" i="6"/>
  <c r="E273" i="6" l="1"/>
  <c r="H274" i="6"/>
  <c r="E272" i="6" l="1"/>
  <c r="H273" i="6"/>
  <c r="E271" i="6" l="1"/>
  <c r="H272" i="6"/>
  <c r="E270" i="6" l="1"/>
  <c r="H271" i="6"/>
  <c r="E269" i="6" l="1"/>
  <c r="H270" i="6"/>
  <c r="E268" i="6" l="1"/>
  <c r="H269" i="6"/>
  <c r="E267" i="6" l="1"/>
  <c r="H268" i="6"/>
  <c r="E266" i="6" l="1"/>
  <c r="H267" i="6"/>
  <c r="E265" i="6" l="1"/>
  <c r="H266" i="6"/>
  <c r="E264" i="6" l="1"/>
  <c r="H265" i="6"/>
  <c r="E263" i="6" l="1"/>
  <c r="H264" i="6"/>
  <c r="E262" i="6" l="1"/>
  <c r="H263" i="6"/>
  <c r="E261" i="6" l="1"/>
  <c r="H262" i="6"/>
  <c r="E260" i="6" l="1"/>
  <c r="H261" i="6"/>
  <c r="E259" i="6" l="1"/>
  <c r="H260" i="6"/>
  <c r="E258" i="6" l="1"/>
  <c r="H259" i="6"/>
  <c r="E257" i="6" l="1"/>
  <c r="H258" i="6"/>
  <c r="E256" i="6" l="1"/>
  <c r="H257" i="6"/>
  <c r="E255" i="6" l="1"/>
  <c r="H256" i="6"/>
  <c r="E254" i="6" l="1"/>
  <c r="H255" i="6"/>
  <c r="E253" i="6" l="1"/>
  <c r="H254" i="6"/>
  <c r="E252" i="6" l="1"/>
  <c r="H253" i="6"/>
  <c r="E251" i="6" l="1"/>
  <c r="H252" i="6"/>
  <c r="E250" i="6" l="1"/>
  <c r="H251" i="6"/>
  <c r="E249" i="6" l="1"/>
  <c r="H250" i="6"/>
  <c r="E248" i="6" l="1"/>
  <c r="H249" i="6"/>
  <c r="E247" i="6" l="1"/>
  <c r="H248" i="6"/>
  <c r="E246" i="6" l="1"/>
  <c r="H247" i="6"/>
  <c r="E245" i="6" l="1"/>
  <c r="H246" i="6"/>
  <c r="E244" i="6" l="1"/>
  <c r="H245" i="6"/>
  <c r="E243" i="6" l="1"/>
  <c r="H244" i="6"/>
  <c r="E242" i="6" l="1"/>
  <c r="H243" i="6"/>
  <c r="E241" i="6" l="1"/>
  <c r="H242" i="6"/>
  <c r="E240" i="6" l="1"/>
  <c r="H241" i="6"/>
  <c r="E239" i="6" l="1"/>
  <c r="H240" i="6"/>
  <c r="E238" i="6" l="1"/>
  <c r="H239" i="6"/>
  <c r="E237" i="6" l="1"/>
  <c r="H238" i="6"/>
  <c r="E236" i="6" l="1"/>
  <c r="H237" i="6"/>
  <c r="E235" i="6" l="1"/>
  <c r="H236" i="6"/>
  <c r="E234" i="6" l="1"/>
  <c r="H235" i="6"/>
  <c r="E233" i="6" l="1"/>
  <c r="H234" i="6"/>
  <c r="E232" i="6" l="1"/>
  <c r="H233" i="6"/>
  <c r="E231" i="6" l="1"/>
  <c r="H232" i="6"/>
  <c r="E230" i="6" l="1"/>
  <c r="H231" i="6"/>
  <c r="E229" i="6" l="1"/>
  <c r="H230" i="6"/>
  <c r="E228" i="6" l="1"/>
  <c r="H229" i="6"/>
  <c r="E227" i="6" l="1"/>
  <c r="H228" i="6"/>
  <c r="E226" i="6" l="1"/>
  <c r="H227" i="6"/>
  <c r="E225" i="6" l="1"/>
  <c r="H226" i="6"/>
  <c r="E224" i="6" l="1"/>
  <c r="H225" i="6"/>
  <c r="E223" i="6" l="1"/>
  <c r="H224" i="6"/>
  <c r="E222" i="6" l="1"/>
  <c r="H223" i="6"/>
  <c r="E221" i="6" l="1"/>
  <c r="H222" i="6"/>
  <c r="E220" i="6" l="1"/>
  <c r="H221" i="6"/>
  <c r="E219" i="6" l="1"/>
  <c r="H220" i="6"/>
  <c r="E218" i="6" l="1"/>
  <c r="H219" i="6"/>
  <c r="E217" i="6" l="1"/>
  <c r="H218" i="6"/>
  <c r="E216" i="6" l="1"/>
  <c r="H217" i="6"/>
  <c r="E215" i="6" l="1"/>
  <c r="H216" i="6"/>
  <c r="E214" i="6" l="1"/>
  <c r="H215" i="6"/>
  <c r="E213" i="6" l="1"/>
  <c r="H214" i="6"/>
  <c r="E212" i="6" l="1"/>
  <c r="H213" i="6"/>
  <c r="E211" i="6" l="1"/>
  <c r="H212" i="6"/>
  <c r="E210" i="6" l="1"/>
  <c r="H211" i="6"/>
  <c r="E209" i="6" l="1"/>
  <c r="H210" i="6"/>
  <c r="E208" i="6" l="1"/>
  <c r="H209" i="6"/>
  <c r="E207" i="6" l="1"/>
  <c r="H208" i="6"/>
  <c r="E206" i="6" l="1"/>
  <c r="H207" i="6"/>
  <c r="E205" i="6" l="1"/>
  <c r="H206" i="6"/>
  <c r="E204" i="6" l="1"/>
  <c r="H205" i="6"/>
  <c r="E203" i="6" l="1"/>
  <c r="H204" i="6"/>
  <c r="E202" i="6" l="1"/>
  <c r="H203" i="6"/>
  <c r="E201" i="6" l="1"/>
  <c r="H202" i="6"/>
  <c r="E200" i="6" l="1"/>
  <c r="H201" i="6"/>
  <c r="E199" i="6" l="1"/>
  <c r="H200" i="6"/>
  <c r="E198" i="6" l="1"/>
  <c r="H199" i="6"/>
  <c r="E197" i="6" l="1"/>
  <c r="H198" i="6"/>
  <c r="E196" i="6" l="1"/>
  <c r="H197" i="6"/>
  <c r="E195" i="6" l="1"/>
  <c r="H196" i="6"/>
  <c r="E194" i="6" l="1"/>
  <c r="H195" i="6"/>
  <c r="E193" i="6" l="1"/>
  <c r="H194" i="6"/>
  <c r="E192" i="6" l="1"/>
  <c r="H193" i="6"/>
  <c r="E191" i="6" l="1"/>
  <c r="H192" i="6"/>
  <c r="E190" i="6" l="1"/>
  <c r="H191" i="6"/>
  <c r="E189" i="6" l="1"/>
  <c r="H190" i="6"/>
  <c r="E188" i="6" l="1"/>
  <c r="H189" i="6"/>
  <c r="E187" i="6" l="1"/>
  <c r="H188" i="6"/>
  <c r="E186" i="6" l="1"/>
  <c r="H187" i="6"/>
  <c r="E185" i="6" l="1"/>
  <c r="H186" i="6"/>
  <c r="E184" i="6" l="1"/>
  <c r="H185" i="6"/>
  <c r="E183" i="6" l="1"/>
  <c r="H184" i="6"/>
  <c r="E182" i="6" l="1"/>
  <c r="H183" i="6"/>
  <c r="E181" i="6" l="1"/>
  <c r="H182" i="6"/>
  <c r="E180" i="6" l="1"/>
  <c r="H181" i="6"/>
  <c r="E179" i="6" l="1"/>
  <c r="H180" i="6"/>
  <c r="E178" i="6" l="1"/>
  <c r="H179" i="6"/>
  <c r="E177" i="6" l="1"/>
  <c r="H178" i="6"/>
  <c r="E176" i="6" l="1"/>
  <c r="H177" i="6"/>
  <c r="E175" i="6" l="1"/>
  <c r="H176" i="6"/>
  <c r="E174" i="6" l="1"/>
  <c r="H175" i="6"/>
  <c r="E173" i="6" l="1"/>
  <c r="H174" i="6"/>
  <c r="E172" i="6" l="1"/>
  <c r="H173" i="6"/>
  <c r="E171" i="6" l="1"/>
  <c r="H172" i="6"/>
  <c r="E170" i="6" l="1"/>
  <c r="H171" i="6"/>
  <c r="E169" i="6" l="1"/>
  <c r="H170" i="6"/>
  <c r="E168" i="6" l="1"/>
  <c r="H169" i="6"/>
  <c r="E167" i="6" l="1"/>
  <c r="H168" i="6"/>
  <c r="E166" i="6" l="1"/>
  <c r="H167" i="6"/>
  <c r="E165" i="6" l="1"/>
  <c r="H166" i="6"/>
  <c r="E164" i="6" l="1"/>
  <c r="H165" i="6"/>
  <c r="E163" i="6" l="1"/>
  <c r="H164" i="6"/>
  <c r="E162" i="6" l="1"/>
  <c r="H163" i="6"/>
  <c r="E161" i="6" l="1"/>
  <c r="H162" i="6"/>
  <c r="E160" i="6" l="1"/>
  <c r="H161" i="6"/>
  <c r="E159" i="6" l="1"/>
  <c r="H160" i="6"/>
  <c r="E158" i="6" l="1"/>
  <c r="H159" i="6"/>
  <c r="E157" i="6" l="1"/>
  <c r="H158" i="6"/>
  <c r="E156" i="6" l="1"/>
  <c r="H157" i="6"/>
  <c r="E155" i="6" l="1"/>
  <c r="H156" i="6"/>
  <c r="E154" i="6" l="1"/>
  <c r="H155" i="6"/>
  <c r="E153" i="6" l="1"/>
  <c r="H154" i="6"/>
  <c r="E152" i="6" l="1"/>
  <c r="H153" i="6"/>
  <c r="E151" i="6" l="1"/>
  <c r="H152" i="6"/>
  <c r="E150" i="6" l="1"/>
  <c r="H151" i="6"/>
  <c r="E149" i="6" l="1"/>
  <c r="H150" i="6"/>
  <c r="E148" i="6" l="1"/>
  <c r="H149" i="6"/>
  <c r="E147" i="6" l="1"/>
  <c r="H148" i="6"/>
  <c r="E146" i="6" l="1"/>
  <c r="H147" i="6"/>
  <c r="E145" i="6" l="1"/>
  <c r="H146" i="6"/>
  <c r="E144" i="6" l="1"/>
  <c r="H145" i="6"/>
  <c r="E143" i="6" l="1"/>
  <c r="H144" i="6"/>
  <c r="E142" i="6" l="1"/>
  <c r="H143" i="6"/>
  <c r="E141" i="6" l="1"/>
  <c r="H142" i="6"/>
  <c r="E140" i="6" l="1"/>
  <c r="H141" i="6"/>
  <c r="E139" i="6" l="1"/>
  <c r="H140" i="6"/>
  <c r="E138" i="6" l="1"/>
  <c r="H139" i="6"/>
  <c r="E137" i="6" l="1"/>
  <c r="H138" i="6"/>
  <c r="E136" i="6" l="1"/>
  <c r="H137" i="6"/>
  <c r="E135" i="6" l="1"/>
  <c r="H136" i="6"/>
  <c r="E134" i="6" l="1"/>
  <c r="H135" i="6"/>
  <c r="E133" i="6" l="1"/>
  <c r="H134" i="6"/>
  <c r="E132" i="6" l="1"/>
  <c r="H133" i="6"/>
  <c r="E131" i="6" l="1"/>
  <c r="H132" i="6"/>
  <c r="E130" i="6" l="1"/>
  <c r="H131" i="6"/>
  <c r="E129" i="6" l="1"/>
  <c r="H130" i="6"/>
  <c r="E128" i="6" l="1"/>
  <c r="H129" i="6"/>
  <c r="E127" i="6" l="1"/>
  <c r="H128" i="6"/>
  <c r="E126" i="6" l="1"/>
  <c r="H127" i="6"/>
  <c r="E125" i="6" l="1"/>
  <c r="H126" i="6"/>
  <c r="E124" i="6" l="1"/>
  <c r="H125" i="6"/>
  <c r="E123" i="6" l="1"/>
  <c r="H124" i="6"/>
  <c r="E122" i="6" l="1"/>
  <c r="H123" i="6"/>
  <c r="E121" i="6" l="1"/>
  <c r="H122" i="6"/>
  <c r="E120" i="6" l="1"/>
  <c r="H121" i="6"/>
  <c r="E119" i="6" l="1"/>
  <c r="H120" i="6"/>
  <c r="E118" i="6" l="1"/>
  <c r="H119" i="6"/>
  <c r="E117" i="6" l="1"/>
  <c r="H118" i="6"/>
  <c r="E116" i="6" l="1"/>
  <c r="H117" i="6"/>
  <c r="E115" i="6" l="1"/>
  <c r="H116" i="6"/>
  <c r="E114" i="6" l="1"/>
  <c r="H115" i="6"/>
  <c r="E113" i="6" l="1"/>
  <c r="H114" i="6"/>
  <c r="E112" i="6" l="1"/>
  <c r="H113" i="6"/>
  <c r="E111" i="6" l="1"/>
  <c r="H112" i="6"/>
  <c r="E110" i="6" l="1"/>
  <c r="H111" i="6"/>
  <c r="E109" i="6" l="1"/>
  <c r="H110" i="6"/>
  <c r="E108" i="6" l="1"/>
  <c r="H109" i="6"/>
  <c r="E107" i="6" l="1"/>
  <c r="H108" i="6"/>
  <c r="E106" i="6" l="1"/>
  <c r="H107" i="6"/>
  <c r="E105" i="6" l="1"/>
  <c r="H106" i="6"/>
  <c r="E104" i="6" l="1"/>
  <c r="H105" i="6"/>
  <c r="E103" i="6" l="1"/>
  <c r="H104" i="6"/>
  <c r="E102" i="6" l="1"/>
  <c r="H103" i="6"/>
  <c r="E101" i="6" l="1"/>
  <c r="H102" i="6"/>
  <c r="E100" i="6" l="1"/>
  <c r="H101" i="6"/>
  <c r="E99" i="6" l="1"/>
  <c r="H100" i="6"/>
  <c r="E98" i="6" l="1"/>
  <c r="H99" i="6"/>
  <c r="E97" i="6" l="1"/>
  <c r="H98" i="6"/>
  <c r="E96" i="6" l="1"/>
  <c r="H97" i="6"/>
  <c r="E95" i="6" l="1"/>
  <c r="H96" i="6"/>
  <c r="E94" i="6" l="1"/>
  <c r="H95" i="6"/>
  <c r="E93" i="6" l="1"/>
  <c r="H94" i="6"/>
  <c r="E92" i="6" l="1"/>
  <c r="H93" i="6"/>
  <c r="E91" i="6" l="1"/>
  <c r="H92" i="6"/>
  <c r="E90" i="6" l="1"/>
  <c r="H91" i="6"/>
  <c r="E89" i="6" l="1"/>
  <c r="H90" i="6"/>
  <c r="E88" i="6" l="1"/>
  <c r="H89" i="6"/>
  <c r="E87" i="6" l="1"/>
  <c r="H88" i="6"/>
  <c r="E86" i="6" l="1"/>
  <c r="H87" i="6"/>
  <c r="E85" i="6" l="1"/>
  <c r="H86" i="6"/>
  <c r="E84" i="6" l="1"/>
  <c r="H85" i="6"/>
  <c r="E83" i="6" l="1"/>
  <c r="H84" i="6"/>
  <c r="E82" i="6" l="1"/>
  <c r="H83" i="6"/>
  <c r="E81" i="6" l="1"/>
  <c r="H82" i="6"/>
  <c r="E80" i="6" l="1"/>
  <c r="H81" i="6"/>
  <c r="E79" i="6" l="1"/>
  <c r="H80" i="6"/>
  <c r="E78" i="6" l="1"/>
  <c r="H79" i="6"/>
  <c r="E77" i="6" l="1"/>
  <c r="H78" i="6"/>
  <c r="E76" i="6" l="1"/>
  <c r="H77" i="6"/>
  <c r="E75" i="6" l="1"/>
  <c r="H76" i="6"/>
  <c r="E74" i="6" l="1"/>
  <c r="H75" i="6"/>
  <c r="E73" i="6" l="1"/>
  <c r="H74" i="6"/>
  <c r="E72" i="6" l="1"/>
  <c r="H73" i="6"/>
  <c r="E71" i="6" l="1"/>
  <c r="H72" i="6"/>
  <c r="E70" i="6" l="1"/>
  <c r="H71" i="6"/>
  <c r="E69" i="6" l="1"/>
  <c r="H70" i="6"/>
  <c r="E68" i="6" l="1"/>
  <c r="H69" i="6"/>
  <c r="E67" i="6" l="1"/>
  <c r="H68" i="6"/>
  <c r="E66" i="6" l="1"/>
  <c r="H67" i="6"/>
  <c r="E65" i="6" l="1"/>
  <c r="H66" i="6"/>
  <c r="E64" i="6" l="1"/>
  <c r="H65" i="6"/>
  <c r="E63" i="6" l="1"/>
  <c r="H64" i="6"/>
  <c r="E62" i="6" l="1"/>
  <c r="H63" i="6"/>
  <c r="E61" i="6" l="1"/>
  <c r="H62" i="6"/>
  <c r="E60" i="6" l="1"/>
  <c r="H61" i="6"/>
  <c r="E59" i="6" l="1"/>
  <c r="H60" i="6"/>
  <c r="E58" i="6" l="1"/>
  <c r="H59" i="6"/>
  <c r="E57" i="6" l="1"/>
  <c r="H58" i="6"/>
  <c r="E56" i="6" l="1"/>
  <c r="H57" i="6"/>
  <c r="E55" i="6" l="1"/>
  <c r="H56" i="6"/>
  <c r="E54" i="6" l="1"/>
  <c r="H55" i="6"/>
  <c r="E53" i="6" l="1"/>
  <c r="H54" i="6"/>
  <c r="E52" i="6" l="1"/>
  <c r="H53" i="6"/>
  <c r="E51" i="6" l="1"/>
  <c r="H52" i="6"/>
  <c r="E50" i="6" l="1"/>
  <c r="H51" i="6"/>
  <c r="E49" i="6" l="1"/>
  <c r="H50" i="6"/>
  <c r="E48" i="6" l="1"/>
  <c r="H49" i="6"/>
  <c r="E47" i="6" l="1"/>
  <c r="H48" i="6"/>
  <c r="E46" i="6" l="1"/>
  <c r="H47" i="6"/>
  <c r="E45" i="6" l="1"/>
  <c r="H46" i="6"/>
  <c r="E44" i="6" l="1"/>
  <c r="H45" i="6"/>
  <c r="E43" i="6" l="1"/>
  <c r="H44" i="6"/>
  <c r="E42" i="6" l="1"/>
  <c r="H43" i="6"/>
  <c r="E41" i="6" l="1"/>
  <c r="H42" i="6"/>
  <c r="E40" i="6" l="1"/>
  <c r="H41" i="6"/>
  <c r="E39" i="6" l="1"/>
  <c r="H40" i="6"/>
  <c r="E38" i="6" l="1"/>
  <c r="H39" i="6"/>
  <c r="E37" i="6" l="1"/>
  <c r="H38" i="6"/>
  <c r="E36" i="6" l="1"/>
  <c r="H37" i="6"/>
  <c r="E35" i="6" l="1"/>
  <c r="H36" i="6"/>
  <c r="E34" i="6" l="1"/>
  <c r="H35" i="6"/>
  <c r="E33" i="6" l="1"/>
  <c r="H34" i="6"/>
  <c r="E32" i="6" l="1"/>
  <c r="H33" i="6"/>
  <c r="E31" i="6" l="1"/>
  <c r="H32" i="6"/>
  <c r="E30" i="6" l="1"/>
  <c r="H31" i="6"/>
  <c r="E29" i="6" l="1"/>
  <c r="H30" i="6"/>
  <c r="E28" i="6" l="1"/>
  <c r="H29" i="6"/>
  <c r="E27" i="6" l="1"/>
  <c r="H28" i="6"/>
  <c r="E26" i="6" l="1"/>
  <c r="H27" i="6"/>
  <c r="E25" i="6" l="1"/>
  <c r="H26" i="6"/>
  <c r="E24" i="6" l="1"/>
  <c r="H25" i="6"/>
  <c r="E23" i="6" l="1"/>
  <c r="H24" i="6"/>
  <c r="E22" i="6" l="1"/>
  <c r="H23" i="6"/>
  <c r="E21" i="6" l="1"/>
  <c r="H22" i="6"/>
  <c r="E20" i="6" l="1"/>
  <c r="H21" i="6"/>
  <c r="E19" i="6" l="1"/>
  <c r="H20" i="6"/>
  <c r="E18" i="6" l="1"/>
  <c r="H19" i="6"/>
  <c r="E17" i="6" l="1"/>
  <c r="H18" i="6"/>
  <c r="E16" i="6" l="1"/>
  <c r="H17" i="6"/>
  <c r="E15" i="6" l="1"/>
  <c r="H16" i="6"/>
  <c r="E14" i="6" l="1"/>
  <c r="H15" i="6"/>
  <c r="E13" i="6" l="1"/>
  <c r="H14" i="6"/>
  <c r="E12" i="6" l="1"/>
  <c r="H13" i="6"/>
  <c r="E11" i="6" l="1"/>
  <c r="H12" i="6"/>
  <c r="E10" i="6" l="1"/>
  <c r="H11" i="6"/>
  <c r="E9" i="6" l="1"/>
  <c r="H10" i="6"/>
  <c r="E8" i="6" l="1"/>
  <c r="H9" i="6"/>
  <c r="E7" i="6" l="1"/>
  <c r="H8" i="6"/>
  <c r="E6" i="6" l="1"/>
  <c r="H7" i="6"/>
  <c r="E5" i="6" l="1"/>
  <c r="H6" i="6"/>
  <c r="E4" i="6" l="1"/>
  <c r="H5" i="6"/>
  <c r="E3" i="6" l="1"/>
  <c r="H4" i="6"/>
  <c r="E2" i="6" l="1"/>
  <c r="H2" i="6" s="1"/>
  <c r="H328" i="6" s="1"/>
  <c r="H3" i="6"/>
</calcChain>
</file>

<file path=xl/sharedStrings.xml><?xml version="1.0" encoding="utf-8"?>
<sst xmlns="http://schemas.openxmlformats.org/spreadsheetml/2006/main" count="3061" uniqueCount="1141">
  <si>
    <t>Data</t>
  </si>
  <si>
    <t>Produção industrial - indústria geral - quantum - índice (média 2012 = 100) - - - Instituto Brasileiro de Geografia e Estatística, Pesquisa Industrial Mensal - Produção Física (IBGE/PIM-PF) - PIMPFN12_QIIGN12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</si>
  <si>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</si>
  <si>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</si>
  <si>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</si>
  <si>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</si>
  <si>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</si>
  <si>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</si>
  <si>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</si>
  <si>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</si>
  <si>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</si>
  <si>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</si>
  <si>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</si>
  <si>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</si>
  <si>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</si>
  <si>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</si>
  <si>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</si>
  <si>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</si>
  <si>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</si>
  <si>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</si>
  <si>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</si>
  <si>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</si>
  <si>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</si>
  <si>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</si>
  <si>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</si>
  <si>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</si>
  <si>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</si>
  <si>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</si>
  <si>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</si>
  <si>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</si>
  <si>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</si>
  <si>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</si>
  <si>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</si>
  <si>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</si>
  <si>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</si>
  <si>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</si>
  <si>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</si>
  <si>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</si>
  <si>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</si>
  <si>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</si>
  <si>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</si>
  <si>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</si>
  <si>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</si>
  <si>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</si>
  <si>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</si>
  <si>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</si>
  <si>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</si>
  <si>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</si>
  <si>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</si>
  <si>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</si>
  <si>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</si>
  <si>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</si>
  <si>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</si>
  <si>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</si>
  <si>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</si>
  <si>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</si>
  <si>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</si>
  <si>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</si>
  <si>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</si>
  <si>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</si>
  <si>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</si>
  <si>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</si>
  <si>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</si>
  <si>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</si>
  <si>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</si>
  <si>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</si>
  <si>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</si>
  <si>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</si>
  <si>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</si>
  <si>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</si>
  <si>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</si>
  <si>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</si>
  <si>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</si>
  <si>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</si>
  <si>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</si>
  <si>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</si>
  <si>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</si>
  <si>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</si>
  <si>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</si>
  <si>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</si>
  <si>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</si>
  <si>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</si>
  <si>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</si>
  <si>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</si>
  <si>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</si>
  <si>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</si>
  <si>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</si>
  <si>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</si>
  <si>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</si>
  <si>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</si>
  <si>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</si>
  <si>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</si>
  <si>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</si>
  <si>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</si>
  <si>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</si>
  <si>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</si>
  <si>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</si>
  <si>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</si>
  <si>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</si>
  <si>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</si>
  <si>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</si>
  <si>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</si>
  <si>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</si>
  <si>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</si>
  <si>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</si>
  <si>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</si>
  <si>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</si>
  <si>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</si>
  <si>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</si>
  <si>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</si>
  <si>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</si>
  <si>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</si>
  <si>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</si>
  <si>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</si>
  <si>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</si>
  <si>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</si>
  <si>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</si>
  <si>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</si>
  <si>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</si>
  <si>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</si>
  <si>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</si>
  <si>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</si>
  <si>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</si>
  <si>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</si>
  <si>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</si>
  <si>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</si>
  <si>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</si>
  <si>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</si>
  <si>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</si>
  <si>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</si>
  <si>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</si>
  <si>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</si>
  <si>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</si>
  <si>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</si>
  <si>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</si>
  <si>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</si>
  <si>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</si>
  <si>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</si>
  <si>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</si>
  <si>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</si>
  <si>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</si>
  <si>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</si>
  <si>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</si>
  <si>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</si>
  <si>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</si>
  <si>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</si>
  <si>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</si>
  <si>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</si>
  <si>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</si>
  <si>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</si>
  <si>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</si>
  <si>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</si>
  <si>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</si>
  <si>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</si>
  <si>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</si>
  <si>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</si>
  <si>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</si>
  <si>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</si>
  <si>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</si>
  <si>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</si>
  <si>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</si>
  <si>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</si>
  <si>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</si>
  <si>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</si>
  <si>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</si>
  <si>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</si>
  <si>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</si>
  <si>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</si>
  <si>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</si>
  <si>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</si>
  <si>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</si>
  <si>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</si>
  <si>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</si>
  <si>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</si>
  <si>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</si>
  <si>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</si>
  <si>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</si>
  <si>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</si>
  <si>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</si>
  <si>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</si>
  <si>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Séries</t>
  </si>
  <si>
    <t>Comentários</t>
  </si>
  <si>
    <t>A partir de maio de 2014, tem início a divulgação da nova série de índices mensais da produção industrial, elaborados com base na Pesquisa Industrial Mensal de Produção Física (PIM-PF) reformulada.</t>
  </si>
  <si>
    <t>ipg</t>
  </si>
  <si>
    <t>nfpsnominal</t>
  </si>
  <si>
    <t>nfpsreal</t>
  </si>
  <si>
    <t>Dnfpsreal</t>
  </si>
  <si>
    <t>pigeral1</t>
  </si>
  <si>
    <t>pigeral2</t>
  </si>
  <si>
    <t>SELIC</t>
  </si>
  <si>
    <t>txinflacao</t>
  </si>
  <si>
    <t>lnjurosreal</t>
  </si>
  <si>
    <t>lnjurosreal12</t>
  </si>
  <si>
    <t>INDPRO_ADJUSTED</t>
  </si>
  <si>
    <t>INDPRO_notADJUSTED</t>
  </si>
  <si>
    <t>DLPIusaAdj</t>
  </si>
  <si>
    <t>DLPIusaNAdj</t>
  </si>
  <si>
    <t>PI-BRA</t>
  </si>
  <si>
    <t>DLPI-BRA</t>
  </si>
  <si>
    <t>INFL</t>
  </si>
  <si>
    <t>Lnselic</t>
  </si>
  <si>
    <t>I:1997(11)</t>
  </si>
  <si>
    <t>I:1997(12)</t>
  </si>
  <si>
    <t>I:2002(11)</t>
  </si>
  <si>
    <t>I:2003(11)</t>
  </si>
  <si>
    <t>DLnselic</t>
  </si>
  <si>
    <t>I:1996(7)</t>
  </si>
  <si>
    <t>I:1998(9)</t>
  </si>
  <si>
    <t>I:1998(10)</t>
  </si>
  <si>
    <t>I:1999(2)</t>
  </si>
  <si>
    <t>I:1999(3)</t>
  </si>
  <si>
    <t>I:1999(4)</t>
  </si>
  <si>
    <t>I:2000(2)</t>
  </si>
  <si>
    <t>I:1996(4)</t>
  </si>
  <si>
    <t>I:2000(7)</t>
  </si>
  <si>
    <t>I:1981(3)</t>
  </si>
  <si>
    <t>I:1985(5)</t>
  </si>
  <si>
    <t>I:1985(7)</t>
  </si>
  <si>
    <t>I:1985(8)</t>
  </si>
  <si>
    <t>I:1985(11)</t>
  </si>
  <si>
    <t>I:1986(2)</t>
  </si>
  <si>
    <t>I:1986(3)</t>
  </si>
  <si>
    <t>I:1986(11)</t>
  </si>
  <si>
    <t>I:1986(12)</t>
  </si>
  <si>
    <t>I:1987(1)</t>
  </si>
  <si>
    <t>I:1987(2)</t>
  </si>
  <si>
    <t>I:1987(3)</t>
  </si>
  <si>
    <t>I:1987(4)</t>
  </si>
  <si>
    <t>I:1987(5)</t>
  </si>
  <si>
    <t>I:1987(6)</t>
  </si>
  <si>
    <t>I:1987(7)</t>
  </si>
  <si>
    <t>I:1987(8)</t>
  </si>
  <si>
    <t>I:1987(10)</t>
  </si>
  <si>
    <t>I:1987(11)</t>
  </si>
  <si>
    <t>I:1988(1)</t>
  </si>
  <si>
    <t>I:1988(6)</t>
  </si>
  <si>
    <t>I:1988(9)</t>
  </si>
  <si>
    <t>I:1988(10)</t>
  </si>
  <si>
    <t>I:1989(1)</t>
  </si>
  <si>
    <t>I:1989(2)</t>
  </si>
  <si>
    <t>I:1989(3)</t>
  </si>
  <si>
    <t>I:1989(4)</t>
  </si>
  <si>
    <t>I:1989(5)</t>
  </si>
  <si>
    <t>I:1989(6)</t>
  </si>
  <si>
    <t>I:1989(7)</t>
  </si>
  <si>
    <t>I:1989(8)</t>
  </si>
  <si>
    <t>I:1989(10)</t>
  </si>
  <si>
    <t>I:1989(11)</t>
  </si>
  <si>
    <t>I:1989(12)</t>
  </si>
  <si>
    <t>I:1990(1)</t>
  </si>
  <si>
    <t>I:1990(2)</t>
  </si>
  <si>
    <t>I:1990(3)</t>
  </si>
  <si>
    <t>I:1990(4)</t>
  </si>
  <si>
    <t>I:1990(5)</t>
  </si>
  <si>
    <t>I:1990(7)</t>
  </si>
  <si>
    <t>I:1990(8)</t>
  </si>
  <si>
    <t>I:1990(12)</t>
  </si>
  <si>
    <t>I:1991(1)</t>
  </si>
  <si>
    <t>I:1991(2)</t>
  </si>
  <si>
    <t>I:1991(4)</t>
  </si>
  <si>
    <t>I:1991(9)</t>
  </si>
  <si>
    <t>I:1991(10)</t>
  </si>
  <si>
    <t>I:1991(11)</t>
  </si>
  <si>
    <t>I:1991(12)</t>
  </si>
  <si>
    <t>I:1992(2)</t>
  </si>
  <si>
    <t>I:1992(5)</t>
  </si>
  <si>
    <t>I:1992(7)</t>
  </si>
  <si>
    <t>I:1993(1)</t>
  </si>
  <si>
    <t>I:1994(3)</t>
  </si>
  <si>
    <t>I:1994(7)</t>
  </si>
  <si>
    <t>I:1995(6)</t>
  </si>
  <si>
    <t>I:1995(8)</t>
  </si>
  <si>
    <t>I:1995(5)</t>
  </si>
  <si>
    <t>I:1998(8)</t>
  </si>
  <si>
    <t>I:1998(12)</t>
  </si>
  <si>
    <t>I:2006(4)</t>
  </si>
  <si>
    <t>S1:1997(10)</t>
  </si>
  <si>
    <t>S1:1997(12)</t>
  </si>
  <si>
    <t>S1:1999(5)</t>
  </si>
  <si>
    <t>I:2003(9)</t>
  </si>
  <si>
    <t>1974(1)</t>
  </si>
  <si>
    <t>#N/A</t>
  </si>
  <si>
    <t>1974(2)</t>
  </si>
  <si>
    <t>1974(3)</t>
  </si>
  <si>
    <t>1974(4)</t>
  </si>
  <si>
    <t>1974(5)</t>
  </si>
  <si>
    <t>1974(6)</t>
  </si>
  <si>
    <t>1974(7)</t>
  </si>
  <si>
    <t>1974(8)</t>
  </si>
  <si>
    <t>1974(9)</t>
  </si>
  <si>
    <t>1974(10)</t>
  </si>
  <si>
    <t>1974(11)</t>
  </si>
  <si>
    <t>1974(12)</t>
  </si>
  <si>
    <t>1975(1)</t>
  </si>
  <si>
    <t>1975(2)</t>
  </si>
  <si>
    <t>1975(3)</t>
  </si>
  <si>
    <t>1975(4)</t>
  </si>
  <si>
    <t>1975(5)</t>
  </si>
  <si>
    <t>1975(6)</t>
  </si>
  <si>
    <t>1975(7)</t>
  </si>
  <si>
    <t>1975(8)</t>
  </si>
  <si>
    <t>1975(9)</t>
  </si>
  <si>
    <t>1975(10)</t>
  </si>
  <si>
    <t>1975(11)</t>
  </si>
  <si>
    <t>1975(12)</t>
  </si>
  <si>
    <t>1976(1)</t>
  </si>
  <si>
    <t>1976(2)</t>
  </si>
  <si>
    <t>1976(3)</t>
  </si>
  <si>
    <t>1976(4)</t>
  </si>
  <si>
    <t>1976(5)</t>
  </si>
  <si>
    <t>1976(6)</t>
  </si>
  <si>
    <t>1976(7)</t>
  </si>
  <si>
    <t>1976(8)</t>
  </si>
  <si>
    <t>1976(9)</t>
  </si>
  <si>
    <t>1976(10)</t>
  </si>
  <si>
    <t>1976(11)</t>
  </si>
  <si>
    <t>1976(12)</t>
  </si>
  <si>
    <t>1977(1)</t>
  </si>
  <si>
    <t>1977(2)</t>
  </si>
  <si>
    <t>1977(3)</t>
  </si>
  <si>
    <t>1977(4)</t>
  </si>
  <si>
    <t>1977(5)</t>
  </si>
  <si>
    <t>1977(6)</t>
  </si>
  <si>
    <t>1977(7)</t>
  </si>
  <si>
    <t>1977(8)</t>
  </si>
  <si>
    <t>1977(9)</t>
  </si>
  <si>
    <t>1977(10)</t>
  </si>
  <si>
    <t>1977(11)</t>
  </si>
  <si>
    <t>1977(12)</t>
  </si>
  <si>
    <t>1978(1)</t>
  </si>
  <si>
    <t>1978(2)</t>
  </si>
  <si>
    <t>1978(3)</t>
  </si>
  <si>
    <t>1978(4)</t>
  </si>
  <si>
    <t>1978(5)</t>
  </si>
  <si>
    <t>1978(6)</t>
  </si>
  <si>
    <t>1978(7)</t>
  </si>
  <si>
    <t>1978(8)</t>
  </si>
  <si>
    <t>1978(9)</t>
  </si>
  <si>
    <t>1978(10)</t>
  </si>
  <si>
    <t>1978(11)</t>
  </si>
  <si>
    <t>1978(12)</t>
  </si>
  <si>
    <t>1979(1)</t>
  </si>
  <si>
    <t>1979(2)</t>
  </si>
  <si>
    <t>1979(3)</t>
  </si>
  <si>
    <t>1979(4)</t>
  </si>
  <si>
    <t>1979(5)</t>
  </si>
  <si>
    <t>1979(6)</t>
  </si>
  <si>
    <t>1979(7)</t>
  </si>
  <si>
    <t>1979(8)</t>
  </si>
  <si>
    <t>1979(9)</t>
  </si>
  <si>
    <t>1979(10)</t>
  </si>
  <si>
    <t>1979(11)</t>
  </si>
  <si>
    <t>1979(12)</t>
  </si>
  <si>
    <t>1980(1)</t>
  </si>
  <si>
    <t>1980(2)</t>
  </si>
  <si>
    <t>1980(3)</t>
  </si>
  <si>
    <t>1980(4)</t>
  </si>
  <si>
    <t>1980(5)</t>
  </si>
  <si>
    <t>1980(6)</t>
  </si>
  <si>
    <t>1980(7)</t>
  </si>
  <si>
    <t>1980(8)</t>
  </si>
  <si>
    <t>1980(9)</t>
  </si>
  <si>
    <t>1980(10)</t>
  </si>
  <si>
    <t>1980(11)</t>
  </si>
  <si>
    <t>1980(12)</t>
  </si>
  <si>
    <t>1981(1)</t>
  </si>
  <si>
    <t>1981(2)</t>
  </si>
  <si>
    <t>1981(3)</t>
  </si>
  <si>
    <t>1981(4)</t>
  </si>
  <si>
    <t>1981(5)</t>
  </si>
  <si>
    <t>1981(6)</t>
  </si>
  <si>
    <t>1981(7)</t>
  </si>
  <si>
    <t>1981(8)</t>
  </si>
  <si>
    <t>1981(9)</t>
  </si>
  <si>
    <t>1981(10)</t>
  </si>
  <si>
    <t>1981(11)</t>
  </si>
  <si>
    <t>1981(12)</t>
  </si>
  <si>
    <t>1982(1)</t>
  </si>
  <si>
    <t>1982(2)</t>
  </si>
  <si>
    <t>1982(3)</t>
  </si>
  <si>
    <t>1982(4)</t>
  </si>
  <si>
    <t>1982(5)</t>
  </si>
  <si>
    <t>1982(6)</t>
  </si>
  <si>
    <t>1982(7)</t>
  </si>
  <si>
    <t>1982(8)</t>
  </si>
  <si>
    <t>1982(9)</t>
  </si>
  <si>
    <t>1982(10)</t>
  </si>
  <si>
    <t>1982(11)</t>
  </si>
  <si>
    <t>1982(12)</t>
  </si>
  <si>
    <t>1983(1)</t>
  </si>
  <si>
    <t>1983(2)</t>
  </si>
  <si>
    <t>1983(3)</t>
  </si>
  <si>
    <t>1983(4)</t>
  </si>
  <si>
    <t>1983(5)</t>
  </si>
  <si>
    <t>1983(6)</t>
  </si>
  <si>
    <t>1983(7)</t>
  </si>
  <si>
    <t>1983(8)</t>
  </si>
  <si>
    <t>1983(9)</t>
  </si>
  <si>
    <t>1983(10)</t>
  </si>
  <si>
    <t>1983(11)</t>
  </si>
  <si>
    <t>1983(12)</t>
  </si>
  <si>
    <t>1984(1)</t>
  </si>
  <si>
    <t>1984(2)</t>
  </si>
  <si>
    <t>1984(3)</t>
  </si>
  <si>
    <t>1984(4)</t>
  </si>
  <si>
    <t>1984(5)</t>
  </si>
  <si>
    <t>1984(6)</t>
  </si>
  <si>
    <t>1984(7)</t>
  </si>
  <si>
    <t>1984(8)</t>
  </si>
  <si>
    <t>1984(9)</t>
  </si>
  <si>
    <t>1984(10)</t>
  </si>
  <si>
    <t>1984(11)</t>
  </si>
  <si>
    <t>1984(12)</t>
  </si>
  <si>
    <t>1985(1)</t>
  </si>
  <si>
    <t>1985(2)</t>
  </si>
  <si>
    <t>1985(3)</t>
  </si>
  <si>
    <t>1985(4)</t>
  </si>
  <si>
    <t>1985(5)</t>
  </si>
  <si>
    <t>1985(6)</t>
  </si>
  <si>
    <t>1985(7)</t>
  </si>
  <si>
    <t>1985(8)</t>
  </si>
  <si>
    <t>1985(9)</t>
  </si>
  <si>
    <t>1985(10)</t>
  </si>
  <si>
    <t>1985(11)</t>
  </si>
  <si>
    <t>1985(12)</t>
  </si>
  <si>
    <t>1986(1)</t>
  </si>
  <si>
    <t>1986(2)</t>
  </si>
  <si>
    <t>1986(3)</t>
  </si>
  <si>
    <t>1986(4)</t>
  </si>
  <si>
    <t>1986(5)</t>
  </si>
  <si>
    <t>1986(6)</t>
  </si>
  <si>
    <t>1986(7)</t>
  </si>
  <si>
    <t>1986(8)</t>
  </si>
  <si>
    <t>1986(9)</t>
  </si>
  <si>
    <t>1986(10)</t>
  </si>
  <si>
    <t>1986(11)</t>
  </si>
  <si>
    <t>1986(12)</t>
  </si>
  <si>
    <t>1987(1)</t>
  </si>
  <si>
    <t>1987(2)</t>
  </si>
  <si>
    <t>1987(3)</t>
  </si>
  <si>
    <t>1987(4)</t>
  </si>
  <si>
    <t>1987(5)</t>
  </si>
  <si>
    <t>1987(6)</t>
  </si>
  <si>
    <t>1987(7)</t>
  </si>
  <si>
    <t>1987(8)</t>
  </si>
  <si>
    <t>1987(9)</t>
  </si>
  <si>
    <t>1987(10)</t>
  </si>
  <si>
    <t>1987(11)</t>
  </si>
  <si>
    <t>1987(12)</t>
  </si>
  <si>
    <t>1988(1)</t>
  </si>
  <si>
    <t>1988(2)</t>
  </si>
  <si>
    <t>1988(3)</t>
  </si>
  <si>
    <t>1988(4)</t>
  </si>
  <si>
    <t>1988(5)</t>
  </si>
  <si>
    <t>1988(6)</t>
  </si>
  <si>
    <t>1988(7)</t>
  </si>
  <si>
    <t>1988(8)</t>
  </si>
  <si>
    <t>1988(9)</t>
  </si>
  <si>
    <t>1988(10)</t>
  </si>
  <si>
    <t>1988(11)</t>
  </si>
  <si>
    <t>1988(12)</t>
  </si>
  <si>
    <t>1989(1)</t>
  </si>
  <si>
    <t>1989(2)</t>
  </si>
  <si>
    <t>1989(3)</t>
  </si>
  <si>
    <t>1989(4)</t>
  </si>
  <si>
    <t>1989(5)</t>
  </si>
  <si>
    <t>1989(6)</t>
  </si>
  <si>
    <t>1989(7)</t>
  </si>
  <si>
    <t>1989(8)</t>
  </si>
  <si>
    <t>1989(9)</t>
  </si>
  <si>
    <t>1989(10)</t>
  </si>
  <si>
    <t>1989(11)</t>
  </si>
  <si>
    <t>1989(12)</t>
  </si>
  <si>
    <t>1990(1)</t>
  </si>
  <si>
    <t>1990(2)</t>
  </si>
  <si>
    <t>1990(3)</t>
  </si>
  <si>
    <t>1990(4)</t>
  </si>
  <si>
    <t>1990(5)</t>
  </si>
  <si>
    <t>1990(6)</t>
  </si>
  <si>
    <t>1990(7)</t>
  </si>
  <si>
    <t>1990(8)</t>
  </si>
  <si>
    <t>1990(9)</t>
  </si>
  <si>
    <t>1990(10)</t>
  </si>
  <si>
    <t>1990(11)</t>
  </si>
  <si>
    <t>1990(12)</t>
  </si>
  <si>
    <t>1991(1)</t>
  </si>
  <si>
    <t>1991(2)</t>
  </si>
  <si>
    <t>1991(3)</t>
  </si>
  <si>
    <t>1991(4)</t>
  </si>
  <si>
    <t>1991(5)</t>
  </si>
  <si>
    <t>1991(6)</t>
  </si>
  <si>
    <t>1991(7)</t>
  </si>
  <si>
    <t>1991(8)</t>
  </si>
  <si>
    <t>1991(9)</t>
  </si>
  <si>
    <t>1991(10)</t>
  </si>
  <si>
    <t>1991(11)</t>
  </si>
  <si>
    <t>1991(12)</t>
  </si>
  <si>
    <t>1992(1)</t>
  </si>
  <si>
    <t>1992(2)</t>
  </si>
  <si>
    <t>1992(3)</t>
  </si>
  <si>
    <t>1992(4)</t>
  </si>
  <si>
    <t>1992(5)</t>
  </si>
  <si>
    <t>1992(6)</t>
  </si>
  <si>
    <t>1992(7)</t>
  </si>
  <si>
    <t>1992(8)</t>
  </si>
  <si>
    <t>1992(9)</t>
  </si>
  <si>
    <t>1992(10)</t>
  </si>
  <si>
    <t>1992(11)</t>
  </si>
  <si>
    <t>1992(12)</t>
  </si>
  <si>
    <t>1993(1)</t>
  </si>
  <si>
    <t>1993(2)</t>
  </si>
  <si>
    <t>1993(3)</t>
  </si>
  <si>
    <t>1993(4)</t>
  </si>
  <si>
    <t>1993(5)</t>
  </si>
  <si>
    <t>1993(6)</t>
  </si>
  <si>
    <t>1993(7)</t>
  </si>
  <si>
    <t>1993(8)</t>
  </si>
  <si>
    <t>1993(9)</t>
  </si>
  <si>
    <t>1993(10)</t>
  </si>
  <si>
    <t>1993(11)</t>
  </si>
  <si>
    <t>1993(12)</t>
  </si>
  <si>
    <t>1994(1)</t>
  </si>
  <si>
    <t>1994(2)</t>
  </si>
  <si>
    <t>1994(3)</t>
  </si>
  <si>
    <t>1994(4)</t>
  </si>
  <si>
    <t>1994(5)</t>
  </si>
  <si>
    <t>1994(6)</t>
  </si>
  <si>
    <t>1994(7)</t>
  </si>
  <si>
    <t>1994(8)</t>
  </si>
  <si>
    <t>1994(9)</t>
  </si>
  <si>
    <t>1994(10)</t>
  </si>
  <si>
    <t>1994(11)</t>
  </si>
  <si>
    <t>1994(12)</t>
  </si>
  <si>
    <t>1995(1)</t>
  </si>
  <si>
    <t>1995(2)</t>
  </si>
  <si>
    <t>1995(3)</t>
  </si>
  <si>
    <t>1995(4)</t>
  </si>
  <si>
    <t>1995(5)</t>
  </si>
  <si>
    <t>1995(6)</t>
  </si>
  <si>
    <t>1995(7)</t>
  </si>
  <si>
    <t>1995(8)</t>
  </si>
  <si>
    <t>1995(9)</t>
  </si>
  <si>
    <t>1995(10)</t>
  </si>
  <si>
    <t>1995(11)</t>
  </si>
  <si>
    <t>1995(12)</t>
  </si>
  <si>
    <t>1996(1)</t>
  </si>
  <si>
    <t>1996(2)</t>
  </si>
  <si>
    <t>1996(3)</t>
  </si>
  <si>
    <t>1996(4)</t>
  </si>
  <si>
    <t>1996(5)</t>
  </si>
  <si>
    <t>1996(6)</t>
  </si>
  <si>
    <t>1996(7)</t>
  </si>
  <si>
    <t>1996(8)</t>
  </si>
  <si>
    <t>1996(9)</t>
  </si>
  <si>
    <t>1996(10)</t>
  </si>
  <si>
    <t>1996(11)</t>
  </si>
  <si>
    <t>1996(12)</t>
  </si>
  <si>
    <t>1997(1)</t>
  </si>
  <si>
    <t>1997(2)</t>
  </si>
  <si>
    <t>1997(3)</t>
  </si>
  <si>
    <t>1997(4)</t>
  </si>
  <si>
    <t>1997(5)</t>
  </si>
  <si>
    <t>1997(6)</t>
  </si>
  <si>
    <t>1997(7)</t>
  </si>
  <si>
    <t>1997(8)</t>
  </si>
  <si>
    <t>1997(9)</t>
  </si>
  <si>
    <t>1997(10)</t>
  </si>
  <si>
    <t>1997(11)</t>
  </si>
  <si>
    <t>1997(12)</t>
  </si>
  <si>
    <t>1998(1)</t>
  </si>
  <si>
    <t>1998(2)</t>
  </si>
  <si>
    <t>1998(3)</t>
  </si>
  <si>
    <t>1998(4)</t>
  </si>
  <si>
    <t>1998(5)</t>
  </si>
  <si>
    <t>1998(6)</t>
  </si>
  <si>
    <t>1998(7)</t>
  </si>
  <si>
    <t>1998(8)</t>
  </si>
  <si>
    <t>1998(9)</t>
  </si>
  <si>
    <t>1998(10)</t>
  </si>
  <si>
    <t>1998(11)</t>
  </si>
  <si>
    <t>1998(12)</t>
  </si>
  <si>
    <t>1999(1)</t>
  </si>
  <si>
    <t>1999(2)</t>
  </si>
  <si>
    <t>1999(3)</t>
  </si>
  <si>
    <t>1999(4)</t>
  </si>
  <si>
    <t>1999(5)</t>
  </si>
  <si>
    <t>1999(6)</t>
  </si>
  <si>
    <t>1999(7)</t>
  </si>
  <si>
    <t>1999(8)</t>
  </si>
  <si>
    <t>1999(9)</t>
  </si>
  <si>
    <t>1999(10)</t>
  </si>
  <si>
    <t>1999(11)</t>
  </si>
  <si>
    <t>1999(12)</t>
  </si>
  <si>
    <t>2000(1)</t>
  </si>
  <si>
    <t>2000(2)</t>
  </si>
  <si>
    <t>2000(3)</t>
  </si>
  <si>
    <t>2000(4)</t>
  </si>
  <si>
    <t>2000(5)</t>
  </si>
  <si>
    <t>2000(6)</t>
  </si>
  <si>
    <t>2000(7)</t>
  </si>
  <si>
    <t>2000(8)</t>
  </si>
  <si>
    <t>2000(9)</t>
  </si>
  <si>
    <t>2000(10)</t>
  </si>
  <si>
    <t>2000(11)</t>
  </si>
  <si>
    <t>2000(12)</t>
  </si>
  <si>
    <t>2001(1)</t>
  </si>
  <si>
    <t>2001(2)</t>
  </si>
  <si>
    <t>2001(3)</t>
  </si>
  <si>
    <t>2001(4)</t>
  </si>
  <si>
    <t>2001(5)</t>
  </si>
  <si>
    <t>2001(6)</t>
  </si>
  <si>
    <t>2001(7)</t>
  </si>
  <si>
    <t>2001(8)</t>
  </si>
  <si>
    <t>2001(9)</t>
  </si>
  <si>
    <t>2001(10)</t>
  </si>
  <si>
    <t>2001(11)</t>
  </si>
  <si>
    <t>2001(12)</t>
  </si>
  <si>
    <t>2002(1)</t>
  </si>
  <si>
    <t>2002(2)</t>
  </si>
  <si>
    <t>2002(3)</t>
  </si>
  <si>
    <t>2002(4)</t>
  </si>
  <si>
    <t>2002(5)</t>
  </si>
  <si>
    <t>2002(6)</t>
  </si>
  <si>
    <t>2002(7)</t>
  </si>
  <si>
    <t>2002(8)</t>
  </si>
  <si>
    <t>2002(9)</t>
  </si>
  <si>
    <t>2002(10)</t>
  </si>
  <si>
    <t>2002(11)</t>
  </si>
  <si>
    <t>2002(12)</t>
  </si>
  <si>
    <t>2003(1)</t>
  </si>
  <si>
    <t>2003(2)</t>
  </si>
  <si>
    <t>2003(3)</t>
  </si>
  <si>
    <t>2003(4)</t>
  </si>
  <si>
    <t>2003(5)</t>
  </si>
  <si>
    <t>2003(6)</t>
  </si>
  <si>
    <t>2003(7)</t>
  </si>
  <si>
    <t>2003(8)</t>
  </si>
  <si>
    <t>2003(9)</t>
  </si>
  <si>
    <t>2003(10)</t>
  </si>
  <si>
    <t>2003(11)</t>
  </si>
  <si>
    <t>2003(12)</t>
  </si>
  <si>
    <t>2004(1)</t>
  </si>
  <si>
    <t>2004(2)</t>
  </si>
  <si>
    <t>2004(3)</t>
  </si>
  <si>
    <t>2004(4)</t>
  </si>
  <si>
    <t>2004(5)</t>
  </si>
  <si>
    <t>2004(6)</t>
  </si>
  <si>
    <t>2004(7)</t>
  </si>
  <si>
    <t>2004(8)</t>
  </si>
  <si>
    <t>2004(9)</t>
  </si>
  <si>
    <t>2004(10)</t>
  </si>
  <si>
    <t>2004(11)</t>
  </si>
  <si>
    <t>2004(12)</t>
  </si>
  <si>
    <t>2005(1)</t>
  </si>
  <si>
    <t>2005(2)</t>
  </si>
  <si>
    <t>2005(3)</t>
  </si>
  <si>
    <t>2005(4)</t>
  </si>
  <si>
    <t>2005(5)</t>
  </si>
  <si>
    <t>2005(6)</t>
  </si>
  <si>
    <t>2005(7)</t>
  </si>
  <si>
    <t>2005(8)</t>
  </si>
  <si>
    <t>2005(9)</t>
  </si>
  <si>
    <t>2005(10)</t>
  </si>
  <si>
    <t>2005(11)</t>
  </si>
  <si>
    <t>2005(12)</t>
  </si>
  <si>
    <t>2006(1)</t>
  </si>
  <si>
    <t>2006(2)</t>
  </si>
  <si>
    <t>2006(3)</t>
  </si>
  <si>
    <t>2006(4)</t>
  </si>
  <si>
    <t>2006(5)</t>
  </si>
  <si>
    <t>2006(6)</t>
  </si>
  <si>
    <t>2006(7)</t>
  </si>
  <si>
    <t>2006(8)</t>
  </si>
  <si>
    <t>2006(9)</t>
  </si>
  <si>
    <t>2006(10)</t>
  </si>
  <si>
    <t>2006(11)</t>
  </si>
  <si>
    <t>2006(12)</t>
  </si>
  <si>
    <t>2007(1)</t>
  </si>
  <si>
    <t>2007(2)</t>
  </si>
  <si>
    <t>2007(3)</t>
  </si>
  <si>
    <t>2007(4)</t>
  </si>
  <si>
    <t>2007(5)</t>
  </si>
  <si>
    <t>2007(6)</t>
  </si>
  <si>
    <t>2007(7)</t>
  </si>
  <si>
    <t>2007(8)</t>
  </si>
  <si>
    <t>2007(9)</t>
  </si>
  <si>
    <t>2007(10)</t>
  </si>
  <si>
    <t>2007(11)</t>
  </si>
  <si>
    <t>2007(12)</t>
  </si>
  <si>
    <t>2008(1)</t>
  </si>
  <si>
    <t>2008(2)</t>
  </si>
  <si>
    <t>2008(3)</t>
  </si>
  <si>
    <t>2008(4)</t>
  </si>
  <si>
    <t>2008(5)</t>
  </si>
  <si>
    <t>2008(6)</t>
  </si>
  <si>
    <t>2008(7)</t>
  </si>
  <si>
    <t>2008(8)</t>
  </si>
  <si>
    <t>2008(9)</t>
  </si>
  <si>
    <t>2008(10)</t>
  </si>
  <si>
    <t>2008(11)</t>
  </si>
  <si>
    <t>2008(12)</t>
  </si>
  <si>
    <t>2009(1)</t>
  </si>
  <si>
    <t>2009(2)</t>
  </si>
  <si>
    <t>2009(3)</t>
  </si>
  <si>
    <t>2009(4)</t>
  </si>
  <si>
    <t>2009(5)</t>
  </si>
  <si>
    <t>2009(6)</t>
  </si>
  <si>
    <t>2009(7)</t>
  </si>
  <si>
    <t>2009(8)</t>
  </si>
  <si>
    <t>2009(9)</t>
  </si>
  <si>
    <t>2009(10)</t>
  </si>
  <si>
    <t>2009(11)</t>
  </si>
  <si>
    <t>2009(12)</t>
  </si>
  <si>
    <t>2010(1)</t>
  </si>
  <si>
    <t>2010(2)</t>
  </si>
  <si>
    <t>2010(3)</t>
  </si>
  <si>
    <t>2010(4)</t>
  </si>
  <si>
    <t>2010(5)</t>
  </si>
  <si>
    <t>2010(6)</t>
  </si>
  <si>
    <t>2010(7)</t>
  </si>
  <si>
    <t>2010(8)</t>
  </si>
  <si>
    <t>2010(9)</t>
  </si>
  <si>
    <t>2010(10)</t>
  </si>
  <si>
    <t>2010(11)</t>
  </si>
  <si>
    <t>2010(12)</t>
  </si>
  <si>
    <t>2011(1)</t>
  </si>
  <si>
    <t>2011(2)</t>
  </si>
  <si>
    <t>2011(3)</t>
  </si>
  <si>
    <t>2011(4)</t>
  </si>
  <si>
    <t>2011(5)</t>
  </si>
  <si>
    <t>2011(6)</t>
  </si>
  <si>
    <t>2011(7)</t>
  </si>
  <si>
    <t>2011(8)</t>
  </si>
  <si>
    <t>2011(9)</t>
  </si>
  <si>
    <t>2011(10)</t>
  </si>
  <si>
    <t>2011(11)</t>
  </si>
  <si>
    <t>2011(12)</t>
  </si>
  <si>
    <t>2012(1)</t>
  </si>
  <si>
    <t>2012(2)</t>
  </si>
  <si>
    <t>2012(3)</t>
  </si>
  <si>
    <t>2012(4)</t>
  </si>
  <si>
    <t>2012(5)</t>
  </si>
  <si>
    <t>2012(6)</t>
  </si>
  <si>
    <t>2012(7)</t>
  </si>
  <si>
    <t>2012(8)</t>
  </si>
  <si>
    <t>2012(9)</t>
  </si>
  <si>
    <t>2012(10)</t>
  </si>
  <si>
    <t>2012(11)</t>
  </si>
  <si>
    <t>2012(12)</t>
  </si>
  <si>
    <t>2013(1)</t>
  </si>
  <si>
    <t>2013(2)</t>
  </si>
  <si>
    <t>2013(3)</t>
  </si>
  <si>
    <t>2013(4)</t>
  </si>
  <si>
    <t>2013(5)</t>
  </si>
  <si>
    <t>2013(6)</t>
  </si>
  <si>
    <t>2013(7)</t>
  </si>
  <si>
    <t>2013(8)</t>
  </si>
  <si>
    <t>2013(9)</t>
  </si>
  <si>
    <t>2013(10)</t>
  </si>
  <si>
    <t>2013(11)</t>
  </si>
  <si>
    <t>2013(12)</t>
  </si>
  <si>
    <t>2014(1)</t>
  </si>
  <si>
    <t>2014(2)</t>
  </si>
  <si>
    <t>2014(3)</t>
  </si>
  <si>
    <t>2014(4)</t>
  </si>
  <si>
    <t>2014(5)</t>
  </si>
  <si>
    <t>2014(6)</t>
  </si>
  <si>
    <t>2014(7)</t>
  </si>
  <si>
    <t>2014(8)</t>
  </si>
  <si>
    <t>2014(9)</t>
  </si>
  <si>
    <t>2014(10)</t>
  </si>
  <si>
    <t>2014(11)</t>
  </si>
  <si>
    <t>2014(12)</t>
  </si>
  <si>
    <t>2015(1)</t>
  </si>
  <si>
    <t>2015(2)</t>
  </si>
  <si>
    <t>2015(3)</t>
  </si>
  <si>
    <t>2015(4)</t>
  </si>
  <si>
    <t>2015(5)</t>
  </si>
  <si>
    <t>2015(6)</t>
  </si>
  <si>
    <t>2015(7)</t>
  </si>
  <si>
    <t>2015(8)</t>
  </si>
  <si>
    <t>2015(9)</t>
  </si>
  <si>
    <t>2015(10)</t>
  </si>
  <si>
    <t>2015(11)</t>
  </si>
  <si>
    <t>2015(12)</t>
  </si>
  <si>
    <t>2016(1)</t>
  </si>
  <si>
    <t>2016(2)</t>
  </si>
  <si>
    <t>2016(3)</t>
  </si>
  <si>
    <t>2016(4)</t>
  </si>
  <si>
    <t>2016(5)</t>
  </si>
  <si>
    <t>2016(6)</t>
  </si>
  <si>
    <t>2016(7)</t>
  </si>
  <si>
    <t>2016(8)</t>
  </si>
  <si>
    <t>2016(9)</t>
  </si>
  <si>
    <t>2016(10)</t>
  </si>
  <si>
    <t>2016(11)</t>
  </si>
  <si>
    <t>1975.01</t>
  </si>
  <si>
    <t>1975.02</t>
  </si>
  <si>
    <t>1975.03</t>
  </si>
  <si>
    <t>1975.04</t>
  </si>
  <si>
    <t>1975.05</t>
  </si>
  <si>
    <t>1975.06</t>
  </si>
  <si>
    <t>1975.07</t>
  </si>
  <si>
    <t>1975.08</t>
  </si>
  <si>
    <t>1975.09</t>
  </si>
  <si>
    <t>1975.10</t>
  </si>
  <si>
    <t>1975.11</t>
  </si>
  <si>
    <t>1975.12</t>
  </si>
  <si>
    <t>1976.01</t>
  </si>
  <si>
    <t>1976.02</t>
  </si>
  <si>
    <t>1976.03</t>
  </si>
  <si>
    <t>1976.04</t>
  </si>
  <si>
    <t>1976.05</t>
  </si>
  <si>
    <t>1976.06</t>
  </si>
  <si>
    <t>1976.07</t>
  </si>
  <si>
    <t>1976.08</t>
  </si>
  <si>
    <t>1976.09</t>
  </si>
  <si>
    <t>1976.10</t>
  </si>
  <si>
    <t>1976.11</t>
  </si>
  <si>
    <t>1976.12</t>
  </si>
  <si>
    <t>1977.01</t>
  </si>
  <si>
    <t>1977.02</t>
  </si>
  <si>
    <t>1977.03</t>
  </si>
  <si>
    <t>1977.04</t>
  </si>
  <si>
    <t>1977.05</t>
  </si>
  <si>
    <t>1977.06</t>
  </si>
  <si>
    <t>1977.07</t>
  </si>
  <si>
    <t>1977.08</t>
  </si>
  <si>
    <t>1977.09</t>
  </si>
  <si>
    <t>1977.10</t>
  </si>
  <si>
    <t>1977.11</t>
  </si>
  <si>
    <t>1977.12</t>
  </si>
  <si>
    <t>1978.01</t>
  </si>
  <si>
    <t>1978.02</t>
  </si>
  <si>
    <t>1978.03</t>
  </si>
  <si>
    <t>1978.04</t>
  </si>
  <si>
    <t>1978.05</t>
  </si>
  <si>
    <t>1978.06</t>
  </si>
  <si>
    <t>1978.07</t>
  </si>
  <si>
    <t>1978.08</t>
  </si>
  <si>
    <t>1978.09</t>
  </si>
  <si>
    <t>1978.10</t>
  </si>
  <si>
    <t>1978.11</t>
  </si>
  <si>
    <t>1978.12</t>
  </si>
  <si>
    <t>1979.01</t>
  </si>
  <si>
    <t>1979.02</t>
  </si>
  <si>
    <t>1979.03</t>
  </si>
  <si>
    <t>1979.04</t>
  </si>
  <si>
    <t>1979.05</t>
  </si>
  <si>
    <t>1979.06</t>
  </si>
  <si>
    <t>1979.07</t>
  </si>
  <si>
    <t>1979.08</t>
  </si>
  <si>
    <t>1979.09</t>
  </si>
  <si>
    <t>1979.10</t>
  </si>
  <si>
    <t>1979.11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</si>
  <si>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</si>
  <si>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</si>
  <si>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</si>
  <si>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</si>
  <si>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</si>
  <si>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</si>
  <si>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</si>
  <si>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</si>
  <si>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</si>
  <si>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</si>
  <si>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</si>
  <si>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</si>
  <si>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</si>
  <si>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</si>
  <si>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</si>
  <si>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</si>
  <si>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</si>
  <si>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</si>
  <si>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</si>
  <si>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</si>
  <si>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</si>
  <si>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</si>
  <si>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</si>
  <si>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</si>
  <si>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</si>
  <si>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</si>
  <si>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</si>
  <si>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</si>
  <si>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</si>
  <si>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</si>
  <si>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</si>
  <si>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</si>
  <si>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</si>
  <si>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</si>
  <si>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</si>
  <si>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</si>
  <si>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</si>
  <si>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</si>
  <si>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</si>
  <si>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</si>
  <si>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</si>
  <si>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</si>
  <si>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</si>
  <si>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</si>
  <si>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</si>
  <si>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</si>
  <si>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</si>
  <si>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</si>
  <si>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</si>
  <si>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</si>
  <si>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</si>
  <si>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</si>
  <si>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</si>
  <si>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</si>
  <si>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</si>
  <si>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</si>
  <si>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</si>
  <si>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</si>
  <si>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</si>
  <si>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</si>
  <si>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</si>
  <si>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</si>
  <si>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</si>
  <si>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</si>
  <si>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</si>
  <si>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</si>
  <si>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</si>
  <si>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</si>
  <si>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</si>
  <si>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</si>
  <si>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</si>
  <si>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</si>
  <si>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</si>
  <si>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</si>
  <si>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</si>
  <si>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</si>
  <si>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</si>
  <si>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</si>
  <si>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</si>
  <si>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</si>
  <si>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</si>
  <si>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</si>
  <si>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</si>
  <si>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</si>
  <si>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</si>
  <si>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</si>
  <si>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</si>
  <si>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</si>
  <si>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</si>
  <si>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</si>
  <si>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</si>
  <si>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</si>
  <si>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</si>
  <si>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</si>
  <si>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</si>
  <si>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</si>
  <si>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</si>
  <si>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</si>
  <si>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</si>
  <si>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</si>
  <si>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</si>
  <si>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</si>
  <si>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</si>
  <si>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</si>
  <si>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</si>
  <si>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</si>
  <si>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</si>
  <si>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</si>
  <si>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</si>
  <si>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</si>
  <si>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</si>
  <si>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</si>
  <si>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</si>
  <si>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</si>
  <si>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</si>
  <si>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</si>
  <si>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</si>
  <si>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</si>
  <si>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</si>
  <si>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</si>
  <si>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</si>
  <si>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</si>
  <si>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</si>
  <si>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</si>
  <si>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</si>
  <si>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</si>
  <si>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</si>
  <si>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</si>
  <si>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</si>
  <si>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</si>
  <si>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</si>
  <si>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</si>
  <si>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</si>
  <si>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</si>
  <si>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</si>
  <si>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</si>
  <si>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</si>
  <si>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</si>
  <si>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</si>
  <si>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</si>
  <si>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</si>
  <si>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</si>
  <si>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</si>
  <si>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</si>
  <si>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</si>
  <si>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</si>
  <si>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</si>
  <si>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</si>
  <si>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</si>
  <si>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</si>
  <si>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</si>
  <si>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</si>
  <si>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</si>
  <si>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</si>
  <si>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</si>
  <si>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</si>
  <si>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</si>
  <si>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</si>
  <si>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</si>
  <si>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</si>
  <si>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</si>
  <si>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</si>
  <si>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</si>
  <si>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</si>
  <si>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</si>
  <si>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</si>
  <si>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</si>
  <si>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</si>
  <si>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</si>
  <si>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</si>
  <si>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</si>
  <si>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</si>
  <si>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</si>
  <si>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</si>
  <si>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</si>
  <si>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</si>
  <si>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</si>
  <si>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</si>
  <si>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</si>
  <si>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</si>
  <si>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</si>
  <si>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</si>
  <si>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</si>
  <si>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</si>
  <si>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</si>
  <si>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</si>
  <si>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</si>
  <si>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</si>
  <si>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</si>
  <si>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</si>
  <si>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</si>
  <si>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</si>
  <si>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</si>
  <si>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</si>
  <si>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</si>
  <si>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</si>
  <si>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</si>
  <si>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</si>
  <si>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</si>
  <si>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</si>
  <si>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</si>
  <si>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</si>
  <si>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</si>
  <si>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</si>
  <si>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</si>
  <si>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</si>
  <si>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</si>
  <si>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</si>
  <si>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</si>
  <si>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</si>
  <si>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</si>
  <si>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</si>
  <si>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</si>
  <si>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</si>
  <si>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</si>
  <si>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</si>
  <si>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</si>
  <si>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</si>
  <si>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</si>
  <si>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</si>
  <si>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</si>
  <si>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</si>
  <si>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</si>
  <si>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</si>
  <si>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</si>
  <si>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</si>
  <si>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</si>
  <si>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</si>
  <si>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</si>
  <si>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</si>
  <si>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</si>
  <si>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</si>
  <si>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</si>
  <si>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</si>
  <si>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</si>
  <si>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</si>
  <si>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</si>
  <si>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</si>
  <si>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</si>
  <si>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</si>
  <si>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</si>
  <si>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</si>
  <si>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</si>
  <si>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</si>
  <si>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</si>
  <si>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</si>
  <si>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</si>
  <si>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</si>
  <si>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</si>
  <si>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</si>
  <si>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</si>
  <si>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</si>
  <si>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</si>
  <si>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</si>
  <si>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</si>
  <si>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</si>
  <si>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</si>
  <si>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</si>
  <si>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</si>
  <si>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</si>
  <si>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</si>
  <si>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</si>
  <si>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</si>
  <si>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</si>
  <si>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</si>
  <si>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A partir de janeiro de 1991, houve uma reformulação da série para se adequar a nova metodologia da PIM-PF. A unificação das duas séries, antes e depois de 1991, foi feita por uma regra de três simples tomando-se como base o mês de janeiro de 1991. Série descontinuada pela fonte.</t>
  </si>
  <si>
    <t>Produção industrial - indústria geral - quantum - índice (média 2002 = 100) - - - Instituto Brasileiro de Geografia e Estatística, Pesquisa Industrial Mensal - Produção Física - antiga metodologia (IBGE/PIM-PF antiga) - PIMPFN12_QIIG12</t>
  </si>
  <si>
    <t>PIM(2002=100)</t>
  </si>
  <si>
    <t>PIM(2012=100)</t>
  </si>
  <si>
    <t>2016.11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</si>
  <si>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</si>
  <si>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</si>
  <si>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</si>
  <si>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</si>
  <si>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</si>
  <si>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</si>
  <si>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IPB50001N</t>
  </si>
  <si>
    <t>Industrial Production: Total index, Index 2012=100, Monthly, Not Seasonally Adjusted</t>
  </si>
  <si>
    <t>Frequency: Monthly</t>
  </si>
  <si>
    <t>observation_date</t>
  </si>
  <si>
    <t>PIM_US</t>
  </si>
  <si>
    <t>PIM_BR</t>
  </si>
  <si>
    <t>DataPIM_BR</t>
  </si>
  <si>
    <t>DataPIM_US</t>
  </si>
  <si>
    <t>&lt;&lt;&lt;&lt;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</si>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</sst>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/mm"/>
    <numFmt numFmtId="165" formatCode="yyyy\-mm\-dd"/>
    <numFmt numFmtId="166" formatCode="0.0000"/>
    <numFmt numFmtId="172" formatCode="0.000000"/>
    <numFmt numFmtId="174" formatCode="0.000"/>
    <numFmt numFmtId="175" formatCode="0.0000000000"/>
  </numFmts>
  <fonts count="8" x14ac:knownFonts="1">
    <font>
      <sz val="10"/>
      <color indexed="8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color rgb="FF000000"/>
      <name val="Verdana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E8F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/>
      <top/>
      <bottom style="medium">
        <color rgb="FFCFCFCF"/>
      </bottom>
      <diagonal/>
    </border>
    <border>
      <left/>
      <right style="medium">
        <color rgb="FFCFCFCF"/>
      </right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5" fillId="0" borderId="0"/>
    <xf numFmtId="9" fontId="7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4" fontId="2" fillId="0" borderId="0" xfId="0" applyNumberFormat="1" applyFont="1" applyFill="1" applyBorder="1" applyAlignment="1" applyProtection="1"/>
    <xf numFmtId="0" fontId="3" fillId="0" borderId="0" xfId="1"/>
    <xf numFmtId="4" fontId="0" fillId="0" borderId="0" xfId="0" applyNumberFormat="1"/>
    <xf numFmtId="4" fontId="0" fillId="0" borderId="0" xfId="0" applyNumberFormat="1" applyFont="1" applyFill="1" applyBorder="1" applyAlignment="1" applyProtection="1"/>
    <xf numFmtId="164" fontId="0" fillId="0" borderId="0" xfId="0" applyNumberFormat="1"/>
    <xf numFmtId="0" fontId="4" fillId="0" borderId="0" xfId="0" applyFont="1"/>
    <xf numFmtId="0" fontId="1" fillId="0" borderId="0" xfId="2"/>
    <xf numFmtId="0" fontId="2" fillId="0" borderId="0" xfId="0" applyFont="1"/>
    <xf numFmtId="0" fontId="5" fillId="0" borderId="0" xfId="3"/>
    <xf numFmtId="165" fontId="5" fillId="0" borderId="0" xfId="3" applyNumberFormat="1" applyFont="1" applyFill="1" applyBorder="1" applyAlignment="1" applyProtection="1"/>
    <xf numFmtId="166" fontId="5" fillId="0" borderId="0" xfId="3" applyNumberFormat="1" applyFont="1" applyFill="1" applyBorder="1" applyAlignment="1" applyProtection="1"/>
    <xf numFmtId="14" fontId="5" fillId="0" borderId="0" xfId="3" applyNumberFormat="1"/>
    <xf numFmtId="0" fontId="5" fillId="0" borderId="0" xfId="3"/>
    <xf numFmtId="166" fontId="5" fillId="0" borderId="0" xfId="3" applyNumberFormat="1" applyFont="1" applyFill="1" applyBorder="1" applyAlignment="1" applyProtection="1"/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right" vertical="center" wrapText="1"/>
    </xf>
    <xf numFmtId="165" fontId="3" fillId="0" borderId="0" xfId="1" applyNumberFormat="1" applyFont="1" applyFill="1" applyBorder="1" applyAlignment="1" applyProtection="1"/>
    <xf numFmtId="166" fontId="3" fillId="0" borderId="0" xfId="1" applyNumberFormat="1" applyFont="1" applyFill="1" applyBorder="1" applyAlignment="1" applyProtection="1"/>
    <xf numFmtId="164" fontId="0" fillId="5" borderId="0" xfId="0" applyNumberFormat="1" applyFill="1"/>
    <xf numFmtId="0" fontId="0" fillId="5" borderId="0" xfId="0" applyFill="1"/>
    <xf numFmtId="0" fontId="2" fillId="5" borderId="0" xfId="0" applyFont="1" applyFill="1"/>
    <xf numFmtId="0" fontId="2" fillId="0" borderId="0" xfId="5"/>
    <xf numFmtId="172" fontId="0" fillId="0" borderId="0" xfId="0" applyNumberFormat="1"/>
    <xf numFmtId="174" fontId="0" fillId="0" borderId="0" xfId="0" applyNumberFormat="1"/>
    <xf numFmtId="175" fontId="0" fillId="0" borderId="0" xfId="0" applyNumberFormat="1"/>
    <xf numFmtId="9" fontId="0" fillId="0" borderId="0" xfId="4" applyFont="1"/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5" xr:uid="{0FCB17C5-1A81-43DA-83A5-5CFAA64F18E5}"/>
    <cellStyle name="Porcentagem" xfId="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5"/>
  <sheetViews>
    <sheetView tabSelected="1" topLeftCell="A493" workbookViewId="0">
      <selection activeCell="O513" sqref="O513"/>
    </sheetView>
  </sheetViews>
  <sheetFormatPr defaultRowHeight="12.75" x14ac:dyDescent="0.2"/>
  <cols>
    <col min="2" max="2" width="12" bestFit="1" customWidth="1"/>
    <col min="3" max="5" width="12.5703125" bestFit="1" customWidth="1"/>
    <col min="9" max="9" width="9.5703125" bestFit="1" customWidth="1"/>
  </cols>
  <sheetData>
    <row r="1" spans="1:7" x14ac:dyDescent="0.2">
      <c r="A1" t="s">
        <v>0</v>
      </c>
      <c r="B1" s="8" t="s">
        <v>1137</v>
      </c>
      <c r="C1" s="8" t="s">
        <v>1138</v>
      </c>
      <c r="D1" s="8"/>
      <c r="E1" s="8"/>
      <c r="F1" s="8"/>
      <c r="G1" s="8"/>
    </row>
    <row r="2" spans="1:7" x14ac:dyDescent="0.2">
      <c r="A2" s="5">
        <v>27395</v>
      </c>
      <c r="B2">
        <v>40.694753593154104</v>
      </c>
      <c r="C2">
        <v>42.203499999999998</v>
      </c>
      <c r="D2">
        <f>LN(B2)</f>
        <v>3.7060991797945624</v>
      </c>
      <c r="E2">
        <f>LN(C2)</f>
        <v>3.7425031559913937</v>
      </c>
      <c r="F2">
        <f>D2-D1</f>
        <v>3.7060991797945624</v>
      </c>
      <c r="G2">
        <f>E2-E1</f>
        <v>3.7425031559913937</v>
      </c>
    </row>
    <row r="3" spans="1:7" x14ac:dyDescent="0.2">
      <c r="A3" s="5">
        <v>27426</v>
      </c>
      <c r="B3">
        <v>38.181290255854236</v>
      </c>
      <c r="C3">
        <v>42.02</v>
      </c>
      <c r="D3">
        <f t="shared" ref="D3:D66" si="0">LN(B3)</f>
        <v>3.6423456117510655</v>
      </c>
      <c r="E3">
        <f t="shared" ref="E3:E66" si="1">LN(C3)</f>
        <v>3.7381456954168546</v>
      </c>
      <c r="F3">
        <f t="shared" ref="F3:F66" si="2">D3-D2</f>
        <v>-6.3753568043496855E-2</v>
      </c>
      <c r="G3">
        <f t="shared" ref="G3:G66" si="3">E3-E2</f>
        <v>-4.3574605745391182E-3</v>
      </c>
    </row>
    <row r="4" spans="1:7" x14ac:dyDescent="0.2">
      <c r="A4" s="5">
        <v>27454</v>
      </c>
      <c r="B4">
        <v>41.352310016359716</v>
      </c>
      <c r="C4">
        <v>41.602200000000003</v>
      </c>
      <c r="D4">
        <f t="shared" si="0"/>
        <v>3.7221282848756889</v>
      </c>
      <c r="E4">
        <f t="shared" si="1"/>
        <v>3.7281530504842602</v>
      </c>
      <c r="F4">
        <f t="shared" si="2"/>
        <v>7.9782673124623393E-2</v>
      </c>
      <c r="G4">
        <f t="shared" si="3"/>
        <v>-9.9926449325944411E-3</v>
      </c>
    </row>
    <row r="5" spans="1:7" x14ac:dyDescent="0.2">
      <c r="A5" s="5">
        <v>27485</v>
      </c>
      <c r="B5">
        <v>43.570794771287062</v>
      </c>
      <c r="C5">
        <v>41.706600000000002</v>
      </c>
      <c r="D5">
        <f t="shared" si="0"/>
        <v>3.7743870812135447</v>
      </c>
      <c r="E5">
        <f t="shared" si="1"/>
        <v>3.7306593896621405</v>
      </c>
      <c r="F5">
        <f t="shared" si="2"/>
        <v>5.2258796337855795E-2</v>
      </c>
      <c r="G5">
        <f t="shared" si="3"/>
        <v>2.5063391778803457E-3</v>
      </c>
    </row>
    <row r="6" spans="1:7" x14ac:dyDescent="0.2">
      <c r="A6" s="5">
        <v>27515</v>
      </c>
      <c r="B6">
        <v>43.724429449606092</v>
      </c>
      <c r="C6">
        <v>41.499899999999997</v>
      </c>
      <c r="D6">
        <f t="shared" si="0"/>
        <v>3.7779069722113237</v>
      </c>
      <c r="E6">
        <f t="shared" si="1"/>
        <v>3.7256910175951949</v>
      </c>
      <c r="F6">
        <f t="shared" si="2"/>
        <v>3.5198909977789405E-3</v>
      </c>
      <c r="G6">
        <f t="shared" si="3"/>
        <v>-4.9683720669455589E-3</v>
      </c>
    </row>
    <row r="7" spans="1:7" x14ac:dyDescent="0.2">
      <c r="A7" s="5">
        <v>27546</v>
      </c>
      <c r="B7">
        <v>45.174740812938033</v>
      </c>
      <c r="C7">
        <v>42.703600000000002</v>
      </c>
      <c r="D7">
        <f t="shared" si="0"/>
        <v>3.8105380990614575</v>
      </c>
      <c r="E7">
        <f t="shared" si="1"/>
        <v>3.7542832258142531</v>
      </c>
      <c r="F7">
        <f t="shared" si="2"/>
        <v>3.2631126850133807E-2</v>
      </c>
      <c r="G7">
        <f t="shared" si="3"/>
        <v>2.8592208219058168E-2</v>
      </c>
    </row>
    <row r="8" spans="1:7" x14ac:dyDescent="0.2">
      <c r="A8" s="5">
        <v>27576</v>
      </c>
      <c r="B8">
        <v>46.877013048713337</v>
      </c>
      <c r="C8">
        <v>40.905500000000004</v>
      </c>
      <c r="D8">
        <f t="shared" si="0"/>
        <v>3.8475274284076808</v>
      </c>
      <c r="E8">
        <f t="shared" si="1"/>
        <v>3.7112645283355228</v>
      </c>
      <c r="F8">
        <f t="shared" si="2"/>
        <v>3.6989329346223343E-2</v>
      </c>
      <c r="G8">
        <f t="shared" si="3"/>
        <v>-4.3018697478730328E-2</v>
      </c>
    </row>
    <row r="9" spans="1:7" x14ac:dyDescent="0.2">
      <c r="A9" s="5">
        <v>27607</v>
      </c>
      <c r="B9">
        <v>46.022804237259294</v>
      </c>
      <c r="C9">
        <v>42.557699999999997</v>
      </c>
      <c r="D9">
        <f t="shared" si="0"/>
        <v>3.8291370179367377</v>
      </c>
      <c r="E9">
        <f t="shared" si="1"/>
        <v>3.750860802219719</v>
      </c>
      <c r="F9">
        <f t="shared" si="2"/>
        <v>-1.8390410470943142E-2</v>
      </c>
      <c r="G9">
        <f t="shared" si="3"/>
        <v>3.9596273884196176E-2</v>
      </c>
    </row>
    <row r="10" spans="1:7" x14ac:dyDescent="0.2">
      <c r="A10" s="5">
        <v>27638</v>
      </c>
      <c r="B10">
        <v>47.178137018218628</v>
      </c>
      <c r="C10">
        <v>43.923200000000001</v>
      </c>
      <c r="D10">
        <f t="shared" si="0"/>
        <v>3.853930586515268</v>
      </c>
      <c r="E10">
        <f t="shared" si="1"/>
        <v>3.7824426542921237</v>
      </c>
      <c r="F10">
        <f t="shared" si="2"/>
        <v>2.4793568578530323E-2</v>
      </c>
      <c r="G10">
        <f t="shared" si="3"/>
        <v>3.1581852072404715E-2</v>
      </c>
    </row>
    <row r="11" spans="1:7" x14ac:dyDescent="0.2">
      <c r="A11" s="5">
        <v>27668</v>
      </c>
      <c r="B11">
        <v>48.812809995533541</v>
      </c>
      <c r="C11">
        <v>44.157899999999998</v>
      </c>
      <c r="D11">
        <f t="shared" si="0"/>
        <v>3.8879927783205028</v>
      </c>
      <c r="E11">
        <f t="shared" si="1"/>
        <v>3.7877718464902701</v>
      </c>
      <c r="F11">
        <f t="shared" si="2"/>
        <v>3.4062191805234843E-2</v>
      </c>
      <c r="G11">
        <f t="shared" si="3"/>
        <v>5.3291921981464263E-3</v>
      </c>
    </row>
    <row r="12" spans="1:7" x14ac:dyDescent="0.2">
      <c r="A12" s="5">
        <v>27699</v>
      </c>
      <c r="B12">
        <v>45.752407203417782</v>
      </c>
      <c r="C12">
        <v>43.698799999999999</v>
      </c>
      <c r="D12">
        <f t="shared" si="0"/>
        <v>3.8232444068054807</v>
      </c>
      <c r="E12">
        <f t="shared" si="1"/>
        <v>3.7773206417702796</v>
      </c>
      <c r="F12">
        <f t="shared" si="2"/>
        <v>-6.4748371515022107E-2</v>
      </c>
      <c r="G12">
        <f t="shared" si="3"/>
        <v>-1.0451204719990503E-2</v>
      </c>
    </row>
    <row r="13" spans="1:7" x14ac:dyDescent="0.2">
      <c r="A13" s="5">
        <v>27729</v>
      </c>
      <c r="B13">
        <v>44.39427664707717</v>
      </c>
      <c r="C13">
        <v>43.442300000000003</v>
      </c>
      <c r="D13">
        <f t="shared" si="0"/>
        <v>3.7931105567841912</v>
      </c>
      <c r="E13">
        <f t="shared" si="1"/>
        <v>3.7714336208170605</v>
      </c>
      <c r="F13">
        <f t="shared" si="2"/>
        <v>-3.0133850021289543E-2</v>
      </c>
      <c r="G13">
        <f t="shared" si="3"/>
        <v>-5.8870209532191353E-3</v>
      </c>
    </row>
    <row r="14" spans="1:7" x14ac:dyDescent="0.2">
      <c r="A14" s="5">
        <v>27760</v>
      </c>
      <c r="B14">
        <v>43.951808773518302</v>
      </c>
      <c r="C14">
        <v>43.846499999999999</v>
      </c>
      <c r="D14">
        <f t="shared" si="0"/>
        <v>3.7830937785407208</v>
      </c>
      <c r="E14">
        <f t="shared" si="1"/>
        <v>3.780694898072738</v>
      </c>
      <c r="F14">
        <f t="shared" si="2"/>
        <v>-1.0016778243470359E-2</v>
      </c>
      <c r="G14">
        <f t="shared" si="3"/>
        <v>9.2612772556774914E-3</v>
      </c>
    </row>
    <row r="15" spans="1:7" x14ac:dyDescent="0.2">
      <c r="A15" s="5">
        <v>27791</v>
      </c>
      <c r="B15">
        <v>45.076414618813857</v>
      </c>
      <c r="C15">
        <v>45.151000000000003</v>
      </c>
      <c r="D15">
        <f t="shared" si="0"/>
        <v>3.8083591522644529</v>
      </c>
      <c r="E15">
        <f t="shared" si="1"/>
        <v>3.810012428011964</v>
      </c>
      <c r="F15">
        <f t="shared" si="2"/>
        <v>2.5265373723732054E-2</v>
      </c>
      <c r="G15">
        <f t="shared" si="3"/>
        <v>2.9317529939226095E-2</v>
      </c>
    </row>
    <row r="16" spans="1:7" x14ac:dyDescent="0.2">
      <c r="A16" s="5">
        <v>27820</v>
      </c>
      <c r="B16">
        <v>48.155253572327929</v>
      </c>
      <c r="C16">
        <v>45.440199999999997</v>
      </c>
      <c r="D16">
        <f t="shared" si="0"/>
        <v>3.8744302407518019</v>
      </c>
      <c r="E16">
        <f t="shared" si="1"/>
        <v>3.8163971758116606</v>
      </c>
      <c r="F16">
        <f t="shared" si="2"/>
        <v>6.6071088487348995E-2</v>
      </c>
      <c r="G16">
        <f t="shared" si="3"/>
        <v>6.3847477996965551E-3</v>
      </c>
    </row>
    <row r="17" spans="1:7" x14ac:dyDescent="0.2">
      <c r="A17" s="5">
        <v>27851</v>
      </c>
      <c r="B17">
        <v>47.092101598360003</v>
      </c>
      <c r="C17">
        <v>45.061700000000002</v>
      </c>
      <c r="D17">
        <f t="shared" si="0"/>
        <v>3.8521052926577752</v>
      </c>
      <c r="E17">
        <f t="shared" si="1"/>
        <v>3.8080326617669136</v>
      </c>
      <c r="F17">
        <f t="shared" si="2"/>
        <v>-2.2324948094026631E-2</v>
      </c>
      <c r="G17">
        <f t="shared" si="3"/>
        <v>-8.364514044747029E-3</v>
      </c>
    </row>
    <row r="18" spans="1:7" x14ac:dyDescent="0.2">
      <c r="A18" s="5">
        <v>27881</v>
      </c>
      <c r="B18">
        <v>49.728472678315129</v>
      </c>
      <c r="C18">
        <v>45.791699999999999</v>
      </c>
      <c r="D18">
        <f t="shared" si="0"/>
        <v>3.9065776599750062</v>
      </c>
      <c r="E18">
        <f t="shared" si="1"/>
        <v>3.8241028519898967</v>
      </c>
      <c r="F18">
        <f t="shared" si="2"/>
        <v>5.447236731723093E-2</v>
      </c>
      <c r="G18">
        <f t="shared" si="3"/>
        <v>1.6070190222983172E-2</v>
      </c>
    </row>
    <row r="19" spans="1:7" x14ac:dyDescent="0.2">
      <c r="A19" s="5">
        <v>27912</v>
      </c>
      <c r="B19">
        <v>51.264819461505859</v>
      </c>
      <c r="C19">
        <v>46.774299999999997</v>
      </c>
      <c r="D19">
        <f t="shared" si="0"/>
        <v>3.937004736444262</v>
      </c>
      <c r="E19">
        <f t="shared" si="1"/>
        <v>3.8453339067889529</v>
      </c>
      <c r="F19">
        <f t="shared" si="2"/>
        <v>3.0427076469255798E-2</v>
      </c>
      <c r="G19">
        <f t="shared" si="3"/>
        <v>2.1231054799056182E-2</v>
      </c>
    </row>
    <row r="20" spans="1:7" x14ac:dyDescent="0.2">
      <c r="A20" s="5">
        <v>27942</v>
      </c>
      <c r="B20">
        <v>52.229645241349537</v>
      </c>
      <c r="C20">
        <v>44.566400000000002</v>
      </c>
      <c r="D20">
        <f t="shared" si="0"/>
        <v>3.9556502501859967</v>
      </c>
      <c r="E20">
        <f t="shared" si="1"/>
        <v>3.7969802118766358</v>
      </c>
      <c r="F20">
        <f t="shared" si="2"/>
        <v>1.8645513741734732E-2</v>
      </c>
      <c r="G20">
        <f t="shared" si="3"/>
        <v>-4.8353694912317113E-2</v>
      </c>
    </row>
    <row r="21" spans="1:7" x14ac:dyDescent="0.2">
      <c r="A21" s="5">
        <v>27973</v>
      </c>
      <c r="B21">
        <v>52.752003147634355</v>
      </c>
      <c r="C21">
        <v>45.85</v>
      </c>
      <c r="D21">
        <f t="shared" si="0"/>
        <v>3.9656017459979047</v>
      </c>
      <c r="E21">
        <f t="shared" si="1"/>
        <v>3.8253751987024738</v>
      </c>
      <c r="F21">
        <f t="shared" si="2"/>
        <v>9.9514958119080177E-3</v>
      </c>
      <c r="G21">
        <f t="shared" si="3"/>
        <v>2.8394986825837965E-2</v>
      </c>
    </row>
    <row r="22" spans="1:7" x14ac:dyDescent="0.2">
      <c r="A22" s="5">
        <v>28004</v>
      </c>
      <c r="B22">
        <v>51.897794336180397</v>
      </c>
      <c r="C22">
        <v>46.877600000000001</v>
      </c>
      <c r="D22">
        <f t="shared" si="0"/>
        <v>3.9492762909292716</v>
      </c>
      <c r="E22">
        <f t="shared" si="1"/>
        <v>3.8475399494190228</v>
      </c>
      <c r="F22">
        <f t="shared" si="2"/>
        <v>-1.6325455068633143E-2</v>
      </c>
      <c r="G22">
        <f t="shared" si="3"/>
        <v>2.2164750716548998E-2</v>
      </c>
    </row>
    <row r="23" spans="1:7" x14ac:dyDescent="0.2">
      <c r="A23" s="5">
        <v>28034</v>
      </c>
      <c r="B23">
        <v>53.557048862026299</v>
      </c>
      <c r="C23">
        <v>47.1648</v>
      </c>
      <c r="D23">
        <f t="shared" si="0"/>
        <v>3.9807474196414923</v>
      </c>
      <c r="E23">
        <f t="shared" si="1"/>
        <v>3.8536478516603019</v>
      </c>
      <c r="F23">
        <f t="shared" si="2"/>
        <v>3.1471128712220686E-2</v>
      </c>
      <c r="G23">
        <f t="shared" si="3"/>
        <v>6.1079022412791062E-3</v>
      </c>
    </row>
    <row r="24" spans="1:7" x14ac:dyDescent="0.2">
      <c r="A24" s="5">
        <v>28065</v>
      </c>
      <c r="B24">
        <v>50.386029101520741</v>
      </c>
      <c r="C24">
        <v>47.2136</v>
      </c>
      <c r="D24">
        <f t="shared" si="0"/>
        <v>3.9197139362835478</v>
      </c>
      <c r="E24">
        <f t="shared" si="1"/>
        <v>3.854681986681642</v>
      </c>
      <c r="F24">
        <f t="shared" si="2"/>
        <v>-6.1033483357944451E-2</v>
      </c>
      <c r="G24">
        <f t="shared" si="3"/>
        <v>1.0341350213400879E-3</v>
      </c>
    </row>
    <row r="25" spans="1:7" x14ac:dyDescent="0.2">
      <c r="A25" s="5">
        <v>28095</v>
      </c>
      <c r="B25">
        <v>48.935717738188799</v>
      </c>
      <c r="C25">
        <v>46.916699999999999</v>
      </c>
      <c r="D25">
        <f t="shared" si="0"/>
        <v>3.8905075539448157</v>
      </c>
      <c r="E25">
        <f t="shared" si="1"/>
        <v>3.8483736888310114</v>
      </c>
      <c r="F25">
        <f t="shared" si="2"/>
        <v>-2.9206382338732073E-2</v>
      </c>
      <c r="G25">
        <f t="shared" si="3"/>
        <v>-6.3082978506305842E-3</v>
      </c>
    </row>
    <row r="26" spans="1:7" x14ac:dyDescent="0.2">
      <c r="A26" s="5">
        <v>28126</v>
      </c>
      <c r="B26">
        <v>45.266921619929519</v>
      </c>
      <c r="C26">
        <v>46.460599999999999</v>
      </c>
      <c r="D26">
        <f t="shared" si="0"/>
        <v>3.8125765586923817</v>
      </c>
      <c r="E26">
        <f t="shared" si="1"/>
        <v>3.8386046415937853</v>
      </c>
      <c r="F26">
        <f t="shared" si="2"/>
        <v>-7.7930995252434077E-2</v>
      </c>
      <c r="G26">
        <f t="shared" si="3"/>
        <v>-9.7690472372260473E-3</v>
      </c>
    </row>
    <row r="27" spans="1:7" x14ac:dyDescent="0.2">
      <c r="A27" s="5">
        <v>28157</v>
      </c>
      <c r="B27">
        <v>43.828901030863044</v>
      </c>
      <c r="C27">
        <v>48.1051</v>
      </c>
      <c r="D27">
        <f t="shared" si="0"/>
        <v>3.7802934406704014</v>
      </c>
      <c r="E27">
        <f t="shared" si="1"/>
        <v>3.8733882005970561</v>
      </c>
      <c r="F27">
        <f t="shared" si="2"/>
        <v>-3.228311802198025E-2</v>
      </c>
      <c r="G27">
        <f t="shared" si="3"/>
        <v>3.4783559003270792E-2</v>
      </c>
    </row>
    <row r="28" spans="1:7" x14ac:dyDescent="0.2">
      <c r="A28" s="5">
        <v>28185</v>
      </c>
      <c r="B28">
        <v>51.375436429895579</v>
      </c>
      <c r="C28">
        <v>49.024700000000003</v>
      </c>
      <c r="D28">
        <f t="shared" si="0"/>
        <v>3.9391601677661185</v>
      </c>
      <c r="E28">
        <f t="shared" si="1"/>
        <v>3.8923242527368127</v>
      </c>
      <c r="F28">
        <f t="shared" si="2"/>
        <v>0.15886672709571714</v>
      </c>
      <c r="G28">
        <f t="shared" si="3"/>
        <v>1.8936052139756576E-2</v>
      </c>
    </row>
    <row r="29" spans="1:7" x14ac:dyDescent="0.2">
      <c r="A29" s="5">
        <v>28216</v>
      </c>
      <c r="B29">
        <v>47.700494924503523</v>
      </c>
      <c r="C29">
        <v>49.0105</v>
      </c>
      <c r="D29">
        <f t="shared" si="0"/>
        <v>3.8649417736162226</v>
      </c>
      <c r="E29">
        <f t="shared" si="1"/>
        <v>3.8920345608690079</v>
      </c>
      <c r="F29">
        <f t="shared" si="2"/>
        <v>-7.421839414989595E-2</v>
      </c>
      <c r="G29">
        <f t="shared" si="3"/>
        <v>-2.8969186780480882E-4</v>
      </c>
    </row>
    <row r="30" spans="1:7" x14ac:dyDescent="0.2">
      <c r="A30" s="5">
        <v>28246</v>
      </c>
      <c r="B30">
        <v>52.530769210854913</v>
      </c>
      <c r="C30">
        <v>49.581000000000003</v>
      </c>
      <c r="D30">
        <f t="shared" si="0"/>
        <v>3.9613990781264086</v>
      </c>
      <c r="E30">
        <f t="shared" si="1"/>
        <v>3.9036076958267989</v>
      </c>
      <c r="F30">
        <f t="shared" si="2"/>
        <v>9.6457304510185971E-2</v>
      </c>
      <c r="G30">
        <f t="shared" si="3"/>
        <v>1.1573134957790998E-2</v>
      </c>
    </row>
    <row r="31" spans="1:7" x14ac:dyDescent="0.2">
      <c r="A31" s="5">
        <v>28277</v>
      </c>
      <c r="B31">
        <v>52.493896888058366</v>
      </c>
      <c r="C31">
        <v>51.018000000000001</v>
      </c>
      <c r="D31">
        <f t="shared" si="0"/>
        <v>3.9606969130887828</v>
      </c>
      <c r="E31">
        <f t="shared" si="1"/>
        <v>3.9321785116317103</v>
      </c>
      <c r="F31">
        <f t="shared" si="2"/>
        <v>-7.0216503762576821E-4</v>
      </c>
      <c r="G31">
        <f t="shared" si="3"/>
        <v>2.8570815804911387E-2</v>
      </c>
    </row>
    <row r="32" spans="1:7" x14ac:dyDescent="0.2">
      <c r="A32" s="5">
        <v>28307</v>
      </c>
      <c r="B32">
        <v>52.284953725544405</v>
      </c>
      <c r="C32">
        <v>48.5381</v>
      </c>
      <c r="D32">
        <f t="shared" si="0"/>
        <v>3.9567086380074983</v>
      </c>
      <c r="E32">
        <f t="shared" si="1"/>
        <v>3.8823490565574832</v>
      </c>
      <c r="F32">
        <f t="shared" si="2"/>
        <v>-3.9882750812845202E-3</v>
      </c>
      <c r="G32">
        <f t="shared" si="3"/>
        <v>-4.9829455074227091E-2</v>
      </c>
    </row>
    <row r="33" spans="1:7" x14ac:dyDescent="0.2">
      <c r="A33" s="5">
        <v>28338</v>
      </c>
      <c r="B33">
        <v>54.362094576418187</v>
      </c>
      <c r="C33">
        <v>49.317999999999998</v>
      </c>
      <c r="D33">
        <f t="shared" si="0"/>
        <v>3.9956671201156428</v>
      </c>
      <c r="E33">
        <f t="shared" si="1"/>
        <v>3.8982891259735037</v>
      </c>
      <c r="F33">
        <f t="shared" si="2"/>
        <v>3.8958482108144565E-2</v>
      </c>
      <c r="G33">
        <f t="shared" si="3"/>
        <v>1.5940069416020552E-2</v>
      </c>
    </row>
    <row r="34" spans="1:7" x14ac:dyDescent="0.2">
      <c r="A34" s="5">
        <v>28369</v>
      </c>
      <c r="B34">
        <v>52.205063692818548</v>
      </c>
      <c r="C34">
        <v>50.667999999999999</v>
      </c>
      <c r="D34">
        <f t="shared" si="0"/>
        <v>3.9551794957934039</v>
      </c>
      <c r="E34">
        <f t="shared" si="1"/>
        <v>3.9252945476213861</v>
      </c>
      <c r="F34">
        <f t="shared" si="2"/>
        <v>-4.0487624322238958E-2</v>
      </c>
      <c r="G34">
        <f t="shared" si="3"/>
        <v>2.7005421647882333E-2</v>
      </c>
    </row>
    <row r="35" spans="1:7" x14ac:dyDescent="0.2">
      <c r="A35" s="5">
        <v>28399</v>
      </c>
      <c r="B35">
        <v>53.833591283000615</v>
      </c>
      <c r="C35">
        <v>51.005800000000001</v>
      </c>
      <c r="D35">
        <f t="shared" si="0"/>
        <v>3.9858976456178081</v>
      </c>
      <c r="E35">
        <f t="shared" si="1"/>
        <v>3.9319393517482686</v>
      </c>
      <c r="F35">
        <f t="shared" si="2"/>
        <v>3.0718149824404239E-2</v>
      </c>
      <c r="G35">
        <f t="shared" si="3"/>
        <v>6.6448041268825087E-3</v>
      </c>
    </row>
    <row r="36" spans="1:7" x14ac:dyDescent="0.2">
      <c r="A36" s="5">
        <v>28430</v>
      </c>
      <c r="B36">
        <v>52.155900595756464</v>
      </c>
      <c r="C36">
        <v>50.331200000000003</v>
      </c>
      <c r="D36">
        <f t="shared" si="0"/>
        <v>3.9542373216570486</v>
      </c>
      <c r="E36">
        <f t="shared" si="1"/>
        <v>3.918625163142623</v>
      </c>
      <c r="F36">
        <f t="shared" si="2"/>
        <v>-3.1660323960759573E-2</v>
      </c>
      <c r="G36">
        <f t="shared" si="3"/>
        <v>-1.3314188605645594E-2</v>
      </c>
    </row>
    <row r="37" spans="1:7" x14ac:dyDescent="0.2">
      <c r="A37" s="5">
        <v>28460</v>
      </c>
      <c r="B37">
        <v>49.562547225730654</v>
      </c>
      <c r="C37">
        <v>49.685200000000002</v>
      </c>
      <c r="D37">
        <f t="shared" si="0"/>
        <v>3.9032354522466814</v>
      </c>
      <c r="E37">
        <f t="shared" si="1"/>
        <v>3.9057071020349916</v>
      </c>
      <c r="F37">
        <f t="shared" si="2"/>
        <v>-5.1001869410367107E-2</v>
      </c>
      <c r="G37">
        <f t="shared" si="3"/>
        <v>-1.2918061107631384E-2</v>
      </c>
    </row>
    <row r="38" spans="1:7" x14ac:dyDescent="0.2">
      <c r="A38" s="5">
        <v>28491</v>
      </c>
      <c r="B38">
        <v>48.39492367050569</v>
      </c>
      <c r="C38">
        <v>48.846800000000002</v>
      </c>
      <c r="D38">
        <f t="shared" si="0"/>
        <v>3.8793949253812046</v>
      </c>
      <c r="E38">
        <f t="shared" si="1"/>
        <v>3.8886888696901178</v>
      </c>
      <c r="F38">
        <f t="shared" si="2"/>
        <v>-2.3840526865476885E-2</v>
      </c>
      <c r="G38">
        <f t="shared" si="3"/>
        <v>-1.7018232344873763E-2</v>
      </c>
    </row>
    <row r="39" spans="1:7" x14ac:dyDescent="0.2">
      <c r="A39" s="5">
        <v>28522</v>
      </c>
      <c r="B39">
        <v>45.942914204533452</v>
      </c>
      <c r="C39">
        <v>50.154699999999998</v>
      </c>
      <c r="D39">
        <f t="shared" si="0"/>
        <v>3.8273996302628253</v>
      </c>
      <c r="E39">
        <f t="shared" si="1"/>
        <v>3.9151122288600777</v>
      </c>
      <c r="F39">
        <f t="shared" si="2"/>
        <v>-5.1995295118379303E-2</v>
      </c>
      <c r="G39">
        <f t="shared" si="3"/>
        <v>2.6423359169959859E-2</v>
      </c>
    </row>
    <row r="40" spans="1:7" x14ac:dyDescent="0.2">
      <c r="A40" s="5">
        <v>28550</v>
      </c>
      <c r="B40">
        <v>52.788875470430987</v>
      </c>
      <c r="C40">
        <v>51.241700000000002</v>
      </c>
      <c r="D40">
        <f t="shared" si="0"/>
        <v>3.9663004766656722</v>
      </c>
      <c r="E40">
        <f t="shared" si="1"/>
        <v>3.9365536536834904</v>
      </c>
      <c r="F40">
        <f t="shared" si="2"/>
        <v>0.13890084640284694</v>
      </c>
      <c r="G40">
        <f t="shared" si="3"/>
        <v>2.1441424823412714E-2</v>
      </c>
    </row>
    <row r="41" spans="1:7" x14ac:dyDescent="0.2">
      <c r="A41" s="5">
        <v>28581</v>
      </c>
      <c r="B41">
        <v>51.00671320192982</v>
      </c>
      <c r="C41">
        <v>52.292499999999997</v>
      </c>
      <c r="D41">
        <f t="shared" si="0"/>
        <v>3.9319572554720605</v>
      </c>
      <c r="E41">
        <f t="shared" si="1"/>
        <v>3.9568529573459381</v>
      </c>
      <c r="F41">
        <f t="shared" si="2"/>
        <v>-3.4343221193611662E-2</v>
      </c>
      <c r="G41">
        <f t="shared" si="3"/>
        <v>2.0299303662447699E-2</v>
      </c>
    </row>
    <row r="42" spans="1:7" x14ac:dyDescent="0.2">
      <c r="A42" s="5">
        <v>28611</v>
      </c>
      <c r="B42">
        <v>53.913481315726557</v>
      </c>
      <c r="C42">
        <v>52.164200000000001</v>
      </c>
      <c r="D42">
        <f t="shared" si="0"/>
        <v>3.9873805638157553</v>
      </c>
      <c r="E42">
        <f t="shared" si="1"/>
        <v>3.9543964358491106</v>
      </c>
      <c r="F42">
        <f t="shared" si="2"/>
        <v>5.5423308343694799E-2</v>
      </c>
      <c r="G42">
        <f t="shared" si="3"/>
        <v>-2.4565214968275129E-3</v>
      </c>
    </row>
    <row r="43" spans="1:7" x14ac:dyDescent="0.2">
      <c r="A43" s="5">
        <v>28642</v>
      </c>
      <c r="B43">
        <v>54.300640705090636</v>
      </c>
      <c r="C43">
        <v>53.552399999999999</v>
      </c>
      <c r="D43">
        <f t="shared" si="0"/>
        <v>3.9945360262273799</v>
      </c>
      <c r="E43">
        <f t="shared" si="1"/>
        <v>3.9806606138166352</v>
      </c>
      <c r="F43">
        <f t="shared" si="2"/>
        <v>7.1554624116245691E-3</v>
      </c>
      <c r="G43">
        <f t="shared" si="3"/>
        <v>2.626417796752456E-2</v>
      </c>
    </row>
    <row r="44" spans="1:7" x14ac:dyDescent="0.2">
      <c r="A44" s="5">
        <v>28672</v>
      </c>
      <c r="B44">
        <v>55.154849516544594</v>
      </c>
      <c r="C44">
        <v>50.840800000000002</v>
      </c>
      <c r="D44">
        <f t="shared" si="0"/>
        <v>4.0101446750438505</v>
      </c>
      <c r="E44">
        <f t="shared" si="1"/>
        <v>3.9286991818386769</v>
      </c>
      <c r="F44">
        <f t="shared" si="2"/>
        <v>1.5608648816470616E-2</v>
      </c>
      <c r="G44">
        <f t="shared" si="3"/>
        <v>-5.1961431977958217E-2</v>
      </c>
    </row>
    <row r="45" spans="1:7" x14ac:dyDescent="0.2">
      <c r="A45" s="5">
        <v>28703</v>
      </c>
      <c r="B45">
        <v>59.143205765707563</v>
      </c>
      <c r="C45">
        <v>52.027500000000003</v>
      </c>
      <c r="D45">
        <f t="shared" si="0"/>
        <v>4.0799617193418865</v>
      </c>
      <c r="E45">
        <f t="shared" si="1"/>
        <v>3.9517724249454291</v>
      </c>
      <c r="F45">
        <f t="shared" si="2"/>
        <v>6.9817044298035924E-2</v>
      </c>
      <c r="G45">
        <f t="shared" si="3"/>
        <v>2.3073243106752184E-2</v>
      </c>
    </row>
    <row r="46" spans="1:7" x14ac:dyDescent="0.2">
      <c r="A46" s="5">
        <v>28734</v>
      </c>
      <c r="B46">
        <v>56.045930650795171</v>
      </c>
      <c r="C46">
        <v>53.371099999999998</v>
      </c>
      <c r="D46">
        <f t="shared" si="0"/>
        <v>4.0261715447557478</v>
      </c>
      <c r="E46">
        <f t="shared" si="1"/>
        <v>3.9772694009635075</v>
      </c>
      <c r="F46">
        <f t="shared" si="2"/>
        <v>-5.3790174586138662E-2</v>
      </c>
      <c r="G46">
        <f t="shared" si="3"/>
        <v>2.5496976018078321E-2</v>
      </c>
    </row>
    <row r="47" spans="1:7" x14ac:dyDescent="0.2">
      <c r="A47" s="5">
        <v>28764</v>
      </c>
      <c r="B47">
        <v>59.610255187797506</v>
      </c>
      <c r="C47">
        <v>54.019799999999996</v>
      </c>
      <c r="D47">
        <f t="shared" si="0"/>
        <v>4.0878276261788455</v>
      </c>
      <c r="E47">
        <f t="shared" si="1"/>
        <v>3.9893506460251462</v>
      </c>
      <c r="F47">
        <f t="shared" si="2"/>
        <v>6.1656081423097753E-2</v>
      </c>
      <c r="G47">
        <f t="shared" si="3"/>
        <v>1.2081245061638768E-2</v>
      </c>
    </row>
    <row r="48" spans="1:7" x14ac:dyDescent="0.2">
      <c r="A48" s="5">
        <v>28795</v>
      </c>
      <c r="B48">
        <v>55.941459069538219</v>
      </c>
      <c r="C48">
        <v>53.6175</v>
      </c>
      <c r="D48">
        <f t="shared" si="0"/>
        <v>4.0243057701926599</v>
      </c>
      <c r="E48">
        <f t="shared" si="1"/>
        <v>3.9818755073269796</v>
      </c>
      <c r="F48">
        <f t="shared" si="2"/>
        <v>-6.3521855986185649E-2</v>
      </c>
      <c r="G48">
        <f t="shared" si="3"/>
        <v>-7.4751386981666279E-3</v>
      </c>
    </row>
    <row r="49" spans="1:7" x14ac:dyDescent="0.2">
      <c r="A49" s="5">
        <v>28825</v>
      </c>
      <c r="B49">
        <v>52.868765503156922</v>
      </c>
      <c r="C49">
        <v>53.2104</v>
      </c>
      <c r="D49">
        <f t="shared" si="0"/>
        <v>3.9678127203087197</v>
      </c>
      <c r="E49">
        <f t="shared" si="1"/>
        <v>3.974253865963973</v>
      </c>
      <c r="F49">
        <f t="shared" si="2"/>
        <v>-5.6493049883940216E-2</v>
      </c>
      <c r="G49">
        <f t="shared" si="3"/>
        <v>-7.6216413630065816E-3</v>
      </c>
    </row>
    <row r="50" spans="1:7" x14ac:dyDescent="0.2">
      <c r="A50" s="5">
        <v>28856</v>
      </c>
      <c r="B50">
        <v>53.569339636291836</v>
      </c>
      <c r="C50">
        <v>52.588500000000003</v>
      </c>
      <c r="D50">
        <f t="shared" si="0"/>
        <v>3.9809768826989473</v>
      </c>
      <c r="E50">
        <f t="shared" si="1"/>
        <v>3.9624974646616766</v>
      </c>
      <c r="F50">
        <f t="shared" si="2"/>
        <v>1.3164162390227663E-2</v>
      </c>
      <c r="G50">
        <f t="shared" si="3"/>
        <v>-1.1756401302296382E-2</v>
      </c>
    </row>
    <row r="51" spans="1:7" x14ac:dyDescent="0.2">
      <c r="A51" s="5">
        <v>28887</v>
      </c>
      <c r="B51">
        <v>49.980433550758413</v>
      </c>
      <c r="C51">
        <v>54.075899999999997</v>
      </c>
      <c r="D51">
        <f t="shared" si="0"/>
        <v>3.9116315998541453</v>
      </c>
      <c r="E51">
        <f t="shared" si="1"/>
        <v>3.990388615251244</v>
      </c>
      <c r="F51">
        <f t="shared" si="2"/>
        <v>-6.9345282844802014E-2</v>
      </c>
      <c r="G51">
        <f t="shared" si="3"/>
        <v>2.7891150589567371E-2</v>
      </c>
    </row>
    <row r="52" spans="1:7" x14ac:dyDescent="0.2">
      <c r="A52" s="5">
        <v>28915</v>
      </c>
      <c r="B52">
        <v>55.726370519891468</v>
      </c>
      <c r="C52">
        <v>54.734000000000002</v>
      </c>
      <c r="D52">
        <f t="shared" si="0"/>
        <v>4.0204534733147899</v>
      </c>
      <c r="E52">
        <f t="shared" si="1"/>
        <v>4.0024850885440051</v>
      </c>
      <c r="F52">
        <f t="shared" si="2"/>
        <v>0.10882187346064454</v>
      </c>
      <c r="G52">
        <f t="shared" si="3"/>
        <v>1.209647329276109E-2</v>
      </c>
    </row>
    <row r="53" spans="1:7" x14ac:dyDescent="0.2">
      <c r="A53" s="5">
        <v>28946</v>
      </c>
      <c r="B53">
        <v>53.729119701743635</v>
      </c>
      <c r="C53">
        <v>53.040799999999997</v>
      </c>
      <c r="D53">
        <f t="shared" si="0"/>
        <v>3.9839551208682615</v>
      </c>
      <c r="E53">
        <f t="shared" si="1"/>
        <v>3.97106142872012</v>
      </c>
      <c r="F53">
        <f t="shared" si="2"/>
        <v>-3.6498352446528326E-2</v>
      </c>
      <c r="G53">
        <f t="shared" si="3"/>
        <v>-3.1423659823885064E-2</v>
      </c>
    </row>
    <row r="54" spans="1:7" x14ac:dyDescent="0.2">
      <c r="A54" s="5">
        <v>28976</v>
      </c>
      <c r="B54">
        <v>58.424195471174293</v>
      </c>
      <c r="C54">
        <v>53.898600000000002</v>
      </c>
      <c r="D54">
        <f t="shared" si="0"/>
        <v>4.0677301100464014</v>
      </c>
      <c r="E54">
        <f t="shared" si="1"/>
        <v>3.9871045035516466</v>
      </c>
      <c r="F54">
        <f t="shared" si="2"/>
        <v>8.3774989178139858E-2</v>
      </c>
      <c r="G54">
        <f t="shared" si="3"/>
        <v>1.604307483152656E-2</v>
      </c>
    </row>
    <row r="55" spans="1:7" x14ac:dyDescent="0.2">
      <c r="A55" s="5">
        <v>29007</v>
      </c>
      <c r="B55">
        <v>58.424195471174293</v>
      </c>
      <c r="C55">
        <v>54.911299999999997</v>
      </c>
      <c r="D55">
        <f t="shared" si="0"/>
        <v>4.0677301100464014</v>
      </c>
      <c r="E55">
        <f t="shared" si="1"/>
        <v>4.005719156115247</v>
      </c>
      <c r="F55">
        <f t="shared" si="2"/>
        <v>0</v>
      </c>
      <c r="G55">
        <f t="shared" si="3"/>
        <v>1.8614652563600398E-2</v>
      </c>
    </row>
    <row r="56" spans="1:7" x14ac:dyDescent="0.2">
      <c r="A56" s="5">
        <v>29037</v>
      </c>
      <c r="B56">
        <v>59.32756737969035</v>
      </c>
      <c r="C56">
        <v>52.276200000000003</v>
      </c>
      <c r="D56">
        <f t="shared" si="0"/>
        <v>4.0830740779078081</v>
      </c>
      <c r="E56">
        <f t="shared" si="1"/>
        <v>3.9565412005748963</v>
      </c>
      <c r="F56">
        <f t="shared" si="2"/>
        <v>1.5343967861406682E-2</v>
      </c>
      <c r="G56">
        <f t="shared" si="3"/>
        <v>-4.9177955540350649E-2</v>
      </c>
    </row>
    <row r="57" spans="1:7" x14ac:dyDescent="0.2">
      <c r="A57" s="5">
        <v>29068</v>
      </c>
      <c r="B57">
        <v>63.002508885082392</v>
      </c>
      <c r="C57">
        <v>53.045400000000001</v>
      </c>
      <c r="D57">
        <f t="shared" si="0"/>
        <v>4.1431745491713317</v>
      </c>
      <c r="E57">
        <f t="shared" si="1"/>
        <v>3.9711481506500763</v>
      </c>
      <c r="F57">
        <f t="shared" si="2"/>
        <v>6.010047126352358E-2</v>
      </c>
      <c r="G57">
        <f t="shared" si="3"/>
        <v>1.4606950075179981E-2</v>
      </c>
    </row>
    <row r="58" spans="1:7" x14ac:dyDescent="0.2">
      <c r="A58" s="5">
        <v>29099</v>
      </c>
      <c r="B58">
        <v>57.98172759761534</v>
      </c>
      <c r="C58">
        <v>54.078899999999997</v>
      </c>
      <c r="D58">
        <f t="shared" si="0"/>
        <v>4.0601279194900206</v>
      </c>
      <c r="E58">
        <f t="shared" si="1"/>
        <v>3.990444091291157</v>
      </c>
      <c r="F58">
        <f t="shared" si="2"/>
        <v>-8.3046629681311046E-2</v>
      </c>
      <c r="G58">
        <f t="shared" si="3"/>
        <v>1.9295940641080644E-2</v>
      </c>
    </row>
    <row r="59" spans="1:7" x14ac:dyDescent="0.2">
      <c r="A59" s="5">
        <v>29129</v>
      </c>
      <c r="B59">
        <v>64.876851960574953</v>
      </c>
      <c r="C59">
        <v>54.450899999999997</v>
      </c>
      <c r="D59">
        <f t="shared" si="0"/>
        <v>4.1724908876770641</v>
      </c>
      <c r="E59">
        <f t="shared" si="1"/>
        <v>3.997299378167988</v>
      </c>
      <c r="F59">
        <f t="shared" si="2"/>
        <v>0.1123629681870435</v>
      </c>
      <c r="G59">
        <f t="shared" si="3"/>
        <v>6.8552868768310127E-3</v>
      </c>
    </row>
    <row r="60" spans="1:7" x14ac:dyDescent="0.2">
      <c r="A60" s="5">
        <v>29160</v>
      </c>
      <c r="B60">
        <v>59.714726769054415</v>
      </c>
      <c r="C60">
        <v>53.691600000000001</v>
      </c>
      <c r="D60">
        <f t="shared" si="0"/>
        <v>4.0895786695268095</v>
      </c>
      <c r="E60">
        <f t="shared" si="1"/>
        <v>3.9832565646982125</v>
      </c>
      <c r="F60">
        <f t="shared" si="2"/>
        <v>-8.2912218150254624E-2</v>
      </c>
      <c r="G60">
        <f t="shared" si="3"/>
        <v>-1.4042813469775428E-2</v>
      </c>
    </row>
    <row r="61" spans="1:7" x14ac:dyDescent="0.2">
      <c r="A61" s="5">
        <v>29190</v>
      </c>
      <c r="B61">
        <v>55.296193420598044</v>
      </c>
      <c r="C61">
        <v>53.203000000000003</v>
      </c>
      <c r="D61">
        <f t="shared" si="0"/>
        <v>4.0127040710884874</v>
      </c>
      <c r="E61">
        <f t="shared" si="1"/>
        <v>3.9741147857351309</v>
      </c>
      <c r="F61">
        <f t="shared" si="2"/>
        <v>-7.6874598438322117E-2</v>
      </c>
      <c r="G61">
        <f t="shared" si="3"/>
        <v>-9.1417789630816593E-3</v>
      </c>
    </row>
    <row r="62" spans="1:7" x14ac:dyDescent="0.2">
      <c r="A62" s="5">
        <v>29221</v>
      </c>
      <c r="B62">
        <v>57.096791850497517</v>
      </c>
      <c r="C62">
        <v>53.202300000000001</v>
      </c>
      <c r="D62">
        <f t="shared" si="0"/>
        <v>4.0447479303286826</v>
      </c>
      <c r="E62">
        <f t="shared" si="1"/>
        <v>3.9741016284957826</v>
      </c>
      <c r="F62">
        <f t="shared" si="2"/>
        <v>3.204385924019526E-2</v>
      </c>
      <c r="G62">
        <f t="shared" si="3"/>
        <v>-1.3157239348249306E-5</v>
      </c>
    </row>
    <row r="63" spans="1:7" x14ac:dyDescent="0.2">
      <c r="A63" s="5">
        <v>29252</v>
      </c>
      <c r="B63">
        <v>55.966040618069187</v>
      </c>
      <c r="C63">
        <v>54.2363</v>
      </c>
      <c r="D63">
        <f t="shared" si="0"/>
        <v>4.0247450892551884</v>
      </c>
      <c r="E63">
        <f t="shared" si="1"/>
        <v>3.9933504259661352</v>
      </c>
      <c r="F63">
        <f t="shared" si="2"/>
        <v>-2.000284107349426E-2</v>
      </c>
      <c r="G63">
        <f t="shared" si="3"/>
        <v>1.9248797470352574E-2</v>
      </c>
    </row>
    <row r="64" spans="1:7" x14ac:dyDescent="0.2">
      <c r="A64" s="5">
        <v>29281</v>
      </c>
      <c r="B64">
        <v>61.798013007060959</v>
      </c>
      <c r="C64">
        <v>54.461799999999997</v>
      </c>
      <c r="D64">
        <f t="shared" si="0"/>
        <v>4.1238712119574537</v>
      </c>
      <c r="E64">
        <f t="shared" si="1"/>
        <v>3.9974995384805392</v>
      </c>
      <c r="F64">
        <f t="shared" si="2"/>
        <v>9.9126122702265285E-2</v>
      </c>
      <c r="G64">
        <f t="shared" si="3"/>
        <v>4.1491125144039742E-3</v>
      </c>
    </row>
    <row r="65" spans="1:7" x14ac:dyDescent="0.2">
      <c r="A65" s="5">
        <v>29312</v>
      </c>
      <c r="B65">
        <v>57.490096626994294</v>
      </c>
      <c r="C65">
        <v>52.591700000000003</v>
      </c>
      <c r="D65">
        <f t="shared" si="0"/>
        <v>4.0516127003955598</v>
      </c>
      <c r="E65">
        <f t="shared" si="1"/>
        <v>3.9625583126159682</v>
      </c>
      <c r="F65">
        <f t="shared" si="2"/>
        <v>-7.225851156189389E-2</v>
      </c>
      <c r="G65">
        <f t="shared" si="3"/>
        <v>-3.4941225864570935E-2</v>
      </c>
    </row>
    <row r="66" spans="1:7" x14ac:dyDescent="0.2">
      <c r="A66" s="5">
        <v>29342</v>
      </c>
      <c r="B66">
        <v>63.186870499065265</v>
      </c>
      <c r="C66">
        <v>51.205500000000001</v>
      </c>
      <c r="D66">
        <f t="shared" si="0"/>
        <v>4.1460965343028198</v>
      </c>
      <c r="E66">
        <f t="shared" si="1"/>
        <v>3.9358469481511458</v>
      </c>
      <c r="F66">
        <f t="shared" si="2"/>
        <v>9.4483833907260006E-2</v>
      </c>
      <c r="G66">
        <f t="shared" si="3"/>
        <v>-2.6711364464822474E-2</v>
      </c>
    </row>
    <row r="67" spans="1:7" x14ac:dyDescent="0.2">
      <c r="A67" s="5">
        <v>29373</v>
      </c>
      <c r="B67">
        <v>64.016497761988219</v>
      </c>
      <c r="C67">
        <v>51.501300000000001</v>
      </c>
      <c r="D67">
        <f t="shared" ref="D67:D130" si="4">LN(B67)</f>
        <v>4.1591408276718189</v>
      </c>
      <c r="E67">
        <f t="shared" ref="E67:E130" si="5">LN(C67)</f>
        <v>3.9416070500695448</v>
      </c>
      <c r="F67">
        <f t="shared" ref="F67:F130" si="6">D67-D66</f>
        <v>1.3044293368999149E-2</v>
      </c>
      <c r="G67">
        <f t="shared" ref="G67:G130" si="7">E67-E66</f>
        <v>5.760101918399041E-3</v>
      </c>
    </row>
    <row r="68" spans="1:7" x14ac:dyDescent="0.2">
      <c r="A68" s="5">
        <v>29403</v>
      </c>
      <c r="B68">
        <v>67.132209038298839</v>
      </c>
      <c r="C68">
        <v>49.051600000000001</v>
      </c>
      <c r="D68">
        <f t="shared" si="4"/>
        <v>4.2066639442809652</v>
      </c>
      <c r="E68">
        <f t="shared" si="5"/>
        <v>3.8928728052550978</v>
      </c>
      <c r="F68">
        <f t="shared" si="6"/>
        <v>4.7523116609146321E-2</v>
      </c>
      <c r="G68">
        <f t="shared" si="7"/>
        <v>-4.8734244814446992E-2</v>
      </c>
    </row>
    <row r="69" spans="1:7" x14ac:dyDescent="0.2">
      <c r="A69" s="5">
        <v>29434</v>
      </c>
      <c r="B69">
        <v>66.394762582367363</v>
      </c>
      <c r="C69">
        <v>50.597000000000001</v>
      </c>
      <c r="D69">
        <f t="shared" si="4"/>
        <v>4.1956181765998766</v>
      </c>
      <c r="E69">
        <f t="shared" si="5"/>
        <v>3.9238922859982357</v>
      </c>
      <c r="F69">
        <f t="shared" si="6"/>
        <v>-1.104576768108867E-2</v>
      </c>
      <c r="G69">
        <f t="shared" si="7"/>
        <v>3.1019480743137873E-2</v>
      </c>
    </row>
    <row r="70" spans="1:7" x14ac:dyDescent="0.2">
      <c r="A70" s="5">
        <v>29465</v>
      </c>
      <c r="B70">
        <v>68.090889431009828</v>
      </c>
      <c r="C70">
        <v>52.056100000000001</v>
      </c>
      <c r="D70">
        <f t="shared" si="4"/>
        <v>4.2208434219886444</v>
      </c>
      <c r="E70">
        <f t="shared" si="5"/>
        <v>3.9523219831989831</v>
      </c>
      <c r="F70">
        <f t="shared" si="6"/>
        <v>2.5225245388767803E-2</v>
      </c>
      <c r="G70">
        <f t="shared" si="7"/>
        <v>2.8429697200747395E-2</v>
      </c>
    </row>
    <row r="71" spans="1:7" x14ac:dyDescent="0.2">
      <c r="A71" s="5">
        <v>29495</v>
      </c>
      <c r="B71">
        <v>69.375275341757259</v>
      </c>
      <c r="C71">
        <v>52.631500000000003</v>
      </c>
      <c r="D71">
        <f t="shared" si="4"/>
        <v>4.239530540948917</v>
      </c>
      <c r="E71">
        <f t="shared" si="5"/>
        <v>3.9633147998145715</v>
      </c>
      <c r="F71">
        <f t="shared" si="6"/>
        <v>1.8687118960272642E-2</v>
      </c>
      <c r="G71">
        <f t="shared" si="7"/>
        <v>1.0992816615588374E-2</v>
      </c>
    </row>
    <row r="72" spans="1:7" x14ac:dyDescent="0.2">
      <c r="A72" s="5">
        <v>29526</v>
      </c>
      <c r="B72">
        <v>64.342203280024677</v>
      </c>
      <c r="C72">
        <v>52.954599999999999</v>
      </c>
      <c r="D72">
        <f t="shared" si="4"/>
        <v>4.1642157655519529</v>
      </c>
      <c r="E72">
        <f t="shared" si="5"/>
        <v>3.9694349426838729</v>
      </c>
      <c r="F72">
        <f t="shared" si="6"/>
        <v>-7.5314775396964073E-2</v>
      </c>
      <c r="G72">
        <f t="shared" si="7"/>
        <v>6.1201428693014037E-3</v>
      </c>
    </row>
    <row r="73" spans="1:7" x14ac:dyDescent="0.2">
      <c r="A73" s="5">
        <v>29556</v>
      </c>
      <c r="B73">
        <v>58.577830149493316</v>
      </c>
      <c r="C73">
        <v>52.888800000000003</v>
      </c>
      <c r="D73">
        <f t="shared" si="4"/>
        <v>4.0703562999060026</v>
      </c>
      <c r="E73">
        <f t="shared" si="5"/>
        <v>3.9681915962215193</v>
      </c>
      <c r="F73">
        <f t="shared" si="6"/>
        <v>-9.385946564595038E-2</v>
      </c>
      <c r="G73">
        <f t="shared" si="7"/>
        <v>-1.2433464623535784E-3</v>
      </c>
    </row>
    <row r="74" spans="1:7" x14ac:dyDescent="0.2">
      <c r="A74" s="5">
        <v>29587</v>
      </c>
      <c r="B74">
        <v>57.188972657488925</v>
      </c>
      <c r="C74">
        <v>52.526299999999999</v>
      </c>
      <c r="D74">
        <f t="shared" si="4"/>
        <v>4.0463610940919637</v>
      </c>
      <c r="E74">
        <f t="shared" si="5"/>
        <v>3.961313996543776</v>
      </c>
      <c r="F74">
        <f t="shared" si="6"/>
        <v>-2.3995205814038911E-2</v>
      </c>
      <c r="G74">
        <f t="shared" si="7"/>
        <v>-6.8775996777432624E-3</v>
      </c>
    </row>
    <row r="75" spans="1:7" x14ac:dyDescent="0.2">
      <c r="A75" s="5">
        <v>29618</v>
      </c>
      <c r="B75">
        <v>56.912430236514631</v>
      </c>
      <c r="C75">
        <v>53.074599999999997</v>
      </c>
      <c r="D75">
        <f t="shared" si="4"/>
        <v>4.0415137748576386</v>
      </c>
      <c r="E75">
        <f t="shared" si="5"/>
        <v>3.9716984710559742</v>
      </c>
      <c r="F75">
        <f t="shared" si="6"/>
        <v>-4.8473192343250204E-3</v>
      </c>
      <c r="G75">
        <f t="shared" si="7"/>
        <v>1.038447451219815E-2</v>
      </c>
    </row>
    <row r="76" spans="1:7" x14ac:dyDescent="0.2">
      <c r="A76" s="5">
        <v>29646</v>
      </c>
      <c r="B76">
        <v>57.539259724056393</v>
      </c>
      <c r="C76">
        <v>53.657699999999998</v>
      </c>
      <c r="D76">
        <f t="shared" si="4"/>
        <v>4.0524674926262589</v>
      </c>
      <c r="E76">
        <f t="shared" si="5"/>
        <v>3.9826249816114689</v>
      </c>
      <c r="F76">
        <f t="shared" si="6"/>
        <v>1.0953717768620308E-2</v>
      </c>
      <c r="G76">
        <f t="shared" si="7"/>
        <v>1.0926510555494762E-2</v>
      </c>
    </row>
    <row r="77" spans="1:7" x14ac:dyDescent="0.2">
      <c r="A77" s="5">
        <v>29677</v>
      </c>
      <c r="B77">
        <v>53.735265088876396</v>
      </c>
      <c r="C77">
        <v>52.546999999999997</v>
      </c>
      <c r="D77">
        <f t="shared" si="4"/>
        <v>3.9840694915437451</v>
      </c>
      <c r="E77">
        <f t="shared" si="5"/>
        <v>3.9617080072061954</v>
      </c>
      <c r="F77">
        <f t="shared" si="6"/>
        <v>-6.8398001082513815E-2</v>
      </c>
      <c r="G77">
        <f t="shared" si="7"/>
        <v>-2.0916974405273514E-2</v>
      </c>
    </row>
    <row r="78" spans="1:7" x14ac:dyDescent="0.2">
      <c r="A78" s="5">
        <v>29707</v>
      </c>
      <c r="B78">
        <v>55.695643584227604</v>
      </c>
      <c r="C78">
        <v>52.8476</v>
      </c>
      <c r="D78">
        <f t="shared" si="4"/>
        <v>4.0199019317421509</v>
      </c>
      <c r="E78">
        <f t="shared" si="5"/>
        <v>3.9674122997430112</v>
      </c>
      <c r="F78">
        <f t="shared" si="6"/>
        <v>3.5832440198405813E-2</v>
      </c>
      <c r="G78">
        <f t="shared" si="7"/>
        <v>5.7042925368158137E-3</v>
      </c>
    </row>
    <row r="79" spans="1:7" x14ac:dyDescent="0.2">
      <c r="A79" s="5">
        <v>29738</v>
      </c>
      <c r="B79">
        <v>57.821947532163549</v>
      </c>
      <c r="C79">
        <v>54.043700000000001</v>
      </c>
      <c r="D79">
        <f t="shared" si="4"/>
        <v>4.0573684186941366</v>
      </c>
      <c r="E79">
        <f t="shared" si="5"/>
        <v>3.9897929785498136</v>
      </c>
      <c r="F79">
        <f t="shared" si="6"/>
        <v>3.7466486951985623E-2</v>
      </c>
      <c r="G79">
        <f t="shared" si="7"/>
        <v>2.238067880680239E-2</v>
      </c>
    </row>
    <row r="80" spans="1:7" x14ac:dyDescent="0.2">
      <c r="A80" s="5">
        <v>29768</v>
      </c>
      <c r="B80">
        <v>59.942106092966625</v>
      </c>
      <c r="C80">
        <v>52.405700000000003</v>
      </c>
      <c r="D80">
        <f t="shared" si="4"/>
        <v>4.0933791979573684</v>
      </c>
      <c r="E80">
        <f t="shared" si="5"/>
        <v>3.959015364036985</v>
      </c>
      <c r="F80">
        <f t="shared" si="6"/>
        <v>3.6010779263231818E-2</v>
      </c>
      <c r="G80">
        <f t="shared" si="7"/>
        <v>-3.0777614512828677E-2</v>
      </c>
    </row>
    <row r="81" spans="1:7" x14ac:dyDescent="0.2">
      <c r="A81" s="5">
        <v>29799</v>
      </c>
      <c r="B81">
        <v>58.368886986979348</v>
      </c>
      <c r="C81">
        <v>53.600499999999997</v>
      </c>
      <c r="D81">
        <f t="shared" si="4"/>
        <v>4.0667829907964368</v>
      </c>
      <c r="E81">
        <f t="shared" si="5"/>
        <v>3.9815583963914563</v>
      </c>
      <c r="F81">
        <f t="shared" si="6"/>
        <v>-2.6596207160931584E-2</v>
      </c>
      <c r="G81">
        <f t="shared" si="7"/>
        <v>2.2543032354471304E-2</v>
      </c>
    </row>
    <row r="82" spans="1:7" x14ac:dyDescent="0.2">
      <c r="A82" s="5">
        <v>29830</v>
      </c>
      <c r="B82">
        <v>56.758795558195615</v>
      </c>
      <c r="C82">
        <v>53.619599999999998</v>
      </c>
      <c r="D82">
        <f t="shared" si="4"/>
        <v>4.0388106321617565</v>
      </c>
      <c r="E82">
        <f t="shared" si="5"/>
        <v>3.9819146728769668</v>
      </c>
      <c r="F82">
        <f t="shared" si="6"/>
        <v>-2.7972358634680283E-2</v>
      </c>
      <c r="G82">
        <f t="shared" si="7"/>
        <v>3.5627648551050939E-4</v>
      </c>
    </row>
    <row r="83" spans="1:7" x14ac:dyDescent="0.2">
      <c r="A83" s="5">
        <v>29860</v>
      </c>
      <c r="B83">
        <v>58.282851567120723</v>
      </c>
      <c r="C83">
        <v>53.3889</v>
      </c>
      <c r="D83">
        <f t="shared" si="4"/>
        <v>4.0653079088726667</v>
      </c>
      <c r="E83">
        <f t="shared" si="5"/>
        <v>3.9776028591906516</v>
      </c>
      <c r="F83">
        <f t="shared" si="6"/>
        <v>2.6497276710910178E-2</v>
      </c>
      <c r="G83">
        <f t="shared" si="7"/>
        <v>-4.311813686315169E-3</v>
      </c>
    </row>
    <row r="84" spans="1:7" x14ac:dyDescent="0.2">
      <c r="A84" s="5">
        <v>29891</v>
      </c>
      <c r="B84">
        <v>54.614055448861436</v>
      </c>
      <c r="C84">
        <v>52.287799999999997</v>
      </c>
      <c r="D84">
        <f t="shared" si="4"/>
        <v>4.0002912754258455</v>
      </c>
      <c r="E84">
        <f t="shared" si="5"/>
        <v>3.956763074260822</v>
      </c>
      <c r="F84">
        <f t="shared" si="6"/>
        <v>-6.5016633446821182E-2</v>
      </c>
      <c r="G84">
        <f t="shared" si="7"/>
        <v>-2.083978492982963E-2</v>
      </c>
    </row>
    <row r="85" spans="1:7" x14ac:dyDescent="0.2">
      <c r="A85" s="5">
        <v>29921</v>
      </c>
      <c r="B85">
        <v>49.906688905165225</v>
      </c>
      <c r="C85">
        <v>51.530700000000003</v>
      </c>
      <c r="D85">
        <f t="shared" si="4"/>
        <v>3.9101550399697804</v>
      </c>
      <c r="E85">
        <f t="shared" si="5"/>
        <v>3.9421777465676806</v>
      </c>
      <c r="F85">
        <f t="shared" si="6"/>
        <v>-9.0136235456065084E-2</v>
      </c>
      <c r="G85">
        <f t="shared" si="7"/>
        <v>-1.4585327693141359E-2</v>
      </c>
    </row>
    <row r="86" spans="1:7" x14ac:dyDescent="0.2">
      <c r="A86" s="5">
        <v>29952</v>
      </c>
      <c r="B86">
        <v>48.597721445886783</v>
      </c>
      <c r="C86">
        <v>50.627099999999999</v>
      </c>
      <c r="D86">
        <f t="shared" si="4"/>
        <v>3.8835766459778771</v>
      </c>
      <c r="E86">
        <f t="shared" si="5"/>
        <v>3.9244870060478516</v>
      </c>
      <c r="F86">
        <f t="shared" si="6"/>
        <v>-2.6578393991903315E-2</v>
      </c>
      <c r="G86">
        <f t="shared" si="7"/>
        <v>-1.7690740519828996E-2</v>
      </c>
    </row>
    <row r="87" spans="1:7" x14ac:dyDescent="0.2">
      <c r="A87" s="5">
        <v>29983</v>
      </c>
      <c r="B87">
        <v>48.136817410929609</v>
      </c>
      <c r="C87">
        <v>52.182000000000002</v>
      </c>
      <c r="D87">
        <f t="shared" si="4"/>
        <v>3.8740473190546085</v>
      </c>
      <c r="E87">
        <f t="shared" si="5"/>
        <v>3.9547376078356833</v>
      </c>
      <c r="F87">
        <f t="shared" si="6"/>
        <v>-9.5293269232685773E-3</v>
      </c>
      <c r="G87">
        <f t="shared" si="7"/>
        <v>3.0250601787831677E-2</v>
      </c>
    </row>
    <row r="88" spans="1:7" x14ac:dyDescent="0.2">
      <c r="A88" s="5">
        <v>30011</v>
      </c>
      <c r="B88">
        <v>57.053774140568216</v>
      </c>
      <c r="C88">
        <v>51.8934</v>
      </c>
      <c r="D88">
        <f t="shared" si="4"/>
        <v>4.0439942290816981</v>
      </c>
      <c r="E88">
        <f t="shared" si="5"/>
        <v>3.9491916144552963</v>
      </c>
      <c r="F88">
        <f t="shared" si="6"/>
        <v>0.16994691002708961</v>
      </c>
      <c r="G88">
        <f t="shared" si="7"/>
        <v>-5.545993380386971E-3</v>
      </c>
    </row>
    <row r="89" spans="1:7" x14ac:dyDescent="0.2">
      <c r="A89" s="5">
        <v>30042</v>
      </c>
      <c r="B89">
        <v>53.630793507619373</v>
      </c>
      <c r="C89">
        <v>50.6205</v>
      </c>
      <c r="D89">
        <f t="shared" si="4"/>
        <v>3.9821234088506809</v>
      </c>
      <c r="E89">
        <f t="shared" si="5"/>
        <v>3.9243566325869628</v>
      </c>
      <c r="F89">
        <f t="shared" si="6"/>
        <v>-6.1870820231017198E-2</v>
      </c>
      <c r="G89">
        <f t="shared" si="7"/>
        <v>-2.483498186833355E-2</v>
      </c>
    </row>
    <row r="90" spans="1:7" x14ac:dyDescent="0.2">
      <c r="A90" s="5">
        <v>30072</v>
      </c>
      <c r="B90">
        <v>56.930866397912958</v>
      </c>
      <c r="C90">
        <v>50.202500000000001</v>
      </c>
      <c r="D90">
        <f t="shared" si="4"/>
        <v>4.0418376615001472</v>
      </c>
      <c r="E90">
        <f t="shared" si="5"/>
        <v>3.9160648262544777</v>
      </c>
      <c r="F90">
        <f t="shared" si="6"/>
        <v>5.9714252649466282E-2</v>
      </c>
      <c r="G90">
        <f t="shared" si="7"/>
        <v>-8.2918063324850522E-3</v>
      </c>
    </row>
    <row r="91" spans="1:7" x14ac:dyDescent="0.2">
      <c r="A91" s="5">
        <v>30103</v>
      </c>
      <c r="B91">
        <v>59.73930831758544</v>
      </c>
      <c r="C91">
        <v>51.030099999999997</v>
      </c>
      <c r="D91">
        <f t="shared" si="4"/>
        <v>4.0899902345084387</v>
      </c>
      <c r="E91">
        <f t="shared" si="5"/>
        <v>3.9324156547055491</v>
      </c>
      <c r="F91">
        <f t="shared" si="6"/>
        <v>4.8152573008291455E-2</v>
      </c>
      <c r="G91">
        <f t="shared" si="7"/>
        <v>1.6350828451071386E-2</v>
      </c>
    </row>
    <row r="92" spans="1:7" x14ac:dyDescent="0.2">
      <c r="A92" s="5">
        <v>30133</v>
      </c>
      <c r="B92">
        <v>61.865612265521285</v>
      </c>
      <c r="C92">
        <v>49.148299999999999</v>
      </c>
      <c r="D92">
        <f t="shared" si="4"/>
        <v>4.1249644884167926</v>
      </c>
      <c r="E92">
        <f t="shared" si="5"/>
        <v>3.8948422579990662</v>
      </c>
      <c r="F92">
        <f t="shared" si="6"/>
        <v>3.4974253908353958E-2</v>
      </c>
      <c r="G92">
        <f t="shared" si="7"/>
        <v>-3.7573396706482853E-2</v>
      </c>
    </row>
    <row r="93" spans="1:7" x14ac:dyDescent="0.2">
      <c r="A93" s="5">
        <v>30164</v>
      </c>
      <c r="B93">
        <v>63.199161273330823</v>
      </c>
      <c r="C93">
        <v>49.895400000000002</v>
      </c>
      <c r="D93">
        <f t="shared" si="4"/>
        <v>4.1462910300731508</v>
      </c>
      <c r="E93">
        <f t="shared" si="5"/>
        <v>3.9099288141394957</v>
      </c>
      <c r="F93">
        <f t="shared" si="6"/>
        <v>2.1326541656358167E-2</v>
      </c>
      <c r="G93">
        <f t="shared" si="7"/>
        <v>1.5086556140429419E-2</v>
      </c>
    </row>
    <row r="94" spans="1:7" x14ac:dyDescent="0.2">
      <c r="A94" s="5">
        <v>30195</v>
      </c>
      <c r="B94">
        <v>61.091293486793198</v>
      </c>
      <c r="C94">
        <v>50.1205</v>
      </c>
      <c r="D94">
        <f t="shared" si="4"/>
        <v>4.1123693598995148</v>
      </c>
      <c r="E94">
        <f t="shared" si="5"/>
        <v>3.9144301060355691</v>
      </c>
      <c r="F94">
        <f t="shared" si="6"/>
        <v>-3.3921670173636009E-2</v>
      </c>
      <c r="G94">
        <f t="shared" si="7"/>
        <v>4.5012918960734005E-3</v>
      </c>
    </row>
    <row r="95" spans="1:7" x14ac:dyDescent="0.2">
      <c r="A95" s="5">
        <v>30225</v>
      </c>
      <c r="B95">
        <v>59.899088383037309</v>
      </c>
      <c r="C95">
        <v>49.642400000000002</v>
      </c>
      <c r="D95">
        <f t="shared" si="4"/>
        <v>4.0926612860245806</v>
      </c>
      <c r="E95">
        <f t="shared" si="5"/>
        <v>3.9048453072740403</v>
      </c>
      <c r="F95">
        <f t="shared" si="6"/>
        <v>-1.9708073874934229E-2</v>
      </c>
      <c r="G95">
        <f t="shared" si="7"/>
        <v>-9.5847987615287344E-3</v>
      </c>
    </row>
    <row r="96" spans="1:7" x14ac:dyDescent="0.2">
      <c r="A96" s="5">
        <v>30256</v>
      </c>
      <c r="B96">
        <v>56.230292264777958</v>
      </c>
      <c r="C96">
        <v>48.909599999999998</v>
      </c>
      <c r="D96">
        <f t="shared" si="4"/>
        <v>4.0294556199569369</v>
      </c>
      <c r="E96">
        <f t="shared" si="5"/>
        <v>3.8899736962311744</v>
      </c>
      <c r="F96">
        <f t="shared" si="6"/>
        <v>-6.3205666067643662E-2</v>
      </c>
      <c r="G96">
        <f t="shared" si="7"/>
        <v>-1.487161104286594E-2</v>
      </c>
    </row>
    <row r="97" spans="1:7" x14ac:dyDescent="0.2">
      <c r="A97" s="5">
        <v>30286</v>
      </c>
      <c r="B97">
        <v>50.601117651167385</v>
      </c>
      <c r="C97">
        <v>48.288800000000002</v>
      </c>
      <c r="D97">
        <f t="shared" si="4"/>
        <v>3.9239736640172191</v>
      </c>
      <c r="E97">
        <f t="shared" si="5"/>
        <v>3.8771996497112911</v>
      </c>
      <c r="F97">
        <f t="shared" si="6"/>
        <v>-0.10548195593971776</v>
      </c>
      <c r="G97">
        <f t="shared" si="7"/>
        <v>-1.2774046519883342E-2</v>
      </c>
    </row>
    <row r="98" spans="1:7" x14ac:dyDescent="0.2">
      <c r="A98" s="5">
        <v>30317</v>
      </c>
      <c r="B98">
        <v>47.313335535139423</v>
      </c>
      <c r="C98">
        <v>49.619</v>
      </c>
      <c r="D98">
        <f t="shared" si="4"/>
        <v>3.8567921909654195</v>
      </c>
      <c r="E98">
        <f t="shared" si="5"/>
        <v>3.9043738248965303</v>
      </c>
      <c r="F98">
        <f t="shared" si="6"/>
        <v>-6.7181473051799667E-2</v>
      </c>
      <c r="G98">
        <f t="shared" si="7"/>
        <v>2.7174175185239235E-2</v>
      </c>
    </row>
    <row r="99" spans="1:7" x14ac:dyDescent="0.2">
      <c r="A99" s="5">
        <v>30348</v>
      </c>
      <c r="B99">
        <v>45.568045589434803</v>
      </c>
      <c r="C99">
        <v>49.755699999999997</v>
      </c>
      <c r="D99">
        <f t="shared" si="4"/>
        <v>3.8192067162594014</v>
      </c>
      <c r="E99">
        <f t="shared" si="5"/>
        <v>3.9071250299059539</v>
      </c>
      <c r="F99">
        <f t="shared" si="6"/>
        <v>-3.7585474706018029E-2</v>
      </c>
      <c r="G99">
        <f t="shared" si="7"/>
        <v>2.7512050094236074E-3</v>
      </c>
    </row>
    <row r="100" spans="1:7" x14ac:dyDescent="0.2">
      <c r="A100" s="5">
        <v>30376</v>
      </c>
      <c r="B100">
        <v>53.815155121602267</v>
      </c>
      <c r="C100">
        <v>50.262</v>
      </c>
      <c r="D100">
        <f t="shared" si="4"/>
        <v>3.9855551212095941</v>
      </c>
      <c r="E100">
        <f t="shared" si="5"/>
        <v>3.9172493243997275</v>
      </c>
      <c r="F100">
        <f t="shared" si="6"/>
        <v>0.16634840495019265</v>
      </c>
      <c r="G100">
        <f t="shared" si="7"/>
        <v>1.0124294493773611E-2</v>
      </c>
    </row>
    <row r="101" spans="1:7" x14ac:dyDescent="0.2">
      <c r="A101" s="5">
        <v>30407</v>
      </c>
      <c r="B101">
        <v>48.74521073707313</v>
      </c>
      <c r="C101">
        <v>50.160699999999999</v>
      </c>
      <c r="D101">
        <f t="shared" si="4"/>
        <v>3.8866069513270567</v>
      </c>
      <c r="E101">
        <f t="shared" si="5"/>
        <v>3.9152318515701929</v>
      </c>
      <c r="F101">
        <f t="shared" si="6"/>
        <v>-9.8948169882537407E-2</v>
      </c>
      <c r="G101">
        <f t="shared" si="7"/>
        <v>-2.0174728295345723E-3</v>
      </c>
    </row>
    <row r="102" spans="1:7" x14ac:dyDescent="0.2">
      <c r="A102" s="5">
        <v>30437</v>
      </c>
      <c r="B102">
        <v>54.030243671249004</v>
      </c>
      <c r="C102">
        <v>50.2956</v>
      </c>
      <c r="D102">
        <f t="shared" si="4"/>
        <v>3.9895439577708278</v>
      </c>
      <c r="E102">
        <f t="shared" si="5"/>
        <v>3.9179175981304142</v>
      </c>
      <c r="F102">
        <f t="shared" si="6"/>
        <v>0.10293700644377113</v>
      </c>
      <c r="G102">
        <f t="shared" si="7"/>
        <v>2.6857465602212471E-3</v>
      </c>
    </row>
    <row r="103" spans="1:7" x14ac:dyDescent="0.2">
      <c r="A103" s="5">
        <v>30468</v>
      </c>
      <c r="B103">
        <v>54.435839222011317</v>
      </c>
      <c r="C103">
        <v>51.6648</v>
      </c>
      <c r="D103">
        <f t="shared" si="4"/>
        <v>3.9970227461705137</v>
      </c>
      <c r="E103">
        <f t="shared" si="5"/>
        <v>3.9447766985662098</v>
      </c>
      <c r="F103">
        <f t="shared" si="6"/>
        <v>7.478788399685854E-3</v>
      </c>
      <c r="G103">
        <f t="shared" si="7"/>
        <v>2.6859100435795646E-2</v>
      </c>
    </row>
    <row r="104" spans="1:7" x14ac:dyDescent="0.2">
      <c r="A104" s="5">
        <v>30498</v>
      </c>
      <c r="B104">
        <v>55.025796386756532</v>
      </c>
      <c r="C104">
        <v>50.612400000000001</v>
      </c>
      <c r="D104">
        <f t="shared" si="4"/>
        <v>4.0078021004882816</v>
      </c>
      <c r="E104">
        <f t="shared" si="5"/>
        <v>3.9241966055598345</v>
      </c>
      <c r="F104">
        <f t="shared" si="6"/>
        <v>1.0779354317767886E-2</v>
      </c>
      <c r="G104">
        <f t="shared" si="7"/>
        <v>-2.0580093006375311E-2</v>
      </c>
    </row>
    <row r="105" spans="1:7" x14ac:dyDescent="0.2">
      <c r="A105" s="5">
        <v>30529</v>
      </c>
      <c r="B105">
        <v>59.364439702486962</v>
      </c>
      <c r="C105">
        <v>52.325299999999999</v>
      </c>
      <c r="D105">
        <f t="shared" si="4"/>
        <v>4.0836953888939345</v>
      </c>
      <c r="E105">
        <f t="shared" si="5"/>
        <v>3.9574800017126655</v>
      </c>
      <c r="F105">
        <f t="shared" si="6"/>
        <v>7.5893288405652903E-2</v>
      </c>
      <c r="G105">
        <f t="shared" si="7"/>
        <v>3.3283396152830935E-2</v>
      </c>
    </row>
    <row r="106" spans="1:7" x14ac:dyDescent="0.2">
      <c r="A106" s="5">
        <v>30560</v>
      </c>
      <c r="B106">
        <v>57.268862690214888</v>
      </c>
      <c r="C106">
        <v>53.664499999999997</v>
      </c>
      <c r="D106">
        <f t="shared" si="4"/>
        <v>4.0477570674730261</v>
      </c>
      <c r="E106">
        <f t="shared" si="5"/>
        <v>3.9827517028305475</v>
      </c>
      <c r="F106">
        <f t="shared" si="6"/>
        <v>-3.5938321420908359E-2</v>
      </c>
      <c r="G106">
        <f t="shared" si="7"/>
        <v>2.5271701117882017E-2</v>
      </c>
    </row>
    <row r="107" spans="1:7" x14ac:dyDescent="0.2">
      <c r="A107" s="5">
        <v>30590</v>
      </c>
      <c r="B107">
        <v>58.516376278165701</v>
      </c>
      <c r="C107">
        <v>53.934899999999999</v>
      </c>
      <c r="D107">
        <f t="shared" si="4"/>
        <v>4.0693066514418348</v>
      </c>
      <c r="E107">
        <f t="shared" si="5"/>
        <v>3.9877777637420544</v>
      </c>
      <c r="F107">
        <f t="shared" si="6"/>
        <v>2.1549583968808683E-2</v>
      </c>
      <c r="G107">
        <f t="shared" si="7"/>
        <v>5.0260609115069244E-3</v>
      </c>
    </row>
    <row r="108" spans="1:7" x14ac:dyDescent="0.2">
      <c r="A108" s="5">
        <v>30621</v>
      </c>
      <c r="B108">
        <v>56.38392694309708</v>
      </c>
      <c r="C108">
        <v>53.416200000000003</v>
      </c>
      <c r="D108">
        <f t="shared" si="4"/>
        <v>4.0321841346101417</v>
      </c>
      <c r="E108">
        <f t="shared" si="5"/>
        <v>3.9781140707450535</v>
      </c>
      <c r="F108">
        <f t="shared" si="6"/>
        <v>-3.7122516831693098E-2</v>
      </c>
      <c r="G108">
        <f t="shared" si="7"/>
        <v>-9.6636929970008723E-3</v>
      </c>
    </row>
    <row r="109" spans="1:7" x14ac:dyDescent="0.2">
      <c r="A109" s="5">
        <v>30651</v>
      </c>
      <c r="B109">
        <v>51.449181075488667</v>
      </c>
      <c r="C109">
        <v>53.368699999999997</v>
      </c>
      <c r="D109">
        <f t="shared" si="4"/>
        <v>3.9405945452532603</v>
      </c>
      <c r="E109">
        <f t="shared" si="5"/>
        <v>3.9772244317954857</v>
      </c>
      <c r="F109">
        <f t="shared" si="6"/>
        <v>-9.158958935688144E-2</v>
      </c>
      <c r="G109">
        <f t="shared" si="7"/>
        <v>-8.8963894956783918E-4</v>
      </c>
    </row>
    <row r="110" spans="1:7" x14ac:dyDescent="0.2">
      <c r="A110" s="5">
        <v>30682</v>
      </c>
      <c r="B110">
        <v>49.175387836366539</v>
      </c>
      <c r="C110">
        <v>55.121099999999998</v>
      </c>
      <c r="D110">
        <f t="shared" si="4"/>
        <v>3.8953932511045513</v>
      </c>
      <c r="E110">
        <f t="shared" si="5"/>
        <v>4.0095325829649111</v>
      </c>
      <c r="F110">
        <f t="shared" si="6"/>
        <v>-4.5201294148708993E-2</v>
      </c>
      <c r="G110">
        <f t="shared" si="7"/>
        <v>3.2308151169425425E-2</v>
      </c>
    </row>
    <row r="111" spans="1:7" x14ac:dyDescent="0.2">
      <c r="A111" s="5">
        <v>30713</v>
      </c>
      <c r="B111">
        <v>51.283255622904093</v>
      </c>
      <c r="C111">
        <v>55.866399999999999</v>
      </c>
      <c r="D111">
        <f t="shared" si="4"/>
        <v>3.9373642977833057</v>
      </c>
      <c r="E111">
        <f t="shared" si="5"/>
        <v>4.0229631260987908</v>
      </c>
      <c r="F111">
        <f t="shared" si="6"/>
        <v>4.1971046678754398E-2</v>
      </c>
      <c r="G111">
        <f t="shared" si="7"/>
        <v>1.3430543133879702E-2</v>
      </c>
    </row>
    <row r="112" spans="1:7" x14ac:dyDescent="0.2">
      <c r="A112" s="5">
        <v>30742</v>
      </c>
      <c r="B112">
        <v>52.616804630713624</v>
      </c>
      <c r="C112">
        <v>56.238399999999999</v>
      </c>
      <c r="D112">
        <f t="shared" si="4"/>
        <v>3.9630355483922624</v>
      </c>
      <c r="E112">
        <f t="shared" si="5"/>
        <v>4.0295997975955808</v>
      </c>
      <c r="F112">
        <f t="shared" si="6"/>
        <v>2.5671250608956697E-2</v>
      </c>
      <c r="G112">
        <f t="shared" si="7"/>
        <v>6.6366714967900364E-3</v>
      </c>
    </row>
    <row r="113" spans="1:7" x14ac:dyDescent="0.2">
      <c r="A113" s="5">
        <v>30773</v>
      </c>
      <c r="B113">
        <v>50.736316168088202</v>
      </c>
      <c r="C113">
        <v>55.831600000000002</v>
      </c>
      <c r="D113">
        <f t="shared" si="4"/>
        <v>3.9266419494087139</v>
      </c>
      <c r="E113">
        <f t="shared" si="5"/>
        <v>4.0223400173389932</v>
      </c>
      <c r="F113">
        <f t="shared" si="6"/>
        <v>-3.6393598983548436E-2</v>
      </c>
      <c r="G113">
        <f t="shared" si="7"/>
        <v>-7.259780256587689E-3</v>
      </c>
    </row>
    <row r="114" spans="1:7" x14ac:dyDescent="0.2">
      <c r="A114" s="5">
        <v>30803</v>
      </c>
      <c r="B114">
        <v>57.791220596499713</v>
      </c>
      <c r="C114">
        <v>55.7898</v>
      </c>
      <c r="D114">
        <f t="shared" si="4"/>
        <v>4.0568368713473308</v>
      </c>
      <c r="E114">
        <f t="shared" si="5"/>
        <v>4.0215910569791706</v>
      </c>
      <c r="F114">
        <f t="shared" si="6"/>
        <v>0.13019492193861693</v>
      </c>
      <c r="G114">
        <f t="shared" si="7"/>
        <v>-7.4896035982252585E-4</v>
      </c>
    </row>
    <row r="115" spans="1:7" x14ac:dyDescent="0.2">
      <c r="A115" s="5">
        <v>30834</v>
      </c>
      <c r="B115">
        <v>59.456620509478384</v>
      </c>
      <c r="C115">
        <v>57.145200000000003</v>
      </c>
      <c r="D115">
        <f t="shared" si="4"/>
        <v>4.085246979585353</v>
      </c>
      <c r="E115">
        <f t="shared" si="5"/>
        <v>4.0455953972121916</v>
      </c>
      <c r="F115">
        <f t="shared" si="6"/>
        <v>2.8410108238022147E-2</v>
      </c>
      <c r="G115">
        <f t="shared" si="7"/>
        <v>2.4004340233021004E-2</v>
      </c>
    </row>
    <row r="116" spans="1:7" x14ac:dyDescent="0.2">
      <c r="A116" s="5">
        <v>30864</v>
      </c>
      <c r="B116">
        <v>61.711977587202284</v>
      </c>
      <c r="C116">
        <v>55.269500000000001</v>
      </c>
      <c r="D116">
        <f t="shared" si="4"/>
        <v>4.1224780382820212</v>
      </c>
      <c r="E116">
        <f t="shared" si="5"/>
        <v>4.0122212193052471</v>
      </c>
      <c r="F116">
        <f t="shared" si="6"/>
        <v>3.7231058696668207E-2</v>
      </c>
      <c r="G116">
        <f t="shared" si="7"/>
        <v>-3.3374177906944524E-2</v>
      </c>
    </row>
    <row r="117" spans="1:7" x14ac:dyDescent="0.2">
      <c r="A117" s="5">
        <v>30895</v>
      </c>
      <c r="B117">
        <v>63.457267532906819</v>
      </c>
      <c r="C117">
        <v>56.647100000000002</v>
      </c>
      <c r="D117">
        <f t="shared" si="4"/>
        <v>4.150366727126964</v>
      </c>
      <c r="E117">
        <f t="shared" si="5"/>
        <v>4.036840794636765</v>
      </c>
      <c r="F117">
        <f t="shared" si="6"/>
        <v>2.7888688844942777E-2</v>
      </c>
      <c r="G117">
        <f t="shared" si="7"/>
        <v>2.4619575331517929E-2</v>
      </c>
    </row>
    <row r="118" spans="1:7" x14ac:dyDescent="0.2">
      <c r="A118" s="5">
        <v>30926</v>
      </c>
      <c r="B118">
        <v>60.15719464261332</v>
      </c>
      <c r="C118">
        <v>57.1858</v>
      </c>
      <c r="D118">
        <f t="shared" si="4"/>
        <v>4.0969610469488007</v>
      </c>
      <c r="E118">
        <f t="shared" si="5"/>
        <v>4.0463056158179347</v>
      </c>
      <c r="F118">
        <f t="shared" si="6"/>
        <v>-5.3405680178163273E-2</v>
      </c>
      <c r="G118">
        <f t="shared" si="7"/>
        <v>9.464821181169647E-3</v>
      </c>
    </row>
    <row r="119" spans="1:7" x14ac:dyDescent="0.2">
      <c r="A119" s="5">
        <v>30956</v>
      </c>
      <c r="B119">
        <v>65.350046769797785</v>
      </c>
      <c r="C119">
        <v>56.808900000000001</v>
      </c>
      <c r="D119">
        <f t="shared" si="4"/>
        <v>4.1797581557516548</v>
      </c>
      <c r="E119">
        <f t="shared" si="5"/>
        <v>4.0396930035933325</v>
      </c>
      <c r="F119">
        <f t="shared" si="6"/>
        <v>8.2797108802854069E-2</v>
      </c>
      <c r="G119">
        <f t="shared" si="7"/>
        <v>-6.6126122246021879E-3</v>
      </c>
    </row>
    <row r="120" spans="1:7" x14ac:dyDescent="0.2">
      <c r="A120" s="5">
        <v>30987</v>
      </c>
      <c r="B120">
        <v>60.814751065818925</v>
      </c>
      <c r="C120">
        <v>56.319299999999998</v>
      </c>
      <c r="D120">
        <f t="shared" si="4"/>
        <v>4.1078323757596937</v>
      </c>
      <c r="E120">
        <f t="shared" si="5"/>
        <v>4.0310372827952738</v>
      </c>
      <c r="F120">
        <f t="shared" si="6"/>
        <v>-7.1925779991961036E-2</v>
      </c>
      <c r="G120">
        <f t="shared" si="7"/>
        <v>-8.6557207980586526E-3</v>
      </c>
    </row>
    <row r="121" spans="1:7" x14ac:dyDescent="0.2">
      <c r="A121" s="5">
        <v>31017</v>
      </c>
      <c r="B121">
        <v>54.939760966897907</v>
      </c>
      <c r="C121">
        <v>56.066200000000002</v>
      </c>
      <c r="D121">
        <f t="shared" si="4"/>
        <v>4.0062373298549314</v>
      </c>
      <c r="E121">
        <f t="shared" si="5"/>
        <v>4.0265331354116034</v>
      </c>
      <c r="F121">
        <f t="shared" si="6"/>
        <v>-0.10159504590476232</v>
      </c>
      <c r="G121">
        <f t="shared" si="7"/>
        <v>-4.5041473836704427E-3</v>
      </c>
    </row>
    <row r="122" spans="1:7" x14ac:dyDescent="0.2">
      <c r="A122" s="5">
        <v>31048</v>
      </c>
      <c r="B122">
        <v>56.451526201557478</v>
      </c>
      <c r="C122">
        <v>56.655099999999997</v>
      </c>
      <c r="D122">
        <f t="shared" si="4"/>
        <v>4.0333823265731095</v>
      </c>
      <c r="E122">
        <f t="shared" si="5"/>
        <v>4.0369820099002514</v>
      </c>
      <c r="F122">
        <f t="shared" si="6"/>
        <v>2.7144996718178049E-2</v>
      </c>
      <c r="G122">
        <f t="shared" si="7"/>
        <v>1.0448874488647952E-2</v>
      </c>
    </row>
    <row r="123" spans="1:7" x14ac:dyDescent="0.2">
      <c r="A123" s="5">
        <v>31079</v>
      </c>
      <c r="B123">
        <v>52.229645241349537</v>
      </c>
      <c r="C123">
        <v>57.452300000000001</v>
      </c>
      <c r="D123">
        <f t="shared" si="4"/>
        <v>3.9556502501859967</v>
      </c>
      <c r="E123">
        <f t="shared" si="5"/>
        <v>4.0509550383062738</v>
      </c>
      <c r="F123">
        <f t="shared" si="6"/>
        <v>-7.773207638711277E-2</v>
      </c>
      <c r="G123">
        <f t="shared" si="7"/>
        <v>1.3973028406022436E-2</v>
      </c>
    </row>
    <row r="124" spans="1:7" x14ac:dyDescent="0.2">
      <c r="A124" s="5">
        <v>31107</v>
      </c>
      <c r="B124">
        <v>58.344305438448373</v>
      </c>
      <c r="C124">
        <v>57.456600000000002</v>
      </c>
      <c r="D124">
        <f t="shared" si="4"/>
        <v>4.0663617607986344</v>
      </c>
      <c r="E124">
        <f t="shared" si="5"/>
        <v>4.051029880202802</v>
      </c>
      <c r="F124">
        <f t="shared" si="6"/>
        <v>0.11071151061263773</v>
      </c>
      <c r="G124">
        <f t="shared" si="7"/>
        <v>7.4841896528177188E-5</v>
      </c>
    </row>
    <row r="125" spans="1:7" x14ac:dyDescent="0.2">
      <c r="A125" s="5">
        <v>31138</v>
      </c>
      <c r="B125">
        <v>52.364843758270339</v>
      </c>
      <c r="C125">
        <v>56.4482</v>
      </c>
      <c r="D125">
        <f t="shared" si="4"/>
        <v>3.9582354455153266</v>
      </c>
      <c r="E125">
        <f t="shared" si="5"/>
        <v>4.0333234034619494</v>
      </c>
      <c r="F125">
        <f t="shared" si="6"/>
        <v>-0.10812631528330785</v>
      </c>
      <c r="G125">
        <f t="shared" si="7"/>
        <v>-1.7706476740852573E-2</v>
      </c>
    </row>
    <row r="126" spans="1:7" x14ac:dyDescent="0.2">
      <c r="A126" s="5">
        <v>31168</v>
      </c>
      <c r="B126">
        <v>59.180078088504096</v>
      </c>
      <c r="C126">
        <v>56.403100000000002</v>
      </c>
      <c r="D126">
        <f t="shared" si="4"/>
        <v>4.0805849664795417</v>
      </c>
      <c r="E126">
        <f t="shared" si="5"/>
        <v>4.0325241215325258</v>
      </c>
      <c r="F126">
        <f t="shared" si="6"/>
        <v>0.12234952096421514</v>
      </c>
      <c r="G126">
        <f t="shared" si="7"/>
        <v>-7.9928192942357867E-4</v>
      </c>
    </row>
    <row r="127" spans="1:7" x14ac:dyDescent="0.2">
      <c r="A127" s="5">
        <v>31199</v>
      </c>
      <c r="B127">
        <v>61.054421163996672</v>
      </c>
      <c r="C127">
        <v>57.666800000000002</v>
      </c>
      <c r="D127">
        <f t="shared" si="4"/>
        <v>4.1117656166732877</v>
      </c>
      <c r="E127">
        <f t="shared" si="5"/>
        <v>4.0546816179657243</v>
      </c>
      <c r="F127">
        <f t="shared" si="6"/>
        <v>3.118065019374594E-2</v>
      </c>
      <c r="G127">
        <f t="shared" si="7"/>
        <v>2.2157496433198531E-2</v>
      </c>
    </row>
    <row r="128" spans="1:7" x14ac:dyDescent="0.2">
      <c r="A128" s="5">
        <v>31229</v>
      </c>
      <c r="B128">
        <v>67.507077653397431</v>
      </c>
      <c r="C128">
        <v>55.265000000000001</v>
      </c>
      <c r="D128">
        <f t="shared" si="4"/>
        <v>4.2122324465060812</v>
      </c>
      <c r="E128">
        <f t="shared" si="5"/>
        <v>4.0121397967629191</v>
      </c>
      <c r="F128">
        <f t="shared" si="6"/>
        <v>0.10046682983279354</v>
      </c>
      <c r="G128">
        <f t="shared" si="7"/>
        <v>-4.2541821202805252E-2</v>
      </c>
    </row>
    <row r="129" spans="1:7" x14ac:dyDescent="0.2">
      <c r="A129" s="5">
        <v>31260</v>
      </c>
      <c r="B129">
        <v>68.809899725543104</v>
      </c>
      <c r="C129">
        <v>56.858800000000002</v>
      </c>
      <c r="D129">
        <f t="shared" si="4"/>
        <v>4.2313476259475671</v>
      </c>
      <c r="E129">
        <f t="shared" si="5"/>
        <v>4.0405710015330394</v>
      </c>
      <c r="F129">
        <f t="shared" si="6"/>
        <v>1.9115179441485886E-2</v>
      </c>
      <c r="G129">
        <f t="shared" si="7"/>
        <v>2.8431204770120289E-2</v>
      </c>
    </row>
    <row r="130" spans="1:7" x14ac:dyDescent="0.2">
      <c r="A130" s="5">
        <v>31291</v>
      </c>
      <c r="B130">
        <v>67.691439267380332</v>
      </c>
      <c r="C130">
        <v>57.681600000000003</v>
      </c>
      <c r="D130">
        <f t="shared" si="4"/>
        <v>4.2149597209238143</v>
      </c>
      <c r="E130">
        <f t="shared" si="5"/>
        <v>4.0549382318430078</v>
      </c>
      <c r="F130">
        <f t="shared" si="6"/>
        <v>-1.6387905023752758E-2</v>
      </c>
      <c r="G130">
        <f t="shared" si="7"/>
        <v>1.4367230309968448E-2</v>
      </c>
    </row>
    <row r="131" spans="1:7" x14ac:dyDescent="0.2">
      <c r="A131" s="5">
        <v>31321</v>
      </c>
      <c r="B131">
        <v>73.929007207134347</v>
      </c>
      <c r="C131">
        <v>57.1096</v>
      </c>
      <c r="D131">
        <f t="shared" ref="D131:D194" si="8">LN(B131)</f>
        <v>4.3031052706560944</v>
      </c>
      <c r="E131">
        <f t="shared" ref="E131:E194" si="9">LN(C131)</f>
        <v>4.0449722286249274</v>
      </c>
      <c r="F131">
        <f t="shared" ref="F131:F194" si="10">D131-D130</f>
        <v>8.814554973228006E-2</v>
      </c>
      <c r="G131">
        <f t="shared" ref="G131:G194" si="11">E131-E130</f>
        <v>-9.9660032180803881E-3</v>
      </c>
    </row>
    <row r="132" spans="1:7" x14ac:dyDescent="0.2">
      <c r="A132" s="5">
        <v>31352</v>
      </c>
      <c r="B132">
        <v>66.88024816585569</v>
      </c>
      <c r="C132">
        <v>56.588000000000001</v>
      </c>
      <c r="D132">
        <f t="shared" si="8"/>
        <v>4.2029036793834331</v>
      </c>
      <c r="E132">
        <f t="shared" si="9"/>
        <v>4.0357969485966878</v>
      </c>
      <c r="F132">
        <f t="shared" si="10"/>
        <v>-0.10020159127266126</v>
      </c>
      <c r="G132">
        <f t="shared" si="11"/>
        <v>-9.1752800282396407E-3</v>
      </c>
    </row>
    <row r="133" spans="1:7" x14ac:dyDescent="0.2">
      <c r="A133" s="5">
        <v>31382</v>
      </c>
      <c r="B133">
        <v>61.429289779095235</v>
      </c>
      <c r="C133">
        <v>57.000599999999999</v>
      </c>
      <c r="D133">
        <f t="shared" si="8"/>
        <v>4.1178867536422139</v>
      </c>
      <c r="E133">
        <f t="shared" si="9"/>
        <v>4.043061794094938</v>
      </c>
      <c r="F133">
        <f t="shared" si="10"/>
        <v>-8.5016925741219218E-2</v>
      </c>
      <c r="G133">
        <f t="shared" si="11"/>
        <v>7.2648454982502386E-3</v>
      </c>
    </row>
    <row r="134" spans="1:7" x14ac:dyDescent="0.2">
      <c r="A134" s="5">
        <v>31413</v>
      </c>
      <c r="B134">
        <v>62.725966464108154</v>
      </c>
      <c r="C134">
        <v>57.923699999999997</v>
      </c>
      <c r="D134">
        <f t="shared" si="8"/>
        <v>4.1387755000908699</v>
      </c>
      <c r="E134">
        <f t="shared" si="9"/>
        <v>4.0591266272526125</v>
      </c>
      <c r="F134">
        <f t="shared" si="10"/>
        <v>2.0888746448656015E-2</v>
      </c>
      <c r="G134">
        <f t="shared" si="11"/>
        <v>1.6064833157674485E-2</v>
      </c>
    </row>
    <row r="135" spans="1:7" x14ac:dyDescent="0.2">
      <c r="A135" s="5">
        <v>31444</v>
      </c>
      <c r="B135">
        <v>59.02644341018501</v>
      </c>
      <c r="C135">
        <v>58.052500000000002</v>
      </c>
      <c r="D135">
        <f t="shared" si="8"/>
        <v>4.0779855368900275</v>
      </c>
      <c r="E135">
        <f t="shared" si="9"/>
        <v>4.0613477735387091</v>
      </c>
      <c r="F135">
        <f t="shared" si="10"/>
        <v>-6.0789963200842401E-2</v>
      </c>
      <c r="G135">
        <f t="shared" si="11"/>
        <v>2.221146286096598E-3</v>
      </c>
    </row>
    <row r="136" spans="1:7" x14ac:dyDescent="0.2">
      <c r="A136" s="5">
        <v>31472</v>
      </c>
      <c r="B136">
        <v>60.366137805127302</v>
      </c>
      <c r="C136">
        <v>57.243299999999998</v>
      </c>
      <c r="D136">
        <f t="shared" si="8"/>
        <v>4.1004283153622412</v>
      </c>
      <c r="E136">
        <f t="shared" si="9"/>
        <v>4.0473106050180521</v>
      </c>
      <c r="F136">
        <f t="shared" si="10"/>
        <v>2.2442778472213654E-2</v>
      </c>
      <c r="G136">
        <f t="shared" si="11"/>
        <v>-1.4037168520657062E-2</v>
      </c>
    </row>
    <row r="137" spans="1:7" x14ac:dyDescent="0.2">
      <c r="A137" s="5">
        <v>31503</v>
      </c>
      <c r="B137">
        <v>62.842728819630622</v>
      </c>
      <c r="C137">
        <v>57.045699999999997</v>
      </c>
      <c r="D137">
        <f t="shared" si="8"/>
        <v>4.1406352373273156</v>
      </c>
      <c r="E137">
        <f t="shared" si="9"/>
        <v>4.0438527009871557</v>
      </c>
      <c r="F137">
        <f t="shared" si="10"/>
        <v>4.0206921965074471E-2</v>
      </c>
      <c r="G137">
        <f t="shared" si="11"/>
        <v>-3.4579040308964082E-3</v>
      </c>
    </row>
    <row r="138" spans="1:7" x14ac:dyDescent="0.2">
      <c r="A138" s="5">
        <v>31533</v>
      </c>
      <c r="B138">
        <v>65.522117609515078</v>
      </c>
      <c r="C138">
        <v>56.668399999999998</v>
      </c>
      <c r="D138">
        <f t="shared" si="8"/>
        <v>4.1823877590700764</v>
      </c>
      <c r="E138">
        <f t="shared" si="9"/>
        <v>4.0372167361496354</v>
      </c>
      <c r="F138">
        <f t="shared" si="10"/>
        <v>4.1752521742760784E-2</v>
      </c>
      <c r="G138">
        <f t="shared" si="11"/>
        <v>-6.6359648375202696E-3</v>
      </c>
    </row>
    <row r="139" spans="1:7" x14ac:dyDescent="0.2">
      <c r="A139" s="5">
        <v>31564</v>
      </c>
      <c r="B139">
        <v>69.362984567491793</v>
      </c>
      <c r="C139">
        <v>57.844299999999997</v>
      </c>
      <c r="D139">
        <f t="shared" si="8"/>
        <v>4.2393533616429977</v>
      </c>
      <c r="E139">
        <f t="shared" si="9"/>
        <v>4.0577549181024182</v>
      </c>
      <c r="F139">
        <f t="shared" si="10"/>
        <v>5.696560257292127E-2</v>
      </c>
      <c r="G139">
        <f t="shared" si="11"/>
        <v>2.0538181952782786E-2</v>
      </c>
    </row>
    <row r="140" spans="1:7" x14ac:dyDescent="0.2">
      <c r="A140" s="5">
        <v>31594</v>
      </c>
      <c r="B140">
        <v>75.0597584395627</v>
      </c>
      <c r="C140">
        <v>55.9375</v>
      </c>
      <c r="D140">
        <f t="shared" si="8"/>
        <v>4.3182845754704502</v>
      </c>
      <c r="E140">
        <f t="shared" si="9"/>
        <v>4.0242349960350738</v>
      </c>
      <c r="F140">
        <f t="shared" si="10"/>
        <v>7.8931213827452495E-2</v>
      </c>
      <c r="G140">
        <f t="shared" si="11"/>
        <v>-3.3519922067344332E-2</v>
      </c>
    </row>
    <row r="141" spans="1:7" x14ac:dyDescent="0.2">
      <c r="A141" s="5">
        <v>31625</v>
      </c>
      <c r="B141">
        <v>74.36532969356054</v>
      </c>
      <c r="C141">
        <v>57.5002</v>
      </c>
      <c r="D141">
        <f t="shared" si="8"/>
        <v>4.3089898344854234</v>
      </c>
      <c r="E141">
        <f t="shared" si="9"/>
        <v>4.0517884260581249</v>
      </c>
      <c r="F141">
        <f t="shared" si="10"/>
        <v>-9.2947409850268059E-3</v>
      </c>
      <c r="G141">
        <f t="shared" si="11"/>
        <v>2.7553430023051106E-2</v>
      </c>
    </row>
    <row r="142" spans="1:7" x14ac:dyDescent="0.2">
      <c r="A142" s="5">
        <v>31656</v>
      </c>
      <c r="B142">
        <v>78.304522845661424</v>
      </c>
      <c r="C142">
        <v>58.129899999999999</v>
      </c>
      <c r="D142">
        <f t="shared" si="8"/>
        <v>4.3606053643638045</v>
      </c>
      <c r="E142">
        <f t="shared" si="9"/>
        <v>4.062680161429653</v>
      </c>
      <c r="F142">
        <f t="shared" si="10"/>
        <v>5.1615529878381139E-2</v>
      </c>
      <c r="G142">
        <f t="shared" si="11"/>
        <v>1.08917353715281E-2</v>
      </c>
    </row>
    <row r="143" spans="1:7" x14ac:dyDescent="0.2">
      <c r="A143" s="5">
        <v>31686</v>
      </c>
      <c r="B143">
        <v>81.770521188539277</v>
      </c>
      <c r="C143">
        <v>57.961599999999997</v>
      </c>
      <c r="D143">
        <f t="shared" si="8"/>
        <v>4.403916801989201</v>
      </c>
      <c r="E143">
        <f t="shared" si="9"/>
        <v>4.0597807223164599</v>
      </c>
      <c r="F143">
        <f t="shared" si="10"/>
        <v>4.3311437625396465E-2</v>
      </c>
      <c r="G143">
        <f t="shared" si="11"/>
        <v>-2.8994391131931252E-3</v>
      </c>
    </row>
    <row r="144" spans="1:7" x14ac:dyDescent="0.2">
      <c r="A144" s="5">
        <v>31717</v>
      </c>
      <c r="B144">
        <v>72.49713200520074</v>
      </c>
      <c r="C144">
        <v>57.483600000000003</v>
      </c>
      <c r="D144">
        <f t="shared" si="8"/>
        <v>4.2835470025292137</v>
      </c>
      <c r="E144">
        <f t="shared" si="9"/>
        <v>4.051499689729785</v>
      </c>
      <c r="F144">
        <f t="shared" si="10"/>
        <v>-0.12036979945998727</v>
      </c>
      <c r="G144">
        <f t="shared" si="11"/>
        <v>-8.2810325866748968E-3</v>
      </c>
    </row>
    <row r="145" spans="1:7" x14ac:dyDescent="0.2">
      <c r="A145" s="5">
        <v>31747</v>
      </c>
      <c r="B145">
        <v>65.595862255108258</v>
      </c>
      <c r="C145">
        <v>57.675800000000002</v>
      </c>
      <c r="D145">
        <f t="shared" si="8"/>
        <v>4.1835126185812603</v>
      </c>
      <c r="E145">
        <f t="shared" si="9"/>
        <v>4.0548376747915338</v>
      </c>
      <c r="F145">
        <f t="shared" si="10"/>
        <v>-0.10003438394795339</v>
      </c>
      <c r="G145">
        <f t="shared" si="11"/>
        <v>3.3379850617487605E-3</v>
      </c>
    </row>
    <row r="146" spans="1:7" x14ac:dyDescent="0.2">
      <c r="A146" s="5">
        <v>31778</v>
      </c>
      <c r="B146">
        <v>66.720468100403821</v>
      </c>
      <c r="C146">
        <v>58.1586</v>
      </c>
      <c r="D146">
        <f t="shared" si="8"/>
        <v>4.2005117739192226</v>
      </c>
      <c r="E146">
        <f t="shared" si="9"/>
        <v>4.0631737614087173</v>
      </c>
      <c r="F146">
        <f t="shared" si="10"/>
        <v>1.6999155337962257E-2</v>
      </c>
      <c r="G146">
        <f t="shared" si="11"/>
        <v>8.3360866171835468E-3</v>
      </c>
    </row>
    <row r="147" spans="1:7" x14ac:dyDescent="0.2">
      <c r="A147" s="5">
        <v>31809</v>
      </c>
      <c r="B147">
        <v>66.284145613977714</v>
      </c>
      <c r="C147">
        <v>59.514000000000003</v>
      </c>
      <c r="D147">
        <f t="shared" si="8"/>
        <v>4.1939507375845437</v>
      </c>
      <c r="E147">
        <f t="shared" si="9"/>
        <v>4.0862115789919118</v>
      </c>
      <c r="F147">
        <f t="shared" si="10"/>
        <v>-6.5610363346788603E-3</v>
      </c>
      <c r="G147">
        <f t="shared" si="11"/>
        <v>2.3037817583194453E-2</v>
      </c>
    </row>
    <row r="148" spans="1:7" x14ac:dyDescent="0.2">
      <c r="A148" s="5">
        <v>31837</v>
      </c>
      <c r="B148">
        <v>68.828335886941446</v>
      </c>
      <c r="C148">
        <v>59.518500000000003</v>
      </c>
      <c r="D148">
        <f t="shared" si="8"/>
        <v>4.2316155189705569</v>
      </c>
      <c r="E148">
        <f t="shared" si="9"/>
        <v>4.0862871885943672</v>
      </c>
      <c r="F148">
        <f t="shared" si="10"/>
        <v>3.7664781386013146E-2</v>
      </c>
      <c r="G148">
        <f t="shared" si="11"/>
        <v>7.5609602455450897E-5</v>
      </c>
    </row>
    <row r="149" spans="1:7" x14ac:dyDescent="0.2">
      <c r="A149" s="5">
        <v>31868</v>
      </c>
      <c r="B149">
        <v>68.152343302337528</v>
      </c>
      <c r="C149">
        <v>58.784799999999997</v>
      </c>
      <c r="D149">
        <f t="shared" si="8"/>
        <v>4.2217455420317833</v>
      </c>
      <c r="E149">
        <f t="shared" si="9"/>
        <v>4.073883318085457</v>
      </c>
      <c r="F149">
        <f t="shared" si="10"/>
        <v>-9.8699769387735614E-3</v>
      </c>
      <c r="G149">
        <f t="shared" si="11"/>
        <v>-1.2403870508910231E-2</v>
      </c>
    </row>
    <row r="150" spans="1:7" x14ac:dyDescent="0.2">
      <c r="A150" s="5">
        <v>31898</v>
      </c>
      <c r="B150">
        <v>68.975825178127707</v>
      </c>
      <c r="C150">
        <v>59.301699999999997</v>
      </c>
      <c r="D150">
        <f t="shared" si="8"/>
        <v>4.2337560834696673</v>
      </c>
      <c r="E150">
        <f t="shared" si="9"/>
        <v>4.08263797338366</v>
      </c>
      <c r="F150">
        <f t="shared" si="10"/>
        <v>1.2010541437883937E-2</v>
      </c>
      <c r="G150">
        <f t="shared" si="11"/>
        <v>8.7546552982029624E-3</v>
      </c>
    </row>
    <row r="151" spans="1:7" x14ac:dyDescent="0.2">
      <c r="A151" s="5">
        <v>31929</v>
      </c>
      <c r="B151">
        <v>70.524462735583896</v>
      </c>
      <c r="C151">
        <v>61.117199999999997</v>
      </c>
      <c r="D151">
        <f t="shared" si="8"/>
        <v>4.2559596387886263</v>
      </c>
      <c r="E151">
        <f t="shared" si="9"/>
        <v>4.1127933322905603</v>
      </c>
      <c r="F151">
        <f t="shared" si="10"/>
        <v>2.2203555318959012E-2</v>
      </c>
      <c r="G151">
        <f t="shared" si="11"/>
        <v>3.0155358906900354E-2</v>
      </c>
    </row>
    <row r="152" spans="1:7" x14ac:dyDescent="0.2">
      <c r="A152" s="5">
        <v>31959</v>
      </c>
      <c r="B152">
        <v>70.321664960202767</v>
      </c>
      <c r="C152">
        <v>59.162300000000002</v>
      </c>
      <c r="D152">
        <f t="shared" si="8"/>
        <v>4.2530799300050859</v>
      </c>
      <c r="E152">
        <f t="shared" si="9"/>
        <v>4.0802845147068973</v>
      </c>
      <c r="F152">
        <f t="shared" si="10"/>
        <v>-2.8797087835403801E-3</v>
      </c>
      <c r="G152">
        <f t="shared" si="11"/>
        <v>-3.2508817583662974E-2</v>
      </c>
    </row>
    <row r="153" spans="1:7" x14ac:dyDescent="0.2">
      <c r="A153" s="5">
        <v>31990</v>
      </c>
      <c r="B153">
        <v>70.856313640753044</v>
      </c>
      <c r="C153">
        <v>61.464500000000001</v>
      </c>
      <c r="D153">
        <f t="shared" si="8"/>
        <v>4.2606540749504749</v>
      </c>
      <c r="E153">
        <f t="shared" si="9"/>
        <v>4.1184597723754068</v>
      </c>
      <c r="F153">
        <f t="shared" si="10"/>
        <v>7.5741449453889942E-3</v>
      </c>
      <c r="G153">
        <f t="shared" si="11"/>
        <v>3.8175257668509488E-2</v>
      </c>
    </row>
    <row r="154" spans="1:7" x14ac:dyDescent="0.2">
      <c r="A154" s="5">
        <v>32021</v>
      </c>
      <c r="B154">
        <v>74.113368821117234</v>
      </c>
      <c r="C154">
        <v>61.8001</v>
      </c>
      <c r="D154">
        <f t="shared" si="8"/>
        <v>4.3055959319685471</v>
      </c>
      <c r="E154">
        <f t="shared" si="9"/>
        <v>4.1239049825853131</v>
      </c>
      <c r="F154">
        <f t="shared" si="10"/>
        <v>4.4941857018072184E-2</v>
      </c>
      <c r="G154">
        <f t="shared" si="11"/>
        <v>5.4452102099062927E-3</v>
      </c>
    </row>
    <row r="155" spans="1:7" x14ac:dyDescent="0.2">
      <c r="A155" s="5">
        <v>32051</v>
      </c>
      <c r="B155">
        <v>75.901676476751177</v>
      </c>
      <c r="C155">
        <v>62.5349</v>
      </c>
      <c r="D155">
        <f t="shared" si="8"/>
        <v>4.3294387721253846</v>
      </c>
      <c r="E155">
        <f t="shared" si="9"/>
        <v>4.1357248008950895</v>
      </c>
      <c r="F155">
        <f t="shared" si="10"/>
        <v>2.3842840156837575E-2</v>
      </c>
      <c r="G155">
        <f t="shared" si="11"/>
        <v>1.1819818309776409E-2</v>
      </c>
    </row>
    <row r="156" spans="1:7" x14ac:dyDescent="0.2">
      <c r="A156" s="5">
        <v>32082</v>
      </c>
      <c r="B156">
        <v>70.807150543690952</v>
      </c>
      <c r="C156">
        <v>62.050800000000002</v>
      </c>
      <c r="D156">
        <f t="shared" si="8"/>
        <v>4.2599599919796987</v>
      </c>
      <c r="E156">
        <f t="shared" si="9"/>
        <v>4.1279534043958686</v>
      </c>
      <c r="F156">
        <f t="shared" si="10"/>
        <v>-6.9478780145685981E-2</v>
      </c>
      <c r="G156">
        <f t="shared" si="11"/>
        <v>-7.7713964992209839E-3</v>
      </c>
    </row>
    <row r="157" spans="1:7" x14ac:dyDescent="0.2">
      <c r="A157" s="5">
        <v>32112</v>
      </c>
      <c r="B157">
        <v>63.15614356340155</v>
      </c>
      <c r="C157">
        <v>61.858199999999997</v>
      </c>
      <c r="D157">
        <f t="shared" si="8"/>
        <v>4.1456101293124448</v>
      </c>
      <c r="E157">
        <f t="shared" si="9"/>
        <v>4.124844668870427</v>
      </c>
      <c r="F157">
        <f t="shared" si="10"/>
        <v>-0.11434986266725389</v>
      </c>
      <c r="G157">
        <f t="shared" si="11"/>
        <v>-3.1087355254415527E-3</v>
      </c>
    </row>
    <row r="158" spans="1:7" x14ac:dyDescent="0.2">
      <c r="A158" s="5">
        <v>32143</v>
      </c>
      <c r="B158">
        <v>60.802460291553409</v>
      </c>
      <c r="C158">
        <v>62.565600000000003</v>
      </c>
      <c r="D158">
        <f t="shared" si="8"/>
        <v>4.1076302534750244</v>
      </c>
      <c r="E158">
        <f t="shared" si="9"/>
        <v>4.1362156062974069</v>
      </c>
      <c r="F158">
        <f t="shared" si="10"/>
        <v>-3.7979875837420352E-2</v>
      </c>
      <c r="G158">
        <f t="shared" si="11"/>
        <v>1.1370937426979921E-2</v>
      </c>
    </row>
    <row r="159" spans="1:7" x14ac:dyDescent="0.2">
      <c r="A159" s="5">
        <v>32174</v>
      </c>
      <c r="B159">
        <v>60.575080967641199</v>
      </c>
      <c r="C159">
        <v>63.313400000000001</v>
      </c>
      <c r="D159">
        <f t="shared" si="8"/>
        <v>4.1038836033528092</v>
      </c>
      <c r="E159">
        <f t="shared" si="9"/>
        <v>4.1480969971102359</v>
      </c>
      <c r="F159">
        <f t="shared" si="10"/>
        <v>-3.7466501222152004E-3</v>
      </c>
      <c r="G159">
        <f t="shared" si="11"/>
        <v>1.1881390812829018E-2</v>
      </c>
    </row>
    <row r="160" spans="1:7" x14ac:dyDescent="0.2">
      <c r="A160" s="5">
        <v>32203</v>
      </c>
      <c r="B160">
        <v>68.895935145401836</v>
      </c>
      <c r="C160">
        <v>63.372700000000002</v>
      </c>
      <c r="D160">
        <f t="shared" si="8"/>
        <v>4.2325971798409645</v>
      </c>
      <c r="E160">
        <f t="shared" si="9"/>
        <v>4.1490331693395648</v>
      </c>
      <c r="F160">
        <f t="shared" si="10"/>
        <v>0.12871357648815529</v>
      </c>
      <c r="G160">
        <f t="shared" si="11"/>
        <v>9.3617222932884658E-4</v>
      </c>
    </row>
    <row r="161" spans="1:7" x14ac:dyDescent="0.2">
      <c r="A161" s="5">
        <v>32234</v>
      </c>
      <c r="B161">
        <v>62.842728819630622</v>
      </c>
      <c r="C161">
        <v>62.882800000000003</v>
      </c>
      <c r="D161">
        <f t="shared" si="8"/>
        <v>4.1406352373273156</v>
      </c>
      <c r="E161">
        <f t="shared" si="9"/>
        <v>4.1412726763916394</v>
      </c>
      <c r="F161">
        <f t="shared" si="10"/>
        <v>-9.1961942513648864E-2</v>
      </c>
      <c r="G161">
        <f t="shared" si="11"/>
        <v>-7.760492947925357E-3</v>
      </c>
    </row>
    <row r="162" spans="1:7" x14ac:dyDescent="0.2">
      <c r="A162" s="5">
        <v>32264</v>
      </c>
      <c r="B162">
        <v>65.036632026026894</v>
      </c>
      <c r="C162">
        <v>62.851799999999997</v>
      </c>
      <c r="D162">
        <f t="shared" si="8"/>
        <v>4.1749506807810954</v>
      </c>
      <c r="E162">
        <f t="shared" si="9"/>
        <v>4.1407795742442888</v>
      </c>
      <c r="F162">
        <f t="shared" si="10"/>
        <v>3.4315443453779793E-2</v>
      </c>
      <c r="G162">
        <f t="shared" si="11"/>
        <v>-4.9310214735065472E-4</v>
      </c>
    </row>
    <row r="163" spans="1:7" x14ac:dyDescent="0.2">
      <c r="A163" s="5">
        <v>32295</v>
      </c>
      <c r="B163">
        <v>71.716667839339848</v>
      </c>
      <c r="C163">
        <v>64.706999999999994</v>
      </c>
      <c r="D163">
        <f t="shared" si="8"/>
        <v>4.2727231869679727</v>
      </c>
      <c r="E163">
        <f t="shared" si="9"/>
        <v>4.1698693873083466</v>
      </c>
      <c r="F163">
        <f t="shared" si="10"/>
        <v>9.7772506186877273E-2</v>
      </c>
      <c r="G163">
        <f t="shared" si="11"/>
        <v>2.9089813064057779E-2</v>
      </c>
    </row>
    <row r="164" spans="1:7" x14ac:dyDescent="0.2">
      <c r="A164" s="5">
        <v>32325</v>
      </c>
      <c r="B164">
        <v>71.741249387870937</v>
      </c>
      <c r="C164">
        <v>62.297800000000002</v>
      </c>
      <c r="D164">
        <f t="shared" si="8"/>
        <v>4.273065887451108</v>
      </c>
      <c r="E164">
        <f t="shared" si="9"/>
        <v>4.1319261121682835</v>
      </c>
      <c r="F164">
        <f t="shared" si="10"/>
        <v>3.4270048313533863E-4</v>
      </c>
      <c r="G164">
        <f t="shared" si="11"/>
        <v>-3.7943275140063015E-2</v>
      </c>
    </row>
    <row r="165" spans="1:7" x14ac:dyDescent="0.2">
      <c r="A165" s="5">
        <v>32356</v>
      </c>
      <c r="B165">
        <v>76.092183477866826</v>
      </c>
      <c r="C165">
        <v>64.417100000000005</v>
      </c>
      <c r="D165">
        <f t="shared" si="8"/>
        <v>4.3319455457665477</v>
      </c>
      <c r="E165">
        <f t="shared" si="9"/>
        <v>4.1653791258143116</v>
      </c>
      <c r="F165">
        <f t="shared" si="10"/>
        <v>5.887965831543962E-2</v>
      </c>
      <c r="G165">
        <f t="shared" si="11"/>
        <v>3.345301364602804E-2</v>
      </c>
    </row>
    <row r="166" spans="1:7" x14ac:dyDescent="0.2">
      <c r="A166" s="5">
        <v>32387</v>
      </c>
      <c r="B166">
        <v>73.148543041273555</v>
      </c>
      <c r="C166">
        <v>64.678200000000004</v>
      </c>
      <c r="D166">
        <f t="shared" si="8"/>
        <v>4.2924922098552507</v>
      </c>
      <c r="E166">
        <f t="shared" si="9"/>
        <v>4.1694242050081201</v>
      </c>
      <c r="F166">
        <f t="shared" si="10"/>
        <v>-3.9453335911296961E-2</v>
      </c>
      <c r="G166">
        <f t="shared" si="11"/>
        <v>4.0450791938084762E-3</v>
      </c>
    </row>
    <row r="167" spans="1:7" x14ac:dyDescent="0.2">
      <c r="A167" s="5">
        <v>32417</v>
      </c>
      <c r="B167">
        <v>69.860760925245515</v>
      </c>
      <c r="C167">
        <v>64.647199999999998</v>
      </c>
      <c r="D167">
        <f t="shared" si="8"/>
        <v>4.2465041314643068</v>
      </c>
      <c r="E167">
        <f t="shared" si="9"/>
        <v>4.1689447941484783</v>
      </c>
      <c r="F167">
        <f t="shared" si="10"/>
        <v>-4.5988078390943876E-2</v>
      </c>
      <c r="G167">
        <f t="shared" si="11"/>
        <v>-4.7941085964176011E-4</v>
      </c>
    </row>
    <row r="168" spans="1:7" x14ac:dyDescent="0.2">
      <c r="A168" s="5">
        <v>32448</v>
      </c>
      <c r="B168">
        <v>65.829386966153308</v>
      </c>
      <c r="C168">
        <v>63.814399999999999</v>
      </c>
      <c r="D168">
        <f t="shared" si="8"/>
        <v>4.1870663490583802</v>
      </c>
      <c r="E168">
        <f t="shared" si="9"/>
        <v>4.155978870212282</v>
      </c>
      <c r="F168">
        <f t="shared" si="10"/>
        <v>-5.9437782405926676E-2</v>
      </c>
      <c r="G168">
        <f t="shared" si="11"/>
        <v>-1.2965923936196333E-2</v>
      </c>
    </row>
    <row r="169" spans="1:7" x14ac:dyDescent="0.2">
      <c r="A169" s="5">
        <v>32478</v>
      </c>
      <c r="B169">
        <v>61.023694228332921</v>
      </c>
      <c r="C169">
        <v>63.5364</v>
      </c>
      <c r="D169">
        <f t="shared" si="8"/>
        <v>4.1112622187265897</v>
      </c>
      <c r="E169">
        <f t="shared" si="9"/>
        <v>4.1516129700124926</v>
      </c>
      <c r="F169">
        <f t="shared" si="10"/>
        <v>-7.5804130331790454E-2</v>
      </c>
      <c r="G169">
        <f t="shared" si="11"/>
        <v>-4.3659001997893299E-3</v>
      </c>
    </row>
    <row r="170" spans="1:7" x14ac:dyDescent="0.2">
      <c r="A170" s="5">
        <v>32509</v>
      </c>
      <c r="B170">
        <v>59.573382865000902</v>
      </c>
      <c r="C170">
        <v>64.293400000000005</v>
      </c>
      <c r="D170">
        <f t="shared" si="8"/>
        <v>4.0872088780926923</v>
      </c>
      <c r="E170">
        <f t="shared" si="9"/>
        <v>4.1634569821184115</v>
      </c>
      <c r="F170">
        <f t="shared" si="10"/>
        <v>-2.4053340633897413E-2</v>
      </c>
      <c r="G170">
        <f t="shared" si="11"/>
        <v>1.18440121059189E-2</v>
      </c>
    </row>
    <row r="171" spans="1:7" x14ac:dyDescent="0.2">
      <c r="A171" s="5">
        <v>32540</v>
      </c>
      <c r="B171">
        <v>54.638636997392489</v>
      </c>
      <c r="C171">
        <v>64.540300000000002</v>
      </c>
      <c r="D171">
        <f t="shared" si="8"/>
        <v>4.0007412698085094</v>
      </c>
      <c r="E171">
        <f t="shared" si="9"/>
        <v>4.1672898348931486</v>
      </c>
      <c r="F171">
        <f t="shared" si="10"/>
        <v>-8.6467608284182873E-2</v>
      </c>
      <c r="G171">
        <f t="shared" si="11"/>
        <v>3.8328527747371055E-3</v>
      </c>
    </row>
    <row r="172" spans="1:7" x14ac:dyDescent="0.2">
      <c r="A172" s="5">
        <v>32568</v>
      </c>
      <c r="B172">
        <v>62.670657979913294</v>
      </c>
      <c r="C172">
        <v>64.225999999999999</v>
      </c>
      <c r="D172">
        <f t="shared" si="8"/>
        <v>4.1378933633024726</v>
      </c>
      <c r="E172">
        <f t="shared" si="9"/>
        <v>4.1624081131355339</v>
      </c>
      <c r="F172">
        <f t="shared" si="10"/>
        <v>0.13715209349396318</v>
      </c>
      <c r="G172">
        <f t="shared" si="11"/>
        <v>-4.8817217576146987E-3</v>
      </c>
    </row>
    <row r="173" spans="1:7" x14ac:dyDescent="0.2">
      <c r="A173" s="5">
        <v>32599</v>
      </c>
      <c r="B173">
        <v>61.367835907767613</v>
      </c>
      <c r="C173">
        <v>64.342500000000001</v>
      </c>
      <c r="D173">
        <f t="shared" si="8"/>
        <v>4.1168858527479255</v>
      </c>
      <c r="E173">
        <f t="shared" si="9"/>
        <v>4.164220377133093</v>
      </c>
      <c r="F173">
        <f t="shared" si="10"/>
        <v>-2.1007510554547082E-2</v>
      </c>
      <c r="G173">
        <f t="shared" si="11"/>
        <v>1.8122639975590715E-3</v>
      </c>
    </row>
    <row r="174" spans="1:7" x14ac:dyDescent="0.2">
      <c r="A174" s="5">
        <v>32629</v>
      </c>
      <c r="B174">
        <v>68.637828885825797</v>
      </c>
      <c r="C174">
        <v>63.446399999999997</v>
      </c>
      <c r="D174">
        <f t="shared" si="8"/>
        <v>4.228843824228198</v>
      </c>
      <c r="E174">
        <f t="shared" si="9"/>
        <v>4.1501954549621063</v>
      </c>
      <c r="F174">
        <f t="shared" si="10"/>
        <v>0.11195797148027253</v>
      </c>
      <c r="G174">
        <f t="shared" si="11"/>
        <v>-1.402492217098672E-2</v>
      </c>
    </row>
    <row r="175" spans="1:7" x14ac:dyDescent="0.2">
      <c r="A175" s="5">
        <v>32660</v>
      </c>
      <c r="B175">
        <v>74.936850696907527</v>
      </c>
      <c r="C175">
        <v>65.186700000000002</v>
      </c>
      <c r="D175">
        <f t="shared" si="8"/>
        <v>4.3166457681551327</v>
      </c>
      <c r="E175">
        <f t="shared" si="9"/>
        <v>4.1772554603942194</v>
      </c>
      <c r="F175">
        <f t="shared" si="10"/>
        <v>8.7801943926934634E-2</v>
      </c>
      <c r="G175">
        <f t="shared" si="11"/>
        <v>2.7060005432113066E-2</v>
      </c>
    </row>
    <row r="176" spans="1:7" x14ac:dyDescent="0.2">
      <c r="A176" s="5">
        <v>32690</v>
      </c>
      <c r="B176">
        <v>77.044718483445067</v>
      </c>
      <c r="C176">
        <v>62.100999999999999</v>
      </c>
      <c r="D176">
        <f t="shared" si="8"/>
        <v>4.3443860128033958</v>
      </c>
      <c r="E176">
        <f t="shared" si="9"/>
        <v>4.1287620918693619</v>
      </c>
      <c r="F176">
        <f t="shared" si="10"/>
        <v>2.7740244648263079E-2</v>
      </c>
      <c r="G176">
        <f t="shared" si="11"/>
        <v>-4.8493368524857416E-2</v>
      </c>
    </row>
    <row r="177" spans="1:7" x14ac:dyDescent="0.2">
      <c r="A177" s="5">
        <v>32721</v>
      </c>
      <c r="B177">
        <v>81.807393511336372</v>
      </c>
      <c r="C177">
        <v>64.7714</v>
      </c>
      <c r="D177">
        <f t="shared" si="8"/>
        <v>4.4043676247483639</v>
      </c>
      <c r="E177">
        <f t="shared" si="9"/>
        <v>4.1708641479064168</v>
      </c>
      <c r="F177">
        <f t="shared" si="10"/>
        <v>5.9981611944968094E-2</v>
      </c>
      <c r="G177">
        <f t="shared" si="11"/>
        <v>4.2102056037054858E-2</v>
      </c>
    </row>
    <row r="178" spans="1:7" x14ac:dyDescent="0.2">
      <c r="A178" s="5">
        <v>32752</v>
      </c>
      <c r="B178">
        <v>76.424034383036073</v>
      </c>
      <c r="C178">
        <v>64.865200000000002</v>
      </c>
      <c r="D178">
        <f t="shared" si="8"/>
        <v>4.3362972328660163</v>
      </c>
      <c r="E178">
        <f t="shared" si="9"/>
        <v>4.1723112703451317</v>
      </c>
      <c r="F178">
        <f t="shared" si="10"/>
        <v>-6.8070391882347536E-2</v>
      </c>
      <c r="G178">
        <f t="shared" si="11"/>
        <v>1.4471224387149206E-3</v>
      </c>
    </row>
    <row r="179" spans="1:7" x14ac:dyDescent="0.2">
      <c r="A179" s="5">
        <v>32782</v>
      </c>
      <c r="B179">
        <v>78.697827622158187</v>
      </c>
      <c r="C179">
        <v>64.500100000000003</v>
      </c>
      <c r="D179">
        <f t="shared" si="8"/>
        <v>4.3656155517661182</v>
      </c>
      <c r="E179">
        <f t="shared" si="9"/>
        <v>4.1666667741881218</v>
      </c>
      <c r="F179">
        <f t="shared" si="10"/>
        <v>2.9318318900101836E-2</v>
      </c>
      <c r="G179">
        <f t="shared" si="11"/>
        <v>-5.6444961570099039E-3</v>
      </c>
    </row>
    <row r="180" spans="1:7" x14ac:dyDescent="0.2">
      <c r="A180" s="5">
        <v>32813</v>
      </c>
      <c r="B180">
        <v>72.527858940864505</v>
      </c>
      <c r="C180">
        <v>63.796799999999998</v>
      </c>
      <c r="D180">
        <f t="shared" si="8"/>
        <v>4.2839707493044843</v>
      </c>
      <c r="E180">
        <f t="shared" si="9"/>
        <v>4.1557030323530411</v>
      </c>
      <c r="F180">
        <f t="shared" si="10"/>
        <v>-8.1644802461633859E-2</v>
      </c>
      <c r="G180">
        <f t="shared" si="11"/>
        <v>-1.0963741835080754E-2</v>
      </c>
    </row>
    <row r="181" spans="1:7" x14ac:dyDescent="0.2">
      <c r="A181" s="5">
        <v>32843</v>
      </c>
      <c r="B181">
        <v>62.867310368161718</v>
      </c>
      <c r="C181">
        <v>63.823</v>
      </c>
      <c r="D181">
        <f t="shared" si="8"/>
        <v>4.1410263206330438</v>
      </c>
      <c r="E181">
        <f t="shared" si="9"/>
        <v>4.156113626953065</v>
      </c>
      <c r="F181">
        <f t="shared" si="10"/>
        <v>-0.14294442867144053</v>
      </c>
      <c r="G181">
        <f t="shared" si="11"/>
        <v>4.105946000239058E-4</v>
      </c>
    </row>
    <row r="182" spans="1:7" x14ac:dyDescent="0.2">
      <c r="A182" s="5">
        <v>32874</v>
      </c>
      <c r="B182">
        <v>62.566186398656342</v>
      </c>
      <c r="C182">
        <v>63.792999999999999</v>
      </c>
      <c r="D182">
        <f t="shared" si="8"/>
        <v>4.1362249787945675</v>
      </c>
      <c r="E182">
        <f t="shared" si="9"/>
        <v>4.1556434664629602</v>
      </c>
      <c r="F182">
        <f t="shared" si="10"/>
        <v>-4.8013418384762474E-3</v>
      </c>
      <c r="G182">
        <f t="shared" si="11"/>
        <v>-4.7016049010473182E-4</v>
      </c>
    </row>
    <row r="183" spans="1:7" x14ac:dyDescent="0.2">
      <c r="A183" s="5">
        <v>32905</v>
      </c>
      <c r="B183">
        <v>59.302985831159383</v>
      </c>
      <c r="C183">
        <v>64.740399999999994</v>
      </c>
      <c r="D183">
        <f t="shared" si="8"/>
        <v>4.0826596560204029</v>
      </c>
      <c r="E183">
        <f t="shared" si="9"/>
        <v>4.1703854270394061</v>
      </c>
      <c r="F183">
        <f t="shared" si="10"/>
        <v>-5.3565322774164592E-2</v>
      </c>
      <c r="G183">
        <f t="shared" si="11"/>
        <v>1.4741960576445834E-2</v>
      </c>
    </row>
    <row r="184" spans="1:7" x14ac:dyDescent="0.2">
      <c r="A184" s="5">
        <v>32933</v>
      </c>
      <c r="B184">
        <v>60.54435403197742</v>
      </c>
      <c r="C184">
        <v>65.078800000000001</v>
      </c>
      <c r="D184">
        <f t="shared" si="8"/>
        <v>4.1033762209277995</v>
      </c>
      <c r="E184">
        <f t="shared" si="9"/>
        <v>4.1755988433363402</v>
      </c>
      <c r="F184">
        <f t="shared" si="10"/>
        <v>2.0716564907396595E-2</v>
      </c>
      <c r="G184">
        <f t="shared" si="11"/>
        <v>5.2134162969341702E-3</v>
      </c>
    </row>
    <row r="185" spans="1:7" x14ac:dyDescent="0.2">
      <c r="A185" s="5">
        <v>32964</v>
      </c>
      <c r="B185">
        <v>44.37584048567895</v>
      </c>
      <c r="C185">
        <v>63.743400000000001</v>
      </c>
      <c r="D185">
        <f t="shared" si="8"/>
        <v>3.7926951881385529</v>
      </c>
      <c r="E185">
        <f t="shared" si="9"/>
        <v>4.1548656492672311</v>
      </c>
      <c r="F185">
        <f t="shared" si="10"/>
        <v>-0.31068103278924664</v>
      </c>
      <c r="G185">
        <f t="shared" si="11"/>
        <v>-2.0733194069109118E-2</v>
      </c>
    </row>
    <row r="186" spans="1:7" x14ac:dyDescent="0.2">
      <c r="A186" s="5">
        <v>32994</v>
      </c>
      <c r="B186">
        <v>61.220346616581345</v>
      </c>
      <c r="C186">
        <v>64.403599999999997</v>
      </c>
      <c r="D186">
        <f t="shared" si="8"/>
        <v>4.1144795953206001</v>
      </c>
      <c r="E186">
        <f t="shared" si="9"/>
        <v>4.1651695321690445</v>
      </c>
      <c r="F186">
        <f t="shared" si="10"/>
        <v>0.32178440718204726</v>
      </c>
      <c r="G186">
        <f t="shared" si="11"/>
        <v>1.0303882901813388E-2</v>
      </c>
    </row>
    <row r="187" spans="1:7" x14ac:dyDescent="0.2">
      <c r="A187" s="5">
        <v>33025</v>
      </c>
      <c r="B187">
        <v>62.603058721452882</v>
      </c>
      <c r="C187">
        <v>66.392499999999998</v>
      </c>
      <c r="D187">
        <f t="shared" si="8"/>
        <v>4.1368141382774368</v>
      </c>
      <c r="E187">
        <f t="shared" si="9"/>
        <v>4.1955840982956234</v>
      </c>
      <c r="F187">
        <f t="shared" si="10"/>
        <v>2.2334542956836678E-2</v>
      </c>
      <c r="G187">
        <f t="shared" si="11"/>
        <v>3.041456612657889E-2</v>
      </c>
    </row>
    <row r="188" spans="1:7" x14ac:dyDescent="0.2">
      <c r="A188" s="5">
        <v>33055</v>
      </c>
      <c r="B188">
        <v>70.659661252504691</v>
      </c>
      <c r="C188">
        <v>63.935000000000002</v>
      </c>
      <c r="D188">
        <f t="shared" si="8"/>
        <v>4.2578748478706068</v>
      </c>
      <c r="E188">
        <f t="shared" si="9"/>
        <v>4.1578669422631318</v>
      </c>
      <c r="F188">
        <f t="shared" si="10"/>
        <v>0.12106070959316995</v>
      </c>
      <c r="G188">
        <f t="shared" si="11"/>
        <v>-3.7717156032491594E-2</v>
      </c>
    </row>
    <row r="189" spans="1:7" x14ac:dyDescent="0.2">
      <c r="A189" s="5">
        <v>33086</v>
      </c>
      <c r="B189">
        <v>75.004449955367903</v>
      </c>
      <c r="C189">
        <v>66.143699999999995</v>
      </c>
      <c r="D189">
        <f t="shared" si="8"/>
        <v>4.3175474445144317</v>
      </c>
      <c r="E189">
        <f t="shared" si="9"/>
        <v>4.191829647930291</v>
      </c>
      <c r="F189">
        <f t="shared" si="10"/>
        <v>5.967259664382496E-2</v>
      </c>
      <c r="G189">
        <f t="shared" si="11"/>
        <v>3.3962705667159199E-2</v>
      </c>
    </row>
    <row r="190" spans="1:7" x14ac:dyDescent="0.2">
      <c r="A190" s="5">
        <v>33117</v>
      </c>
      <c r="B190">
        <v>70.573625832646059</v>
      </c>
      <c r="C190">
        <v>66.628399999999999</v>
      </c>
      <c r="D190">
        <f t="shared" si="8"/>
        <v>4.2566565029283261</v>
      </c>
      <c r="E190">
        <f t="shared" si="9"/>
        <v>4.1991309130788599</v>
      </c>
      <c r="F190">
        <f t="shared" si="10"/>
        <v>-6.089094158610564E-2</v>
      </c>
      <c r="G190">
        <f t="shared" si="11"/>
        <v>7.3012651485688806E-3</v>
      </c>
    </row>
    <row r="191" spans="1:7" x14ac:dyDescent="0.2">
      <c r="A191" s="5">
        <v>33147</v>
      </c>
      <c r="B191">
        <v>72.773674426175006</v>
      </c>
      <c r="C191">
        <v>65.686599999999999</v>
      </c>
      <c r="D191">
        <f t="shared" si="8"/>
        <v>4.2873542747790916</v>
      </c>
      <c r="E191">
        <f t="shared" si="9"/>
        <v>4.1848949473063897</v>
      </c>
      <c r="F191">
        <f t="shared" si="10"/>
        <v>3.0697771850765498E-2</v>
      </c>
      <c r="G191">
        <f t="shared" si="11"/>
        <v>-1.4235965772470216E-2</v>
      </c>
    </row>
    <row r="192" spans="1:7" x14ac:dyDescent="0.2">
      <c r="A192" s="5">
        <v>33178</v>
      </c>
      <c r="B192">
        <v>65.546699158046152</v>
      </c>
      <c r="C192">
        <v>63.977600000000002</v>
      </c>
      <c r="D192">
        <f t="shared" si="8"/>
        <v>4.1827628528479179</v>
      </c>
      <c r="E192">
        <f t="shared" si="9"/>
        <v>4.1585330220953765</v>
      </c>
      <c r="F192">
        <f t="shared" si="10"/>
        <v>-0.10459142193117366</v>
      </c>
      <c r="G192">
        <f t="shared" si="11"/>
        <v>-2.6361925211013215E-2</v>
      </c>
    </row>
    <row r="193" spans="1:7" x14ac:dyDescent="0.2">
      <c r="A193" s="5">
        <v>33208</v>
      </c>
      <c r="B193">
        <v>52.039138240233974</v>
      </c>
      <c r="C193">
        <v>63.084699999999998</v>
      </c>
      <c r="D193">
        <f t="shared" si="8"/>
        <v>3.9519960939421277</v>
      </c>
      <c r="E193">
        <f t="shared" si="9"/>
        <v>4.1444782678797711</v>
      </c>
      <c r="F193">
        <f t="shared" si="10"/>
        <v>-0.23076675890579024</v>
      </c>
      <c r="G193">
        <f t="shared" si="11"/>
        <v>-1.4054754215605314E-2</v>
      </c>
    </row>
    <row r="194" spans="1:7" x14ac:dyDescent="0.2">
      <c r="A194" s="5">
        <v>33239</v>
      </c>
      <c r="B194">
        <v>52.838038567493086</v>
      </c>
      <c r="C194">
        <v>63.376300000000001</v>
      </c>
      <c r="D194">
        <f t="shared" si="8"/>
        <v>3.9672313587435979</v>
      </c>
      <c r="E194">
        <f t="shared" si="9"/>
        <v>4.1490899745214751</v>
      </c>
      <c r="F194">
        <f t="shared" si="10"/>
        <v>1.5235264801470194E-2</v>
      </c>
      <c r="G194">
        <f t="shared" si="11"/>
        <v>4.6117066417039609E-3</v>
      </c>
    </row>
    <row r="195" spans="1:7" x14ac:dyDescent="0.2">
      <c r="A195" s="5">
        <v>33270</v>
      </c>
      <c r="B195">
        <v>48.466115702479307</v>
      </c>
      <c r="C195">
        <v>63.129399999999997</v>
      </c>
      <c r="D195">
        <f t="shared" ref="D195:D258" si="12">LN(B195)</f>
        <v>3.8808649084673679</v>
      </c>
      <c r="E195">
        <f t="shared" ref="E195:E258" si="13">LN(C195)</f>
        <v>4.1451865881366814</v>
      </c>
      <c r="F195">
        <f t="shared" ref="F195:F258" si="14">D195-D194</f>
        <v>-8.6366450276230022E-2</v>
      </c>
      <c r="G195">
        <f t="shared" ref="G195:G258" si="15">E195-E194</f>
        <v>-3.9033863847937056E-3</v>
      </c>
    </row>
    <row r="196" spans="1:7" x14ac:dyDescent="0.2">
      <c r="A196" s="5">
        <v>33298</v>
      </c>
      <c r="B196">
        <v>53.428407713498586</v>
      </c>
      <c r="C196">
        <v>62.412799999999997</v>
      </c>
      <c r="D196">
        <f t="shared" si="12"/>
        <v>3.9783425841686686</v>
      </c>
      <c r="E196">
        <f t="shared" si="13"/>
        <v>4.1337703825445962</v>
      </c>
      <c r="F196">
        <f t="shared" si="14"/>
        <v>9.7477675701300726E-2</v>
      </c>
      <c r="G196">
        <f t="shared" si="15"/>
        <v>-1.1416205592085227E-2</v>
      </c>
    </row>
    <row r="197" spans="1:7" x14ac:dyDescent="0.2">
      <c r="A197" s="5">
        <v>33329</v>
      </c>
      <c r="B197">
        <v>60.88780165289252</v>
      </c>
      <c r="C197">
        <v>62.413800000000002</v>
      </c>
      <c r="D197">
        <f t="shared" si="12"/>
        <v>4.1090328533867408</v>
      </c>
      <c r="E197">
        <f t="shared" si="13"/>
        <v>4.1337864047706292</v>
      </c>
      <c r="F197">
        <f t="shared" si="14"/>
        <v>0.13069026921807225</v>
      </c>
      <c r="G197">
        <f t="shared" si="15"/>
        <v>1.6022226033030051E-5</v>
      </c>
    </row>
    <row r="198" spans="1:7" x14ac:dyDescent="0.2">
      <c r="A198" s="5">
        <v>33359</v>
      </c>
      <c r="B198">
        <v>64.461928374655614</v>
      </c>
      <c r="C198">
        <v>62.825499999999998</v>
      </c>
      <c r="D198">
        <f t="shared" si="12"/>
        <v>4.1660747917737595</v>
      </c>
      <c r="E198">
        <f t="shared" si="13"/>
        <v>4.1403610420131871</v>
      </c>
      <c r="F198">
        <f t="shared" si="14"/>
        <v>5.7041938387018654E-2</v>
      </c>
      <c r="G198">
        <f t="shared" si="15"/>
        <v>6.5746372425579125E-3</v>
      </c>
    </row>
    <row r="199" spans="1:7" x14ac:dyDescent="0.2">
      <c r="A199" s="5">
        <v>33390</v>
      </c>
      <c r="B199">
        <v>65.028363636363608</v>
      </c>
      <c r="C199">
        <v>65.195499999999996</v>
      </c>
      <c r="D199">
        <f t="shared" si="12"/>
        <v>4.1748235383530758</v>
      </c>
      <c r="E199">
        <f t="shared" si="13"/>
        <v>4.1773904481458199</v>
      </c>
      <c r="F199">
        <f t="shared" si="14"/>
        <v>8.7487465793163466E-3</v>
      </c>
      <c r="G199">
        <f t="shared" si="15"/>
        <v>3.7029406132632836E-2</v>
      </c>
    </row>
    <row r="200" spans="1:7" x14ac:dyDescent="0.2">
      <c r="A200" s="5">
        <v>33420</v>
      </c>
      <c r="B200">
        <v>71.55433608815423</v>
      </c>
      <c r="C200">
        <v>62.862200000000001</v>
      </c>
      <c r="D200">
        <f t="shared" si="12"/>
        <v>4.2704571063766217</v>
      </c>
      <c r="E200">
        <f t="shared" si="13"/>
        <v>4.1409450291661551</v>
      </c>
      <c r="F200">
        <f t="shared" si="14"/>
        <v>9.5633568023545834E-2</v>
      </c>
      <c r="G200">
        <f t="shared" si="15"/>
        <v>-3.6445418979664801E-2</v>
      </c>
    </row>
    <row r="201" spans="1:7" x14ac:dyDescent="0.2">
      <c r="A201" s="5">
        <v>33451</v>
      </c>
      <c r="B201">
        <v>72.136727272727242</v>
      </c>
      <c r="C201">
        <v>65.123500000000007</v>
      </c>
      <c r="D201">
        <f t="shared" si="12"/>
        <v>4.2785633081131689</v>
      </c>
      <c r="E201">
        <f t="shared" si="13"/>
        <v>4.1762854671787171</v>
      </c>
      <c r="F201">
        <f t="shared" si="14"/>
        <v>8.1062017365471917E-3</v>
      </c>
      <c r="G201">
        <f t="shared" si="15"/>
        <v>3.5340438012561926E-2</v>
      </c>
    </row>
    <row r="202" spans="1:7" x14ac:dyDescent="0.2">
      <c r="A202" s="5">
        <v>33482</v>
      </c>
      <c r="B202">
        <v>65.7064903581267</v>
      </c>
      <c r="C202">
        <v>65.803399999999996</v>
      </c>
      <c r="D202">
        <f t="shared" si="12"/>
        <v>4.1851977084062986</v>
      </c>
      <c r="E202">
        <f t="shared" si="13"/>
        <v>4.186671508728856</v>
      </c>
      <c r="F202">
        <f t="shared" si="14"/>
        <v>-9.3365599706870306E-2</v>
      </c>
      <c r="G202">
        <f t="shared" si="15"/>
        <v>1.0386041550138891E-2</v>
      </c>
    </row>
    <row r="203" spans="1:7" x14ac:dyDescent="0.2">
      <c r="A203" s="5">
        <v>33512</v>
      </c>
      <c r="B203">
        <v>69.990655647382908</v>
      </c>
      <c r="C203">
        <v>65.3125</v>
      </c>
      <c r="D203">
        <f t="shared" si="12"/>
        <v>4.2483617423870026</v>
      </c>
      <c r="E203">
        <f t="shared" si="13"/>
        <v>4.1791834421591298</v>
      </c>
      <c r="F203">
        <f t="shared" si="14"/>
        <v>6.3164033980704026E-2</v>
      </c>
      <c r="G203">
        <f t="shared" si="15"/>
        <v>-7.4880665697261151E-3</v>
      </c>
    </row>
    <row r="204" spans="1:7" x14ac:dyDescent="0.2">
      <c r="A204" s="5">
        <v>33543</v>
      </c>
      <c r="B204">
        <v>61.853134986225882</v>
      </c>
      <c r="C204">
        <v>64.176500000000004</v>
      </c>
      <c r="D204">
        <f t="shared" si="12"/>
        <v>4.1247627844775776</v>
      </c>
      <c r="E204">
        <f t="shared" si="13"/>
        <v>4.1616371000718919</v>
      </c>
      <c r="F204">
        <f t="shared" si="14"/>
        <v>-0.12359895790942499</v>
      </c>
      <c r="G204">
        <f t="shared" si="15"/>
        <v>-1.7546342087237932E-2</v>
      </c>
    </row>
    <row r="205" spans="1:7" x14ac:dyDescent="0.2">
      <c r="A205" s="5">
        <v>33573</v>
      </c>
      <c r="B205">
        <v>51.074909090909081</v>
      </c>
      <c r="C205">
        <v>63.324800000000003</v>
      </c>
      <c r="D205">
        <f t="shared" si="12"/>
        <v>3.9332933607884275</v>
      </c>
      <c r="E205">
        <f t="shared" si="13"/>
        <v>4.1482770375724476</v>
      </c>
      <c r="F205">
        <f t="shared" si="14"/>
        <v>-0.1914694236891501</v>
      </c>
      <c r="G205">
        <f t="shared" si="15"/>
        <v>-1.3360062499444325E-2</v>
      </c>
    </row>
    <row r="206" spans="1:7" x14ac:dyDescent="0.2">
      <c r="A206" s="5">
        <v>33604</v>
      </c>
      <c r="B206">
        <v>51.872705234159767</v>
      </c>
      <c r="C206">
        <v>63.555199999999999</v>
      </c>
      <c r="D206">
        <f t="shared" si="12"/>
        <v>3.9487927411224697</v>
      </c>
      <c r="E206">
        <f t="shared" si="13"/>
        <v>4.151908819622335</v>
      </c>
      <c r="F206">
        <f t="shared" si="14"/>
        <v>1.549938033404219E-2</v>
      </c>
      <c r="G206">
        <f t="shared" si="15"/>
        <v>3.6317820498874553E-3</v>
      </c>
    </row>
    <row r="207" spans="1:7" x14ac:dyDescent="0.2">
      <c r="A207" s="5">
        <v>33635</v>
      </c>
      <c r="B207">
        <v>54.601168044077127</v>
      </c>
      <c r="C207">
        <v>64.444900000000004</v>
      </c>
      <c r="D207">
        <f t="shared" si="12"/>
        <v>4.0000552752707028</v>
      </c>
      <c r="E207">
        <f t="shared" si="13"/>
        <v>4.1658105951447784</v>
      </c>
      <c r="F207">
        <f t="shared" si="14"/>
        <v>5.1262534148233119E-2</v>
      </c>
      <c r="G207">
        <f t="shared" si="15"/>
        <v>1.3901775522443316E-2</v>
      </c>
    </row>
    <row r="208" spans="1:7" x14ac:dyDescent="0.2">
      <c r="A208" s="5">
        <v>33664</v>
      </c>
      <c r="B208">
        <v>56.858931129476574</v>
      </c>
      <c r="C208">
        <v>65.131299999999996</v>
      </c>
      <c r="D208">
        <f t="shared" si="12"/>
        <v>4.0405733077604893</v>
      </c>
      <c r="E208">
        <f t="shared" si="13"/>
        <v>4.1764052324389507</v>
      </c>
      <c r="F208">
        <f t="shared" si="14"/>
        <v>4.0518032489786471E-2</v>
      </c>
      <c r="G208">
        <f t="shared" si="15"/>
        <v>1.0594637294172315E-2</v>
      </c>
    </row>
    <row r="209" spans="1:7" x14ac:dyDescent="0.2">
      <c r="A209" s="5">
        <v>33695</v>
      </c>
      <c r="B209">
        <v>56.045179063360877</v>
      </c>
      <c r="C209">
        <v>64.429500000000004</v>
      </c>
      <c r="D209">
        <f t="shared" si="12"/>
        <v>4.0261581344605659</v>
      </c>
      <c r="E209">
        <f t="shared" si="13"/>
        <v>4.1655716027603589</v>
      </c>
      <c r="F209">
        <f t="shared" si="14"/>
        <v>-1.4415173299923367E-2</v>
      </c>
      <c r="G209">
        <f t="shared" si="15"/>
        <v>-1.0833629678591805E-2</v>
      </c>
    </row>
    <row r="210" spans="1:7" x14ac:dyDescent="0.2">
      <c r="A210" s="5">
        <v>33725</v>
      </c>
      <c r="B210">
        <v>58.294964187327814</v>
      </c>
      <c r="C210">
        <v>64.941800000000001</v>
      </c>
      <c r="D210">
        <f t="shared" si="12"/>
        <v>4.0655157120498364</v>
      </c>
      <c r="E210">
        <f t="shared" si="13"/>
        <v>4.1734914841840061</v>
      </c>
      <c r="F210">
        <f t="shared" si="14"/>
        <v>3.9357577589270498E-2</v>
      </c>
      <c r="G210">
        <f t="shared" si="15"/>
        <v>7.9198814236471904E-3</v>
      </c>
    </row>
    <row r="211" spans="1:7" x14ac:dyDescent="0.2">
      <c r="A211" s="5">
        <v>33756</v>
      </c>
      <c r="B211">
        <v>61.318611570247924</v>
      </c>
      <c r="C211">
        <v>66.739900000000006</v>
      </c>
      <c r="D211">
        <f t="shared" si="12"/>
        <v>4.1160834113834079</v>
      </c>
      <c r="E211">
        <f t="shared" si="13"/>
        <v>4.2008029749702924</v>
      </c>
      <c r="F211">
        <f t="shared" si="14"/>
        <v>5.0567699333571525E-2</v>
      </c>
      <c r="G211">
        <f t="shared" si="15"/>
        <v>2.7311490786286363E-2</v>
      </c>
    </row>
    <row r="212" spans="1:7" x14ac:dyDescent="0.2">
      <c r="A212" s="5">
        <v>33786</v>
      </c>
      <c r="B212">
        <v>64.270457300275481</v>
      </c>
      <c r="C212">
        <v>64.691699999999997</v>
      </c>
      <c r="D212">
        <f t="shared" si="12"/>
        <v>4.1631000746570175</v>
      </c>
      <c r="E212">
        <f t="shared" si="13"/>
        <v>4.1696329088882189</v>
      </c>
      <c r="F212">
        <f t="shared" si="14"/>
        <v>4.7016663273609538E-2</v>
      </c>
      <c r="G212">
        <f t="shared" si="15"/>
        <v>-3.1170066082073511E-2</v>
      </c>
    </row>
    <row r="213" spans="1:7" x14ac:dyDescent="0.2">
      <c r="A213" s="5">
        <v>33817</v>
      </c>
      <c r="B213">
        <v>62.978027548209361</v>
      </c>
      <c r="C213">
        <v>66.764799999999994</v>
      </c>
      <c r="D213">
        <f t="shared" si="12"/>
        <v>4.1427858964814117</v>
      </c>
      <c r="E213">
        <f t="shared" si="13"/>
        <v>4.2011759955499235</v>
      </c>
      <c r="F213">
        <f t="shared" si="14"/>
        <v>-2.0314178175605768E-2</v>
      </c>
      <c r="G213">
        <f t="shared" si="15"/>
        <v>3.1543086661704578E-2</v>
      </c>
    </row>
    <row r="214" spans="1:7" x14ac:dyDescent="0.2">
      <c r="A214" s="5">
        <v>33848</v>
      </c>
      <c r="B214">
        <v>62.754644628099172</v>
      </c>
      <c r="C214">
        <v>66.951400000000007</v>
      </c>
      <c r="D214">
        <f t="shared" si="12"/>
        <v>4.139232593250374</v>
      </c>
      <c r="E214">
        <f t="shared" si="13"/>
        <v>4.2039669830462545</v>
      </c>
      <c r="F214">
        <f t="shared" si="14"/>
        <v>-3.5533032310377521E-3</v>
      </c>
      <c r="G214">
        <f t="shared" si="15"/>
        <v>2.7909874963309989E-3</v>
      </c>
    </row>
    <row r="215" spans="1:7" x14ac:dyDescent="0.2">
      <c r="A215" s="5">
        <v>33878</v>
      </c>
      <c r="B215">
        <v>63.959316804407706</v>
      </c>
      <c r="C215">
        <v>67.2483</v>
      </c>
      <c r="D215">
        <f t="shared" si="12"/>
        <v>4.1582472063015707</v>
      </c>
      <c r="E215">
        <f t="shared" si="13"/>
        <v>4.2083917393520247</v>
      </c>
      <c r="F215">
        <f t="shared" si="14"/>
        <v>1.9014613051196783E-2</v>
      </c>
      <c r="G215">
        <f t="shared" si="15"/>
        <v>4.4247563057702166E-3</v>
      </c>
    </row>
    <row r="216" spans="1:7" x14ac:dyDescent="0.2">
      <c r="A216" s="5">
        <v>33909</v>
      </c>
      <c r="B216">
        <v>61.924936639118449</v>
      </c>
      <c r="C216">
        <v>66.735500000000002</v>
      </c>
      <c r="D216">
        <f t="shared" si="12"/>
        <v>4.1259229521874703</v>
      </c>
      <c r="E216">
        <f t="shared" si="13"/>
        <v>4.2007370452184194</v>
      </c>
      <c r="F216">
        <f t="shared" si="14"/>
        <v>-3.2324254114100448E-2</v>
      </c>
      <c r="G216">
        <f t="shared" si="15"/>
        <v>-7.6546941336053109E-3</v>
      </c>
    </row>
    <row r="217" spans="1:7" x14ac:dyDescent="0.2">
      <c r="A217" s="5">
        <v>33939</v>
      </c>
      <c r="B217">
        <v>55.008044077134983</v>
      </c>
      <c r="C217">
        <v>66.328900000000004</v>
      </c>
      <c r="D217">
        <f t="shared" si="12"/>
        <v>4.0074794304860211</v>
      </c>
      <c r="E217">
        <f t="shared" si="13"/>
        <v>4.1946256996520255</v>
      </c>
      <c r="F217">
        <f t="shared" si="14"/>
        <v>-0.11844352170144923</v>
      </c>
      <c r="G217">
        <f t="shared" si="15"/>
        <v>-6.111345566393922E-3</v>
      </c>
    </row>
    <row r="218" spans="1:7" x14ac:dyDescent="0.2">
      <c r="A218" s="5">
        <v>33970</v>
      </c>
      <c r="B218">
        <v>54.018776859504122</v>
      </c>
      <c r="C218">
        <v>66.668099999999995</v>
      </c>
      <c r="D218">
        <f t="shared" si="12"/>
        <v>3.9893317057442643</v>
      </c>
      <c r="E218">
        <f t="shared" si="13"/>
        <v>4.1997265776488053</v>
      </c>
      <c r="F218">
        <f t="shared" si="14"/>
        <v>-1.8147724741756743E-2</v>
      </c>
      <c r="G218">
        <f t="shared" si="15"/>
        <v>5.100877996779829E-3</v>
      </c>
    </row>
    <row r="219" spans="1:7" x14ac:dyDescent="0.2">
      <c r="A219" s="5">
        <v>34001</v>
      </c>
      <c r="B219">
        <v>53.907085399449024</v>
      </c>
      <c r="C219">
        <v>67.633399999999995</v>
      </c>
      <c r="D219">
        <f t="shared" si="12"/>
        <v>3.9872619238107934</v>
      </c>
      <c r="E219">
        <f t="shared" si="13"/>
        <v>4.2141019438704186</v>
      </c>
      <c r="F219">
        <f t="shared" si="14"/>
        <v>-2.06978193347096E-3</v>
      </c>
      <c r="G219">
        <f t="shared" si="15"/>
        <v>1.4375366221613284E-2</v>
      </c>
    </row>
    <row r="220" spans="1:7" x14ac:dyDescent="0.2">
      <c r="A220" s="5">
        <v>34029</v>
      </c>
      <c r="B220">
        <v>64.262479338842965</v>
      </c>
      <c r="C220">
        <v>67.6601</v>
      </c>
      <c r="D220">
        <f t="shared" si="12"/>
        <v>4.1629759358696941</v>
      </c>
      <c r="E220">
        <f t="shared" si="13"/>
        <v>4.2144966413295961</v>
      </c>
      <c r="F220">
        <f t="shared" si="14"/>
        <v>0.17571401205890069</v>
      </c>
      <c r="G220">
        <f t="shared" si="15"/>
        <v>3.9469745917752874E-4</v>
      </c>
    </row>
    <row r="221" spans="1:7" x14ac:dyDescent="0.2">
      <c r="A221" s="5">
        <v>34060</v>
      </c>
      <c r="B221">
        <v>60.728242424242424</v>
      </c>
      <c r="C221">
        <v>66.626499999999993</v>
      </c>
      <c r="D221">
        <f t="shared" si="12"/>
        <v>4.1064088686746594</v>
      </c>
      <c r="E221">
        <f t="shared" si="13"/>
        <v>4.1991023963038652</v>
      </c>
      <c r="F221">
        <f t="shared" si="14"/>
        <v>-5.6567067195034682E-2</v>
      </c>
      <c r="G221">
        <f t="shared" si="15"/>
        <v>-1.5394245025730946E-2</v>
      </c>
    </row>
    <row r="222" spans="1:7" x14ac:dyDescent="0.2">
      <c r="A222" s="5">
        <v>34090</v>
      </c>
      <c r="B222">
        <v>65.594798898071616</v>
      </c>
      <c r="C222">
        <v>66.659000000000006</v>
      </c>
      <c r="D222">
        <f t="shared" si="12"/>
        <v>4.1834964077164427</v>
      </c>
      <c r="E222">
        <f t="shared" si="13"/>
        <v>4.1995900712669201</v>
      </c>
      <c r="F222">
        <f t="shared" si="14"/>
        <v>7.7087539041783337E-2</v>
      </c>
      <c r="G222">
        <f t="shared" si="15"/>
        <v>4.876749630549071E-4</v>
      </c>
    </row>
    <row r="223" spans="1:7" x14ac:dyDescent="0.2">
      <c r="A223" s="5">
        <v>34121</v>
      </c>
      <c r="B223">
        <v>66.073476584022032</v>
      </c>
      <c r="C223">
        <v>68.622100000000003</v>
      </c>
      <c r="D223">
        <f t="shared" si="12"/>
        <v>4.1907674043641316</v>
      </c>
      <c r="E223">
        <f t="shared" si="13"/>
        <v>4.228614640284678</v>
      </c>
      <c r="F223">
        <f t="shared" si="14"/>
        <v>7.2709966476889321E-3</v>
      </c>
      <c r="G223">
        <f t="shared" si="15"/>
        <v>2.9024569017757962E-2</v>
      </c>
    </row>
    <row r="224" spans="1:7" x14ac:dyDescent="0.2">
      <c r="A224" s="5">
        <v>34151</v>
      </c>
      <c r="B224">
        <v>69.105101928374651</v>
      </c>
      <c r="C224">
        <v>66.290599999999998</v>
      </c>
      <c r="D224">
        <f t="shared" si="12"/>
        <v>4.2356285620331908</v>
      </c>
      <c r="E224">
        <f t="shared" si="13"/>
        <v>4.1940481073512741</v>
      </c>
      <c r="F224">
        <f t="shared" si="14"/>
        <v>4.4861157669059182E-2</v>
      </c>
      <c r="G224">
        <f t="shared" si="15"/>
        <v>-3.4566532933403948E-2</v>
      </c>
    </row>
    <row r="225" spans="1:7" x14ac:dyDescent="0.2">
      <c r="A225" s="5">
        <v>34182</v>
      </c>
      <c r="B225">
        <v>69.496022038567475</v>
      </c>
      <c r="C225">
        <v>68.603399999999993</v>
      </c>
      <c r="D225">
        <f t="shared" si="12"/>
        <v>4.2412695140775112</v>
      </c>
      <c r="E225">
        <f t="shared" si="13"/>
        <v>4.228342096185866</v>
      </c>
      <c r="F225">
        <f t="shared" si="14"/>
        <v>5.6409520443203576E-3</v>
      </c>
      <c r="G225">
        <f t="shared" si="15"/>
        <v>3.4293988834591893E-2</v>
      </c>
    </row>
    <row r="226" spans="1:7" x14ac:dyDescent="0.2">
      <c r="A226" s="5">
        <v>34213</v>
      </c>
      <c r="B226">
        <v>66.887228650137729</v>
      </c>
      <c r="C226">
        <v>68.933599999999998</v>
      </c>
      <c r="D226">
        <f t="shared" si="12"/>
        <v>4.2030080468194422</v>
      </c>
      <c r="E226">
        <f t="shared" si="13"/>
        <v>4.2331437224306354</v>
      </c>
      <c r="F226">
        <f t="shared" si="14"/>
        <v>-3.8261467258069004E-2</v>
      </c>
      <c r="G226">
        <f t="shared" si="15"/>
        <v>4.8016262447694302E-3</v>
      </c>
    </row>
    <row r="227" spans="1:7" x14ac:dyDescent="0.2">
      <c r="A227" s="5">
        <v>34243</v>
      </c>
      <c r="B227">
        <v>67.206347107437992</v>
      </c>
      <c r="C227">
        <v>69.089299999999994</v>
      </c>
      <c r="D227">
        <f t="shared" si="12"/>
        <v>4.2077676940724302</v>
      </c>
      <c r="E227">
        <f t="shared" si="13"/>
        <v>4.2353998707371181</v>
      </c>
      <c r="F227">
        <f t="shared" si="14"/>
        <v>4.7596472529880529E-3</v>
      </c>
      <c r="G227">
        <f t="shared" si="15"/>
        <v>2.2561483064826859E-3</v>
      </c>
    </row>
    <row r="228" spans="1:7" x14ac:dyDescent="0.2">
      <c r="A228" s="5">
        <v>34274</v>
      </c>
      <c r="B228">
        <v>66.233035812672156</v>
      </c>
      <c r="C228">
        <v>68.610299999999995</v>
      </c>
      <c r="D228">
        <f t="shared" si="12"/>
        <v>4.1931793688716033</v>
      </c>
      <c r="E228">
        <f t="shared" si="13"/>
        <v>4.2284426692336856</v>
      </c>
      <c r="F228">
        <f t="shared" si="14"/>
        <v>-1.4588325200826979E-2</v>
      </c>
      <c r="G228">
        <f t="shared" si="15"/>
        <v>-6.9572015034324863E-3</v>
      </c>
    </row>
    <row r="229" spans="1:7" x14ac:dyDescent="0.2">
      <c r="A229" s="5">
        <v>34304</v>
      </c>
      <c r="B229">
        <v>59.691107438016509</v>
      </c>
      <c r="C229">
        <v>68.372500000000002</v>
      </c>
      <c r="D229">
        <f t="shared" si="12"/>
        <v>4.0891830551667105</v>
      </c>
      <c r="E229">
        <f t="shared" si="13"/>
        <v>4.2249706970024024</v>
      </c>
      <c r="F229">
        <f t="shared" si="14"/>
        <v>-0.10399631370489271</v>
      </c>
      <c r="G229">
        <f t="shared" si="15"/>
        <v>-3.4719722312832602E-3</v>
      </c>
    </row>
    <row r="230" spans="1:7" x14ac:dyDescent="0.2">
      <c r="A230" s="5">
        <v>34335</v>
      </c>
      <c r="B230">
        <v>58.701840220385655</v>
      </c>
      <c r="C230">
        <v>68.945300000000003</v>
      </c>
      <c r="D230">
        <f t="shared" si="12"/>
        <v>4.0724710759233389</v>
      </c>
      <c r="E230">
        <f t="shared" si="13"/>
        <v>4.2333134365787481</v>
      </c>
      <c r="F230">
        <f t="shared" si="14"/>
        <v>-1.6711979243371644E-2</v>
      </c>
      <c r="G230">
        <f t="shared" si="15"/>
        <v>8.3427395763457923E-3</v>
      </c>
    </row>
    <row r="231" spans="1:7" x14ac:dyDescent="0.2">
      <c r="A231" s="5">
        <v>34366</v>
      </c>
      <c r="B231">
        <v>55.89359779614324</v>
      </c>
      <c r="C231">
        <v>69.530199999999994</v>
      </c>
      <c r="D231">
        <f t="shared" si="12"/>
        <v>4.0234498440160511</v>
      </c>
      <c r="E231">
        <f t="shared" si="13"/>
        <v>4.2417611905629951</v>
      </c>
      <c r="F231">
        <f t="shared" si="14"/>
        <v>-4.9021231907287799E-2</v>
      </c>
      <c r="G231">
        <f t="shared" si="15"/>
        <v>8.4477539842469085E-3</v>
      </c>
    </row>
    <row r="232" spans="1:7" x14ac:dyDescent="0.2">
      <c r="A232" s="5">
        <v>34394</v>
      </c>
      <c r="B232">
        <v>67.421752066115687</v>
      </c>
      <c r="C232">
        <v>70.371899999999997</v>
      </c>
      <c r="D232">
        <f t="shared" si="12"/>
        <v>4.2109676968031016</v>
      </c>
      <c r="E232">
        <f t="shared" si="13"/>
        <v>4.2537940357560666</v>
      </c>
      <c r="F232">
        <f t="shared" si="14"/>
        <v>0.18751785278705047</v>
      </c>
      <c r="G232">
        <f t="shared" si="15"/>
        <v>1.2032845193071573E-2</v>
      </c>
    </row>
    <row r="233" spans="1:7" x14ac:dyDescent="0.2">
      <c r="A233" s="5">
        <v>34425</v>
      </c>
      <c r="B233">
        <v>61.390413223140477</v>
      </c>
      <c r="C233">
        <v>69.565100000000001</v>
      </c>
      <c r="D233">
        <f t="shared" si="12"/>
        <v>4.1172536865315985</v>
      </c>
      <c r="E233">
        <f t="shared" si="13"/>
        <v>4.2422630047972989</v>
      </c>
      <c r="F233">
        <f t="shared" si="14"/>
        <v>-9.3714010271503057E-2</v>
      </c>
      <c r="G233">
        <f t="shared" si="15"/>
        <v>-1.153103095876773E-2</v>
      </c>
    </row>
    <row r="234" spans="1:7" x14ac:dyDescent="0.2">
      <c r="A234" s="5">
        <v>34455</v>
      </c>
      <c r="B234">
        <v>68.865763085399422</v>
      </c>
      <c r="C234">
        <v>70.033199999999994</v>
      </c>
      <c r="D234">
        <f t="shared" si="12"/>
        <v>4.2321591471965894</v>
      </c>
      <c r="E234">
        <f t="shared" si="13"/>
        <v>4.2489694153257256</v>
      </c>
      <c r="F234">
        <f t="shared" si="14"/>
        <v>0.11490546066499085</v>
      </c>
      <c r="G234">
        <f t="shared" si="15"/>
        <v>6.7064105284266873E-3</v>
      </c>
    </row>
    <row r="235" spans="1:7" x14ac:dyDescent="0.2">
      <c r="A235" s="5">
        <v>34486</v>
      </c>
      <c r="B235">
        <v>68.754071625344338</v>
      </c>
      <c r="C235">
        <v>72.504900000000006</v>
      </c>
      <c r="D235">
        <f t="shared" si="12"/>
        <v>4.2305359584344027</v>
      </c>
      <c r="E235">
        <f t="shared" si="13"/>
        <v>4.2836541457836805</v>
      </c>
      <c r="F235">
        <f t="shared" si="14"/>
        <v>-1.6231887621867003E-3</v>
      </c>
      <c r="G235">
        <f t="shared" si="15"/>
        <v>3.4684730457954949E-2</v>
      </c>
    </row>
    <row r="236" spans="1:7" x14ac:dyDescent="0.2">
      <c r="A236" s="5">
        <v>34516</v>
      </c>
      <c r="B236">
        <v>70.222016528925593</v>
      </c>
      <c r="C236">
        <v>69.581999999999994</v>
      </c>
      <c r="D236">
        <f t="shared" si="12"/>
        <v>4.2516618876296555</v>
      </c>
      <c r="E236">
        <f t="shared" si="13"/>
        <v>4.2425059132026215</v>
      </c>
      <c r="F236">
        <f t="shared" si="14"/>
        <v>2.1125929195252802E-2</v>
      </c>
      <c r="G236">
        <f t="shared" si="15"/>
        <v>-4.1148232581059041E-2</v>
      </c>
    </row>
    <row r="237" spans="1:7" x14ac:dyDescent="0.2">
      <c r="A237" s="5">
        <v>34547</v>
      </c>
      <c r="B237">
        <v>76.636297520661131</v>
      </c>
      <c r="C237">
        <v>72.782700000000006</v>
      </c>
      <c r="D237">
        <f t="shared" si="12"/>
        <v>4.3390708224833885</v>
      </c>
      <c r="E237">
        <f t="shared" si="13"/>
        <v>4.287478289599771</v>
      </c>
      <c r="F237">
        <f t="shared" si="14"/>
        <v>8.7408934853733022E-2</v>
      </c>
      <c r="G237">
        <f t="shared" si="15"/>
        <v>4.4972376397149461E-2</v>
      </c>
    </row>
    <row r="238" spans="1:7" x14ac:dyDescent="0.2">
      <c r="A238" s="5">
        <v>34578</v>
      </c>
      <c r="B238">
        <v>74.522137741046805</v>
      </c>
      <c r="C238">
        <v>73.375200000000007</v>
      </c>
      <c r="D238">
        <f t="shared" si="12"/>
        <v>4.3110962321314679</v>
      </c>
      <c r="E238">
        <f t="shared" si="13"/>
        <v>4.295586003868566</v>
      </c>
      <c r="F238">
        <f t="shared" si="14"/>
        <v>-2.7974590351920625E-2</v>
      </c>
      <c r="G238">
        <f t="shared" si="15"/>
        <v>8.1077142687950854E-3</v>
      </c>
    </row>
    <row r="239" spans="1:7" x14ac:dyDescent="0.2">
      <c r="A239" s="5">
        <v>34608</v>
      </c>
      <c r="B239">
        <v>74.266842975206586</v>
      </c>
      <c r="C239">
        <v>73.3977</v>
      </c>
      <c r="D239">
        <f t="shared" si="12"/>
        <v>4.307664593375109</v>
      </c>
      <c r="E239">
        <f t="shared" si="13"/>
        <v>4.2958925999796502</v>
      </c>
      <c r="F239">
        <f t="shared" si="14"/>
        <v>-3.431638756358879E-3</v>
      </c>
      <c r="G239">
        <f t="shared" si="15"/>
        <v>3.0659611108418972E-4</v>
      </c>
    </row>
    <row r="240" spans="1:7" x14ac:dyDescent="0.2">
      <c r="A240" s="5">
        <v>34639</v>
      </c>
      <c r="B240">
        <v>74.306732782369124</v>
      </c>
      <c r="C240">
        <v>73.036900000000003</v>
      </c>
      <c r="D240">
        <f t="shared" si="12"/>
        <v>4.3082015638009414</v>
      </c>
      <c r="E240">
        <f t="shared" si="13"/>
        <v>4.2909647928887429</v>
      </c>
      <c r="F240">
        <f t="shared" si="14"/>
        <v>5.3697042583245036E-4</v>
      </c>
      <c r="G240">
        <f t="shared" si="15"/>
        <v>-4.9278070909073435E-3</v>
      </c>
    </row>
    <row r="241" spans="1:7" x14ac:dyDescent="0.2">
      <c r="A241" s="5">
        <v>34669</v>
      </c>
      <c r="B241">
        <v>70.253928374655629</v>
      </c>
      <c r="C241">
        <v>73.175600000000003</v>
      </c>
      <c r="D241">
        <f t="shared" si="12"/>
        <v>4.2521162265743184</v>
      </c>
      <c r="E241">
        <f t="shared" si="13"/>
        <v>4.2928620320660285</v>
      </c>
      <c r="F241">
        <f t="shared" si="14"/>
        <v>-5.6085337226623011E-2</v>
      </c>
      <c r="G241">
        <f t="shared" si="15"/>
        <v>1.8972391772855701E-3</v>
      </c>
    </row>
    <row r="242" spans="1:7" x14ac:dyDescent="0.2">
      <c r="A242" s="5">
        <v>34700</v>
      </c>
      <c r="B242">
        <v>68.650358126721741</v>
      </c>
      <c r="C242">
        <v>73.3322</v>
      </c>
      <c r="D242">
        <f t="shared" si="12"/>
        <v>4.2290263489042585</v>
      </c>
      <c r="E242">
        <f t="shared" si="13"/>
        <v>4.2949998030193743</v>
      </c>
      <c r="F242">
        <f t="shared" si="14"/>
        <v>-2.3089877670059877E-2</v>
      </c>
      <c r="G242">
        <f t="shared" si="15"/>
        <v>2.1377709533458855E-3</v>
      </c>
    </row>
    <row r="243" spans="1:7" x14ac:dyDescent="0.2">
      <c r="A243" s="5">
        <v>34731</v>
      </c>
      <c r="B243">
        <v>65.435239669421463</v>
      </c>
      <c r="C243">
        <v>74.106700000000004</v>
      </c>
      <c r="D243">
        <f t="shared" si="12"/>
        <v>4.1810609462106232</v>
      </c>
      <c r="E243">
        <f t="shared" si="13"/>
        <v>4.3055059465681245</v>
      </c>
      <c r="F243">
        <f t="shared" si="14"/>
        <v>-4.7965402693635362E-2</v>
      </c>
      <c r="G243">
        <f t="shared" si="15"/>
        <v>1.0506143548750124E-2</v>
      </c>
    </row>
    <row r="244" spans="1:7" x14ac:dyDescent="0.2">
      <c r="A244" s="5">
        <v>34759</v>
      </c>
      <c r="B244">
        <v>76.34909090909089</v>
      </c>
      <c r="C244">
        <v>74.580500000000001</v>
      </c>
      <c r="D244">
        <f t="shared" si="12"/>
        <v>4.3353161247056189</v>
      </c>
      <c r="E244">
        <f t="shared" si="13"/>
        <v>4.3118790789384454</v>
      </c>
      <c r="F244">
        <f t="shared" si="14"/>
        <v>0.1542551784949957</v>
      </c>
      <c r="G244">
        <f t="shared" si="15"/>
        <v>6.3731323703208886E-3</v>
      </c>
    </row>
    <row r="245" spans="1:7" x14ac:dyDescent="0.2">
      <c r="A245" s="5">
        <v>34790</v>
      </c>
      <c r="B245">
        <v>68.546644628099159</v>
      </c>
      <c r="C245">
        <v>72.598799999999997</v>
      </c>
      <c r="D245">
        <f t="shared" si="12"/>
        <v>4.2275144570072651</v>
      </c>
      <c r="E245">
        <f t="shared" si="13"/>
        <v>4.2849483927685261</v>
      </c>
      <c r="F245">
        <f t="shared" si="14"/>
        <v>-0.10780166769835375</v>
      </c>
      <c r="G245">
        <f t="shared" si="15"/>
        <v>-2.6930686169919227E-2</v>
      </c>
    </row>
    <row r="246" spans="1:7" x14ac:dyDescent="0.2">
      <c r="A246" s="5">
        <v>34820</v>
      </c>
      <c r="B246">
        <v>67.956275482093659</v>
      </c>
      <c r="C246">
        <v>73.269099999999995</v>
      </c>
      <c r="D246">
        <f t="shared" si="12"/>
        <v>4.2188644907417778</v>
      </c>
      <c r="E246">
        <f t="shared" si="13"/>
        <v>4.2941389647608235</v>
      </c>
      <c r="F246">
        <f t="shared" si="14"/>
        <v>-8.6499662654873077E-3</v>
      </c>
      <c r="G246">
        <f t="shared" si="15"/>
        <v>9.1905719922973361E-3</v>
      </c>
    </row>
    <row r="247" spans="1:7" x14ac:dyDescent="0.2">
      <c r="A247" s="5">
        <v>34851</v>
      </c>
      <c r="B247">
        <v>71.322975206611559</v>
      </c>
      <c r="C247">
        <v>75.869399999999999</v>
      </c>
      <c r="D247">
        <f t="shared" si="12"/>
        <v>4.2672185084261791</v>
      </c>
      <c r="E247">
        <f t="shared" si="13"/>
        <v>4.3290134410545766</v>
      </c>
      <c r="F247">
        <f t="shared" si="14"/>
        <v>4.8354017684401285E-2</v>
      </c>
      <c r="G247">
        <f t="shared" si="15"/>
        <v>3.4874476293753176E-2</v>
      </c>
    </row>
    <row r="248" spans="1:7" x14ac:dyDescent="0.2">
      <c r="A248" s="5">
        <v>34881</v>
      </c>
      <c r="B248">
        <v>70.604958677685943</v>
      </c>
      <c r="C248">
        <v>72.534999999999997</v>
      </c>
      <c r="D248">
        <f t="shared" si="12"/>
        <v>4.2571003782605938</v>
      </c>
      <c r="E248">
        <f t="shared" si="13"/>
        <v>4.2840692039908657</v>
      </c>
      <c r="F248">
        <f t="shared" si="14"/>
        <v>-1.0118130165585271E-2</v>
      </c>
      <c r="G248">
        <f t="shared" si="15"/>
        <v>-4.4944237063710979E-2</v>
      </c>
    </row>
    <row r="249" spans="1:7" x14ac:dyDescent="0.2">
      <c r="A249" s="5">
        <v>34912</v>
      </c>
      <c r="B249">
        <v>72.647316804407708</v>
      </c>
      <c r="C249">
        <v>76.267399999999995</v>
      </c>
      <c r="D249">
        <f t="shared" si="12"/>
        <v>4.2856164561533463</v>
      </c>
      <c r="E249">
        <f t="shared" si="13"/>
        <v>4.3342455861759213</v>
      </c>
      <c r="F249">
        <f t="shared" si="14"/>
        <v>2.8516077892752456E-2</v>
      </c>
      <c r="G249">
        <f t="shared" si="15"/>
        <v>5.0176382185055601E-2</v>
      </c>
    </row>
    <row r="250" spans="1:7" x14ac:dyDescent="0.2">
      <c r="A250" s="5">
        <v>34943</v>
      </c>
      <c r="B250">
        <v>69.527933884297511</v>
      </c>
      <c r="C250">
        <v>76.952299999999994</v>
      </c>
      <c r="D250">
        <f t="shared" si="12"/>
        <v>4.24172859821274</v>
      </c>
      <c r="E250">
        <f t="shared" si="13"/>
        <v>4.3431857493768664</v>
      </c>
      <c r="F250">
        <f t="shared" si="14"/>
        <v>-4.3887857940606345E-2</v>
      </c>
      <c r="G250">
        <f t="shared" si="15"/>
        <v>8.9401632009451504E-3</v>
      </c>
    </row>
    <row r="251" spans="1:7" x14ac:dyDescent="0.2">
      <c r="A251" s="5">
        <v>34973</v>
      </c>
      <c r="B251">
        <v>72.447867768595032</v>
      </c>
      <c r="C251">
        <v>75.983000000000004</v>
      </c>
      <c r="D251">
        <f t="shared" si="12"/>
        <v>4.2828672379484471</v>
      </c>
      <c r="E251">
        <f t="shared" si="13"/>
        <v>4.3305096310547606</v>
      </c>
      <c r="F251">
        <f t="shared" si="14"/>
        <v>4.1138639735707194E-2</v>
      </c>
      <c r="G251">
        <f t="shared" si="15"/>
        <v>-1.26761183221058E-2</v>
      </c>
    </row>
    <row r="252" spans="1:7" x14ac:dyDescent="0.2">
      <c r="A252" s="5">
        <v>35004</v>
      </c>
      <c r="B252">
        <v>70.9001432506887</v>
      </c>
      <c r="C252">
        <v>75.396199999999993</v>
      </c>
      <c r="D252">
        <f t="shared" si="12"/>
        <v>4.2612724539970941</v>
      </c>
      <c r="E252">
        <f t="shared" si="13"/>
        <v>4.3227568758659105</v>
      </c>
      <c r="F252">
        <f t="shared" si="14"/>
        <v>-2.1594783951353058E-2</v>
      </c>
      <c r="G252">
        <f t="shared" si="15"/>
        <v>-7.7527551888501023E-3</v>
      </c>
    </row>
    <row r="253" spans="1:7" x14ac:dyDescent="0.2">
      <c r="A253" s="5">
        <v>35034</v>
      </c>
      <c r="B253">
        <v>61.885046831955904</v>
      </c>
      <c r="C253">
        <v>75.235799999999998</v>
      </c>
      <c r="D253">
        <f t="shared" si="12"/>
        <v>4.1252785807494901</v>
      </c>
      <c r="E253">
        <f t="shared" si="13"/>
        <v>4.3206271815031476</v>
      </c>
      <c r="F253">
        <f t="shared" si="14"/>
        <v>-0.13599387324760404</v>
      </c>
      <c r="G253">
        <f t="shared" si="15"/>
        <v>-2.1296943627628906E-3</v>
      </c>
    </row>
    <row r="254" spans="1:7" x14ac:dyDescent="0.2">
      <c r="A254" s="5">
        <v>35065</v>
      </c>
      <c r="B254">
        <v>62.587107438016524</v>
      </c>
      <c r="C254">
        <v>74.680300000000003</v>
      </c>
      <c r="D254">
        <f t="shared" si="12"/>
        <v>4.1365593054257523</v>
      </c>
      <c r="E254">
        <f t="shared" si="13"/>
        <v>4.31321633580525</v>
      </c>
      <c r="F254">
        <f t="shared" si="14"/>
        <v>1.1280724676262288E-2</v>
      </c>
      <c r="G254">
        <f t="shared" si="15"/>
        <v>-7.4108456978976278E-3</v>
      </c>
    </row>
    <row r="255" spans="1:7" x14ac:dyDescent="0.2">
      <c r="A255" s="5">
        <v>35096</v>
      </c>
      <c r="B255">
        <v>61.334567493112935</v>
      </c>
      <c r="C255">
        <v>76.506399999999999</v>
      </c>
      <c r="D255">
        <f t="shared" si="12"/>
        <v>4.1163435909087474</v>
      </c>
      <c r="E255">
        <f t="shared" si="13"/>
        <v>4.3373743974638952</v>
      </c>
      <c r="F255">
        <f t="shared" si="14"/>
        <v>-2.021571451700499E-2</v>
      </c>
      <c r="G255">
        <f t="shared" si="15"/>
        <v>2.4158061658645202E-2</v>
      </c>
    </row>
    <row r="256" spans="1:7" x14ac:dyDescent="0.2">
      <c r="A256" s="5">
        <v>35125</v>
      </c>
      <c r="B256">
        <v>67.429730027548203</v>
      </c>
      <c r="C256">
        <v>76.899799999999999</v>
      </c>
      <c r="D256">
        <f t="shared" si="12"/>
        <v>4.2110860189945667</v>
      </c>
      <c r="E256">
        <f t="shared" si="13"/>
        <v>4.3425032757279824</v>
      </c>
      <c r="F256">
        <f t="shared" si="14"/>
        <v>9.4742428085819341E-2</v>
      </c>
      <c r="G256">
        <f t="shared" si="15"/>
        <v>5.1288782640872554E-3</v>
      </c>
    </row>
    <row r="257" spans="1:7" x14ac:dyDescent="0.2">
      <c r="A257" s="5">
        <v>35156</v>
      </c>
      <c r="B257">
        <v>66.919140495867765</v>
      </c>
      <c r="C257">
        <v>75.8964</v>
      </c>
      <c r="D257">
        <f t="shared" si="12"/>
        <v>4.2034850322804296</v>
      </c>
      <c r="E257">
        <f t="shared" si="13"/>
        <v>4.3293692524466669</v>
      </c>
      <c r="F257">
        <f t="shared" si="14"/>
        <v>-7.6009867141371146E-3</v>
      </c>
      <c r="G257">
        <f t="shared" si="15"/>
        <v>-1.3134023281315521E-2</v>
      </c>
    </row>
    <row r="258" spans="1:7" x14ac:dyDescent="0.2">
      <c r="A258" s="5">
        <v>35186</v>
      </c>
      <c r="B258">
        <v>72.407977961432508</v>
      </c>
      <c r="C258">
        <v>76.554000000000002</v>
      </c>
      <c r="D258">
        <f t="shared" si="12"/>
        <v>4.2823164861583516</v>
      </c>
      <c r="E258">
        <f t="shared" si="13"/>
        <v>4.3379963741676608</v>
      </c>
      <c r="F258">
        <f t="shared" si="14"/>
        <v>7.8831453877922009E-2</v>
      </c>
      <c r="G258">
        <f t="shared" si="15"/>
        <v>8.6271217209938911E-3</v>
      </c>
    </row>
    <row r="259" spans="1:7" x14ac:dyDescent="0.2">
      <c r="A259" s="5">
        <v>35217</v>
      </c>
      <c r="B259">
        <v>68.74609366391185</v>
      </c>
      <c r="C259">
        <v>79.692099999999996</v>
      </c>
      <c r="D259">
        <f t="shared" ref="D259:D322" si="16">LN(B259)</f>
        <v>4.2304199154983859</v>
      </c>
      <c r="E259">
        <f t="shared" ref="E259:E322" si="17">LN(C259)</f>
        <v>4.3781704591768893</v>
      </c>
      <c r="F259">
        <f t="shared" ref="F259:F322" si="18">D259-D258</f>
        <v>-5.1896570659965668E-2</v>
      </c>
      <c r="G259">
        <f t="shared" ref="G259:G322" si="19">E259-E258</f>
        <v>4.0174085009228477E-2</v>
      </c>
    </row>
    <row r="260" spans="1:7" x14ac:dyDescent="0.2">
      <c r="A260" s="5">
        <v>35247</v>
      </c>
      <c r="B260">
        <v>77.697366391184573</v>
      </c>
      <c r="C260">
        <v>76.225800000000007</v>
      </c>
      <c r="D260">
        <f t="shared" si="16"/>
        <v>4.3528213622198182</v>
      </c>
      <c r="E260">
        <f t="shared" si="17"/>
        <v>4.3336999880635867</v>
      </c>
      <c r="F260">
        <f t="shared" si="18"/>
        <v>0.12240144672143227</v>
      </c>
      <c r="G260">
        <f t="shared" si="19"/>
        <v>-4.4470471113302601E-2</v>
      </c>
    </row>
    <row r="261" spans="1:7" x14ac:dyDescent="0.2">
      <c r="A261" s="5">
        <v>35278</v>
      </c>
      <c r="B261">
        <v>77.186776859504135</v>
      </c>
      <c r="C261">
        <v>79.870199999999997</v>
      </c>
      <c r="D261">
        <f t="shared" si="16"/>
        <v>4.3462281581566016</v>
      </c>
      <c r="E261">
        <f t="shared" si="17"/>
        <v>4.3804028169952742</v>
      </c>
      <c r="F261">
        <f t="shared" si="18"/>
        <v>-6.5932040632166178E-3</v>
      </c>
      <c r="G261">
        <f t="shared" si="19"/>
        <v>4.6702828931687534E-2</v>
      </c>
    </row>
    <row r="262" spans="1:7" x14ac:dyDescent="0.2">
      <c r="A262" s="5">
        <v>35309</v>
      </c>
      <c r="B262">
        <v>75.431625344352625</v>
      </c>
      <c r="C262">
        <v>80.947500000000005</v>
      </c>
      <c r="D262">
        <f t="shared" si="16"/>
        <v>4.3232266213511767</v>
      </c>
      <c r="E262">
        <f t="shared" si="17"/>
        <v>4.3938007963854737</v>
      </c>
      <c r="F262">
        <f t="shared" si="18"/>
        <v>-2.3001536805424827E-2</v>
      </c>
      <c r="G262">
        <f t="shared" si="19"/>
        <v>1.3397979390199488E-2</v>
      </c>
    </row>
    <row r="263" spans="1:7" x14ac:dyDescent="0.2">
      <c r="A263" s="5">
        <v>35339</v>
      </c>
      <c r="B263">
        <v>78.838214876033064</v>
      </c>
      <c r="C263">
        <v>79.9619</v>
      </c>
      <c r="D263">
        <f t="shared" si="16"/>
        <v>4.3673978396643145</v>
      </c>
      <c r="E263">
        <f t="shared" si="17"/>
        <v>4.3815502712308305</v>
      </c>
      <c r="F263">
        <f t="shared" si="18"/>
        <v>4.417121831313775E-2</v>
      </c>
      <c r="G263">
        <f t="shared" si="19"/>
        <v>-1.2250525154643199E-2</v>
      </c>
    </row>
    <row r="264" spans="1:7" x14ac:dyDescent="0.2">
      <c r="A264" s="5">
        <v>35370</v>
      </c>
      <c r="B264">
        <v>75.256110192837468</v>
      </c>
      <c r="C264">
        <v>79.871700000000004</v>
      </c>
      <c r="D264">
        <f t="shared" si="16"/>
        <v>4.3208970989084721</v>
      </c>
      <c r="E264">
        <f t="shared" si="17"/>
        <v>4.3804215972902387</v>
      </c>
      <c r="F264">
        <f t="shared" si="18"/>
        <v>-4.6500740755842429E-2</v>
      </c>
      <c r="G264">
        <f t="shared" si="19"/>
        <v>-1.1286739405917956E-3</v>
      </c>
    </row>
    <row r="265" spans="1:7" x14ac:dyDescent="0.2">
      <c r="A265" s="5">
        <v>35400</v>
      </c>
      <c r="B265">
        <v>66.911162534435277</v>
      </c>
      <c r="C265">
        <v>79.697199999999995</v>
      </c>
      <c r="D265">
        <f t="shared" si="16"/>
        <v>4.2033658072430313</v>
      </c>
      <c r="E265">
        <f t="shared" si="17"/>
        <v>4.3782344534349953</v>
      </c>
      <c r="F265">
        <f t="shared" si="18"/>
        <v>-0.11753129166544074</v>
      </c>
      <c r="G265">
        <f t="shared" si="19"/>
        <v>-2.1871438552434341E-3</v>
      </c>
    </row>
    <row r="266" spans="1:7" x14ac:dyDescent="0.2">
      <c r="A266" s="5">
        <v>35431</v>
      </c>
      <c r="B266">
        <v>66.919140495867765</v>
      </c>
      <c r="C266">
        <v>79.762299999999996</v>
      </c>
      <c r="D266">
        <f t="shared" si="16"/>
        <v>4.2034850322804296</v>
      </c>
      <c r="E266">
        <f t="shared" si="17"/>
        <v>4.379050961747347</v>
      </c>
      <c r="F266">
        <f t="shared" si="18"/>
        <v>1.1922503739825174E-4</v>
      </c>
      <c r="G266">
        <f t="shared" si="19"/>
        <v>8.1650831235169363E-4</v>
      </c>
    </row>
    <row r="267" spans="1:7" x14ac:dyDescent="0.2">
      <c r="A267" s="5">
        <v>35462</v>
      </c>
      <c r="B267">
        <v>63.424793388429755</v>
      </c>
      <c r="C267">
        <v>81.440700000000007</v>
      </c>
      <c r="D267">
        <f t="shared" si="16"/>
        <v>4.1498548479069965</v>
      </c>
      <c r="E267">
        <f t="shared" si="17"/>
        <v>4.3998751480501461</v>
      </c>
      <c r="F267">
        <f t="shared" si="18"/>
        <v>-5.3630184373433032E-2</v>
      </c>
      <c r="G267">
        <f t="shared" si="19"/>
        <v>2.0824186302799141E-2</v>
      </c>
    </row>
    <row r="268" spans="1:7" x14ac:dyDescent="0.2">
      <c r="A268" s="5">
        <v>35490</v>
      </c>
      <c r="B268">
        <v>70.876209366391194</v>
      </c>
      <c r="C268">
        <v>82.321100000000001</v>
      </c>
      <c r="D268">
        <f t="shared" si="16"/>
        <v>4.2609348252729378</v>
      </c>
      <c r="E268">
        <f t="shared" si="17"/>
        <v>4.4106274539243691</v>
      </c>
      <c r="F268">
        <f t="shared" si="18"/>
        <v>0.11107997736594122</v>
      </c>
      <c r="G268">
        <f t="shared" si="19"/>
        <v>1.0752305874222934E-2</v>
      </c>
    </row>
    <row r="269" spans="1:7" x14ac:dyDescent="0.2">
      <c r="A269" s="5">
        <v>35521</v>
      </c>
      <c r="B269">
        <v>72.607426997245184</v>
      </c>
      <c r="C269">
        <v>81.412300000000002</v>
      </c>
      <c r="D269">
        <f t="shared" si="16"/>
        <v>4.2850672168359747</v>
      </c>
      <c r="E269">
        <f t="shared" si="17"/>
        <v>4.3995263672442917</v>
      </c>
      <c r="F269">
        <f t="shared" si="18"/>
        <v>2.4132391563036926E-2</v>
      </c>
      <c r="G269">
        <f t="shared" si="19"/>
        <v>-1.1101086680077366E-2</v>
      </c>
    </row>
    <row r="270" spans="1:7" x14ac:dyDescent="0.2">
      <c r="A270" s="5">
        <v>35551</v>
      </c>
      <c r="B270">
        <v>74.53011570247935</v>
      </c>
      <c r="C270">
        <v>81.5137</v>
      </c>
      <c r="D270">
        <f t="shared" si="16"/>
        <v>4.3112032813206724</v>
      </c>
      <c r="E270">
        <f t="shared" si="17"/>
        <v>4.4007711042794133</v>
      </c>
      <c r="F270">
        <f t="shared" si="18"/>
        <v>2.6136064484697741E-2</v>
      </c>
      <c r="G270">
        <f t="shared" si="19"/>
        <v>1.2447370351216236E-3</v>
      </c>
    </row>
    <row r="271" spans="1:7" x14ac:dyDescent="0.2">
      <c r="A271" s="5">
        <v>35582</v>
      </c>
      <c r="B271">
        <v>75.631074380165302</v>
      </c>
      <c r="C271">
        <v>84.075999999999993</v>
      </c>
      <c r="D271">
        <f t="shared" si="16"/>
        <v>4.3258672355076868</v>
      </c>
      <c r="E271">
        <f t="shared" si="17"/>
        <v>4.4317211516977331</v>
      </c>
      <c r="F271">
        <f t="shared" si="18"/>
        <v>1.4663954187014383E-2</v>
      </c>
      <c r="G271">
        <f t="shared" si="19"/>
        <v>3.0950047418319748E-2</v>
      </c>
    </row>
    <row r="272" spans="1:7" x14ac:dyDescent="0.2">
      <c r="A272" s="5">
        <v>35612</v>
      </c>
      <c r="B272">
        <v>78.806303030303056</v>
      </c>
      <c r="C272">
        <v>80.716300000000004</v>
      </c>
      <c r="D272">
        <f t="shared" si="16"/>
        <v>4.3669929813591892</v>
      </c>
      <c r="E272">
        <f t="shared" si="17"/>
        <v>4.3909405375319501</v>
      </c>
      <c r="F272">
        <f t="shared" si="18"/>
        <v>4.1125745851502415E-2</v>
      </c>
      <c r="G272">
        <f t="shared" si="19"/>
        <v>-4.0780614165782936E-2</v>
      </c>
    </row>
    <row r="273" spans="1:7" x14ac:dyDescent="0.2">
      <c r="A273" s="5">
        <v>35643</v>
      </c>
      <c r="B273">
        <v>78.886082644628118</v>
      </c>
      <c r="C273">
        <v>85.2607</v>
      </c>
      <c r="D273">
        <f t="shared" si="16"/>
        <v>4.3680048199560915</v>
      </c>
      <c r="E273">
        <f t="shared" si="17"/>
        <v>4.4457136214839847</v>
      </c>
      <c r="F273">
        <f t="shared" si="18"/>
        <v>1.011838596902237E-3</v>
      </c>
      <c r="G273">
        <f t="shared" si="19"/>
        <v>5.4773083952034618E-2</v>
      </c>
    </row>
    <row r="274" spans="1:7" x14ac:dyDescent="0.2">
      <c r="A274" s="5">
        <v>35674</v>
      </c>
      <c r="B274">
        <v>80.609322314049621</v>
      </c>
      <c r="C274">
        <v>86.751499999999993</v>
      </c>
      <c r="D274">
        <f t="shared" si="16"/>
        <v>4.3896143042889468</v>
      </c>
      <c r="E274">
        <f t="shared" si="17"/>
        <v>4.463047709743762</v>
      </c>
      <c r="F274">
        <f t="shared" si="18"/>
        <v>2.1609484332855367E-2</v>
      </c>
      <c r="G274">
        <f t="shared" si="19"/>
        <v>1.7334088259777225E-2</v>
      </c>
    </row>
    <row r="275" spans="1:7" x14ac:dyDescent="0.2">
      <c r="A275" s="5">
        <v>35704</v>
      </c>
      <c r="B275">
        <v>82.675614325068892</v>
      </c>
      <c r="C275">
        <v>86.739800000000002</v>
      </c>
      <c r="D275">
        <f t="shared" si="16"/>
        <v>4.4149246894428371</v>
      </c>
      <c r="E275">
        <f t="shared" si="17"/>
        <v>4.4629128326632665</v>
      </c>
      <c r="F275">
        <f t="shared" si="18"/>
        <v>2.531038515389028E-2</v>
      </c>
      <c r="G275">
        <f t="shared" si="19"/>
        <v>-1.3487708049542135E-4</v>
      </c>
    </row>
    <row r="276" spans="1:7" x14ac:dyDescent="0.2">
      <c r="A276" s="5">
        <v>35735</v>
      </c>
      <c r="B276">
        <v>74.107283746556504</v>
      </c>
      <c r="C276">
        <v>87.084100000000007</v>
      </c>
      <c r="D276">
        <f t="shared" si="16"/>
        <v>4.3055138236461401</v>
      </c>
      <c r="E276">
        <f t="shared" si="17"/>
        <v>4.4668743183999089</v>
      </c>
      <c r="F276">
        <f t="shared" si="18"/>
        <v>-0.10941086579669701</v>
      </c>
      <c r="G276">
        <f t="shared" si="19"/>
        <v>3.961485736642345E-3</v>
      </c>
    </row>
    <row r="277" spans="1:7" x14ac:dyDescent="0.2">
      <c r="A277" s="5">
        <v>35765</v>
      </c>
      <c r="B277">
        <v>64.749134986225911</v>
      </c>
      <c r="C277">
        <v>86.895099999999999</v>
      </c>
      <c r="D277">
        <f t="shared" si="16"/>
        <v>4.170520341204325</v>
      </c>
      <c r="E277">
        <f t="shared" si="17"/>
        <v>4.4647016440302361</v>
      </c>
      <c r="F277">
        <f t="shared" si="18"/>
        <v>-0.13499348244181508</v>
      </c>
      <c r="G277">
        <f t="shared" si="19"/>
        <v>-2.1726743696728334E-3</v>
      </c>
    </row>
    <row r="278" spans="1:7" x14ac:dyDescent="0.2">
      <c r="A278" s="5">
        <v>35796</v>
      </c>
      <c r="B278">
        <v>64.477884297520674</v>
      </c>
      <c r="C278">
        <v>86.482100000000003</v>
      </c>
      <c r="D278">
        <f t="shared" si="16"/>
        <v>4.1663222858970386</v>
      </c>
      <c r="E278">
        <f t="shared" si="17"/>
        <v>4.4599374561073546</v>
      </c>
      <c r="F278">
        <f t="shared" si="18"/>
        <v>-4.1980553072864524E-3</v>
      </c>
      <c r="G278">
        <f t="shared" si="19"/>
        <v>-4.7641879228814688E-3</v>
      </c>
    </row>
    <row r="279" spans="1:7" x14ac:dyDescent="0.2">
      <c r="A279" s="5">
        <v>35827</v>
      </c>
      <c r="B279">
        <v>62.818468319559244</v>
      </c>
      <c r="C279">
        <v>87.638099999999994</v>
      </c>
      <c r="D279">
        <f t="shared" si="16"/>
        <v>4.1402491117623024</v>
      </c>
      <c r="E279">
        <f t="shared" si="17"/>
        <v>4.4732158348939031</v>
      </c>
      <c r="F279">
        <f t="shared" si="18"/>
        <v>-2.6073174134736199E-2</v>
      </c>
      <c r="G279">
        <f t="shared" si="19"/>
        <v>1.3278378786548473E-2</v>
      </c>
    </row>
    <row r="280" spans="1:7" x14ac:dyDescent="0.2">
      <c r="A280" s="5">
        <v>35855</v>
      </c>
      <c r="B280">
        <v>73.133972451790655</v>
      </c>
      <c r="C280">
        <v>88.436499999999995</v>
      </c>
      <c r="D280">
        <f t="shared" si="16"/>
        <v>4.292292998220395</v>
      </c>
      <c r="E280">
        <f t="shared" si="17"/>
        <v>4.4822847803531323</v>
      </c>
      <c r="F280">
        <f t="shared" si="18"/>
        <v>0.15204388645809264</v>
      </c>
      <c r="G280">
        <f t="shared" si="19"/>
        <v>9.0689454592292051E-3</v>
      </c>
    </row>
    <row r="281" spans="1:7" x14ac:dyDescent="0.2">
      <c r="A281" s="5">
        <v>35886</v>
      </c>
      <c r="B281">
        <v>70.357641873278254</v>
      </c>
      <c r="C281">
        <v>86.300799999999995</v>
      </c>
      <c r="D281">
        <f t="shared" si="16"/>
        <v>4.2535914041468006</v>
      </c>
      <c r="E281">
        <f t="shared" si="17"/>
        <v>4.4578388680348286</v>
      </c>
      <c r="F281">
        <f t="shared" si="18"/>
        <v>-3.8701594073594414E-2</v>
      </c>
      <c r="G281">
        <f t="shared" si="19"/>
        <v>-2.444591231830362E-2</v>
      </c>
    </row>
    <row r="282" spans="1:7" x14ac:dyDescent="0.2">
      <c r="A282" s="5">
        <v>35916</v>
      </c>
      <c r="B282">
        <v>75.519382920110203</v>
      </c>
      <c r="C282">
        <v>87.599400000000003</v>
      </c>
      <c r="D282">
        <f t="shared" si="16"/>
        <v>4.3243893507248128</v>
      </c>
      <c r="E282">
        <f t="shared" si="17"/>
        <v>4.4727741486038211</v>
      </c>
      <c r="F282">
        <f t="shared" si="18"/>
        <v>7.0797946578012194E-2</v>
      </c>
      <c r="G282">
        <f t="shared" si="19"/>
        <v>1.4935280568992404E-2</v>
      </c>
    </row>
    <row r="283" spans="1:7" x14ac:dyDescent="0.2">
      <c r="A283" s="5">
        <v>35947</v>
      </c>
      <c r="B283">
        <v>75.511404958677701</v>
      </c>
      <c r="C283">
        <v>89.001900000000006</v>
      </c>
      <c r="D283">
        <f t="shared" si="16"/>
        <v>4.3242837039020428</v>
      </c>
      <c r="E283">
        <f t="shared" si="17"/>
        <v>4.4886577178188745</v>
      </c>
      <c r="F283">
        <f t="shared" si="18"/>
        <v>-1.0564682277003357E-4</v>
      </c>
      <c r="G283">
        <f t="shared" si="19"/>
        <v>1.5883569215053406E-2</v>
      </c>
    </row>
    <row r="284" spans="1:7" x14ac:dyDescent="0.2">
      <c r="A284" s="5">
        <v>35977</v>
      </c>
      <c r="B284">
        <v>78.8701267217631</v>
      </c>
      <c r="C284">
        <v>85.706100000000006</v>
      </c>
      <c r="D284">
        <f t="shared" si="16"/>
        <v>4.3678025341255236</v>
      </c>
      <c r="E284">
        <f t="shared" si="17"/>
        <v>4.4509240016004181</v>
      </c>
      <c r="F284">
        <f t="shared" si="18"/>
        <v>4.3518830223480798E-2</v>
      </c>
      <c r="G284">
        <f t="shared" si="19"/>
        <v>-3.7733716218456337E-2</v>
      </c>
    </row>
    <row r="285" spans="1:7" x14ac:dyDescent="0.2">
      <c r="A285" s="5">
        <v>36008</v>
      </c>
      <c r="B285">
        <v>77.338358126721772</v>
      </c>
      <c r="C285">
        <v>90.473399999999998</v>
      </c>
      <c r="D285">
        <f t="shared" si="16"/>
        <v>4.3481900566639409</v>
      </c>
      <c r="E285">
        <f t="shared" si="17"/>
        <v>4.5050558848502185</v>
      </c>
      <c r="F285">
        <f t="shared" si="18"/>
        <v>-1.9612477461582678E-2</v>
      </c>
      <c r="G285">
        <f t="shared" si="19"/>
        <v>5.4131883249800339E-2</v>
      </c>
    </row>
    <row r="286" spans="1:7" x14ac:dyDescent="0.2">
      <c r="A286" s="5">
        <v>36039</v>
      </c>
      <c r="B286">
        <v>76.301223140495878</v>
      </c>
      <c r="C286">
        <v>90.215100000000007</v>
      </c>
      <c r="D286">
        <f t="shared" si="16"/>
        <v>4.3346889688368346</v>
      </c>
      <c r="E286">
        <f t="shared" si="17"/>
        <v>4.502196818822763</v>
      </c>
      <c r="F286">
        <f t="shared" si="18"/>
        <v>-1.350108782710624E-2</v>
      </c>
      <c r="G286">
        <f t="shared" si="19"/>
        <v>-2.859066027455448E-3</v>
      </c>
    </row>
    <row r="287" spans="1:7" x14ac:dyDescent="0.2">
      <c r="A287" s="5">
        <v>36069</v>
      </c>
      <c r="B287">
        <v>75.670964187327826</v>
      </c>
      <c r="C287">
        <v>90.847499999999997</v>
      </c>
      <c r="D287">
        <f t="shared" si="16"/>
        <v>4.3263945226277336</v>
      </c>
      <c r="E287">
        <f t="shared" si="17"/>
        <v>4.5091822765769303</v>
      </c>
      <c r="F287">
        <f t="shared" si="18"/>
        <v>-8.2944462091010251E-3</v>
      </c>
      <c r="G287">
        <f t="shared" si="19"/>
        <v>6.9854577541672569E-3</v>
      </c>
    </row>
    <row r="288" spans="1:7" x14ac:dyDescent="0.2">
      <c r="A288" s="5">
        <v>36100</v>
      </c>
      <c r="B288">
        <v>72.679228650137745</v>
      </c>
      <c r="C288">
        <v>89.981499999999997</v>
      </c>
      <c r="D288">
        <f t="shared" si="16"/>
        <v>4.2860556305126236</v>
      </c>
      <c r="E288">
        <f t="shared" si="17"/>
        <v>4.4996040936452708</v>
      </c>
      <c r="F288">
        <f t="shared" si="18"/>
        <v>-4.0338892115109992E-2</v>
      </c>
      <c r="G288">
        <f t="shared" si="19"/>
        <v>-9.5781829316594624E-3</v>
      </c>
    </row>
    <row r="289" spans="1:7" x14ac:dyDescent="0.2">
      <c r="A289" s="5">
        <v>36130</v>
      </c>
      <c r="B289">
        <v>63.233322314049602</v>
      </c>
      <c r="C289">
        <v>89.849400000000003</v>
      </c>
      <c r="D289">
        <f t="shared" si="16"/>
        <v>4.1468314140090001</v>
      </c>
      <c r="E289">
        <f t="shared" si="17"/>
        <v>4.4981349354109446</v>
      </c>
      <c r="F289">
        <f t="shared" si="18"/>
        <v>-0.13922421650362349</v>
      </c>
      <c r="G289">
        <f t="shared" si="19"/>
        <v>-1.469158234326251E-3</v>
      </c>
    </row>
    <row r="290" spans="1:7" x14ac:dyDescent="0.2">
      <c r="A290" s="5">
        <v>36161</v>
      </c>
      <c r="B290">
        <v>62.283944903581272</v>
      </c>
      <c r="C290">
        <v>89.878799999999998</v>
      </c>
      <c r="D290">
        <f t="shared" si="16"/>
        <v>4.1317036863789101</v>
      </c>
      <c r="E290">
        <f t="shared" si="17"/>
        <v>4.4984620960931547</v>
      </c>
      <c r="F290">
        <f t="shared" si="18"/>
        <v>-1.5127727630090071E-2</v>
      </c>
      <c r="G290">
        <f t="shared" si="19"/>
        <v>3.2716068221017025E-4</v>
      </c>
    </row>
    <row r="291" spans="1:7" x14ac:dyDescent="0.2">
      <c r="A291" s="5">
        <v>36192</v>
      </c>
      <c r="B291">
        <v>59.730997245179076</v>
      </c>
      <c r="C291">
        <v>90.911100000000005</v>
      </c>
      <c r="D291">
        <f t="shared" si="16"/>
        <v>4.0898511024893045</v>
      </c>
      <c r="E291">
        <f t="shared" si="17"/>
        <v>4.5098821059395648</v>
      </c>
      <c r="F291">
        <f t="shared" si="18"/>
        <v>-4.1852583889605555E-2</v>
      </c>
      <c r="G291">
        <f t="shared" si="19"/>
        <v>1.1420009846410117E-2</v>
      </c>
    </row>
    <row r="292" spans="1:7" x14ac:dyDescent="0.2">
      <c r="A292" s="5">
        <v>36220</v>
      </c>
      <c r="B292">
        <v>71.147460055096431</v>
      </c>
      <c r="C292">
        <v>92.314999999999998</v>
      </c>
      <c r="D292">
        <f t="shared" si="16"/>
        <v>4.2647546254460416</v>
      </c>
      <c r="E292">
        <f t="shared" si="17"/>
        <v>4.5252066418477064</v>
      </c>
      <c r="F292">
        <f t="shared" si="18"/>
        <v>0.17490352295673706</v>
      </c>
      <c r="G292">
        <f t="shared" si="19"/>
        <v>1.5324535908141534E-2</v>
      </c>
    </row>
    <row r="293" spans="1:7" x14ac:dyDescent="0.2">
      <c r="A293" s="5">
        <v>36251</v>
      </c>
      <c r="B293">
        <v>68.570578512396693</v>
      </c>
      <c r="C293">
        <v>90.366399999999999</v>
      </c>
      <c r="D293">
        <f t="shared" si="16"/>
        <v>4.227863558075569</v>
      </c>
      <c r="E293">
        <f t="shared" si="17"/>
        <v>4.5038725168915441</v>
      </c>
      <c r="F293">
        <f t="shared" si="18"/>
        <v>-3.6891067370472541E-2</v>
      </c>
      <c r="G293">
        <f t="shared" si="19"/>
        <v>-2.133412495616227E-2</v>
      </c>
    </row>
    <row r="294" spans="1:7" x14ac:dyDescent="0.2">
      <c r="A294" s="5">
        <v>36281</v>
      </c>
      <c r="B294">
        <v>73.237685950413223</v>
      </c>
      <c r="C294">
        <v>91.286799999999999</v>
      </c>
      <c r="D294">
        <f t="shared" si="16"/>
        <v>4.2937101238731552</v>
      </c>
      <c r="E294">
        <f t="shared" si="17"/>
        <v>4.5140061988352178</v>
      </c>
      <c r="F294">
        <f t="shared" si="18"/>
        <v>6.5846565797586187E-2</v>
      </c>
      <c r="G294">
        <f t="shared" si="19"/>
        <v>1.01336819436737E-2</v>
      </c>
    </row>
    <row r="295" spans="1:7" x14ac:dyDescent="0.2">
      <c r="A295" s="5">
        <v>36312</v>
      </c>
      <c r="B295">
        <v>73.221730027548219</v>
      </c>
      <c r="C295">
        <v>93.722399999999993</v>
      </c>
      <c r="D295">
        <f t="shared" si="16"/>
        <v>4.2934922352133977</v>
      </c>
      <c r="E295">
        <f t="shared" si="17"/>
        <v>4.5403372215063325</v>
      </c>
      <c r="F295">
        <f t="shared" si="18"/>
        <v>-2.1788865975747029E-4</v>
      </c>
      <c r="G295">
        <f t="shared" si="19"/>
        <v>2.6331022671114646E-2</v>
      </c>
    </row>
    <row r="296" spans="1:7" x14ac:dyDescent="0.2">
      <c r="A296" s="5">
        <v>36342</v>
      </c>
      <c r="B296">
        <v>74.857212121212115</v>
      </c>
      <c r="C296">
        <v>89.908500000000004</v>
      </c>
      <c r="D296">
        <f t="shared" si="16"/>
        <v>4.3155824605486686</v>
      </c>
      <c r="E296">
        <f t="shared" si="17"/>
        <v>4.4987924865074964</v>
      </c>
      <c r="F296">
        <f t="shared" si="18"/>
        <v>2.209022533527083E-2</v>
      </c>
      <c r="G296">
        <f t="shared" si="19"/>
        <v>-4.1544734998836041E-2</v>
      </c>
    </row>
    <row r="297" spans="1:7" x14ac:dyDescent="0.2">
      <c r="A297" s="5">
        <v>36373</v>
      </c>
      <c r="B297">
        <v>77.529829201101933</v>
      </c>
      <c r="C297">
        <v>94.292599999999993</v>
      </c>
      <c r="D297">
        <f t="shared" si="16"/>
        <v>4.3506627552244677</v>
      </c>
      <c r="E297">
        <f t="shared" si="17"/>
        <v>4.546402713601605</v>
      </c>
      <c r="F297">
        <f t="shared" si="18"/>
        <v>3.5080294675799095E-2</v>
      </c>
      <c r="G297">
        <f t="shared" si="19"/>
        <v>4.7610227094108559E-2</v>
      </c>
    </row>
    <row r="298" spans="1:7" x14ac:dyDescent="0.2">
      <c r="A298" s="5">
        <v>36404</v>
      </c>
      <c r="B298">
        <v>76.6841652892562</v>
      </c>
      <c r="C298">
        <v>93.817300000000003</v>
      </c>
      <c r="D298">
        <f t="shared" si="16"/>
        <v>4.3396952371149791</v>
      </c>
      <c r="E298">
        <f t="shared" si="17"/>
        <v>4.5413492739741583</v>
      </c>
      <c r="F298">
        <f t="shared" si="18"/>
        <v>-1.0967518109488594E-2</v>
      </c>
      <c r="G298">
        <f t="shared" si="19"/>
        <v>-5.0534396274466431E-3</v>
      </c>
    </row>
    <row r="299" spans="1:7" x14ac:dyDescent="0.2">
      <c r="A299" s="5">
        <v>36434</v>
      </c>
      <c r="B299">
        <v>78.088286501377411</v>
      </c>
      <c r="C299">
        <v>94.794700000000006</v>
      </c>
      <c r="D299">
        <f t="shared" si="16"/>
        <v>4.3578400648211817</v>
      </c>
      <c r="E299">
        <f t="shared" si="17"/>
        <v>4.5517135005251159</v>
      </c>
      <c r="F299">
        <f t="shared" si="18"/>
        <v>1.8144827706202626E-2</v>
      </c>
      <c r="G299">
        <f t="shared" si="19"/>
        <v>1.0364226550957589E-2</v>
      </c>
    </row>
    <row r="300" spans="1:7" x14ac:dyDescent="0.2">
      <c r="A300" s="5">
        <v>36465</v>
      </c>
      <c r="B300">
        <v>76.245377410468322</v>
      </c>
      <c r="C300">
        <v>94.173900000000003</v>
      </c>
      <c r="D300">
        <f t="shared" si="16"/>
        <v>4.333956789524799</v>
      </c>
      <c r="E300">
        <f t="shared" si="17"/>
        <v>4.5451430731276217</v>
      </c>
      <c r="F300">
        <f t="shared" si="18"/>
        <v>-2.3883275296382678E-2</v>
      </c>
      <c r="G300">
        <f t="shared" si="19"/>
        <v>-6.5704273974942495E-3</v>
      </c>
    </row>
    <row r="301" spans="1:7" x14ac:dyDescent="0.2">
      <c r="A301" s="5">
        <v>36495</v>
      </c>
      <c r="B301">
        <v>68.658336088154272</v>
      </c>
      <c r="C301">
        <v>94.250900000000001</v>
      </c>
      <c r="D301">
        <f t="shared" si="16"/>
        <v>4.2291425536571641</v>
      </c>
      <c r="E301">
        <f t="shared" si="17"/>
        <v>4.545960375354146</v>
      </c>
      <c r="F301">
        <f t="shared" si="18"/>
        <v>-0.10481423586763494</v>
      </c>
      <c r="G301">
        <f t="shared" si="19"/>
        <v>8.1730222652431905E-4</v>
      </c>
    </row>
    <row r="302" spans="1:7" x14ac:dyDescent="0.2">
      <c r="A302" s="5">
        <v>36526</v>
      </c>
      <c r="B302">
        <v>65.331526170798895</v>
      </c>
      <c r="C302">
        <v>93.992199999999997</v>
      </c>
      <c r="D302">
        <f t="shared" si="16"/>
        <v>4.1794747095288072</v>
      </c>
      <c r="E302">
        <f t="shared" si="17"/>
        <v>4.5432118001036752</v>
      </c>
      <c r="F302">
        <f t="shared" si="18"/>
        <v>-4.9667844128356897E-2</v>
      </c>
      <c r="G302">
        <f t="shared" si="19"/>
        <v>-2.7485752504707861E-3</v>
      </c>
    </row>
    <row r="303" spans="1:7" x14ac:dyDescent="0.2">
      <c r="A303" s="5">
        <v>36557</v>
      </c>
      <c r="B303">
        <v>69.248705234159772</v>
      </c>
      <c r="C303">
        <v>94.7928</v>
      </c>
      <c r="D303">
        <f t="shared" si="16"/>
        <v>4.237704447913015</v>
      </c>
      <c r="E303">
        <f t="shared" si="17"/>
        <v>4.5516934570095886</v>
      </c>
      <c r="F303">
        <f t="shared" si="18"/>
        <v>5.8229738384207863E-2</v>
      </c>
      <c r="G303">
        <f t="shared" si="19"/>
        <v>8.4816569059134039E-3</v>
      </c>
    </row>
    <row r="304" spans="1:7" x14ac:dyDescent="0.2">
      <c r="A304" s="5">
        <v>36586</v>
      </c>
      <c r="B304">
        <v>73.987614325068861</v>
      </c>
      <c r="C304">
        <v>96.501300000000001</v>
      </c>
      <c r="D304">
        <f t="shared" si="16"/>
        <v>4.3038977052100256</v>
      </c>
      <c r="E304">
        <f t="shared" si="17"/>
        <v>4.5695564797567911</v>
      </c>
      <c r="F304">
        <f t="shared" si="18"/>
        <v>6.6193257297010533E-2</v>
      </c>
      <c r="G304">
        <f t="shared" si="19"/>
        <v>1.7863022747202528E-2</v>
      </c>
    </row>
    <row r="305" spans="1:7" x14ac:dyDescent="0.2">
      <c r="A305" s="5">
        <v>36617</v>
      </c>
      <c r="B305">
        <v>70.932055096418722</v>
      </c>
      <c r="C305">
        <v>95.156499999999994</v>
      </c>
      <c r="D305">
        <f t="shared" si="16"/>
        <v>4.261722448379758</v>
      </c>
      <c r="E305">
        <f t="shared" si="17"/>
        <v>4.555522904598619</v>
      </c>
      <c r="F305">
        <f t="shared" si="18"/>
        <v>-4.2175256830267571E-2</v>
      </c>
      <c r="G305">
        <f t="shared" si="19"/>
        <v>-1.4033575158172162E-2</v>
      </c>
    </row>
    <row r="306" spans="1:7" x14ac:dyDescent="0.2">
      <c r="A306" s="5">
        <v>36647</v>
      </c>
      <c r="B306">
        <v>77.952661157024778</v>
      </c>
      <c r="C306">
        <v>95.5304</v>
      </c>
      <c r="D306">
        <f t="shared" si="16"/>
        <v>4.3561017342029622</v>
      </c>
      <c r="E306">
        <f t="shared" si="17"/>
        <v>4.5594445214394863</v>
      </c>
      <c r="F306">
        <f t="shared" si="18"/>
        <v>9.4379285823204206E-2</v>
      </c>
      <c r="G306">
        <f t="shared" si="19"/>
        <v>3.9216168408673369E-3</v>
      </c>
    </row>
    <row r="307" spans="1:7" x14ac:dyDescent="0.2">
      <c r="A307" s="5">
        <v>36678</v>
      </c>
      <c r="B307">
        <v>78.686633608815413</v>
      </c>
      <c r="C307">
        <v>98.6524</v>
      </c>
      <c r="D307">
        <f t="shared" si="16"/>
        <v>4.3654733012126128</v>
      </c>
      <c r="E307">
        <f t="shared" si="17"/>
        <v>4.5916025606065496</v>
      </c>
      <c r="F307">
        <f t="shared" si="18"/>
        <v>9.3715670096505832E-3</v>
      </c>
      <c r="G307">
        <f t="shared" si="19"/>
        <v>3.2158039167063279E-2</v>
      </c>
    </row>
    <row r="308" spans="1:7" x14ac:dyDescent="0.2">
      <c r="A308" s="5">
        <v>36708</v>
      </c>
      <c r="B308">
        <v>80.114688705234144</v>
      </c>
      <c r="C308">
        <v>93.926900000000003</v>
      </c>
      <c r="D308">
        <f t="shared" si="16"/>
        <v>4.3834592168532698</v>
      </c>
      <c r="E308">
        <f t="shared" si="17"/>
        <v>4.542516820161473</v>
      </c>
      <c r="F308">
        <f t="shared" si="18"/>
        <v>1.7985915640656991E-2</v>
      </c>
      <c r="G308">
        <f t="shared" si="19"/>
        <v>-4.9085740445076631E-2</v>
      </c>
    </row>
    <row r="309" spans="1:7" x14ac:dyDescent="0.2">
      <c r="A309" s="5">
        <v>36739</v>
      </c>
      <c r="B309">
        <v>83.752639118457296</v>
      </c>
      <c r="C309">
        <v>97.557100000000005</v>
      </c>
      <c r="D309">
        <f t="shared" si="16"/>
        <v>4.4278676820708638</v>
      </c>
      <c r="E309">
        <f t="shared" si="17"/>
        <v>4.5804378476086614</v>
      </c>
      <c r="F309">
        <f t="shared" si="18"/>
        <v>4.4408465217594006E-2</v>
      </c>
      <c r="G309">
        <f t="shared" si="19"/>
        <v>3.7921027447188393E-2</v>
      </c>
    </row>
    <row r="310" spans="1:7" x14ac:dyDescent="0.2">
      <c r="A310" s="5">
        <v>36770</v>
      </c>
      <c r="B310">
        <v>79.41262809917356</v>
      </c>
      <c r="C310">
        <v>98.060299999999998</v>
      </c>
      <c r="D310">
        <f t="shared" si="16"/>
        <v>4.374657399677119</v>
      </c>
      <c r="E310">
        <f t="shared" si="17"/>
        <v>4.5855825955698251</v>
      </c>
      <c r="F310">
        <f t="shared" si="18"/>
        <v>-5.3210282393744812E-2</v>
      </c>
      <c r="G310">
        <f t="shared" si="19"/>
        <v>5.1447479611637092E-3</v>
      </c>
    </row>
    <row r="311" spans="1:7" x14ac:dyDescent="0.2">
      <c r="A311" s="5">
        <v>36800</v>
      </c>
      <c r="B311">
        <v>83.768595041322314</v>
      </c>
      <c r="C311">
        <v>97.144999999999996</v>
      </c>
      <c r="D311">
        <f t="shared" si="16"/>
        <v>4.4280581764042335</v>
      </c>
      <c r="E311">
        <f t="shared" si="17"/>
        <v>4.5762047076950765</v>
      </c>
      <c r="F311">
        <f t="shared" si="18"/>
        <v>5.3400776727114518E-2</v>
      </c>
      <c r="G311">
        <f t="shared" si="19"/>
        <v>-9.3778878747485805E-3</v>
      </c>
    </row>
    <row r="312" spans="1:7" x14ac:dyDescent="0.2">
      <c r="A312" s="5">
        <v>36831</v>
      </c>
      <c r="B312">
        <v>80.266269972451781</v>
      </c>
      <c r="C312">
        <v>96.061499999999995</v>
      </c>
      <c r="D312">
        <f t="shared" si="16"/>
        <v>4.3853494825506694</v>
      </c>
      <c r="E312">
        <f t="shared" si="17"/>
        <v>4.5649886113552363</v>
      </c>
      <c r="F312">
        <f t="shared" si="18"/>
        <v>-4.2708693853564128E-2</v>
      </c>
      <c r="G312">
        <f t="shared" si="19"/>
        <v>-1.121609633984022E-2</v>
      </c>
    </row>
    <row r="313" spans="1:7" x14ac:dyDescent="0.2">
      <c r="A313" s="5">
        <v>36861</v>
      </c>
      <c r="B313">
        <v>73.923790633608803</v>
      </c>
      <c r="C313">
        <v>95.621799999999993</v>
      </c>
      <c r="D313">
        <f t="shared" si="16"/>
        <v>4.3030347062352128</v>
      </c>
      <c r="E313">
        <f t="shared" si="17"/>
        <v>4.5604008275344787</v>
      </c>
      <c r="F313">
        <f t="shared" si="18"/>
        <v>-8.2314776315456584E-2</v>
      </c>
      <c r="G313">
        <f t="shared" si="19"/>
        <v>-4.5877838207575294E-3</v>
      </c>
    </row>
    <row r="314" spans="1:7" x14ac:dyDescent="0.2">
      <c r="A314" s="5">
        <v>36892</v>
      </c>
      <c r="B314">
        <v>73.261619834710729</v>
      </c>
      <c r="C314">
        <v>94.373800000000003</v>
      </c>
      <c r="D314">
        <f t="shared" si="16"/>
        <v>4.2940368678721414</v>
      </c>
      <c r="E314">
        <f t="shared" si="17"/>
        <v>4.5472634922565618</v>
      </c>
      <c r="F314">
        <f t="shared" si="18"/>
        <v>-8.997838363071331E-3</v>
      </c>
      <c r="G314">
        <f t="shared" si="19"/>
        <v>-1.3137335277916939E-2</v>
      </c>
    </row>
    <row r="315" spans="1:7" x14ac:dyDescent="0.2">
      <c r="A315" s="5">
        <v>36923</v>
      </c>
      <c r="B315">
        <v>70.684738292011005</v>
      </c>
      <c r="C315">
        <v>94.546099999999996</v>
      </c>
      <c r="D315">
        <f t="shared" si="16"/>
        <v>4.2582296838577456</v>
      </c>
      <c r="E315">
        <f t="shared" si="17"/>
        <v>4.5490875462368212</v>
      </c>
      <c r="F315">
        <f t="shared" si="18"/>
        <v>-3.5807184014395865E-2</v>
      </c>
      <c r="G315">
        <f t="shared" si="19"/>
        <v>1.8240539802594213E-3</v>
      </c>
    </row>
    <row r="316" spans="1:7" x14ac:dyDescent="0.2">
      <c r="A316" s="5">
        <v>36951</v>
      </c>
      <c r="B316">
        <v>80.186490358126719</v>
      </c>
      <c r="C316">
        <v>95.468999999999994</v>
      </c>
      <c r="D316">
        <f t="shared" si="16"/>
        <v>4.3843550512833591</v>
      </c>
      <c r="E316">
        <f t="shared" si="17"/>
        <v>4.5588015874604784</v>
      </c>
      <c r="F316">
        <f t="shared" si="18"/>
        <v>0.12612536742561353</v>
      </c>
      <c r="G316">
        <f t="shared" si="19"/>
        <v>9.7140412236571549E-3</v>
      </c>
    </row>
    <row r="317" spans="1:7" x14ac:dyDescent="0.2">
      <c r="A317" s="5">
        <v>36982</v>
      </c>
      <c r="B317">
        <v>75.33588980716253</v>
      </c>
      <c r="C317">
        <v>92.240200000000002</v>
      </c>
      <c r="D317">
        <f t="shared" si="16"/>
        <v>4.3219566455216887</v>
      </c>
      <c r="E317">
        <f t="shared" si="17"/>
        <v>4.5243960442151749</v>
      </c>
      <c r="F317">
        <f t="shared" si="18"/>
        <v>-6.2398405761670439E-2</v>
      </c>
      <c r="G317">
        <f t="shared" si="19"/>
        <v>-3.4405543245303427E-2</v>
      </c>
    </row>
    <row r="318" spans="1:7" x14ac:dyDescent="0.2">
      <c r="A318" s="5">
        <v>37012</v>
      </c>
      <c r="B318">
        <v>81.726236914600548</v>
      </c>
      <c r="C318">
        <v>93.028800000000004</v>
      </c>
      <c r="D318">
        <f t="shared" si="16"/>
        <v>4.4033750875780351</v>
      </c>
      <c r="E318">
        <f t="shared" si="17"/>
        <v>4.5329091226324563</v>
      </c>
      <c r="F318">
        <f t="shared" si="18"/>
        <v>8.1418442056346407E-2</v>
      </c>
      <c r="G318">
        <f t="shared" si="19"/>
        <v>8.5130784172813279E-3</v>
      </c>
    </row>
    <row r="319" spans="1:7" x14ac:dyDescent="0.2">
      <c r="A319" s="5">
        <v>37043</v>
      </c>
      <c r="B319">
        <v>77.96861707988981</v>
      </c>
      <c r="C319">
        <v>95.281599999999997</v>
      </c>
      <c r="D319">
        <f t="shared" si="16"/>
        <v>4.3563064005974548</v>
      </c>
      <c r="E319">
        <f t="shared" si="17"/>
        <v>4.5568367175173012</v>
      </c>
      <c r="F319">
        <f t="shared" si="18"/>
        <v>-4.706868698058031E-2</v>
      </c>
      <c r="G319">
        <f t="shared" si="19"/>
        <v>2.3927594884844972E-2</v>
      </c>
    </row>
    <row r="320" spans="1:7" x14ac:dyDescent="0.2">
      <c r="A320" s="5">
        <v>37073</v>
      </c>
      <c r="B320">
        <v>81.351272727272729</v>
      </c>
      <c r="C320">
        <v>90.755200000000002</v>
      </c>
      <c r="D320">
        <f t="shared" si="16"/>
        <v>4.3987764786228452</v>
      </c>
      <c r="E320">
        <f t="shared" si="17"/>
        <v>4.5081657717788444</v>
      </c>
      <c r="F320">
        <f t="shared" si="18"/>
        <v>4.2470078025390379E-2</v>
      </c>
      <c r="G320">
        <f t="shared" si="19"/>
        <v>-4.8670945738456872E-2</v>
      </c>
    </row>
    <row r="321" spans="1:7" x14ac:dyDescent="0.2">
      <c r="A321" s="5">
        <v>37104</v>
      </c>
      <c r="B321">
        <v>83.712749311294772</v>
      </c>
      <c r="C321">
        <v>94.307299999999998</v>
      </c>
      <c r="D321">
        <f t="shared" si="16"/>
        <v>4.4273912874165307</v>
      </c>
      <c r="E321">
        <f t="shared" si="17"/>
        <v>4.546558599156473</v>
      </c>
      <c r="F321">
        <f t="shared" si="18"/>
        <v>2.8614808793685498E-2</v>
      </c>
      <c r="G321">
        <f t="shared" si="19"/>
        <v>3.8392827377628613E-2</v>
      </c>
    </row>
    <row r="322" spans="1:7" x14ac:dyDescent="0.2">
      <c r="A322" s="5">
        <v>37135</v>
      </c>
      <c r="B322">
        <v>78.279757575757586</v>
      </c>
      <c r="C322">
        <v>93.504499999999993</v>
      </c>
      <c r="D322">
        <f t="shared" si="16"/>
        <v>4.3602890456369989</v>
      </c>
      <c r="E322">
        <f t="shared" si="17"/>
        <v>4.5380095634787558</v>
      </c>
      <c r="F322">
        <f t="shared" si="18"/>
        <v>-6.7102241779531724E-2</v>
      </c>
      <c r="G322">
        <f t="shared" si="19"/>
        <v>-8.5490356777171428E-3</v>
      </c>
    </row>
    <row r="323" spans="1:7" x14ac:dyDescent="0.2">
      <c r="A323" s="5">
        <v>37165</v>
      </c>
      <c r="B323">
        <v>81.255537190082649</v>
      </c>
      <c r="C323">
        <v>92.373099999999994</v>
      </c>
      <c r="D323">
        <f t="shared" ref="D323:D386" si="20">LN(B323)</f>
        <v>4.3975989689195254</v>
      </c>
      <c r="E323">
        <f t="shared" ref="E323:E386" si="21">LN(C323)</f>
        <v>4.5258358107212464</v>
      </c>
      <c r="F323">
        <f t="shared" ref="F323:F386" si="22">D323-D322</f>
        <v>3.7309923282526469E-2</v>
      </c>
      <c r="G323">
        <f t="shared" ref="G323:G386" si="23">E323-E322</f>
        <v>-1.2173752757509426E-2</v>
      </c>
    </row>
    <row r="324" spans="1:7" x14ac:dyDescent="0.2">
      <c r="A324" s="5">
        <v>37196</v>
      </c>
      <c r="B324">
        <v>78.925972451790642</v>
      </c>
      <c r="C324">
        <v>90.792500000000004</v>
      </c>
      <c r="D324">
        <f t="shared" si="20"/>
        <v>4.3685103555818419</v>
      </c>
      <c r="E324">
        <f t="shared" si="21"/>
        <v>4.5085766830768099</v>
      </c>
      <c r="F324">
        <f t="shared" si="22"/>
        <v>-2.9088613337683533E-2</v>
      </c>
      <c r="G324">
        <f t="shared" si="23"/>
        <v>-1.7259127644436489E-2</v>
      </c>
    </row>
    <row r="325" spans="1:7" x14ac:dyDescent="0.2">
      <c r="A325" s="5">
        <v>37226</v>
      </c>
      <c r="B325">
        <v>69.160947658402208</v>
      </c>
      <c r="C325">
        <v>90.366</v>
      </c>
      <c r="D325">
        <f t="shared" si="20"/>
        <v>4.2364363631272592</v>
      </c>
      <c r="E325">
        <f t="shared" si="21"/>
        <v>4.5038680904577664</v>
      </c>
      <c r="F325">
        <f t="shared" si="22"/>
        <v>-0.13207399245458262</v>
      </c>
      <c r="G325">
        <f t="shared" si="23"/>
        <v>-4.7085926190435501E-3</v>
      </c>
    </row>
    <row r="326" spans="1:7" x14ac:dyDescent="0.2">
      <c r="A326" s="5">
        <v>37257</v>
      </c>
      <c r="B326">
        <v>72.400000000000006</v>
      </c>
      <c r="C326">
        <v>90.781800000000004</v>
      </c>
      <c r="D326">
        <f t="shared" si="20"/>
        <v>4.282206299391671</v>
      </c>
      <c r="E326">
        <f t="shared" si="21"/>
        <v>4.5084588249877262</v>
      </c>
      <c r="F326">
        <f t="shared" si="22"/>
        <v>4.5769936264411726E-2</v>
      </c>
      <c r="G326">
        <f t="shared" si="23"/>
        <v>4.590734529959839E-3</v>
      </c>
    </row>
    <row r="327" spans="1:7" x14ac:dyDescent="0.2">
      <c r="A327" s="5">
        <v>37288</v>
      </c>
      <c r="B327">
        <v>69.7</v>
      </c>
      <c r="C327">
        <v>91.490399999999994</v>
      </c>
      <c r="D327">
        <f t="shared" si="20"/>
        <v>4.2442003177664782</v>
      </c>
      <c r="E327">
        <f t="shared" si="21"/>
        <v>4.5162340487444066</v>
      </c>
      <c r="F327">
        <f t="shared" si="22"/>
        <v>-3.8005981625192753E-2</v>
      </c>
      <c r="G327">
        <f t="shared" si="23"/>
        <v>7.7752237566803828E-3</v>
      </c>
    </row>
    <row r="328" spans="1:7" x14ac:dyDescent="0.2">
      <c r="A328" s="5">
        <v>37316</v>
      </c>
      <c r="B328">
        <v>77.400000000000006</v>
      </c>
      <c r="C328">
        <v>93.037000000000006</v>
      </c>
      <c r="D328">
        <f t="shared" si="20"/>
        <v>4.3489867805956814</v>
      </c>
      <c r="E328">
        <f t="shared" si="21"/>
        <v>4.5329972634945088</v>
      </c>
      <c r="F328">
        <f t="shared" si="22"/>
        <v>0.10478646282920323</v>
      </c>
      <c r="G328">
        <f t="shared" si="23"/>
        <v>1.6763214750102229E-2</v>
      </c>
    </row>
    <row r="329" spans="1:7" x14ac:dyDescent="0.2">
      <c r="A329" s="5">
        <v>37347</v>
      </c>
      <c r="B329">
        <v>79.599999999999994</v>
      </c>
      <c r="C329">
        <v>92.090800000000002</v>
      </c>
      <c r="D329">
        <f t="shared" si="20"/>
        <v>4.3770140928503372</v>
      </c>
      <c r="E329">
        <f t="shared" si="21"/>
        <v>4.5227750468494134</v>
      </c>
      <c r="F329">
        <f t="shared" si="22"/>
        <v>2.8027312254655712E-2</v>
      </c>
      <c r="G329">
        <f t="shared" si="23"/>
        <v>-1.0222216645095372E-2</v>
      </c>
    </row>
    <row r="330" spans="1:7" x14ac:dyDescent="0.2">
      <c r="A330" s="5">
        <v>37377</v>
      </c>
      <c r="B330">
        <v>80.400000000000006</v>
      </c>
      <c r="C330">
        <v>92.603399999999993</v>
      </c>
      <c r="D330">
        <f t="shared" si="20"/>
        <v>4.3870141761849206</v>
      </c>
      <c r="E330">
        <f t="shared" si="21"/>
        <v>4.5283258580407137</v>
      </c>
      <c r="F330">
        <f t="shared" si="22"/>
        <v>1.0000083334583465E-2</v>
      </c>
      <c r="G330">
        <f t="shared" si="23"/>
        <v>5.5508111913002978E-3</v>
      </c>
    </row>
    <row r="331" spans="1:7" x14ac:dyDescent="0.2">
      <c r="A331" s="5">
        <v>37408</v>
      </c>
      <c r="B331">
        <v>77.5</v>
      </c>
      <c r="C331">
        <v>96.425700000000006</v>
      </c>
      <c r="D331">
        <f t="shared" si="20"/>
        <v>4.3502779363593014</v>
      </c>
      <c r="E331">
        <f t="shared" si="21"/>
        <v>4.5687727635960718</v>
      </c>
      <c r="F331">
        <f t="shared" si="22"/>
        <v>-3.6736239825619244E-2</v>
      </c>
      <c r="G331">
        <f t="shared" si="23"/>
        <v>4.0446905555358015E-2</v>
      </c>
    </row>
    <row r="332" spans="1:7" x14ac:dyDescent="0.2">
      <c r="A332" s="5">
        <v>37438</v>
      </c>
      <c r="B332">
        <v>83.3</v>
      </c>
      <c r="C332">
        <v>91.649199999999993</v>
      </c>
      <c r="D332">
        <f t="shared" si="20"/>
        <v>4.4224485491727972</v>
      </c>
      <c r="E332">
        <f t="shared" si="21"/>
        <v>4.5179682453878245</v>
      </c>
      <c r="F332">
        <f t="shared" si="22"/>
        <v>7.2170612813495794E-2</v>
      </c>
      <c r="G332">
        <f t="shared" si="23"/>
        <v>-5.0804518208247273E-2</v>
      </c>
    </row>
    <row r="333" spans="1:7" x14ac:dyDescent="0.2">
      <c r="A333" s="5">
        <v>37469</v>
      </c>
      <c r="B333">
        <v>83.6</v>
      </c>
      <c r="C333">
        <v>95.8827</v>
      </c>
      <c r="D333">
        <f t="shared" si="20"/>
        <v>4.4260435200906558</v>
      </c>
      <c r="E333">
        <f t="shared" si="21"/>
        <v>4.5631255693699426</v>
      </c>
      <c r="F333">
        <f t="shared" si="22"/>
        <v>3.5949709178586531E-3</v>
      </c>
      <c r="G333">
        <f t="shared" si="23"/>
        <v>4.5157323982118136E-2</v>
      </c>
    </row>
    <row r="334" spans="1:7" x14ac:dyDescent="0.2">
      <c r="A334" s="5">
        <v>37500</v>
      </c>
      <c r="B334">
        <v>82.1</v>
      </c>
      <c r="C334">
        <v>95.781999999999996</v>
      </c>
      <c r="D334">
        <f t="shared" si="20"/>
        <v>4.4079380164583828</v>
      </c>
      <c r="E334">
        <f t="shared" si="21"/>
        <v>4.5620747758825058</v>
      </c>
      <c r="F334">
        <f t="shared" si="22"/>
        <v>-1.8105503632273034E-2</v>
      </c>
      <c r="G334">
        <f t="shared" si="23"/>
        <v>-1.050793487436863E-3</v>
      </c>
    </row>
    <row r="335" spans="1:7" x14ac:dyDescent="0.2">
      <c r="A335" s="5">
        <v>37530</v>
      </c>
      <c r="B335">
        <v>89.2</v>
      </c>
      <c r="C335">
        <v>94.534599999999998</v>
      </c>
      <c r="D335">
        <f t="shared" si="20"/>
        <v>4.4908810395859637</v>
      </c>
      <c r="E335">
        <f t="shared" si="21"/>
        <v>4.5489659050538327</v>
      </c>
      <c r="F335">
        <f t="shared" si="22"/>
        <v>8.294302312758095E-2</v>
      </c>
      <c r="G335">
        <f t="shared" si="23"/>
        <v>-1.3108870828673069E-2</v>
      </c>
    </row>
    <row r="336" spans="1:7" x14ac:dyDescent="0.2">
      <c r="A336" s="5">
        <v>37561</v>
      </c>
      <c r="B336">
        <v>83.9</v>
      </c>
      <c r="C336">
        <v>93.5441</v>
      </c>
      <c r="D336">
        <f t="shared" si="20"/>
        <v>4.4296256134731609</v>
      </c>
      <c r="E336">
        <f t="shared" si="21"/>
        <v>4.538432982853096</v>
      </c>
      <c r="F336">
        <f t="shared" si="22"/>
        <v>-6.125542611280288E-2</v>
      </c>
      <c r="G336">
        <f t="shared" si="23"/>
        <v>-1.053292220073665E-2</v>
      </c>
    </row>
    <row r="337" spans="1:17" x14ac:dyDescent="0.2">
      <c r="A337" s="5">
        <v>37591</v>
      </c>
      <c r="B337">
        <v>74.599999999999994</v>
      </c>
      <c r="C337">
        <v>92.710800000000006</v>
      </c>
      <c r="D337">
        <f t="shared" si="20"/>
        <v>4.3121405072097154</v>
      </c>
      <c r="E337">
        <f t="shared" si="21"/>
        <v>4.5294849706400147</v>
      </c>
      <c r="F337">
        <f t="shared" si="22"/>
        <v>-0.11748510626344544</v>
      </c>
      <c r="G337">
        <f t="shared" si="23"/>
        <v>-8.9480122130813911E-3</v>
      </c>
    </row>
    <row r="338" spans="1:17" x14ac:dyDescent="0.2">
      <c r="A338" s="5">
        <v>37622</v>
      </c>
      <c r="B338">
        <v>74</v>
      </c>
      <c r="C338">
        <v>93.242500000000007</v>
      </c>
      <c r="D338">
        <f t="shared" si="20"/>
        <v>4.3040650932041702</v>
      </c>
      <c r="E338">
        <f t="shared" si="21"/>
        <v>4.53520362633492</v>
      </c>
      <c r="F338">
        <f t="shared" si="22"/>
        <v>-8.0754140055452339E-3</v>
      </c>
      <c r="G338">
        <f t="shared" si="23"/>
        <v>5.7186556949053724E-3</v>
      </c>
    </row>
    <row r="339" spans="1:17" x14ac:dyDescent="0.2">
      <c r="A339" s="5">
        <v>37653</v>
      </c>
      <c r="B339">
        <v>71.8</v>
      </c>
      <c r="C339">
        <v>94.432199999999995</v>
      </c>
      <c r="D339">
        <f t="shared" si="20"/>
        <v>4.2738844760541781</v>
      </c>
      <c r="E339">
        <f t="shared" si="21"/>
        <v>4.5478821166844128</v>
      </c>
      <c r="F339">
        <f t="shared" si="22"/>
        <v>-3.0180617149992095E-2</v>
      </c>
      <c r="G339">
        <f t="shared" si="23"/>
        <v>1.2678490349492755E-2</v>
      </c>
    </row>
    <row r="340" spans="1:17" x14ac:dyDescent="0.2">
      <c r="A340" s="5">
        <v>37681</v>
      </c>
      <c r="B340">
        <v>77.400000000000006</v>
      </c>
      <c r="C340">
        <v>95.154499999999999</v>
      </c>
      <c r="D340">
        <f t="shared" si="20"/>
        <v>4.3489867805956814</v>
      </c>
      <c r="E340">
        <f t="shared" si="21"/>
        <v>4.5555018863705605</v>
      </c>
      <c r="F340">
        <f t="shared" si="22"/>
        <v>7.5102304541503351E-2</v>
      </c>
      <c r="G340">
        <f t="shared" si="23"/>
        <v>7.6197696861477482E-3</v>
      </c>
    </row>
    <row r="341" spans="1:17" x14ac:dyDescent="0.2">
      <c r="A341" s="5">
        <v>37712</v>
      </c>
      <c r="B341">
        <v>76.5</v>
      </c>
      <c r="C341">
        <v>92.493899999999996</v>
      </c>
      <c r="D341">
        <f t="shared" si="20"/>
        <v>4.3372907408324899</v>
      </c>
      <c r="E341">
        <f t="shared" si="21"/>
        <v>4.5271426963979042</v>
      </c>
      <c r="F341">
        <f t="shared" si="22"/>
        <v>-1.1696039763191557E-2</v>
      </c>
      <c r="G341">
        <f t="shared" si="23"/>
        <v>-2.8359189972656296E-2</v>
      </c>
    </row>
    <row r="342" spans="1:17" x14ac:dyDescent="0.2">
      <c r="A342" s="5">
        <v>37742</v>
      </c>
      <c r="B342">
        <v>79.7</v>
      </c>
      <c r="C342">
        <v>93.114999999999995</v>
      </c>
      <c r="D342">
        <f t="shared" si="20"/>
        <v>4.3782695857961693</v>
      </c>
      <c r="E342">
        <f t="shared" si="21"/>
        <v>4.5338352883834689</v>
      </c>
      <c r="F342">
        <f t="shared" si="22"/>
        <v>4.0978844963679428E-2</v>
      </c>
      <c r="G342">
        <f t="shared" si="23"/>
        <v>6.6925919855647109E-3</v>
      </c>
    </row>
    <row r="343" spans="1:17" x14ac:dyDescent="0.2">
      <c r="A343" s="5">
        <v>37773</v>
      </c>
      <c r="B343">
        <v>76.3</v>
      </c>
      <c r="C343">
        <v>96.022999999999996</v>
      </c>
      <c r="D343">
        <f t="shared" si="20"/>
        <v>4.334672938290411</v>
      </c>
      <c r="E343">
        <f t="shared" si="21"/>
        <v>4.5645877461056656</v>
      </c>
      <c r="F343">
        <f t="shared" si="22"/>
        <v>-4.3596647505758312E-2</v>
      </c>
      <c r="G343">
        <f t="shared" si="23"/>
        <v>3.0752457722196702E-2</v>
      </c>
    </row>
    <row r="344" spans="1:17" x14ac:dyDescent="0.2">
      <c r="A344" s="5">
        <v>37803</v>
      </c>
      <c r="B344">
        <v>81.3</v>
      </c>
      <c r="C344">
        <v>91.774699999999996</v>
      </c>
      <c r="D344">
        <f t="shared" si="20"/>
        <v>4.3981460165537651</v>
      </c>
      <c r="E344">
        <f t="shared" si="21"/>
        <v>4.5193366605134857</v>
      </c>
      <c r="F344">
        <f t="shared" si="22"/>
        <v>6.3473078263354132E-2</v>
      </c>
      <c r="G344">
        <f t="shared" si="23"/>
        <v>-4.525108559217994E-2</v>
      </c>
    </row>
    <row r="345" spans="1:17" x14ac:dyDescent="0.2">
      <c r="A345" s="5">
        <v>37834</v>
      </c>
      <c r="B345">
        <v>81.599999999999994</v>
      </c>
      <c r="C345">
        <v>96.146199999999993</v>
      </c>
      <c r="D345">
        <f t="shared" si="20"/>
        <v>4.401829261970061</v>
      </c>
      <c r="E345">
        <f t="shared" si="21"/>
        <v>4.5658699496729271</v>
      </c>
      <c r="F345">
        <f t="shared" si="22"/>
        <v>3.6832454162958328E-3</v>
      </c>
      <c r="G345">
        <f t="shared" si="23"/>
        <v>4.6533289159441438E-2</v>
      </c>
    </row>
    <row r="346" spans="1:17" x14ac:dyDescent="0.2">
      <c r="A346" s="5">
        <v>37865</v>
      </c>
      <c r="B346">
        <v>85.7</v>
      </c>
      <c r="C346">
        <v>96.442499999999995</v>
      </c>
      <c r="D346">
        <f t="shared" si="20"/>
        <v>4.4508528256037341</v>
      </c>
      <c r="E346">
        <f t="shared" si="21"/>
        <v>4.568946975830567</v>
      </c>
      <c r="F346">
        <f t="shared" si="22"/>
        <v>4.9023563633673106E-2</v>
      </c>
      <c r="G346">
        <f t="shared" si="23"/>
        <v>3.0770261576398283E-3</v>
      </c>
    </row>
    <row r="347" spans="1:17" x14ac:dyDescent="0.2">
      <c r="A347" s="5">
        <v>37895</v>
      </c>
      <c r="B347">
        <v>90</v>
      </c>
      <c r="C347">
        <v>95.513400000000004</v>
      </c>
      <c r="D347">
        <f t="shared" si="20"/>
        <v>4.499809670330265</v>
      </c>
      <c r="E347">
        <f t="shared" si="21"/>
        <v>4.5592665517797029</v>
      </c>
      <c r="F347">
        <f t="shared" si="22"/>
        <v>4.8956844726530946E-2</v>
      </c>
      <c r="G347">
        <f t="shared" si="23"/>
        <v>-9.6804240508641115E-3</v>
      </c>
    </row>
    <row r="348" spans="1:17" x14ac:dyDescent="0.2">
      <c r="A348" s="5">
        <v>37926</v>
      </c>
      <c r="B348">
        <v>84.6</v>
      </c>
      <c r="C348">
        <v>95.169700000000006</v>
      </c>
      <c r="D348">
        <f t="shared" si="20"/>
        <v>4.4379342666121779</v>
      </c>
      <c r="E348">
        <f t="shared" si="21"/>
        <v>4.5556616138254222</v>
      </c>
      <c r="F348">
        <f t="shared" si="22"/>
        <v>-6.1875403718087085E-2</v>
      </c>
      <c r="G348">
        <f t="shared" si="23"/>
        <v>-3.6049379542806292E-3</v>
      </c>
    </row>
    <row r="349" spans="1:17" x14ac:dyDescent="0.2">
      <c r="A349" s="5">
        <v>37956</v>
      </c>
      <c r="B349">
        <v>77.900000000000006</v>
      </c>
      <c r="C349">
        <v>94.642499999999998</v>
      </c>
      <c r="D349">
        <f t="shared" si="20"/>
        <v>4.3554259528767023</v>
      </c>
      <c r="E349">
        <f t="shared" si="21"/>
        <v>4.5501066352130382</v>
      </c>
      <c r="F349">
        <f t="shared" si="22"/>
        <v>-8.2508313735475625E-2</v>
      </c>
      <c r="G349">
        <f t="shared" si="23"/>
        <v>-5.5549786123840761E-3</v>
      </c>
    </row>
    <row r="350" spans="1:17" s="26" customFormat="1" x14ac:dyDescent="0.2">
      <c r="A350" s="25">
        <v>37987</v>
      </c>
      <c r="B350" s="26">
        <v>76.8</v>
      </c>
      <c r="C350" s="26">
        <v>94.410200000000003</v>
      </c>
      <c r="D350" s="26">
        <f t="shared" si="20"/>
        <v>4.3412046401536264</v>
      </c>
      <c r="E350" s="26">
        <f t="shared" si="21"/>
        <v>4.5476491181618401</v>
      </c>
      <c r="F350" s="26">
        <f t="shared" si="22"/>
        <v>-1.4221312723075918E-2</v>
      </c>
      <c r="G350" s="26">
        <f t="shared" si="23"/>
        <v>-2.4575170511980104E-3</v>
      </c>
      <c r="H350" s="27" t="s">
        <v>1139</v>
      </c>
      <c r="I350" s="27" t="s">
        <v>1140</v>
      </c>
      <c r="J350" s="27" t="s">
        <v>1139</v>
      </c>
      <c r="K350" s="27" t="s">
        <v>1140</v>
      </c>
      <c r="L350" s="27" t="s">
        <v>1139</v>
      </c>
      <c r="M350" s="27" t="s">
        <v>1140</v>
      </c>
      <c r="N350" s="27" t="s">
        <v>1139</v>
      </c>
      <c r="O350" s="27" t="s">
        <v>1140</v>
      </c>
      <c r="P350" s="27" t="s">
        <v>1139</v>
      </c>
      <c r="Q350" s="27" t="s">
        <v>1140</v>
      </c>
    </row>
    <row r="351" spans="1:17" x14ac:dyDescent="0.2">
      <c r="A351" s="5">
        <v>38018</v>
      </c>
      <c r="B351">
        <v>74</v>
      </c>
      <c r="C351">
        <v>96.258899999999997</v>
      </c>
      <c r="D351">
        <f t="shared" si="20"/>
        <v>4.3040650932041702</v>
      </c>
      <c r="E351">
        <f t="shared" si="21"/>
        <v>4.5670414364255025</v>
      </c>
      <c r="F351">
        <f t="shared" si="22"/>
        <v>-3.7139546949456204E-2</v>
      </c>
      <c r="G351">
        <f t="shared" si="23"/>
        <v>1.9392318263662389E-2</v>
      </c>
    </row>
    <row r="352" spans="1:17" x14ac:dyDescent="0.2">
      <c r="A352" s="5">
        <v>38047</v>
      </c>
      <c r="B352">
        <v>86.9</v>
      </c>
      <c r="C352">
        <v>96.618300000000005</v>
      </c>
      <c r="D352">
        <f t="shared" si="20"/>
        <v>4.4647580322713463</v>
      </c>
      <c r="E352">
        <f t="shared" si="21"/>
        <v>4.5707681642705822</v>
      </c>
      <c r="F352">
        <f t="shared" si="22"/>
        <v>0.16069293906717608</v>
      </c>
      <c r="G352">
        <f t="shared" si="23"/>
        <v>3.7267278450796582E-3</v>
      </c>
    </row>
    <row r="353" spans="1:7" x14ac:dyDescent="0.2">
      <c r="A353" s="5">
        <v>38078</v>
      </c>
      <c r="B353">
        <v>82.2</v>
      </c>
      <c r="C353">
        <v>94.837100000000007</v>
      </c>
      <c r="D353">
        <f t="shared" si="20"/>
        <v>4.4091553020621346</v>
      </c>
      <c r="E353">
        <f t="shared" si="21"/>
        <v>4.5521606829144261</v>
      </c>
      <c r="F353">
        <f t="shared" si="22"/>
        <v>-5.5602730209211693E-2</v>
      </c>
      <c r="G353">
        <f t="shared" si="23"/>
        <v>-1.8607481356156086E-2</v>
      </c>
    </row>
    <row r="354" spans="1:7" x14ac:dyDescent="0.2">
      <c r="A354" s="5">
        <v>38108</v>
      </c>
      <c r="B354">
        <v>86.3</v>
      </c>
      <c r="C354">
        <v>96.379199999999997</v>
      </c>
      <c r="D354">
        <f t="shared" si="20"/>
        <v>4.4578295980893818</v>
      </c>
      <c r="E354">
        <f t="shared" si="21"/>
        <v>4.5682904107004605</v>
      </c>
      <c r="F354">
        <f t="shared" si="22"/>
        <v>4.8674296027247266E-2</v>
      </c>
      <c r="G354">
        <f t="shared" si="23"/>
        <v>1.6129727786034387E-2</v>
      </c>
    </row>
    <row r="355" spans="1:7" x14ac:dyDescent="0.2">
      <c r="A355" s="5">
        <v>38139</v>
      </c>
      <c r="B355">
        <v>86.1</v>
      </c>
      <c r="C355">
        <v>98.580600000000004</v>
      </c>
      <c r="D355">
        <f t="shared" si="20"/>
        <v>4.4555094114336846</v>
      </c>
      <c r="E355">
        <f t="shared" si="21"/>
        <v>4.5908744876859764</v>
      </c>
      <c r="F355">
        <f t="shared" si="22"/>
        <v>-2.3201866556972206E-3</v>
      </c>
      <c r="G355">
        <f t="shared" si="23"/>
        <v>2.25840769855159E-2</v>
      </c>
    </row>
    <row r="356" spans="1:7" x14ac:dyDescent="0.2">
      <c r="A356" s="5">
        <v>38169</v>
      </c>
      <c r="B356">
        <v>90.1</v>
      </c>
      <c r="C356">
        <v>95.402799999999999</v>
      </c>
      <c r="D356">
        <f t="shared" si="20"/>
        <v>4.5009201646142918</v>
      </c>
      <c r="E356">
        <f t="shared" si="21"/>
        <v>4.558107928128357</v>
      </c>
      <c r="F356">
        <f t="shared" si="22"/>
        <v>4.5410753180607166E-2</v>
      </c>
      <c r="G356">
        <f t="shared" si="23"/>
        <v>-3.2766559557619424E-2</v>
      </c>
    </row>
    <row r="357" spans="1:7" x14ac:dyDescent="0.2">
      <c r="A357" s="5">
        <v>38200</v>
      </c>
      <c r="B357">
        <v>92.1</v>
      </c>
      <c r="C357">
        <v>98.990200000000002</v>
      </c>
      <c r="D357">
        <f t="shared" si="20"/>
        <v>4.5228749432612609</v>
      </c>
      <c r="E357">
        <f t="shared" si="21"/>
        <v>4.5950208553357763</v>
      </c>
      <c r="F357">
        <f t="shared" si="22"/>
        <v>2.1954778646969153E-2</v>
      </c>
      <c r="G357">
        <f t="shared" si="23"/>
        <v>3.6912927207419344E-2</v>
      </c>
    </row>
    <row r="358" spans="1:7" x14ac:dyDescent="0.2">
      <c r="A358" s="5">
        <v>38231</v>
      </c>
      <c r="B358">
        <v>92.1</v>
      </c>
      <c r="C358">
        <v>98.380200000000002</v>
      </c>
      <c r="D358">
        <f t="shared" si="20"/>
        <v>4.5228749432612609</v>
      </c>
      <c r="E358">
        <f t="shared" si="21"/>
        <v>4.5888395642986506</v>
      </c>
      <c r="F358">
        <f t="shared" si="22"/>
        <v>0</v>
      </c>
      <c r="G358">
        <f t="shared" si="23"/>
        <v>-6.1812910371257246E-3</v>
      </c>
    </row>
    <row r="359" spans="1:7" x14ac:dyDescent="0.2">
      <c r="A359" s="5">
        <v>38261</v>
      </c>
      <c r="B359">
        <v>93.5</v>
      </c>
      <c r="C359">
        <v>98.572999999999993</v>
      </c>
      <c r="D359">
        <f t="shared" si="20"/>
        <v>4.5379614362946414</v>
      </c>
      <c r="E359">
        <f t="shared" si="21"/>
        <v>4.5907973904379045</v>
      </c>
      <c r="F359">
        <f t="shared" si="22"/>
        <v>1.5086493033380499E-2</v>
      </c>
      <c r="G359">
        <f t="shared" si="23"/>
        <v>1.957826139253882E-3</v>
      </c>
    </row>
    <row r="360" spans="1:7" x14ac:dyDescent="0.2">
      <c r="A360" s="5">
        <v>38292</v>
      </c>
      <c r="B360">
        <v>91.8</v>
      </c>
      <c r="C360">
        <v>97.627899999999997</v>
      </c>
      <c r="D360">
        <f t="shared" si="20"/>
        <v>4.5196122976264448</v>
      </c>
      <c r="E360">
        <f t="shared" si="21"/>
        <v>4.5811633132244118</v>
      </c>
      <c r="F360">
        <f t="shared" si="22"/>
        <v>-1.8349138668196652E-2</v>
      </c>
      <c r="G360">
        <f t="shared" si="23"/>
        <v>-9.6340772134926311E-3</v>
      </c>
    </row>
    <row r="361" spans="1:7" x14ac:dyDescent="0.2">
      <c r="A361" s="5">
        <v>38322</v>
      </c>
      <c r="B361">
        <v>84.7</v>
      </c>
      <c r="C361">
        <v>98.001499999999993</v>
      </c>
      <c r="D361">
        <f t="shared" si="20"/>
        <v>4.4391156016580089</v>
      </c>
      <c r="E361">
        <f t="shared" si="21"/>
        <v>4.5849827846758835</v>
      </c>
      <c r="F361">
        <f t="shared" si="22"/>
        <v>-8.0496695968435894E-2</v>
      </c>
      <c r="G361">
        <f t="shared" si="23"/>
        <v>3.8194714514716566E-3</v>
      </c>
    </row>
    <row r="362" spans="1:7" x14ac:dyDescent="0.2">
      <c r="A362" s="5">
        <v>38353</v>
      </c>
      <c r="B362">
        <v>81</v>
      </c>
      <c r="C362">
        <v>98.228899999999996</v>
      </c>
      <c r="D362">
        <f t="shared" si="20"/>
        <v>4.3944491546724391</v>
      </c>
      <c r="E362">
        <f t="shared" si="21"/>
        <v>4.5873004694157915</v>
      </c>
      <c r="F362">
        <f t="shared" si="22"/>
        <v>-4.4666446985569763E-2</v>
      </c>
      <c r="G362">
        <f t="shared" si="23"/>
        <v>2.3176847399080103E-3</v>
      </c>
    </row>
    <row r="363" spans="1:7" x14ac:dyDescent="0.2">
      <c r="A363" s="5">
        <v>38384</v>
      </c>
      <c r="B363">
        <v>76.400000000000006</v>
      </c>
      <c r="C363">
        <v>99.461399999999998</v>
      </c>
      <c r="D363">
        <f t="shared" si="20"/>
        <v>4.3359826961724748</v>
      </c>
      <c r="E363">
        <f t="shared" si="21"/>
        <v>4.5997696291979828</v>
      </c>
      <c r="F363">
        <f t="shared" si="22"/>
        <v>-5.8466458499964347E-2</v>
      </c>
      <c r="G363">
        <f t="shared" si="23"/>
        <v>1.2469159782191319E-2</v>
      </c>
    </row>
    <row r="364" spans="1:7" x14ac:dyDescent="0.2">
      <c r="A364" s="5">
        <v>38412</v>
      </c>
      <c r="B364">
        <v>88</v>
      </c>
      <c r="C364">
        <v>99.956500000000005</v>
      </c>
      <c r="D364">
        <f t="shared" si="20"/>
        <v>4.4773368144782069</v>
      </c>
      <c r="E364">
        <f t="shared" si="21"/>
        <v>4.6047350913481448</v>
      </c>
      <c r="F364">
        <f t="shared" si="22"/>
        <v>0.14135411830573208</v>
      </c>
      <c r="G364">
        <f t="shared" si="23"/>
        <v>4.9654621501620255E-3</v>
      </c>
    </row>
    <row r="365" spans="1:7" x14ac:dyDescent="0.2">
      <c r="A365" s="5">
        <v>38443</v>
      </c>
      <c r="B365">
        <v>87</v>
      </c>
      <c r="C365">
        <v>99.208399999999997</v>
      </c>
      <c r="D365">
        <f t="shared" si="20"/>
        <v>4.4659081186545837</v>
      </c>
      <c r="E365">
        <f t="shared" si="21"/>
        <v>4.5972226881252514</v>
      </c>
      <c r="F365">
        <f t="shared" si="22"/>
        <v>-1.1428695823623158E-2</v>
      </c>
      <c r="G365">
        <f t="shared" si="23"/>
        <v>-7.5124032228934823E-3</v>
      </c>
    </row>
    <row r="366" spans="1:7" x14ac:dyDescent="0.2">
      <c r="A366" s="5">
        <v>38473</v>
      </c>
      <c r="B366">
        <v>91.1</v>
      </c>
      <c r="C366">
        <v>99.552499999999995</v>
      </c>
      <c r="D366">
        <f t="shared" si="20"/>
        <v>4.5119578042659123</v>
      </c>
      <c r="E366">
        <f t="shared" si="21"/>
        <v>4.6006851432034175</v>
      </c>
      <c r="F366">
        <f t="shared" si="22"/>
        <v>4.6049685611328606E-2</v>
      </c>
      <c r="G366">
        <f t="shared" si="23"/>
        <v>3.4624550781661156E-3</v>
      </c>
    </row>
    <row r="367" spans="1:7" x14ac:dyDescent="0.2">
      <c r="A367" s="5">
        <v>38504</v>
      </c>
      <c r="B367">
        <v>91.4</v>
      </c>
      <c r="C367">
        <v>102.9842</v>
      </c>
      <c r="D367">
        <f t="shared" si="20"/>
        <v>4.5152454784601046</v>
      </c>
      <c r="E367">
        <f t="shared" si="21"/>
        <v>4.6345755784046982</v>
      </c>
      <c r="F367">
        <f t="shared" si="22"/>
        <v>3.2876741941922916E-3</v>
      </c>
      <c r="G367">
        <f t="shared" si="23"/>
        <v>3.3890435201280766E-2</v>
      </c>
    </row>
    <row r="368" spans="1:7" x14ac:dyDescent="0.2">
      <c r="A368" s="5">
        <v>38534</v>
      </c>
      <c r="B368">
        <v>90.5</v>
      </c>
      <c r="C368">
        <v>99.074200000000005</v>
      </c>
      <c r="D368">
        <f t="shared" si="20"/>
        <v>4.5053498507058807</v>
      </c>
      <c r="E368">
        <f t="shared" si="21"/>
        <v>4.5958690643530078</v>
      </c>
      <c r="F368">
        <f t="shared" si="22"/>
        <v>-9.8956277542239235E-3</v>
      </c>
      <c r="G368">
        <f t="shared" si="23"/>
        <v>-3.8706514051690455E-2</v>
      </c>
    </row>
    <row r="369" spans="1:7" x14ac:dyDescent="0.2">
      <c r="A369" s="5">
        <v>38565</v>
      </c>
      <c r="B369">
        <v>95.6</v>
      </c>
      <c r="C369">
        <v>102.61669999999999</v>
      </c>
      <c r="D369">
        <f t="shared" si="20"/>
        <v>4.5601728200573559</v>
      </c>
      <c r="E369">
        <f t="shared" si="21"/>
        <v>4.6310006875225795</v>
      </c>
      <c r="F369">
        <f t="shared" si="22"/>
        <v>5.4822969351475237E-2</v>
      </c>
      <c r="G369">
        <f t="shared" si="23"/>
        <v>3.5131623169571746E-2</v>
      </c>
    </row>
    <row r="370" spans="1:7" x14ac:dyDescent="0.2">
      <c r="A370" s="5">
        <v>38596</v>
      </c>
      <c r="B370">
        <v>92</v>
      </c>
      <c r="C370">
        <v>100.1392</v>
      </c>
      <c r="D370">
        <f t="shared" si="20"/>
        <v>4.5217885770490405</v>
      </c>
      <c r="E370">
        <f t="shared" si="21"/>
        <v>4.6065612180542299</v>
      </c>
      <c r="F370">
        <f t="shared" si="22"/>
        <v>-3.8384243008315444E-2</v>
      </c>
      <c r="G370">
        <f t="shared" si="23"/>
        <v>-2.4439469468349628E-2</v>
      </c>
    </row>
    <row r="371" spans="1:7" x14ac:dyDescent="0.2">
      <c r="A371" s="5">
        <v>38626</v>
      </c>
      <c r="B371">
        <v>93.7</v>
      </c>
      <c r="C371">
        <v>100.23520000000001</v>
      </c>
      <c r="D371">
        <f t="shared" si="20"/>
        <v>4.5400981892443761</v>
      </c>
      <c r="E371">
        <f t="shared" si="21"/>
        <v>4.607519424365468</v>
      </c>
      <c r="F371">
        <f t="shared" si="22"/>
        <v>1.8309612195335667E-2</v>
      </c>
      <c r="G371">
        <f t="shared" si="23"/>
        <v>9.5820631123810784E-4</v>
      </c>
    </row>
    <row r="372" spans="1:7" x14ac:dyDescent="0.2">
      <c r="A372" s="5">
        <v>38657</v>
      </c>
      <c r="B372">
        <v>92.4</v>
      </c>
      <c r="C372">
        <v>100.07040000000001</v>
      </c>
      <c r="D372">
        <f t="shared" si="20"/>
        <v>4.5261269786476381</v>
      </c>
      <c r="E372">
        <f t="shared" si="21"/>
        <v>4.6058739382963347</v>
      </c>
      <c r="F372">
        <f t="shared" si="22"/>
        <v>-1.3971210596738004E-2</v>
      </c>
      <c r="G372">
        <f t="shared" si="23"/>
        <v>-1.645486069133284E-3</v>
      </c>
    </row>
    <row r="373" spans="1:7" x14ac:dyDescent="0.2">
      <c r="A373" s="5">
        <v>38687</v>
      </c>
      <c r="B373">
        <v>86.6</v>
      </c>
      <c r="C373">
        <v>100.57989999999999</v>
      </c>
      <c r="D373">
        <f t="shared" si="20"/>
        <v>4.4612998155683892</v>
      </c>
      <c r="E373">
        <f t="shared" si="21"/>
        <v>4.6109524365098782</v>
      </c>
      <c r="F373">
        <f t="shared" si="22"/>
        <v>-6.4827163079248962E-2</v>
      </c>
      <c r="G373">
        <f t="shared" si="23"/>
        <v>5.0784982135434475E-3</v>
      </c>
    </row>
    <row r="374" spans="1:7" x14ac:dyDescent="0.2">
      <c r="A374" s="5">
        <v>38718</v>
      </c>
      <c r="B374">
        <v>83.7</v>
      </c>
      <c r="C374">
        <v>99.902799999999999</v>
      </c>
      <c r="D374">
        <f t="shared" si="20"/>
        <v>4.4272389774954295</v>
      </c>
      <c r="E374">
        <f t="shared" si="21"/>
        <v>4.604197713289758</v>
      </c>
      <c r="F374">
        <f t="shared" si="22"/>
        <v>-3.4060838072959676E-2</v>
      </c>
      <c r="G374">
        <f t="shared" si="23"/>
        <v>-6.7547232201201624E-3</v>
      </c>
    </row>
    <row r="375" spans="1:7" x14ac:dyDescent="0.2">
      <c r="A375" s="5">
        <v>38749</v>
      </c>
      <c r="B375">
        <v>80.2</v>
      </c>
      <c r="C375">
        <v>100.7886</v>
      </c>
      <c r="D375">
        <f t="shared" si="20"/>
        <v>4.3845235148724688</v>
      </c>
      <c r="E375">
        <f t="shared" si="21"/>
        <v>4.613025254003424</v>
      </c>
      <c r="F375">
        <f t="shared" si="22"/>
        <v>-4.2715462622960665E-2</v>
      </c>
      <c r="G375">
        <f t="shared" si="23"/>
        <v>8.8275407136659823E-3</v>
      </c>
    </row>
    <row r="376" spans="1:7" x14ac:dyDescent="0.2">
      <c r="A376" s="5">
        <v>38777</v>
      </c>
      <c r="B376">
        <v>92.4</v>
      </c>
      <c r="C376">
        <v>102.1181</v>
      </c>
      <c r="D376">
        <f t="shared" si="20"/>
        <v>4.5261269786476381</v>
      </c>
      <c r="E376">
        <f t="shared" si="21"/>
        <v>4.626129986638114</v>
      </c>
      <c r="F376">
        <f t="shared" si="22"/>
        <v>0.1416034637751693</v>
      </c>
      <c r="G376">
        <f t="shared" si="23"/>
        <v>1.3104732634690031E-2</v>
      </c>
    </row>
    <row r="377" spans="1:7" x14ac:dyDescent="0.2">
      <c r="A377" s="5">
        <v>38808</v>
      </c>
      <c r="B377">
        <v>85.7</v>
      </c>
      <c r="C377">
        <v>100.13330000000001</v>
      </c>
      <c r="D377">
        <f t="shared" si="20"/>
        <v>4.4508528256037341</v>
      </c>
      <c r="E377">
        <f t="shared" si="21"/>
        <v>4.6065022983323338</v>
      </c>
      <c r="F377">
        <f t="shared" si="22"/>
        <v>-7.5274153043904057E-2</v>
      </c>
      <c r="G377">
        <f t="shared" si="23"/>
        <v>-1.9627688305780211E-2</v>
      </c>
    </row>
    <row r="378" spans="1:7" x14ac:dyDescent="0.2">
      <c r="A378" s="5">
        <v>38838</v>
      </c>
      <c r="B378">
        <v>95.4</v>
      </c>
      <c r="C378">
        <v>101.6305</v>
      </c>
      <c r="D378">
        <f t="shared" si="20"/>
        <v>4.558078578454241</v>
      </c>
      <c r="E378">
        <f t="shared" si="21"/>
        <v>4.6213436869447166</v>
      </c>
      <c r="F378">
        <f t="shared" si="22"/>
        <v>0.10722575285050695</v>
      </c>
      <c r="G378">
        <f t="shared" si="23"/>
        <v>1.4841388612382822E-2</v>
      </c>
    </row>
    <row r="379" spans="1:7" x14ac:dyDescent="0.2">
      <c r="A379" s="5">
        <v>38869</v>
      </c>
      <c r="B379">
        <v>91.1</v>
      </c>
      <c r="C379">
        <v>105.0911</v>
      </c>
      <c r="D379">
        <f t="shared" si="20"/>
        <v>4.5119578042659123</v>
      </c>
      <c r="E379">
        <f t="shared" si="21"/>
        <v>4.6548275930412988</v>
      </c>
      <c r="F379">
        <f t="shared" si="22"/>
        <v>-4.6120774188328717E-2</v>
      </c>
      <c r="G379">
        <f t="shared" si="23"/>
        <v>3.3483906096582139E-2</v>
      </c>
    </row>
    <row r="380" spans="1:7" x14ac:dyDescent="0.2">
      <c r="A380" s="5">
        <v>38899</v>
      </c>
      <c r="B380">
        <v>93.8</v>
      </c>
      <c r="C380">
        <v>101.8612</v>
      </c>
      <c r="D380">
        <f t="shared" si="20"/>
        <v>4.5411648560121787</v>
      </c>
      <c r="E380">
        <f t="shared" si="21"/>
        <v>4.6236111022627764</v>
      </c>
      <c r="F380">
        <f t="shared" si="22"/>
        <v>2.9207051746266366E-2</v>
      </c>
      <c r="G380">
        <f t="shared" si="23"/>
        <v>-3.1216490778522399E-2</v>
      </c>
    </row>
    <row r="381" spans="1:7" x14ac:dyDescent="0.2">
      <c r="A381" s="5">
        <v>38930</v>
      </c>
      <c r="B381">
        <v>98.6</v>
      </c>
      <c r="C381">
        <v>105.29649999999999</v>
      </c>
      <c r="D381">
        <f t="shared" si="20"/>
        <v>4.5910712616085894</v>
      </c>
      <c r="E381">
        <f t="shared" si="21"/>
        <v>4.6567801802209514</v>
      </c>
      <c r="F381">
        <f t="shared" si="22"/>
        <v>4.9906405596410686E-2</v>
      </c>
      <c r="G381">
        <f t="shared" si="23"/>
        <v>3.3169077958175031E-2</v>
      </c>
    </row>
    <row r="382" spans="1:7" x14ac:dyDescent="0.2">
      <c r="A382" s="5">
        <v>38961</v>
      </c>
      <c r="B382">
        <v>93.2</v>
      </c>
      <c r="C382">
        <v>104.31959999999999</v>
      </c>
      <c r="D382">
        <f t="shared" si="20"/>
        <v>4.5347477216915459</v>
      </c>
      <c r="E382">
        <f t="shared" si="21"/>
        <v>4.6474592638151631</v>
      </c>
      <c r="F382">
        <f t="shared" si="22"/>
        <v>-5.6323539917043419E-2</v>
      </c>
      <c r="G382">
        <f t="shared" si="23"/>
        <v>-9.3209164057883598E-3</v>
      </c>
    </row>
    <row r="383" spans="1:7" x14ac:dyDescent="0.2">
      <c r="A383" s="5">
        <v>38991</v>
      </c>
      <c r="B383">
        <v>97.5</v>
      </c>
      <c r="C383">
        <v>103.0231</v>
      </c>
      <c r="D383">
        <f t="shared" si="20"/>
        <v>4.5798523780038014</v>
      </c>
      <c r="E383">
        <f t="shared" si="21"/>
        <v>4.6349532349291254</v>
      </c>
      <c r="F383">
        <f t="shared" si="22"/>
        <v>4.5104656312255464E-2</v>
      </c>
      <c r="G383">
        <f t="shared" si="23"/>
        <v>-1.250602888603769E-2</v>
      </c>
    </row>
    <row r="384" spans="1:7" x14ac:dyDescent="0.2">
      <c r="A384" s="5">
        <v>39022</v>
      </c>
      <c r="B384">
        <v>95.9</v>
      </c>
      <c r="C384">
        <v>101.8533</v>
      </c>
      <c r="D384">
        <f t="shared" si="20"/>
        <v>4.5633059818893926</v>
      </c>
      <c r="E384">
        <f t="shared" si="21"/>
        <v>4.6235335427370288</v>
      </c>
      <c r="F384">
        <f t="shared" si="22"/>
        <v>-1.6546396114408779E-2</v>
      </c>
      <c r="G384">
        <f t="shared" si="23"/>
        <v>-1.1419692192096598E-2</v>
      </c>
    </row>
    <row r="385" spans="1:7" x14ac:dyDescent="0.2">
      <c r="A385" s="5">
        <v>39052</v>
      </c>
      <c r="B385">
        <v>87</v>
      </c>
      <c r="C385">
        <v>102.89060000000001</v>
      </c>
      <c r="D385">
        <f t="shared" si="20"/>
        <v>4.4659081186545837</v>
      </c>
      <c r="E385">
        <f t="shared" si="21"/>
        <v>4.6336662878412183</v>
      </c>
      <c r="F385">
        <f t="shared" si="22"/>
        <v>-9.7397863234808923E-2</v>
      </c>
      <c r="G385">
        <f t="shared" si="23"/>
        <v>1.0132745104189489E-2</v>
      </c>
    </row>
    <row r="386" spans="1:7" x14ac:dyDescent="0.2">
      <c r="A386" s="5">
        <v>39083</v>
      </c>
      <c r="B386">
        <v>87</v>
      </c>
      <c r="C386">
        <v>101.7402</v>
      </c>
      <c r="D386">
        <f t="shared" si="20"/>
        <v>4.4659081186545837</v>
      </c>
      <c r="E386">
        <f t="shared" si="21"/>
        <v>4.6224225051878509</v>
      </c>
      <c r="F386">
        <f t="shared" si="22"/>
        <v>0</v>
      </c>
      <c r="G386">
        <f t="shared" si="23"/>
        <v>-1.124378265336734E-2</v>
      </c>
    </row>
    <row r="387" spans="1:7" x14ac:dyDescent="0.2">
      <c r="A387" s="5">
        <v>39114</v>
      </c>
      <c r="B387">
        <v>82.6</v>
      </c>
      <c r="C387">
        <v>103.3257</v>
      </c>
      <c r="D387">
        <f t="shared" ref="D387:D450" si="24">LN(B387)</f>
        <v>4.4140096805269327</v>
      </c>
      <c r="E387">
        <f t="shared" ref="E387:E450" si="25">LN(C387)</f>
        <v>4.637886135114746</v>
      </c>
      <c r="F387">
        <f t="shared" ref="F387:F450" si="26">D387-D386</f>
        <v>-5.1898438127651048E-2</v>
      </c>
      <c r="G387">
        <f t="shared" ref="G387:G450" si="27">E387-E386</f>
        <v>1.5463629926895095E-2</v>
      </c>
    </row>
    <row r="388" spans="1:7" x14ac:dyDescent="0.2">
      <c r="A388" s="5">
        <v>39142</v>
      </c>
      <c r="B388">
        <v>96.4</v>
      </c>
      <c r="C388">
        <v>104.4967</v>
      </c>
      <c r="D388">
        <f t="shared" si="24"/>
        <v>4.5685062016164997</v>
      </c>
      <c r="E388">
        <f t="shared" si="25"/>
        <v>4.6491554919588722</v>
      </c>
      <c r="F388">
        <f t="shared" si="26"/>
        <v>0.15449652108956702</v>
      </c>
      <c r="G388">
        <f t="shared" si="27"/>
        <v>1.1269356844126222E-2</v>
      </c>
    </row>
    <row r="389" spans="1:7" x14ac:dyDescent="0.2">
      <c r="A389" s="5">
        <v>39173</v>
      </c>
      <c r="B389">
        <v>90.6</v>
      </c>
      <c r="C389">
        <v>103.5013</v>
      </c>
      <c r="D389">
        <f t="shared" si="24"/>
        <v>4.5064542130489338</v>
      </c>
      <c r="E389">
        <f t="shared" si="25"/>
        <v>4.6395841730130165</v>
      </c>
      <c r="F389">
        <f t="shared" si="26"/>
        <v>-6.2051988567565886E-2</v>
      </c>
      <c r="G389">
        <f t="shared" si="27"/>
        <v>-9.5713189458557224E-3</v>
      </c>
    </row>
    <row r="390" spans="1:7" x14ac:dyDescent="0.2">
      <c r="A390" s="5">
        <v>39203</v>
      </c>
      <c r="B390">
        <v>99.9</v>
      </c>
      <c r="C390">
        <v>104.5625</v>
      </c>
      <c r="D390">
        <f t="shared" si="24"/>
        <v>4.604169685654508</v>
      </c>
      <c r="E390">
        <f t="shared" si="25"/>
        <v>4.6497849787470429</v>
      </c>
      <c r="F390">
        <f t="shared" si="26"/>
        <v>9.7715472605574227E-2</v>
      </c>
      <c r="G390">
        <f t="shared" si="27"/>
        <v>1.0200805734026375E-2</v>
      </c>
    </row>
    <row r="391" spans="1:7" x14ac:dyDescent="0.2">
      <c r="A391" s="5">
        <v>39234</v>
      </c>
      <c r="B391">
        <v>96.9</v>
      </c>
      <c r="C391">
        <v>107.67910000000001</v>
      </c>
      <c r="D391">
        <f t="shared" si="24"/>
        <v>4.5736795188967205</v>
      </c>
      <c r="E391">
        <f t="shared" si="25"/>
        <v>4.6791555077634204</v>
      </c>
      <c r="F391">
        <f t="shared" si="26"/>
        <v>-3.0490166757787485E-2</v>
      </c>
      <c r="G391">
        <f t="shared" si="27"/>
        <v>2.9370529016377489E-2</v>
      </c>
    </row>
    <row r="392" spans="1:7" x14ac:dyDescent="0.2">
      <c r="A392" s="5">
        <v>39264</v>
      </c>
      <c r="B392">
        <v>99.8</v>
      </c>
      <c r="C392">
        <v>104.2692</v>
      </c>
      <c r="D392">
        <f t="shared" si="24"/>
        <v>4.6031681833174183</v>
      </c>
      <c r="E392">
        <f t="shared" si="25"/>
        <v>4.6469760163830784</v>
      </c>
      <c r="F392">
        <f t="shared" si="26"/>
        <v>2.9488664420697752E-2</v>
      </c>
      <c r="G392">
        <f t="shared" si="27"/>
        <v>-3.2179491380341929E-2</v>
      </c>
    </row>
    <row r="393" spans="1:7" x14ac:dyDescent="0.2">
      <c r="A393" s="5">
        <v>39295</v>
      </c>
      <c r="B393">
        <v>104.9</v>
      </c>
      <c r="C393">
        <v>107.7355</v>
      </c>
      <c r="D393">
        <f t="shared" si="24"/>
        <v>4.6530075154022512</v>
      </c>
      <c r="E393">
        <f t="shared" si="25"/>
        <v>4.6796791491627383</v>
      </c>
      <c r="F393">
        <f t="shared" si="26"/>
        <v>4.9839332084832932E-2</v>
      </c>
      <c r="G393">
        <f t="shared" si="27"/>
        <v>3.270313277965986E-2</v>
      </c>
    </row>
    <row r="394" spans="1:7" x14ac:dyDescent="0.2">
      <c r="A394" s="5">
        <v>39326</v>
      </c>
      <c r="B394">
        <v>98.4</v>
      </c>
      <c r="C394">
        <v>107.2204</v>
      </c>
      <c r="D394">
        <f t="shared" si="24"/>
        <v>4.5890408040582074</v>
      </c>
      <c r="E394">
        <f t="shared" si="25"/>
        <v>4.6748865290396999</v>
      </c>
      <c r="F394">
        <f t="shared" si="26"/>
        <v>-6.3966711344043858E-2</v>
      </c>
      <c r="G394">
        <f t="shared" si="27"/>
        <v>-4.7926201230383825E-3</v>
      </c>
    </row>
    <row r="395" spans="1:7" x14ac:dyDescent="0.2">
      <c r="A395" s="5">
        <v>39356</v>
      </c>
      <c r="B395">
        <v>107.8</v>
      </c>
      <c r="C395">
        <v>105.3873</v>
      </c>
      <c r="D395">
        <f t="shared" si="24"/>
        <v>4.6802776584748971</v>
      </c>
      <c r="E395">
        <f t="shared" si="25"/>
        <v>4.6576421354887199</v>
      </c>
      <c r="F395">
        <f t="shared" si="26"/>
        <v>9.1236854416689717E-2</v>
      </c>
      <c r="G395">
        <f t="shared" si="27"/>
        <v>-1.7244393550980064E-2</v>
      </c>
    </row>
    <row r="396" spans="1:7" x14ac:dyDescent="0.2">
      <c r="A396" s="5">
        <v>39387</v>
      </c>
      <c r="B396">
        <v>102.4</v>
      </c>
      <c r="C396">
        <v>104.9072</v>
      </c>
      <c r="D396">
        <f t="shared" si="24"/>
        <v>4.6288867126054072</v>
      </c>
      <c r="E396">
        <f t="shared" si="25"/>
        <v>4.6530761498438036</v>
      </c>
      <c r="F396">
        <f t="shared" si="26"/>
        <v>-5.139094586948989E-2</v>
      </c>
      <c r="G396">
        <f t="shared" si="27"/>
        <v>-4.5659856449162817E-3</v>
      </c>
    </row>
    <row r="397" spans="1:7" x14ac:dyDescent="0.2">
      <c r="A397" s="5">
        <v>39417</v>
      </c>
      <c r="B397">
        <v>92.6</v>
      </c>
      <c r="C397">
        <v>104.9109</v>
      </c>
      <c r="D397">
        <f t="shared" si="24"/>
        <v>4.5282891416521336</v>
      </c>
      <c r="E397">
        <f t="shared" si="25"/>
        <v>4.6531114184884093</v>
      </c>
      <c r="F397">
        <f t="shared" si="26"/>
        <v>-0.1005975709532736</v>
      </c>
      <c r="G397">
        <f t="shared" si="27"/>
        <v>3.5268644605679356E-5</v>
      </c>
    </row>
    <row r="398" spans="1:7" x14ac:dyDescent="0.2">
      <c r="A398" s="5">
        <v>39448</v>
      </c>
      <c r="B398">
        <v>94.8</v>
      </c>
      <c r="C398">
        <v>104.0921</v>
      </c>
      <c r="D398">
        <f t="shared" si="24"/>
        <v>4.5517694092609764</v>
      </c>
      <c r="E398">
        <f t="shared" si="25"/>
        <v>4.645276084172556</v>
      </c>
      <c r="F398">
        <f t="shared" si="26"/>
        <v>2.3480267608842809E-2</v>
      </c>
      <c r="G398">
        <f t="shared" si="27"/>
        <v>-7.8353343158532596E-3</v>
      </c>
    </row>
    <row r="399" spans="1:7" x14ac:dyDescent="0.2">
      <c r="A399" s="5">
        <v>39479</v>
      </c>
      <c r="B399">
        <v>91.1</v>
      </c>
      <c r="C399">
        <v>103.9701</v>
      </c>
      <c r="D399">
        <f t="shared" si="24"/>
        <v>4.5119578042659123</v>
      </c>
      <c r="E399">
        <f t="shared" si="25"/>
        <v>4.6441033578053244</v>
      </c>
      <c r="F399">
        <f t="shared" si="26"/>
        <v>-3.9811604995064087E-2</v>
      </c>
      <c r="G399">
        <f t="shared" si="27"/>
        <v>-1.1727263672316468E-3</v>
      </c>
    </row>
    <row r="400" spans="1:7" x14ac:dyDescent="0.2">
      <c r="A400" s="5">
        <v>39508</v>
      </c>
      <c r="B400">
        <v>97.7</v>
      </c>
      <c r="C400">
        <v>104.3638</v>
      </c>
      <c r="D400">
        <f t="shared" si="24"/>
        <v>4.5819015590487373</v>
      </c>
      <c r="E400">
        <f t="shared" si="25"/>
        <v>4.6478828720241632</v>
      </c>
      <c r="F400">
        <f t="shared" si="26"/>
        <v>6.9943754782824996E-2</v>
      </c>
      <c r="G400">
        <f t="shared" si="27"/>
        <v>3.7795142188388198E-3</v>
      </c>
    </row>
    <row r="401" spans="1:7" x14ac:dyDescent="0.2">
      <c r="A401" s="5">
        <v>39539</v>
      </c>
      <c r="B401">
        <v>99.2</v>
      </c>
      <c r="C401">
        <v>102.8907</v>
      </c>
      <c r="D401">
        <f t="shared" si="24"/>
        <v>4.5971380142908274</v>
      </c>
      <c r="E401">
        <f t="shared" si="25"/>
        <v>4.6336672597468285</v>
      </c>
      <c r="F401">
        <f t="shared" si="26"/>
        <v>1.5236455242090052E-2</v>
      </c>
      <c r="G401">
        <f t="shared" si="27"/>
        <v>-1.4215612277334699E-2</v>
      </c>
    </row>
    <row r="402" spans="1:7" x14ac:dyDescent="0.2">
      <c r="A402" s="5">
        <v>39569</v>
      </c>
      <c r="B402">
        <v>102.5</v>
      </c>
      <c r="C402">
        <v>102.678</v>
      </c>
      <c r="D402">
        <f t="shared" si="24"/>
        <v>4.6298627985784631</v>
      </c>
      <c r="E402">
        <f t="shared" si="25"/>
        <v>4.6315978778233697</v>
      </c>
      <c r="F402">
        <f t="shared" si="26"/>
        <v>3.27247842876357E-2</v>
      </c>
      <c r="G402">
        <f t="shared" si="27"/>
        <v>-2.0693819234587352E-3</v>
      </c>
    </row>
    <row r="403" spans="1:7" x14ac:dyDescent="0.2">
      <c r="A403" s="5">
        <v>39600</v>
      </c>
      <c r="B403">
        <v>103.3</v>
      </c>
      <c r="C403">
        <v>105.55159999999999</v>
      </c>
      <c r="D403">
        <f t="shared" si="24"/>
        <v>4.6376373761255927</v>
      </c>
      <c r="E403">
        <f t="shared" si="25"/>
        <v>4.6591999328720002</v>
      </c>
      <c r="F403">
        <f t="shared" si="26"/>
        <v>7.7745775471296241E-3</v>
      </c>
      <c r="G403">
        <f t="shared" si="27"/>
        <v>2.7602055048630447E-2</v>
      </c>
    </row>
    <row r="404" spans="1:7" x14ac:dyDescent="0.2">
      <c r="A404" s="5">
        <v>39630</v>
      </c>
      <c r="B404">
        <v>108.5</v>
      </c>
      <c r="C404">
        <v>102.5579</v>
      </c>
      <c r="D404">
        <f t="shared" si="24"/>
        <v>4.6867501729805143</v>
      </c>
      <c r="E404">
        <f t="shared" si="25"/>
        <v>4.630427517143695</v>
      </c>
      <c r="F404">
        <f t="shared" si="26"/>
        <v>4.9112796854921648E-2</v>
      </c>
      <c r="G404">
        <f t="shared" si="27"/>
        <v>-2.8772415728305134E-2</v>
      </c>
    </row>
    <row r="405" spans="1:7" x14ac:dyDescent="0.2">
      <c r="A405" s="5">
        <v>39661</v>
      </c>
      <c r="B405">
        <v>106.9</v>
      </c>
      <c r="C405">
        <v>103.3784</v>
      </c>
      <c r="D405">
        <f t="shared" si="24"/>
        <v>4.6718938180309992</v>
      </c>
      <c r="E405">
        <f t="shared" si="25"/>
        <v>4.6383960427667166</v>
      </c>
      <c r="F405">
        <f t="shared" si="26"/>
        <v>-1.4856354949515094E-2</v>
      </c>
      <c r="G405">
        <f t="shared" si="27"/>
        <v>7.9685256230215273E-3</v>
      </c>
    </row>
    <row r="406" spans="1:7" x14ac:dyDescent="0.2">
      <c r="A406" s="5">
        <v>39692</v>
      </c>
      <c r="B406">
        <v>107.3</v>
      </c>
      <c r="C406">
        <v>98.274100000000004</v>
      </c>
      <c r="D406">
        <f t="shared" si="24"/>
        <v>4.6756286496366526</v>
      </c>
      <c r="E406">
        <f t="shared" si="25"/>
        <v>4.5877605132909194</v>
      </c>
      <c r="F406">
        <f t="shared" si="26"/>
        <v>3.7348316056533548E-3</v>
      </c>
      <c r="G406">
        <f t="shared" si="27"/>
        <v>-5.0635529475797192E-2</v>
      </c>
    </row>
    <row r="407" spans="1:7" x14ac:dyDescent="0.2">
      <c r="A407" s="5">
        <v>39722</v>
      </c>
      <c r="B407">
        <v>108.4</v>
      </c>
      <c r="C407">
        <v>97.801599999999993</v>
      </c>
      <c r="D407">
        <f t="shared" si="24"/>
        <v>4.6858280890055459</v>
      </c>
      <c r="E407">
        <f t="shared" si="25"/>
        <v>4.5829409368251497</v>
      </c>
      <c r="F407">
        <f t="shared" si="26"/>
        <v>1.0199439368893337E-2</v>
      </c>
      <c r="G407">
        <f t="shared" si="27"/>
        <v>-4.8195764657696927E-3</v>
      </c>
    </row>
    <row r="408" spans="1:7" x14ac:dyDescent="0.2">
      <c r="A408" s="5">
        <v>39753</v>
      </c>
      <c r="B408">
        <v>96.2</v>
      </c>
      <c r="C408">
        <v>95.787199999999999</v>
      </c>
      <c r="D408">
        <f t="shared" si="24"/>
        <v>4.5664293576716606</v>
      </c>
      <c r="E408">
        <f t="shared" si="25"/>
        <v>4.5621290643589552</v>
      </c>
      <c r="F408">
        <f t="shared" si="26"/>
        <v>-0.11939873133388534</v>
      </c>
      <c r="G408">
        <f t="shared" si="27"/>
        <v>-2.0811872466194536E-2</v>
      </c>
    </row>
    <row r="409" spans="1:7" x14ac:dyDescent="0.2">
      <c r="A409" s="5">
        <v>39783</v>
      </c>
      <c r="B409">
        <v>79.099999999999994</v>
      </c>
      <c r="C409">
        <v>93.643500000000003</v>
      </c>
      <c r="D409">
        <f t="shared" si="24"/>
        <v>4.3707128747736084</v>
      </c>
      <c r="E409">
        <f t="shared" si="25"/>
        <v>4.5394950191134358</v>
      </c>
      <c r="F409">
        <f t="shared" si="26"/>
        <v>-0.19571648289805221</v>
      </c>
      <c r="G409">
        <f t="shared" si="27"/>
        <v>-2.2634045245519374E-2</v>
      </c>
    </row>
    <row r="410" spans="1:7" x14ac:dyDescent="0.2">
      <c r="A410" s="5">
        <v>39814</v>
      </c>
      <c r="B410">
        <v>78.7</v>
      </c>
      <c r="C410">
        <v>90.985100000000003</v>
      </c>
      <c r="D410">
        <f t="shared" si="24"/>
        <v>4.3656431554233572</v>
      </c>
      <c r="E410">
        <f t="shared" si="25"/>
        <v>4.510695756846868</v>
      </c>
      <c r="F410">
        <f t="shared" si="26"/>
        <v>-5.069719350251134E-3</v>
      </c>
      <c r="G410">
        <f t="shared" si="27"/>
        <v>-2.8799262266567816E-2</v>
      </c>
    </row>
    <row r="411" spans="1:7" x14ac:dyDescent="0.2">
      <c r="A411" s="5">
        <v>39845</v>
      </c>
      <c r="B411">
        <v>76.099999999999994</v>
      </c>
      <c r="C411">
        <v>90.284599999999998</v>
      </c>
      <c r="D411">
        <f t="shared" si="24"/>
        <v>4.3320482648676402</v>
      </c>
      <c r="E411">
        <f t="shared" si="25"/>
        <v>4.502966903243232</v>
      </c>
      <c r="F411">
        <f t="shared" si="26"/>
        <v>-3.3594890555717072E-2</v>
      </c>
      <c r="G411">
        <f t="shared" si="27"/>
        <v>-7.7288536036359545E-3</v>
      </c>
    </row>
    <row r="412" spans="1:7" x14ac:dyDescent="0.2">
      <c r="A412" s="5">
        <v>39873</v>
      </c>
      <c r="B412">
        <v>88.6</v>
      </c>
      <c r="C412">
        <v>89.3215</v>
      </c>
      <c r="D412">
        <f t="shared" si="24"/>
        <v>4.4841318576110352</v>
      </c>
      <c r="E412">
        <f t="shared" si="25"/>
        <v>4.4922422203822236</v>
      </c>
      <c r="F412">
        <f t="shared" si="26"/>
        <v>0.152083592743395</v>
      </c>
      <c r="G412">
        <f t="shared" si="27"/>
        <v>-1.0724682861008361E-2</v>
      </c>
    </row>
    <row r="413" spans="1:7" x14ac:dyDescent="0.2">
      <c r="A413" s="5">
        <v>39904</v>
      </c>
      <c r="B413">
        <v>85.2</v>
      </c>
      <c r="C413">
        <v>86.760999999999996</v>
      </c>
      <c r="D413">
        <f t="shared" si="24"/>
        <v>4.4450014338352704</v>
      </c>
      <c r="E413">
        <f t="shared" si="25"/>
        <v>4.4631572119411196</v>
      </c>
      <c r="F413">
        <f t="shared" si="26"/>
        <v>-3.9130423775764811E-2</v>
      </c>
      <c r="G413">
        <f t="shared" si="27"/>
        <v>-2.9085008441104065E-2</v>
      </c>
    </row>
    <row r="414" spans="1:7" x14ac:dyDescent="0.2">
      <c r="A414" s="5">
        <v>39934</v>
      </c>
      <c r="B414">
        <v>91.3</v>
      </c>
      <c r="C414">
        <v>86.953400000000002</v>
      </c>
      <c r="D414">
        <f t="shared" si="24"/>
        <v>4.514150787600923</v>
      </c>
      <c r="E414">
        <f t="shared" si="25"/>
        <v>4.4653723429685126</v>
      </c>
      <c r="F414">
        <f t="shared" si="26"/>
        <v>6.9149353765652677E-2</v>
      </c>
      <c r="G414">
        <f t="shared" si="27"/>
        <v>2.2151310273930136E-3</v>
      </c>
    </row>
    <row r="415" spans="1:7" x14ac:dyDescent="0.2">
      <c r="A415" s="5">
        <v>39965</v>
      </c>
      <c r="B415">
        <v>92.2</v>
      </c>
      <c r="C415">
        <v>89.227999999999994</v>
      </c>
      <c r="D415">
        <f t="shared" si="24"/>
        <v>4.5239601305625481</v>
      </c>
      <c r="E415">
        <f t="shared" si="25"/>
        <v>4.4911948916745352</v>
      </c>
      <c r="F415">
        <f t="shared" si="26"/>
        <v>9.809342961625056E-3</v>
      </c>
      <c r="G415">
        <f t="shared" si="27"/>
        <v>2.582254870602263E-2</v>
      </c>
    </row>
    <row r="416" spans="1:7" x14ac:dyDescent="0.2">
      <c r="A416" s="5">
        <v>39995</v>
      </c>
      <c r="B416">
        <v>97.7</v>
      </c>
      <c r="C416">
        <v>88.433599999999998</v>
      </c>
      <c r="D416">
        <f t="shared" si="24"/>
        <v>4.5819015590487373</v>
      </c>
      <c r="E416">
        <f t="shared" si="25"/>
        <v>4.4822519879252409</v>
      </c>
      <c r="F416">
        <f t="shared" si="26"/>
        <v>5.7941428486189217E-2</v>
      </c>
      <c r="G416">
        <f t="shared" si="27"/>
        <v>-8.9429037492942953E-3</v>
      </c>
    </row>
    <row r="417" spans="1:7" x14ac:dyDescent="0.2">
      <c r="A417" s="5">
        <v>40026</v>
      </c>
      <c r="B417">
        <v>99.6</v>
      </c>
      <c r="C417">
        <v>91.532200000000003</v>
      </c>
      <c r="D417">
        <f t="shared" si="24"/>
        <v>4.6011621645905523</v>
      </c>
      <c r="E417">
        <f t="shared" si="25"/>
        <v>4.5166908229430769</v>
      </c>
      <c r="F417">
        <f t="shared" si="26"/>
        <v>1.9260605541814968E-2</v>
      </c>
      <c r="G417">
        <f t="shared" si="27"/>
        <v>3.4438835017835956E-2</v>
      </c>
    </row>
    <row r="418" spans="1:7" x14ac:dyDescent="0.2">
      <c r="A418" s="5">
        <v>40057</v>
      </c>
      <c r="B418">
        <v>99.4</v>
      </c>
      <c r="C418">
        <v>90.794200000000004</v>
      </c>
      <c r="D418">
        <f t="shared" si="24"/>
        <v>4.5991521136625284</v>
      </c>
      <c r="E418">
        <f t="shared" si="25"/>
        <v>4.5085954069150649</v>
      </c>
      <c r="F418">
        <f t="shared" si="26"/>
        <v>-2.0100509280238654E-3</v>
      </c>
      <c r="G418">
        <f t="shared" si="27"/>
        <v>-8.0954160280120036E-3</v>
      </c>
    </row>
    <row r="419" spans="1:7" x14ac:dyDescent="0.2">
      <c r="A419" s="5">
        <v>40087</v>
      </c>
      <c r="B419">
        <v>105.6</v>
      </c>
      <c r="C419">
        <v>90.240600000000001</v>
      </c>
      <c r="D419">
        <f t="shared" si="24"/>
        <v>4.6596583712721609</v>
      </c>
      <c r="E419">
        <f t="shared" si="25"/>
        <v>4.5024794366638146</v>
      </c>
      <c r="F419">
        <f t="shared" si="26"/>
        <v>6.0506257609632463E-2</v>
      </c>
      <c r="G419">
        <f t="shared" si="27"/>
        <v>-6.1159702512503245E-3</v>
      </c>
    </row>
    <row r="420" spans="1:7" x14ac:dyDescent="0.2">
      <c r="A420" s="5">
        <v>40118</v>
      </c>
      <c r="B420">
        <v>101.4</v>
      </c>
      <c r="C420">
        <v>89.951499999999996</v>
      </c>
      <c r="D420">
        <f t="shared" si="24"/>
        <v>4.619073091157083</v>
      </c>
      <c r="E420">
        <f t="shared" si="25"/>
        <v>4.499270636188573</v>
      </c>
      <c r="F420">
        <f t="shared" si="26"/>
        <v>-4.0585280115077893E-2</v>
      </c>
      <c r="G420">
        <f t="shared" si="27"/>
        <v>-3.2088004752415245E-3</v>
      </c>
    </row>
    <row r="421" spans="1:7" x14ac:dyDescent="0.2">
      <c r="A421" s="5">
        <v>40148</v>
      </c>
      <c r="B421">
        <v>94.1</v>
      </c>
      <c r="C421">
        <v>90.735900000000001</v>
      </c>
      <c r="D421">
        <f t="shared" si="24"/>
        <v>4.5443580465913342</v>
      </c>
      <c r="E421">
        <f t="shared" si="25"/>
        <v>4.5079530891726698</v>
      </c>
      <c r="F421">
        <f t="shared" si="26"/>
        <v>-7.4715044565748734E-2</v>
      </c>
      <c r="G421">
        <f t="shared" si="27"/>
        <v>8.6824529840967557E-3</v>
      </c>
    </row>
    <row r="422" spans="1:7" x14ac:dyDescent="0.2">
      <c r="A422" s="5">
        <v>40179</v>
      </c>
      <c r="B422">
        <v>91.2</v>
      </c>
      <c r="C422">
        <v>91.588399999999993</v>
      </c>
      <c r="D422">
        <f t="shared" si="24"/>
        <v>4.513054897080286</v>
      </c>
      <c r="E422">
        <f t="shared" si="25"/>
        <v>4.517304626106287</v>
      </c>
      <c r="F422">
        <f t="shared" si="26"/>
        <v>-3.1303149511048289E-2</v>
      </c>
      <c r="G422">
        <f t="shared" si="27"/>
        <v>9.3515369336172327E-3</v>
      </c>
    </row>
    <row r="423" spans="1:7" x14ac:dyDescent="0.2">
      <c r="A423" s="5">
        <v>40210</v>
      </c>
      <c r="B423">
        <v>89</v>
      </c>
      <c r="C423">
        <v>91.694900000000004</v>
      </c>
      <c r="D423">
        <f t="shared" si="24"/>
        <v>4.4886363697321396</v>
      </c>
      <c r="E423">
        <f t="shared" si="25"/>
        <v>4.5184667615761986</v>
      </c>
      <c r="F423">
        <f t="shared" si="26"/>
        <v>-2.4418527348146313E-2</v>
      </c>
      <c r="G423">
        <f t="shared" si="27"/>
        <v>1.1621354699116182E-3</v>
      </c>
    </row>
    <row r="424" spans="1:7" x14ac:dyDescent="0.2">
      <c r="A424" s="5">
        <v>40238</v>
      </c>
      <c r="B424">
        <v>105.1</v>
      </c>
      <c r="C424">
        <v>92.855500000000006</v>
      </c>
      <c r="D424">
        <f t="shared" si="24"/>
        <v>4.6549122778829055</v>
      </c>
      <c r="E424">
        <f t="shared" si="25"/>
        <v>4.5310445213701662</v>
      </c>
      <c r="F424">
        <f t="shared" si="26"/>
        <v>0.16627590815076587</v>
      </c>
      <c r="G424">
        <f t="shared" si="27"/>
        <v>1.257775979396758E-2</v>
      </c>
    </row>
    <row r="425" spans="1:7" x14ac:dyDescent="0.2">
      <c r="A425" s="5">
        <v>40269</v>
      </c>
      <c r="B425">
        <v>99.3</v>
      </c>
      <c r="C425">
        <v>91.785700000000006</v>
      </c>
      <c r="D425">
        <f t="shared" si="24"/>
        <v>4.598145571051127</v>
      </c>
      <c r="E425">
        <f t="shared" si="25"/>
        <v>4.5194565120720265</v>
      </c>
      <c r="F425">
        <f t="shared" si="26"/>
        <v>-5.6766706831778535E-2</v>
      </c>
      <c r="G425">
        <f t="shared" si="27"/>
        <v>-1.1588009298139745E-2</v>
      </c>
    </row>
    <row r="426" spans="1:7" x14ac:dyDescent="0.2">
      <c r="A426" s="5">
        <v>40299</v>
      </c>
      <c r="B426">
        <v>104.3</v>
      </c>
      <c r="C426">
        <v>93.748900000000006</v>
      </c>
      <c r="D426">
        <f t="shared" si="24"/>
        <v>4.6472713620067267</v>
      </c>
      <c r="E426">
        <f t="shared" si="25"/>
        <v>4.5406199314483509</v>
      </c>
      <c r="F426">
        <f t="shared" si="26"/>
        <v>4.9125790955599768E-2</v>
      </c>
      <c r="G426">
        <f t="shared" si="27"/>
        <v>2.1163419376324377E-2</v>
      </c>
    </row>
    <row r="427" spans="1:7" x14ac:dyDescent="0.2">
      <c r="A427" s="5">
        <v>40330</v>
      </c>
      <c r="B427">
        <v>102.5</v>
      </c>
      <c r="C427">
        <v>96.776700000000005</v>
      </c>
      <c r="D427">
        <f t="shared" si="24"/>
        <v>4.6298627985784631</v>
      </c>
      <c r="E427">
        <f t="shared" si="25"/>
        <v>4.5724062628297011</v>
      </c>
      <c r="F427">
        <f t="shared" si="26"/>
        <v>-1.740856342826369E-2</v>
      </c>
      <c r="G427">
        <f t="shared" si="27"/>
        <v>3.178633138135023E-2</v>
      </c>
    </row>
    <row r="428" spans="1:7" x14ac:dyDescent="0.2">
      <c r="A428" s="5">
        <v>40360</v>
      </c>
      <c r="B428">
        <v>106.9</v>
      </c>
      <c r="C428">
        <v>94.9923</v>
      </c>
      <c r="D428">
        <f t="shared" si="24"/>
        <v>4.6718938180309992</v>
      </c>
      <c r="E428">
        <f t="shared" si="25"/>
        <v>4.5537958356840198</v>
      </c>
      <c r="F428">
        <f t="shared" si="26"/>
        <v>4.2031019452536178E-2</v>
      </c>
      <c r="G428">
        <f t="shared" si="27"/>
        <v>-1.8610427145681285E-2</v>
      </c>
    </row>
    <row r="429" spans="1:7" x14ac:dyDescent="0.2">
      <c r="A429" s="5">
        <v>40391</v>
      </c>
      <c r="B429">
        <v>108.1</v>
      </c>
      <c r="C429">
        <v>97.721900000000005</v>
      </c>
      <c r="D429">
        <f t="shared" si="24"/>
        <v>4.6830567246451622</v>
      </c>
      <c r="E429">
        <f t="shared" si="25"/>
        <v>4.5821256895079303</v>
      </c>
      <c r="F429">
        <f t="shared" si="26"/>
        <v>1.1162906614162971E-2</v>
      </c>
      <c r="G429">
        <f t="shared" si="27"/>
        <v>2.8329853823910511E-2</v>
      </c>
    </row>
    <row r="430" spans="1:7" x14ac:dyDescent="0.2">
      <c r="A430" s="5">
        <v>40422</v>
      </c>
      <c r="B430">
        <v>105.8</v>
      </c>
      <c r="C430">
        <v>96.682000000000002</v>
      </c>
      <c r="D430">
        <f t="shared" si="24"/>
        <v>4.6615505194241988</v>
      </c>
      <c r="E430">
        <f t="shared" si="25"/>
        <v>4.5714272424231339</v>
      </c>
      <c r="F430">
        <f t="shared" si="26"/>
        <v>-2.1506205220963359E-2</v>
      </c>
      <c r="G430">
        <f t="shared" si="27"/>
        <v>-1.0698447084796392E-2</v>
      </c>
    </row>
    <row r="431" spans="1:7" x14ac:dyDescent="0.2">
      <c r="A431" s="5">
        <v>40452</v>
      </c>
      <c r="B431">
        <v>107.7</v>
      </c>
      <c r="C431">
        <v>95.526700000000005</v>
      </c>
      <c r="D431">
        <f t="shared" si="24"/>
        <v>4.6793495841623427</v>
      </c>
      <c r="E431">
        <f t="shared" si="25"/>
        <v>4.55940578956299</v>
      </c>
      <c r="F431">
        <f t="shared" si="26"/>
        <v>1.7799064738143855E-2</v>
      </c>
      <c r="G431">
        <f t="shared" si="27"/>
        <v>-1.2021452860143889E-2</v>
      </c>
    </row>
    <row r="432" spans="1:7" x14ac:dyDescent="0.2">
      <c r="A432" s="5">
        <v>40483</v>
      </c>
      <c r="B432">
        <v>106.8</v>
      </c>
      <c r="C432">
        <v>94.681200000000004</v>
      </c>
      <c r="D432">
        <f t="shared" si="24"/>
        <v>4.6709579265260945</v>
      </c>
      <c r="E432">
        <f t="shared" si="25"/>
        <v>4.5505154588366947</v>
      </c>
      <c r="F432">
        <f t="shared" si="26"/>
        <v>-8.3916576362481621E-3</v>
      </c>
      <c r="G432">
        <f t="shared" si="27"/>
        <v>-8.8903307262953035E-3</v>
      </c>
    </row>
    <row r="433" spans="1:7" x14ac:dyDescent="0.2">
      <c r="A433" s="5">
        <v>40513</v>
      </c>
      <c r="B433">
        <v>96.6</v>
      </c>
      <c r="C433">
        <v>96.134600000000006</v>
      </c>
      <c r="D433">
        <f t="shared" si="24"/>
        <v>4.5705787412184726</v>
      </c>
      <c r="E433">
        <f t="shared" si="25"/>
        <v>4.565749292800124</v>
      </c>
      <c r="F433">
        <f t="shared" si="26"/>
        <v>-0.10037918530762191</v>
      </c>
      <c r="G433">
        <f t="shared" si="27"/>
        <v>1.5233833963429255E-2</v>
      </c>
    </row>
    <row r="434" spans="1:7" x14ac:dyDescent="0.2">
      <c r="A434" s="5">
        <v>40544</v>
      </c>
      <c r="B434">
        <v>93.2</v>
      </c>
      <c r="C434">
        <v>96.006299999999996</v>
      </c>
      <c r="D434">
        <f t="shared" si="24"/>
        <v>4.5347477216915459</v>
      </c>
      <c r="E434">
        <f t="shared" si="25"/>
        <v>4.5644138143146105</v>
      </c>
      <c r="F434">
        <f t="shared" si="26"/>
        <v>-3.5831019526926688E-2</v>
      </c>
      <c r="G434">
        <f t="shared" si="27"/>
        <v>-1.3354784855135193E-3</v>
      </c>
    </row>
    <row r="435" spans="1:7" x14ac:dyDescent="0.2">
      <c r="A435" s="5">
        <v>40575</v>
      </c>
      <c r="B435">
        <v>95.4</v>
      </c>
      <c r="C435">
        <v>95.217299999999994</v>
      </c>
      <c r="D435">
        <f t="shared" si="24"/>
        <v>4.558078578454241</v>
      </c>
      <c r="E435">
        <f t="shared" si="25"/>
        <v>4.5561616479768272</v>
      </c>
      <c r="F435">
        <f t="shared" si="26"/>
        <v>2.3330856762695085E-2</v>
      </c>
      <c r="G435">
        <f t="shared" si="27"/>
        <v>-8.252166337783251E-3</v>
      </c>
    </row>
    <row r="436" spans="1:7" x14ac:dyDescent="0.2">
      <c r="A436" s="5">
        <v>40603</v>
      </c>
      <c r="B436">
        <v>104.4</v>
      </c>
      <c r="C436">
        <v>96.804599999999994</v>
      </c>
      <c r="D436">
        <f t="shared" si="24"/>
        <v>4.6482296754485386</v>
      </c>
      <c r="E436">
        <f t="shared" si="25"/>
        <v>4.5726945138146178</v>
      </c>
      <c r="F436">
        <f t="shared" si="26"/>
        <v>9.0151096994297575E-2</v>
      </c>
      <c r="G436">
        <f t="shared" si="27"/>
        <v>1.6532865837790567E-2</v>
      </c>
    </row>
    <row r="437" spans="1:7" x14ac:dyDescent="0.2">
      <c r="A437" s="5">
        <v>40634</v>
      </c>
      <c r="B437">
        <v>97.5</v>
      </c>
      <c r="C437">
        <v>94.841499999999996</v>
      </c>
      <c r="D437">
        <f t="shared" si="24"/>
        <v>4.5798523780038014</v>
      </c>
      <c r="E437">
        <f t="shared" si="25"/>
        <v>4.5522070771834766</v>
      </c>
      <c r="F437">
        <f t="shared" si="26"/>
        <v>-6.8377297444737195E-2</v>
      </c>
      <c r="G437">
        <f t="shared" si="27"/>
        <v>-2.0487436631141165E-2</v>
      </c>
    </row>
    <row r="438" spans="1:7" x14ac:dyDescent="0.2">
      <c r="A438" s="5">
        <v>40664</v>
      </c>
      <c r="B438">
        <v>107.1</v>
      </c>
      <c r="C438">
        <v>95.5946</v>
      </c>
      <c r="D438">
        <f t="shared" si="24"/>
        <v>4.6737629774537028</v>
      </c>
      <c r="E438">
        <f t="shared" si="25"/>
        <v>4.5601163331063495</v>
      </c>
      <c r="F438">
        <f t="shared" si="26"/>
        <v>9.3910599449901433E-2</v>
      </c>
      <c r="G438">
        <f t="shared" si="27"/>
        <v>7.9092559228728376E-3</v>
      </c>
    </row>
    <row r="439" spans="1:7" x14ac:dyDescent="0.2">
      <c r="A439" s="5">
        <v>40695</v>
      </c>
      <c r="B439">
        <v>102.8</v>
      </c>
      <c r="C439">
        <v>98.664199999999994</v>
      </c>
      <c r="D439">
        <f t="shared" si="24"/>
        <v>4.632785353021065</v>
      </c>
      <c r="E439">
        <f t="shared" si="25"/>
        <v>4.5917221653434455</v>
      </c>
      <c r="F439">
        <f t="shared" si="26"/>
        <v>-4.097762443263786E-2</v>
      </c>
      <c r="G439">
        <f t="shared" si="27"/>
        <v>3.160583223709601E-2</v>
      </c>
    </row>
    <row r="440" spans="1:7" x14ac:dyDescent="0.2">
      <c r="A440" s="5">
        <v>40725</v>
      </c>
      <c r="B440">
        <v>106.1</v>
      </c>
      <c r="C440">
        <v>97.370900000000006</v>
      </c>
      <c r="D440">
        <f t="shared" si="24"/>
        <v>4.664382045619937</v>
      </c>
      <c r="E440">
        <f t="shared" si="25"/>
        <v>4.5785273980413033</v>
      </c>
      <c r="F440">
        <f t="shared" si="26"/>
        <v>3.1596692598871989E-2</v>
      </c>
      <c r="G440">
        <f t="shared" si="27"/>
        <v>-1.3194767302142196E-2</v>
      </c>
    </row>
    <row r="441" spans="1:7" x14ac:dyDescent="0.2">
      <c r="A441" s="5">
        <v>40756</v>
      </c>
      <c r="B441">
        <v>110.8</v>
      </c>
      <c r="C441">
        <v>99.853300000000004</v>
      </c>
      <c r="D441">
        <f t="shared" si="24"/>
        <v>4.7077267743131834</v>
      </c>
      <c r="E441">
        <f t="shared" si="25"/>
        <v>4.6037021088900607</v>
      </c>
      <c r="F441">
        <f t="shared" si="26"/>
        <v>4.3344728693246459E-2</v>
      </c>
      <c r="G441">
        <f t="shared" si="27"/>
        <v>2.5174710848757442E-2</v>
      </c>
    </row>
    <row r="442" spans="1:7" x14ac:dyDescent="0.2">
      <c r="A442" s="5">
        <v>40787</v>
      </c>
      <c r="B442">
        <v>104.8</v>
      </c>
      <c r="C442">
        <v>98.747299999999996</v>
      </c>
      <c r="D442">
        <f t="shared" si="24"/>
        <v>4.6520537718869415</v>
      </c>
      <c r="E442">
        <f t="shared" si="25"/>
        <v>4.5925640616352865</v>
      </c>
      <c r="F442">
        <f t="shared" si="26"/>
        <v>-5.5673002426241958E-2</v>
      </c>
      <c r="G442">
        <f t="shared" si="27"/>
        <v>-1.1138047254774186E-2</v>
      </c>
    </row>
    <row r="443" spans="1:7" x14ac:dyDescent="0.2">
      <c r="A443" s="5">
        <v>40817</v>
      </c>
      <c r="B443">
        <v>106.3</v>
      </c>
      <c r="C443">
        <v>98.287700000000001</v>
      </c>
      <c r="D443">
        <f t="shared" si="24"/>
        <v>4.6662652853479019</v>
      </c>
      <c r="E443">
        <f t="shared" si="25"/>
        <v>4.5878988921623147</v>
      </c>
      <c r="F443">
        <f t="shared" si="26"/>
        <v>1.421151346096039E-2</v>
      </c>
      <c r="G443">
        <f t="shared" si="27"/>
        <v>-4.6651694729717974E-3</v>
      </c>
    </row>
    <row r="444" spans="1:7" x14ac:dyDescent="0.2">
      <c r="A444" s="5">
        <v>40848</v>
      </c>
      <c r="B444">
        <v>104.2</v>
      </c>
      <c r="C444">
        <v>97.549199999999999</v>
      </c>
      <c r="D444">
        <f t="shared" si="24"/>
        <v>4.6463121293192664</v>
      </c>
      <c r="E444">
        <f t="shared" si="25"/>
        <v>4.5803568661128891</v>
      </c>
      <c r="F444">
        <f t="shared" si="26"/>
        <v>-1.9953156028635455E-2</v>
      </c>
      <c r="G444">
        <f t="shared" si="27"/>
        <v>-7.5420260494256652E-3</v>
      </c>
    </row>
    <row r="445" spans="1:7" x14ac:dyDescent="0.2">
      <c r="A445" s="5">
        <v>40878</v>
      </c>
      <c r="B445">
        <v>95.7</v>
      </c>
      <c r="C445">
        <v>98.481399999999994</v>
      </c>
      <c r="D445">
        <f t="shared" si="24"/>
        <v>4.5612182984589085</v>
      </c>
      <c r="E445">
        <f t="shared" si="25"/>
        <v>4.5898676978596349</v>
      </c>
      <c r="F445">
        <f t="shared" si="26"/>
        <v>-8.5093830860357933E-2</v>
      </c>
      <c r="G445">
        <f t="shared" si="27"/>
        <v>9.5108317467458292E-3</v>
      </c>
    </row>
    <row r="446" spans="1:7" x14ac:dyDescent="0.2">
      <c r="A446" s="5">
        <v>40909</v>
      </c>
      <c r="B446">
        <v>88.7</v>
      </c>
      <c r="C446">
        <v>98.854600000000005</v>
      </c>
      <c r="D446">
        <f t="shared" si="24"/>
        <v>4.4852598893155342</v>
      </c>
      <c r="E446">
        <f t="shared" si="25"/>
        <v>4.5936500836881731</v>
      </c>
      <c r="F446">
        <f t="shared" si="26"/>
        <v>-7.5958409143374261E-2</v>
      </c>
      <c r="G446">
        <f t="shared" si="27"/>
        <v>3.7823858285381817E-3</v>
      </c>
    </row>
    <row r="447" spans="1:7" x14ac:dyDescent="0.2">
      <c r="A447" s="5">
        <v>40940</v>
      </c>
      <c r="B447">
        <v>89.8</v>
      </c>
      <c r="C447">
        <v>99.123800000000003</v>
      </c>
      <c r="D447">
        <f t="shared" si="24"/>
        <v>4.497584975308154</v>
      </c>
      <c r="E447">
        <f t="shared" si="25"/>
        <v>4.5963695739548749</v>
      </c>
      <c r="F447">
        <f t="shared" si="26"/>
        <v>1.2325085992619833E-2</v>
      </c>
      <c r="G447">
        <f t="shared" si="27"/>
        <v>2.7194902667018184E-3</v>
      </c>
    </row>
    <row r="448" spans="1:7" x14ac:dyDescent="0.2">
      <c r="A448" s="5">
        <v>40969</v>
      </c>
      <c r="B448">
        <v>99.7</v>
      </c>
      <c r="C448">
        <v>99.084500000000006</v>
      </c>
      <c r="D448">
        <f t="shared" si="24"/>
        <v>4.6021656769677923</v>
      </c>
      <c r="E448">
        <f t="shared" si="25"/>
        <v>4.5959730214339665</v>
      </c>
      <c r="F448">
        <f t="shared" si="26"/>
        <v>0.10458070165963829</v>
      </c>
      <c r="G448">
        <f t="shared" si="27"/>
        <v>-3.9655252090842197E-4</v>
      </c>
    </row>
    <row r="449" spans="1:7" x14ac:dyDescent="0.2">
      <c r="A449" s="5">
        <v>41000</v>
      </c>
      <c r="B449">
        <v>92.8</v>
      </c>
      <c r="C449">
        <v>98.294799999999995</v>
      </c>
      <c r="D449">
        <f t="shared" si="24"/>
        <v>4.5304466397921548</v>
      </c>
      <c r="E449">
        <f t="shared" si="25"/>
        <v>4.5879711264660097</v>
      </c>
      <c r="F449">
        <f t="shared" si="26"/>
        <v>-7.1719037175637546E-2</v>
      </c>
      <c r="G449">
        <f t="shared" si="27"/>
        <v>-8.0018949679567797E-3</v>
      </c>
    </row>
    <row r="450" spans="1:7" x14ac:dyDescent="0.2">
      <c r="A450" s="5">
        <v>41030</v>
      </c>
      <c r="B450">
        <v>102.5</v>
      </c>
      <c r="C450">
        <v>99.116799999999998</v>
      </c>
      <c r="D450">
        <f t="shared" si="24"/>
        <v>4.6298627985784631</v>
      </c>
      <c r="E450">
        <f t="shared" si="25"/>
        <v>4.5962989526996632</v>
      </c>
      <c r="F450">
        <f t="shared" si="26"/>
        <v>9.9416158786308273E-2</v>
      </c>
      <c r="G450">
        <f t="shared" si="27"/>
        <v>8.3278262336534681E-3</v>
      </c>
    </row>
    <row r="451" spans="1:7" x14ac:dyDescent="0.2">
      <c r="A451" s="5">
        <v>41061</v>
      </c>
      <c r="B451">
        <v>98.3</v>
      </c>
      <c r="C451">
        <v>101.8729</v>
      </c>
      <c r="D451">
        <f t="shared" ref="D451:D505" si="28">LN(B451)</f>
        <v>4.5880240271531205</v>
      </c>
      <c r="E451">
        <f t="shared" ref="E451:E505" si="29">LN(C451)</f>
        <v>4.623725957851633</v>
      </c>
      <c r="F451">
        <f t="shared" ref="F451:F505" si="30">D451-D450</f>
        <v>-4.1838771425342536E-2</v>
      </c>
      <c r="G451">
        <f t="shared" ref="G451:G505" si="31">E451-E450</f>
        <v>2.742700515196983E-2</v>
      </c>
    </row>
    <row r="452" spans="1:7" x14ac:dyDescent="0.2">
      <c r="A452" s="5">
        <v>41091</v>
      </c>
      <c r="B452">
        <v>104.5</v>
      </c>
      <c r="C452">
        <v>100.18210000000001</v>
      </c>
      <c r="D452">
        <f t="shared" si="28"/>
        <v>4.6491870714048655</v>
      </c>
      <c r="E452">
        <f t="shared" si="29"/>
        <v>4.6069895299776835</v>
      </c>
      <c r="F452">
        <f t="shared" si="30"/>
        <v>6.1163044251745013E-2</v>
      </c>
      <c r="G452">
        <f t="shared" si="31"/>
        <v>-1.6736427873949467E-2</v>
      </c>
    </row>
    <row r="453" spans="1:7" x14ac:dyDescent="0.2">
      <c r="A453" s="5">
        <v>41122</v>
      </c>
      <c r="B453">
        <v>111.5</v>
      </c>
      <c r="C453">
        <v>101.8822</v>
      </c>
      <c r="D453">
        <f t="shared" si="28"/>
        <v>4.7140245909001735</v>
      </c>
      <c r="E453">
        <f t="shared" si="29"/>
        <v>4.6238172439103034</v>
      </c>
      <c r="F453">
        <f t="shared" si="30"/>
        <v>6.4837519495307916E-2</v>
      </c>
      <c r="G453">
        <f t="shared" si="31"/>
        <v>1.6827713932619837E-2</v>
      </c>
    </row>
    <row r="454" spans="1:7" x14ac:dyDescent="0.2">
      <c r="A454" s="5">
        <v>41153</v>
      </c>
      <c r="B454">
        <v>103.4</v>
      </c>
      <c r="C454">
        <v>100.9534</v>
      </c>
      <c r="D454">
        <f t="shared" si="28"/>
        <v>4.6386049620743286</v>
      </c>
      <c r="E454">
        <f t="shared" si="29"/>
        <v>4.6146590242313099</v>
      </c>
      <c r="F454">
        <f t="shared" si="30"/>
        <v>-7.5419628825844853E-2</v>
      </c>
      <c r="G454">
        <f t="shared" si="31"/>
        <v>-9.15821967899344E-3</v>
      </c>
    </row>
    <row r="455" spans="1:7" x14ac:dyDescent="0.2">
      <c r="A455" s="5">
        <v>41183</v>
      </c>
      <c r="B455">
        <v>111.8</v>
      </c>
      <c r="C455">
        <v>100.026</v>
      </c>
      <c r="D455">
        <f t="shared" si="28"/>
        <v>4.7167115607209986</v>
      </c>
      <c r="E455">
        <f t="shared" si="29"/>
        <v>4.6054301521939491</v>
      </c>
      <c r="F455">
        <f t="shared" si="30"/>
        <v>7.8106598646670022E-2</v>
      </c>
      <c r="G455">
        <f t="shared" si="31"/>
        <v>-9.2288720373607802E-3</v>
      </c>
    </row>
    <row r="456" spans="1:7" x14ac:dyDescent="0.2">
      <c r="A456" s="5">
        <v>41214</v>
      </c>
      <c r="B456">
        <v>104.8</v>
      </c>
      <c r="C456">
        <v>100.0301</v>
      </c>
      <c r="D456">
        <f t="shared" si="28"/>
        <v>4.6520537718869415</v>
      </c>
      <c r="E456">
        <f t="shared" si="29"/>
        <v>4.6054711406966797</v>
      </c>
      <c r="F456">
        <f t="shared" si="30"/>
        <v>-6.465778883405715E-2</v>
      </c>
      <c r="G456">
        <f t="shared" si="31"/>
        <v>4.0988502730598952E-5</v>
      </c>
    </row>
    <row r="457" spans="1:7" x14ac:dyDescent="0.2">
      <c r="A457" s="5">
        <v>41244</v>
      </c>
      <c r="B457">
        <v>92.2</v>
      </c>
      <c r="C457">
        <v>100.5789</v>
      </c>
      <c r="D457">
        <f t="shared" si="28"/>
        <v>4.5239601305625481</v>
      </c>
      <c r="E457">
        <f t="shared" si="29"/>
        <v>4.6109424941161077</v>
      </c>
      <c r="F457">
        <f t="shared" si="30"/>
        <v>-0.12809364132439338</v>
      </c>
      <c r="G457">
        <f t="shared" si="31"/>
        <v>5.4713534194279489E-3</v>
      </c>
    </row>
    <row r="458" spans="1:7" x14ac:dyDescent="0.2">
      <c r="A458" s="5">
        <v>41275</v>
      </c>
      <c r="B458">
        <v>94.5</v>
      </c>
      <c r="C458">
        <v>100.5607</v>
      </c>
      <c r="D458">
        <f t="shared" si="28"/>
        <v>4.5485998344996972</v>
      </c>
      <c r="E458">
        <f t="shared" si="29"/>
        <v>4.6107615252760619</v>
      </c>
      <c r="F458">
        <f t="shared" si="30"/>
        <v>2.4639703937149093E-2</v>
      </c>
      <c r="G458">
        <f t="shared" si="31"/>
        <v>-1.8096884004581426E-4</v>
      </c>
    </row>
    <row r="459" spans="1:7" x14ac:dyDescent="0.2">
      <c r="A459" s="5">
        <v>41306</v>
      </c>
      <c r="B459">
        <v>88.1</v>
      </c>
      <c r="C459">
        <v>100.8241</v>
      </c>
      <c r="D459">
        <f t="shared" si="28"/>
        <v>4.478472532942134</v>
      </c>
      <c r="E459">
        <f t="shared" si="29"/>
        <v>4.6133774143620414</v>
      </c>
      <c r="F459">
        <f t="shared" si="30"/>
        <v>-7.0127301557563193E-2</v>
      </c>
      <c r="G459">
        <f t="shared" si="31"/>
        <v>2.6158890859795392E-3</v>
      </c>
    </row>
    <row r="460" spans="1:7" x14ac:dyDescent="0.2">
      <c r="A460" s="5">
        <v>41334</v>
      </c>
      <c r="B460">
        <v>97.7</v>
      </c>
      <c r="C460">
        <v>101.4091</v>
      </c>
      <c r="D460">
        <f t="shared" si="28"/>
        <v>4.5819015590487373</v>
      </c>
      <c r="E460">
        <f t="shared" si="29"/>
        <v>4.6191628307201116</v>
      </c>
      <c r="F460">
        <f t="shared" si="30"/>
        <v>0.10342902610660332</v>
      </c>
      <c r="G460">
        <f t="shared" si="31"/>
        <v>5.7854163580701723E-3</v>
      </c>
    </row>
    <row r="461" spans="1:7" x14ac:dyDescent="0.2">
      <c r="A461" s="5">
        <v>41365</v>
      </c>
      <c r="B461">
        <v>101.8</v>
      </c>
      <c r="C461">
        <v>100.50449999999999</v>
      </c>
      <c r="D461">
        <f t="shared" si="28"/>
        <v>4.623010104116422</v>
      </c>
      <c r="E461">
        <f t="shared" si="29"/>
        <v>4.6102025026161124</v>
      </c>
      <c r="F461">
        <f t="shared" si="30"/>
        <v>4.1108545067684688E-2</v>
      </c>
      <c r="G461">
        <f t="shared" si="31"/>
        <v>-8.96032810399916E-3</v>
      </c>
    </row>
    <row r="462" spans="1:7" x14ac:dyDescent="0.2">
      <c r="A462" s="5">
        <v>41395</v>
      </c>
      <c r="B462">
        <v>105</v>
      </c>
      <c r="C462">
        <v>100.64790000000001</v>
      </c>
      <c r="D462">
        <f t="shared" si="28"/>
        <v>4.6539603501575231</v>
      </c>
      <c r="E462">
        <f t="shared" si="29"/>
        <v>4.6116282874866164</v>
      </c>
      <c r="F462">
        <f t="shared" si="30"/>
        <v>3.0950246041101082E-2</v>
      </c>
      <c r="G462">
        <f t="shared" si="31"/>
        <v>1.4257848705039322E-3</v>
      </c>
    </row>
    <row r="463" spans="1:7" x14ac:dyDescent="0.2">
      <c r="A463" s="5">
        <v>41426</v>
      </c>
      <c r="B463">
        <v>101.7</v>
      </c>
      <c r="C463">
        <v>103.4528</v>
      </c>
      <c r="D463">
        <f t="shared" si="28"/>
        <v>4.622027303054514</v>
      </c>
      <c r="E463">
        <f t="shared" si="29"/>
        <v>4.6391154700408315</v>
      </c>
      <c r="F463">
        <f t="shared" si="30"/>
        <v>-3.1933047103009038E-2</v>
      </c>
      <c r="G463">
        <f t="shared" si="31"/>
        <v>2.7487182554215117E-2</v>
      </c>
    </row>
    <row r="464" spans="1:7" x14ac:dyDescent="0.2">
      <c r="A464" s="5">
        <v>41456</v>
      </c>
      <c r="B464">
        <v>108</v>
      </c>
      <c r="C464">
        <v>101.25579999999999</v>
      </c>
      <c r="D464">
        <f t="shared" si="28"/>
        <v>4.6821312271242199</v>
      </c>
      <c r="E464">
        <f t="shared" si="29"/>
        <v>4.6176499882966029</v>
      </c>
      <c r="F464">
        <f t="shared" si="30"/>
        <v>6.0103924069705883E-2</v>
      </c>
      <c r="G464">
        <f t="shared" si="31"/>
        <v>-2.1465481744228576E-2</v>
      </c>
    </row>
    <row r="465" spans="1:7" x14ac:dyDescent="0.2">
      <c r="A465" s="5">
        <v>41487</v>
      </c>
      <c r="B465">
        <v>112</v>
      </c>
      <c r="C465">
        <v>104.0902</v>
      </c>
      <c r="D465">
        <f t="shared" si="28"/>
        <v>4.7184988712950942</v>
      </c>
      <c r="E465">
        <f t="shared" si="29"/>
        <v>4.6452578309396921</v>
      </c>
      <c r="F465">
        <f t="shared" si="30"/>
        <v>3.6367644170874236E-2</v>
      </c>
      <c r="G465">
        <f t="shared" si="31"/>
        <v>2.7607842643089242E-2</v>
      </c>
    </row>
    <row r="466" spans="1:7" x14ac:dyDescent="0.2">
      <c r="A466" s="5">
        <v>41518</v>
      </c>
      <c r="B466">
        <v>107.3</v>
      </c>
      <c r="C466">
        <v>103.42270000000001</v>
      </c>
      <c r="D466">
        <f t="shared" si="28"/>
        <v>4.6756286496366526</v>
      </c>
      <c r="E466">
        <f t="shared" si="29"/>
        <v>4.6388244737632407</v>
      </c>
      <c r="F466">
        <f t="shared" si="30"/>
        <v>-4.2870221658441565E-2</v>
      </c>
      <c r="G466">
        <f t="shared" si="31"/>
        <v>-6.4333571764514375E-3</v>
      </c>
    </row>
    <row r="467" spans="1:7" x14ac:dyDescent="0.2">
      <c r="A467" s="5">
        <v>41548</v>
      </c>
      <c r="B467">
        <v>112.6</v>
      </c>
      <c r="C467">
        <v>102.298</v>
      </c>
      <c r="D467">
        <f t="shared" si="28"/>
        <v>4.7238417157055901</v>
      </c>
      <c r="E467">
        <f t="shared" si="29"/>
        <v>4.6278901224243398</v>
      </c>
      <c r="F467">
        <f t="shared" si="30"/>
        <v>4.8213066068937493E-2</v>
      </c>
      <c r="G467">
        <f t="shared" si="31"/>
        <v>-1.0934351338900861E-2</v>
      </c>
    </row>
    <row r="468" spans="1:7" x14ac:dyDescent="0.2">
      <c r="A468" s="5">
        <v>41579</v>
      </c>
      <c r="B468">
        <v>106.1</v>
      </c>
      <c r="C468">
        <v>102.1056</v>
      </c>
      <c r="D468">
        <f t="shared" si="28"/>
        <v>4.664382045619937</v>
      </c>
      <c r="E468">
        <f t="shared" si="29"/>
        <v>4.6260075718545641</v>
      </c>
      <c r="F468">
        <f t="shared" si="30"/>
        <v>-5.9459670085653116E-2</v>
      </c>
      <c r="G468">
        <f t="shared" si="31"/>
        <v>-1.8825505697757094E-3</v>
      </c>
    </row>
    <row r="469" spans="1:7" x14ac:dyDescent="0.2">
      <c r="A469" s="5">
        <v>41609</v>
      </c>
      <c r="B469">
        <v>90.1</v>
      </c>
      <c r="C469">
        <v>102.3793</v>
      </c>
      <c r="D469">
        <f t="shared" si="28"/>
        <v>4.5009201646142918</v>
      </c>
      <c r="E469">
        <f t="shared" si="29"/>
        <v>4.6286845437331579</v>
      </c>
      <c r="F469">
        <f t="shared" si="30"/>
        <v>-0.16346188100564518</v>
      </c>
      <c r="G469">
        <f t="shared" si="31"/>
        <v>2.6769718785937258E-3</v>
      </c>
    </row>
    <row r="470" spans="1:7" x14ac:dyDescent="0.2">
      <c r="A470" s="5">
        <v>41640</v>
      </c>
      <c r="B470">
        <v>92.6</v>
      </c>
      <c r="C470">
        <v>102.1683</v>
      </c>
      <c r="D470">
        <f t="shared" si="28"/>
        <v>4.5282891416521336</v>
      </c>
      <c r="E470">
        <f t="shared" si="29"/>
        <v>4.6266214535297951</v>
      </c>
      <c r="F470">
        <f t="shared" si="30"/>
        <v>2.7368977037841802E-2</v>
      </c>
      <c r="G470">
        <f t="shared" si="31"/>
        <v>-2.0630902033627052E-3</v>
      </c>
    </row>
    <row r="471" spans="1:7" x14ac:dyDescent="0.2">
      <c r="A471" s="5">
        <v>41671</v>
      </c>
      <c r="B471">
        <v>92.3</v>
      </c>
      <c r="C471">
        <v>102.7889</v>
      </c>
      <c r="D471">
        <f t="shared" si="28"/>
        <v>4.5250441415088067</v>
      </c>
      <c r="E471">
        <f t="shared" si="29"/>
        <v>4.6326773705374693</v>
      </c>
      <c r="F471">
        <f t="shared" si="30"/>
        <v>-3.2450001433268483E-3</v>
      </c>
      <c r="G471">
        <f t="shared" si="31"/>
        <v>6.0559170076741609E-3</v>
      </c>
    </row>
    <row r="472" spans="1:7" x14ac:dyDescent="0.2">
      <c r="A472" s="5">
        <f>EOMONTH(A471,0)+1</f>
        <v>41699</v>
      </c>
      <c r="B472">
        <v>97.3</v>
      </c>
      <c r="C472">
        <v>104.2804</v>
      </c>
      <c r="D472">
        <f t="shared" si="28"/>
        <v>4.577798989191959</v>
      </c>
      <c r="E472">
        <f t="shared" si="29"/>
        <v>4.6470834248845652</v>
      </c>
      <c r="F472">
        <f t="shared" si="30"/>
        <v>5.2754847683152306E-2</v>
      </c>
      <c r="G472">
        <f t="shared" si="31"/>
        <v>1.4406054347095854E-2</v>
      </c>
    </row>
    <row r="473" spans="1:7" x14ac:dyDescent="0.2">
      <c r="A473" s="5">
        <f t="shared" ref="A473:A536" si="32">EOMONTH(A472,0)+1</f>
        <v>41730</v>
      </c>
      <c r="B473">
        <v>96</v>
      </c>
      <c r="C473">
        <v>102.9064</v>
      </c>
      <c r="D473">
        <f t="shared" si="28"/>
        <v>4.5643481914678361</v>
      </c>
      <c r="E473">
        <f t="shared" si="29"/>
        <v>4.6338198372129877</v>
      </c>
      <c r="F473">
        <f t="shared" si="30"/>
        <v>-1.3450797724122943E-2</v>
      </c>
      <c r="G473">
        <f t="shared" si="31"/>
        <v>-1.3263587671577426E-2</v>
      </c>
    </row>
    <row r="474" spans="1:7" x14ac:dyDescent="0.2">
      <c r="A474" s="5">
        <f t="shared" si="32"/>
        <v>41760</v>
      </c>
      <c r="B474">
        <v>101.7</v>
      </c>
      <c r="C474">
        <v>103.72709999999999</v>
      </c>
      <c r="D474">
        <f t="shared" si="28"/>
        <v>4.622027303054514</v>
      </c>
      <c r="E474">
        <f t="shared" si="29"/>
        <v>4.6417634118563589</v>
      </c>
      <c r="F474">
        <f t="shared" si="30"/>
        <v>5.7679111586677934E-2</v>
      </c>
      <c r="G474">
        <f t="shared" si="31"/>
        <v>7.9435746433711429E-3</v>
      </c>
    </row>
    <row r="475" spans="1:7" x14ac:dyDescent="0.2">
      <c r="A475" s="5">
        <f t="shared" si="32"/>
        <v>41791</v>
      </c>
      <c r="B475">
        <v>94.9</v>
      </c>
      <c r="C475">
        <v>106.80759999999999</v>
      </c>
      <c r="D475">
        <f t="shared" si="28"/>
        <v>4.5528237056158822</v>
      </c>
      <c r="E475">
        <f t="shared" si="29"/>
        <v>4.6710290850429566</v>
      </c>
      <c r="F475">
        <f t="shared" si="30"/>
        <v>-6.9203597438631803E-2</v>
      </c>
      <c r="G475">
        <f t="shared" si="31"/>
        <v>2.9265673186597674E-2</v>
      </c>
    </row>
    <row r="476" spans="1:7" x14ac:dyDescent="0.2">
      <c r="A476" s="5">
        <f t="shared" si="32"/>
        <v>41821</v>
      </c>
      <c r="B476">
        <v>104.4</v>
      </c>
      <c r="C476">
        <v>104.8018</v>
      </c>
      <c r="D476">
        <f t="shared" si="28"/>
        <v>4.6482296754485386</v>
      </c>
      <c r="E476">
        <f t="shared" si="29"/>
        <v>4.6520709473119624</v>
      </c>
      <c r="F476">
        <f t="shared" si="30"/>
        <v>9.5405969832656368E-2</v>
      </c>
      <c r="G476">
        <f t="shared" si="31"/>
        <v>-1.8958137730994196E-2</v>
      </c>
    </row>
    <row r="477" spans="1:7" x14ac:dyDescent="0.2">
      <c r="A477" s="5">
        <f t="shared" si="32"/>
        <v>41852</v>
      </c>
      <c r="B477">
        <v>106.3</v>
      </c>
      <c r="C477">
        <v>107.4252</v>
      </c>
      <c r="D477">
        <f t="shared" si="28"/>
        <v>4.6662652853479019</v>
      </c>
      <c r="E477">
        <f t="shared" si="29"/>
        <v>4.6767947914233474</v>
      </c>
      <c r="F477">
        <f t="shared" si="30"/>
        <v>1.8035609899363259E-2</v>
      </c>
      <c r="G477">
        <f t="shared" si="31"/>
        <v>2.4723844111385063E-2</v>
      </c>
    </row>
    <row r="478" spans="1:7" x14ac:dyDescent="0.2">
      <c r="A478" s="5">
        <f t="shared" si="32"/>
        <v>41883</v>
      </c>
      <c r="B478">
        <v>105.6</v>
      </c>
      <c r="C478">
        <v>106.6147</v>
      </c>
      <c r="D478">
        <f t="shared" si="28"/>
        <v>4.6596583712721609</v>
      </c>
      <c r="E478">
        <f t="shared" si="29"/>
        <v>4.6692214009112734</v>
      </c>
      <c r="F478">
        <f t="shared" si="30"/>
        <v>-6.6069140757409883E-3</v>
      </c>
      <c r="G478">
        <f t="shared" si="31"/>
        <v>-7.573390512074063E-3</v>
      </c>
    </row>
    <row r="479" spans="1:7" x14ac:dyDescent="0.2">
      <c r="A479" s="5">
        <f t="shared" si="32"/>
        <v>41913</v>
      </c>
      <c r="B479">
        <v>109.3</v>
      </c>
      <c r="C479">
        <v>105.4789</v>
      </c>
      <c r="D479">
        <f t="shared" si="28"/>
        <v>4.694096395182493</v>
      </c>
      <c r="E479">
        <f t="shared" si="29"/>
        <v>4.6585109329134538</v>
      </c>
      <c r="F479">
        <f t="shared" si="30"/>
        <v>3.4438023910332127E-2</v>
      </c>
      <c r="G479">
        <f t="shared" si="31"/>
        <v>-1.0710467997819606E-2</v>
      </c>
    </row>
    <row r="480" spans="1:7" x14ac:dyDescent="0.2">
      <c r="A480" s="5">
        <f t="shared" si="32"/>
        <v>41944</v>
      </c>
      <c r="B480">
        <v>99.8</v>
      </c>
      <c r="C480">
        <v>105.91500000000001</v>
      </c>
      <c r="D480">
        <f t="shared" si="28"/>
        <v>4.6031681833174183</v>
      </c>
      <c r="E480">
        <f t="shared" si="29"/>
        <v>4.6626368856364202</v>
      </c>
      <c r="F480">
        <f t="shared" si="30"/>
        <v>-9.0928211865074715E-2</v>
      </c>
      <c r="G480">
        <f t="shared" si="31"/>
        <v>4.1259527229664528E-3</v>
      </c>
    </row>
    <row r="481" spans="1:7" x14ac:dyDescent="0.2">
      <c r="A481" s="5">
        <f t="shared" si="32"/>
        <v>41974</v>
      </c>
      <c r="B481">
        <v>87.7</v>
      </c>
      <c r="C481">
        <v>105.777</v>
      </c>
      <c r="D481">
        <f t="shared" si="28"/>
        <v>4.4739218993781371</v>
      </c>
      <c r="E481">
        <f t="shared" si="29"/>
        <v>4.6613331044869364</v>
      </c>
      <c r="F481">
        <f t="shared" si="30"/>
        <v>-0.12924628393928117</v>
      </c>
      <c r="G481">
        <f t="shared" si="31"/>
        <v>-1.3037811494838181E-3</v>
      </c>
    </row>
    <row r="482" spans="1:7" x14ac:dyDescent="0.2">
      <c r="A482" s="5">
        <f t="shared" si="32"/>
        <v>42005</v>
      </c>
      <c r="B482">
        <v>88.1</v>
      </c>
      <c r="C482">
        <v>105.3085</v>
      </c>
      <c r="D482">
        <f t="shared" si="28"/>
        <v>4.478472532942134</v>
      </c>
      <c r="E482">
        <f t="shared" si="29"/>
        <v>4.656894137629493</v>
      </c>
      <c r="F482">
        <f t="shared" si="30"/>
        <v>4.5506335639968754E-3</v>
      </c>
      <c r="G482">
        <f t="shared" si="31"/>
        <v>-4.4389668574433827E-3</v>
      </c>
    </row>
    <row r="483" spans="1:7" x14ac:dyDescent="0.2">
      <c r="A483" s="5">
        <f t="shared" si="32"/>
        <v>42036</v>
      </c>
      <c r="B483">
        <v>83.7</v>
      </c>
      <c r="C483">
        <v>105.3511</v>
      </c>
      <c r="D483">
        <f t="shared" si="28"/>
        <v>4.4272389774954295</v>
      </c>
      <c r="E483">
        <f t="shared" si="29"/>
        <v>4.6572985815815438</v>
      </c>
      <c r="F483">
        <f t="shared" si="30"/>
        <v>-5.1233555446704493E-2</v>
      </c>
      <c r="G483">
        <f t="shared" si="31"/>
        <v>4.0444395205074812E-4</v>
      </c>
    </row>
    <row r="484" spans="1:7" x14ac:dyDescent="0.2">
      <c r="A484" s="5">
        <f t="shared" si="32"/>
        <v>42064</v>
      </c>
      <c r="B484">
        <v>94.3</v>
      </c>
      <c r="C484">
        <v>105.7556</v>
      </c>
      <c r="D484">
        <f t="shared" si="28"/>
        <v>4.5464811896394117</v>
      </c>
      <c r="E484">
        <f t="shared" si="29"/>
        <v>4.6611307716070591</v>
      </c>
      <c r="F484">
        <f t="shared" si="30"/>
        <v>0.11924221214398223</v>
      </c>
      <c r="G484">
        <f t="shared" si="31"/>
        <v>3.8321900255153807E-3</v>
      </c>
    </row>
    <row r="485" spans="1:7" x14ac:dyDescent="0.2">
      <c r="A485" s="5">
        <f t="shared" si="32"/>
        <v>42095</v>
      </c>
      <c r="B485">
        <v>88.8</v>
      </c>
      <c r="C485">
        <v>103.7886</v>
      </c>
      <c r="D485">
        <f t="shared" si="28"/>
        <v>4.4863866499981242</v>
      </c>
      <c r="E485">
        <f t="shared" si="29"/>
        <v>4.6423561381108112</v>
      </c>
      <c r="F485">
        <f t="shared" si="30"/>
        <v>-6.0094539641287525E-2</v>
      </c>
      <c r="G485">
        <f t="shared" si="31"/>
        <v>-1.8774633496247972E-2</v>
      </c>
    </row>
    <row r="486" spans="1:7" x14ac:dyDescent="0.2">
      <c r="A486" s="5">
        <f t="shared" si="32"/>
        <v>42125</v>
      </c>
      <c r="B486">
        <v>93.1</v>
      </c>
      <c r="C486">
        <v>104.22190000000001</v>
      </c>
      <c r="D486">
        <f t="shared" si="28"/>
        <v>4.5336741842830213</v>
      </c>
      <c r="E486">
        <f t="shared" si="29"/>
        <v>4.6465222799807915</v>
      </c>
      <c r="F486">
        <f t="shared" si="30"/>
        <v>4.728753428489707E-2</v>
      </c>
      <c r="G486">
        <f t="shared" si="31"/>
        <v>4.1661418699803221E-3</v>
      </c>
    </row>
    <row r="487" spans="1:7" x14ac:dyDescent="0.2">
      <c r="A487" s="5">
        <f t="shared" si="32"/>
        <v>42156</v>
      </c>
      <c r="B487">
        <v>92.5</v>
      </c>
      <c r="C487">
        <v>106.8813</v>
      </c>
      <c r="D487">
        <f t="shared" si="28"/>
        <v>4.5272086445183799</v>
      </c>
      <c r="E487">
        <f t="shared" si="29"/>
        <v>4.6717188728880172</v>
      </c>
      <c r="F487">
        <f t="shared" si="30"/>
        <v>-6.4655397646413704E-3</v>
      </c>
      <c r="G487">
        <f t="shared" si="31"/>
        <v>2.5196592907225757E-2</v>
      </c>
    </row>
    <row r="488" spans="1:7" x14ac:dyDescent="0.2">
      <c r="A488" s="5">
        <f t="shared" si="32"/>
        <v>42186</v>
      </c>
      <c r="B488">
        <v>95.5</v>
      </c>
      <c r="C488">
        <v>105.4284</v>
      </c>
      <c r="D488">
        <f t="shared" si="28"/>
        <v>4.5591262474866845</v>
      </c>
      <c r="E488">
        <f t="shared" si="29"/>
        <v>4.6580320495275771</v>
      </c>
      <c r="F488">
        <f t="shared" si="30"/>
        <v>3.1917602968304593E-2</v>
      </c>
      <c r="G488">
        <f t="shared" si="31"/>
        <v>-1.3686823360440137E-2</v>
      </c>
    </row>
    <row r="489" spans="1:7" x14ac:dyDescent="0.2">
      <c r="A489" s="5">
        <f t="shared" si="32"/>
        <v>42217</v>
      </c>
      <c r="B489">
        <v>97.6</v>
      </c>
      <c r="C489">
        <v>108.03879999999999</v>
      </c>
      <c r="D489">
        <f t="shared" si="28"/>
        <v>4.580877493419047</v>
      </c>
      <c r="E489">
        <f t="shared" si="29"/>
        <v>4.6824904218653236</v>
      </c>
      <c r="F489">
        <f t="shared" si="30"/>
        <v>2.1751245932362551E-2</v>
      </c>
      <c r="G489">
        <f t="shared" si="31"/>
        <v>2.4458372337746503E-2</v>
      </c>
    </row>
    <row r="490" spans="1:7" x14ac:dyDescent="0.2">
      <c r="A490" s="5">
        <f t="shared" si="32"/>
        <v>42248</v>
      </c>
      <c r="B490">
        <v>94.3</v>
      </c>
      <c r="C490">
        <v>105.99930000000001</v>
      </c>
      <c r="D490">
        <f t="shared" si="28"/>
        <v>4.5464811896394117</v>
      </c>
      <c r="E490">
        <f t="shared" si="29"/>
        <v>4.6634324903166773</v>
      </c>
      <c r="F490">
        <f t="shared" si="30"/>
        <v>-3.4396303779635318E-2</v>
      </c>
      <c r="G490">
        <f t="shared" si="31"/>
        <v>-1.9057931548646323E-2</v>
      </c>
    </row>
    <row r="491" spans="1:7" x14ac:dyDescent="0.2">
      <c r="A491" s="5">
        <f t="shared" si="32"/>
        <v>42278</v>
      </c>
      <c r="B491">
        <v>97.2</v>
      </c>
      <c r="C491">
        <v>105.07299999999999</v>
      </c>
      <c r="D491">
        <f t="shared" si="28"/>
        <v>4.5767707114663931</v>
      </c>
      <c r="E491">
        <f t="shared" si="29"/>
        <v>4.654655346686714</v>
      </c>
      <c r="F491">
        <f t="shared" si="30"/>
        <v>3.0289521826981414E-2</v>
      </c>
      <c r="G491">
        <f t="shared" si="31"/>
        <v>-8.777143629963291E-3</v>
      </c>
    </row>
    <row r="492" spans="1:7" x14ac:dyDescent="0.2">
      <c r="A492" s="5">
        <f t="shared" si="32"/>
        <v>42309</v>
      </c>
      <c r="B492">
        <v>87.6</v>
      </c>
      <c r="C492">
        <v>103.7379</v>
      </c>
      <c r="D492">
        <f t="shared" si="28"/>
        <v>4.4727809979423458</v>
      </c>
      <c r="E492">
        <f t="shared" si="29"/>
        <v>4.6418675258033835</v>
      </c>
      <c r="F492">
        <f t="shared" si="30"/>
        <v>-0.10398971352404729</v>
      </c>
      <c r="G492">
        <f t="shared" si="31"/>
        <v>-1.2787820883330525E-2</v>
      </c>
    </row>
    <row r="493" spans="1:7" x14ac:dyDescent="0.2">
      <c r="A493" s="5">
        <f t="shared" si="32"/>
        <v>42339</v>
      </c>
      <c r="B493">
        <v>77.2</v>
      </c>
      <c r="C493">
        <v>102.98390000000001</v>
      </c>
      <c r="D493">
        <f t="shared" si="28"/>
        <v>4.3463994570307305</v>
      </c>
      <c r="E493">
        <f t="shared" si="29"/>
        <v>4.6345726653322368</v>
      </c>
      <c r="F493">
        <f t="shared" si="30"/>
        <v>-0.12638154091161535</v>
      </c>
      <c r="G493">
        <f t="shared" si="31"/>
        <v>-7.2948604711466913E-3</v>
      </c>
    </row>
    <row r="494" spans="1:7" x14ac:dyDescent="0.2">
      <c r="A494" s="5">
        <f t="shared" si="32"/>
        <v>42370</v>
      </c>
      <c r="B494">
        <v>76.3</v>
      </c>
      <c r="C494">
        <v>103.7467</v>
      </c>
      <c r="D494">
        <f t="shared" si="28"/>
        <v>4.334672938290411</v>
      </c>
      <c r="E494">
        <f t="shared" si="29"/>
        <v>4.6419523513760312</v>
      </c>
      <c r="F494">
        <f t="shared" si="30"/>
        <v>-1.1726518740319491E-2</v>
      </c>
      <c r="G494">
        <f t="shared" si="31"/>
        <v>7.3796860437944645E-3</v>
      </c>
    </row>
    <row r="495" spans="1:7" x14ac:dyDescent="0.2">
      <c r="A495" s="5">
        <f t="shared" si="32"/>
        <v>42401</v>
      </c>
      <c r="B495">
        <v>75.8</v>
      </c>
      <c r="C495">
        <v>103.5964</v>
      </c>
      <c r="D495">
        <f t="shared" si="28"/>
        <v>4.3280982926483258</v>
      </c>
      <c r="E495">
        <f t="shared" si="29"/>
        <v>4.6405025801868716</v>
      </c>
      <c r="F495">
        <f t="shared" si="30"/>
        <v>-6.5746456420852084E-3</v>
      </c>
      <c r="G495">
        <f t="shared" si="31"/>
        <v>-1.4497711891596765E-3</v>
      </c>
    </row>
    <row r="496" spans="1:7" x14ac:dyDescent="0.2">
      <c r="A496" s="5">
        <f t="shared" si="32"/>
        <v>42430</v>
      </c>
      <c r="B496">
        <v>83.6</v>
      </c>
      <c r="C496">
        <v>103.0343</v>
      </c>
      <c r="D496">
        <f t="shared" si="28"/>
        <v>4.4260435200906558</v>
      </c>
      <c r="E496">
        <f t="shared" si="29"/>
        <v>4.6350619425029471</v>
      </c>
      <c r="F496">
        <f t="shared" si="30"/>
        <v>9.794522744233003E-2</v>
      </c>
      <c r="G496">
        <f t="shared" si="31"/>
        <v>-5.440637683924443E-3</v>
      </c>
    </row>
    <row r="497" spans="1:10" x14ac:dyDescent="0.2">
      <c r="A497" s="5">
        <f t="shared" si="32"/>
        <v>42461</v>
      </c>
      <c r="B497">
        <v>82.9</v>
      </c>
      <c r="C497">
        <v>102.8002</v>
      </c>
      <c r="D497">
        <f t="shared" si="28"/>
        <v>4.4176350621412492</v>
      </c>
      <c r="E497">
        <f t="shared" si="29"/>
        <v>4.6327872985444642</v>
      </c>
      <c r="F497">
        <f t="shared" si="30"/>
        <v>-8.4084579494065892E-3</v>
      </c>
      <c r="G497">
        <f t="shared" si="31"/>
        <v>-2.2746439584828693E-3</v>
      </c>
    </row>
    <row r="498" spans="1:10" x14ac:dyDescent="0.2">
      <c r="A498" s="5">
        <f t="shared" si="32"/>
        <v>42491</v>
      </c>
      <c r="B498">
        <v>86.2</v>
      </c>
      <c r="C498">
        <v>102.8557</v>
      </c>
      <c r="D498">
        <f t="shared" si="28"/>
        <v>4.4566701776696478</v>
      </c>
      <c r="E498">
        <f t="shared" si="29"/>
        <v>4.6333270350786195</v>
      </c>
      <c r="F498">
        <f t="shared" si="30"/>
        <v>3.9035115528398556E-2</v>
      </c>
      <c r="G498">
        <f t="shared" si="31"/>
        <v>5.3973653415528844E-4</v>
      </c>
    </row>
    <row r="499" spans="1:10" x14ac:dyDescent="0.2">
      <c r="A499" s="5">
        <f t="shared" si="32"/>
        <v>42522</v>
      </c>
      <c r="B499">
        <v>87.4</v>
      </c>
      <c r="C499">
        <v>106.4273</v>
      </c>
      <c r="D499">
        <f t="shared" si="28"/>
        <v>4.4704952826614894</v>
      </c>
      <c r="E499">
        <f t="shared" si="29"/>
        <v>4.6674621229441637</v>
      </c>
      <c r="F499">
        <f t="shared" si="30"/>
        <v>1.3825104991841641E-2</v>
      </c>
      <c r="G499">
        <f t="shared" si="31"/>
        <v>3.41350878655442E-2</v>
      </c>
    </row>
    <row r="500" spans="1:10" x14ac:dyDescent="0.2">
      <c r="A500" s="5">
        <f t="shared" si="32"/>
        <v>42552</v>
      </c>
      <c r="B500">
        <v>89.5</v>
      </c>
      <c r="C500">
        <v>104.4508</v>
      </c>
      <c r="D500">
        <f t="shared" si="28"/>
        <v>4.4942386252808095</v>
      </c>
      <c r="E500">
        <f t="shared" si="29"/>
        <v>4.6487161471403091</v>
      </c>
      <c r="F500">
        <f t="shared" si="30"/>
        <v>2.3743342619320096E-2</v>
      </c>
      <c r="G500">
        <f t="shared" si="31"/>
        <v>-1.874597580385462E-2</v>
      </c>
    </row>
    <row r="501" spans="1:10" x14ac:dyDescent="0.2">
      <c r="A501" s="5">
        <f t="shared" si="32"/>
        <v>42583</v>
      </c>
      <c r="B501">
        <v>92.8</v>
      </c>
      <c r="C501">
        <v>106.93989999999999</v>
      </c>
      <c r="D501">
        <f t="shared" si="28"/>
        <v>4.5304466397921548</v>
      </c>
      <c r="E501">
        <f t="shared" si="29"/>
        <v>4.6722669944163515</v>
      </c>
      <c r="F501">
        <f t="shared" si="30"/>
        <v>3.6208014511345255E-2</v>
      </c>
      <c r="G501">
        <f t="shared" si="31"/>
        <v>2.3550847276042397E-2</v>
      </c>
    </row>
    <row r="502" spans="1:10" x14ac:dyDescent="0.2">
      <c r="A502" s="5">
        <f t="shared" si="32"/>
        <v>42614</v>
      </c>
      <c r="B502">
        <v>90</v>
      </c>
      <c r="C502">
        <v>105.3682</v>
      </c>
      <c r="D502">
        <f t="shared" si="28"/>
        <v>4.499809670330265</v>
      </c>
      <c r="E502">
        <f t="shared" si="29"/>
        <v>4.6574608828044273</v>
      </c>
      <c r="F502">
        <f t="shared" si="30"/>
        <v>-3.0636969461889763E-2</v>
      </c>
      <c r="G502">
        <f t="shared" si="31"/>
        <v>-1.4806111611924244E-2</v>
      </c>
    </row>
    <row r="503" spans="1:10" x14ac:dyDescent="0.2">
      <c r="A503" s="5">
        <f t="shared" si="32"/>
        <v>42644</v>
      </c>
      <c r="B503">
        <v>90.2</v>
      </c>
      <c r="C503">
        <v>104.3895</v>
      </c>
      <c r="D503">
        <f t="shared" si="28"/>
        <v>4.5020294270685781</v>
      </c>
      <c r="E503">
        <f t="shared" si="29"/>
        <v>4.6481290956779189</v>
      </c>
      <c r="F503">
        <f t="shared" si="30"/>
        <v>2.2197567383130945E-3</v>
      </c>
      <c r="G503">
        <f t="shared" si="31"/>
        <v>-9.3317871265083951E-3</v>
      </c>
    </row>
    <row r="504" spans="1:10" x14ac:dyDescent="0.2">
      <c r="A504" s="5">
        <f t="shared" si="32"/>
        <v>42675</v>
      </c>
      <c r="B504">
        <v>86.5</v>
      </c>
      <c r="C504">
        <v>102.8768</v>
      </c>
      <c r="D504">
        <f t="shared" si="28"/>
        <v>4.4601444139378339</v>
      </c>
      <c r="E504">
        <f t="shared" si="29"/>
        <v>4.6335321558064964</v>
      </c>
      <c r="F504">
        <f t="shared" si="30"/>
        <v>-4.188501313074422E-2</v>
      </c>
      <c r="G504">
        <f t="shared" si="31"/>
        <v>-1.4596939871422521E-2</v>
      </c>
    </row>
    <row r="505" spans="1:10" x14ac:dyDescent="0.2">
      <c r="A505" s="5">
        <f t="shared" si="32"/>
        <v>42705</v>
      </c>
      <c r="B505">
        <v>77.2</v>
      </c>
      <c r="C505">
        <v>103.51300000000001</v>
      </c>
      <c r="D505" s="8">
        <f t="shared" si="28"/>
        <v>4.3463994570307305</v>
      </c>
      <c r="E505" s="8">
        <f t="shared" si="29"/>
        <v>4.6396972086826533</v>
      </c>
      <c r="F505">
        <f t="shared" si="30"/>
        <v>-0.1137449569071034</v>
      </c>
      <c r="G505">
        <f t="shared" si="31"/>
        <v>6.1650528761569845E-3</v>
      </c>
    </row>
    <row r="506" spans="1:10" x14ac:dyDescent="0.2">
      <c r="A506" s="5">
        <f t="shared" si="32"/>
        <v>42736</v>
      </c>
      <c r="B506" s="28">
        <v>77.900000000000006</v>
      </c>
      <c r="I506" s="30">
        <f>B506/B505</f>
        <v>1.0090673575129534</v>
      </c>
      <c r="J506" s="8"/>
    </row>
    <row r="507" spans="1:10" x14ac:dyDescent="0.2">
      <c r="A507" s="5">
        <f t="shared" si="32"/>
        <v>42767</v>
      </c>
      <c r="B507" s="28">
        <v>75.900000000000006</v>
      </c>
      <c r="I507" s="30">
        <f t="shared" ref="I507:I545" si="33">B507/B506</f>
        <v>0.9743260590500642</v>
      </c>
    </row>
    <row r="508" spans="1:10" x14ac:dyDescent="0.2">
      <c r="A508" s="5">
        <f t="shared" si="32"/>
        <v>42795</v>
      </c>
      <c r="B508" s="28">
        <v>85.4</v>
      </c>
      <c r="I508" s="30">
        <f t="shared" si="33"/>
        <v>1.1251646903820818</v>
      </c>
    </row>
    <row r="509" spans="1:10" x14ac:dyDescent="0.2">
      <c r="A509" s="5">
        <f t="shared" si="32"/>
        <v>42826</v>
      </c>
      <c r="B509" s="28">
        <v>79.3</v>
      </c>
      <c r="I509" s="30">
        <f t="shared" si="33"/>
        <v>0.92857142857142849</v>
      </c>
    </row>
    <row r="510" spans="1:10" x14ac:dyDescent="0.2">
      <c r="A510" s="5">
        <f t="shared" si="32"/>
        <v>42856</v>
      </c>
      <c r="B510" s="28">
        <v>90.1</v>
      </c>
      <c r="I510" s="30">
        <f t="shared" si="33"/>
        <v>1.1361916771752838</v>
      </c>
    </row>
    <row r="511" spans="1:10" x14ac:dyDescent="0.2">
      <c r="A511" s="5">
        <f t="shared" si="32"/>
        <v>42887</v>
      </c>
      <c r="B511" s="28">
        <v>88.4</v>
      </c>
      <c r="I511" s="30">
        <f t="shared" si="33"/>
        <v>0.98113207547169823</v>
      </c>
    </row>
    <row r="512" spans="1:10" x14ac:dyDescent="0.2">
      <c r="A512" s="5">
        <f t="shared" si="32"/>
        <v>42917</v>
      </c>
      <c r="B512" s="28">
        <v>92.1</v>
      </c>
      <c r="I512" s="30">
        <f t="shared" si="33"/>
        <v>1.0418552036199094</v>
      </c>
    </row>
    <row r="513" spans="1:10" x14ac:dyDescent="0.2">
      <c r="A513" s="5">
        <f t="shared" si="32"/>
        <v>42948</v>
      </c>
      <c r="B513" s="28">
        <v>96.7</v>
      </c>
      <c r="I513" s="30">
        <f t="shared" si="33"/>
        <v>1.0499457111834962</v>
      </c>
    </row>
    <row r="514" spans="1:10" x14ac:dyDescent="0.2">
      <c r="A514" s="5">
        <f t="shared" si="32"/>
        <v>42979</v>
      </c>
      <c r="B514" s="28">
        <v>93</v>
      </c>
      <c r="I514" s="30">
        <f t="shared" si="33"/>
        <v>0.9617373319544984</v>
      </c>
    </row>
    <row r="515" spans="1:10" x14ac:dyDescent="0.2">
      <c r="A515" s="5">
        <f t="shared" si="32"/>
        <v>43009</v>
      </c>
      <c r="B515" s="28">
        <v>95.1</v>
      </c>
      <c r="I515" s="30">
        <f t="shared" si="33"/>
        <v>1.0225806451612902</v>
      </c>
    </row>
    <row r="516" spans="1:10" x14ac:dyDescent="0.2">
      <c r="A516" s="5">
        <f t="shared" si="32"/>
        <v>43040</v>
      </c>
      <c r="B516" s="28">
        <v>90.6</v>
      </c>
      <c r="I516" s="30">
        <f t="shared" si="33"/>
        <v>0.95268138801261826</v>
      </c>
    </row>
    <row r="517" spans="1:10" x14ac:dyDescent="0.2">
      <c r="A517" s="5">
        <f t="shared" si="32"/>
        <v>43070</v>
      </c>
      <c r="B517" s="28">
        <v>81</v>
      </c>
      <c r="C517" s="31">
        <f>B517/B505</f>
        <v>1.0492227979274611</v>
      </c>
      <c r="D517" s="31">
        <f>J517^12</f>
        <v>1.0492227979274615</v>
      </c>
      <c r="E517" s="32">
        <f>D517-1</f>
        <v>4.9222797927461537E-2</v>
      </c>
      <c r="I517" s="30">
        <f t="shared" si="33"/>
        <v>0.89403973509933776</v>
      </c>
      <c r="J517">
        <f>GEOMEAN(I506:I517)</f>
        <v>1.0040121687551511</v>
      </c>
    </row>
    <row r="518" spans="1:10" x14ac:dyDescent="0.2">
      <c r="A518" s="5">
        <f t="shared" si="32"/>
        <v>43101</v>
      </c>
      <c r="B518" s="28">
        <v>82.3</v>
      </c>
      <c r="I518" s="30">
        <f t="shared" si="33"/>
        <v>1.0160493827160493</v>
      </c>
    </row>
    <row r="519" spans="1:10" x14ac:dyDescent="0.2">
      <c r="A519" s="5">
        <f t="shared" si="32"/>
        <v>43132</v>
      </c>
      <c r="B519" s="28">
        <v>77.3</v>
      </c>
      <c r="I519" s="30">
        <f t="shared" si="33"/>
        <v>0.93924665856622114</v>
      </c>
    </row>
    <row r="520" spans="1:10" x14ac:dyDescent="0.2">
      <c r="A520" s="5">
        <f t="shared" si="32"/>
        <v>43160</v>
      </c>
      <c r="B520" s="28">
        <v>86.2</v>
      </c>
      <c r="I520" s="30">
        <f t="shared" si="33"/>
        <v>1.1151358344113842</v>
      </c>
    </row>
    <row r="521" spans="1:10" x14ac:dyDescent="0.2">
      <c r="A521" s="5">
        <f t="shared" si="32"/>
        <v>43191</v>
      </c>
      <c r="B521" s="28">
        <v>86.5</v>
      </c>
      <c r="I521" s="30">
        <f t="shared" si="33"/>
        <v>1.0034802784222738</v>
      </c>
    </row>
    <row r="522" spans="1:10" x14ac:dyDescent="0.2">
      <c r="A522" s="5">
        <f t="shared" si="32"/>
        <v>43221</v>
      </c>
      <c r="B522" s="28">
        <v>84.4</v>
      </c>
      <c r="I522" s="30">
        <f t="shared" si="33"/>
        <v>0.97572254335260122</v>
      </c>
    </row>
    <row r="523" spans="1:10" x14ac:dyDescent="0.2">
      <c r="A523" s="5">
        <f t="shared" si="32"/>
        <v>43252</v>
      </c>
      <c r="B523" s="28">
        <v>91.1</v>
      </c>
      <c r="I523" s="30">
        <f t="shared" si="33"/>
        <v>1.079383886255924</v>
      </c>
    </row>
    <row r="524" spans="1:10" x14ac:dyDescent="0.2">
      <c r="A524" s="5">
        <f t="shared" si="32"/>
        <v>43282</v>
      </c>
      <c r="B524" s="28">
        <v>95.8</v>
      </c>
      <c r="I524" s="30">
        <f t="shared" si="33"/>
        <v>1.0515916575192097</v>
      </c>
    </row>
    <row r="525" spans="1:10" x14ac:dyDescent="0.2">
      <c r="A525" s="5">
        <f t="shared" si="32"/>
        <v>43313</v>
      </c>
      <c r="B525" s="28">
        <v>98.2</v>
      </c>
      <c r="I525" s="30">
        <f t="shared" si="33"/>
        <v>1.0250521920668059</v>
      </c>
    </row>
    <row r="526" spans="1:10" x14ac:dyDescent="0.2">
      <c r="A526" s="5">
        <f t="shared" si="32"/>
        <v>43344</v>
      </c>
      <c r="B526" s="28">
        <v>90.7</v>
      </c>
      <c r="I526" s="30">
        <f t="shared" si="33"/>
        <v>0.92362525458248468</v>
      </c>
    </row>
    <row r="527" spans="1:10" x14ac:dyDescent="0.2">
      <c r="A527" s="5">
        <f t="shared" si="32"/>
        <v>43374</v>
      </c>
      <c r="B527" s="28">
        <v>95.8</v>
      </c>
      <c r="I527" s="30">
        <f t="shared" si="33"/>
        <v>1.0562293274531422</v>
      </c>
    </row>
    <row r="528" spans="1:10" x14ac:dyDescent="0.2">
      <c r="A528" s="5">
        <f t="shared" si="32"/>
        <v>43405</v>
      </c>
      <c r="B528" s="28">
        <v>89.5</v>
      </c>
      <c r="I528" s="30">
        <f t="shared" si="33"/>
        <v>0.93423799582463474</v>
      </c>
    </row>
    <row r="529" spans="1:10" x14ac:dyDescent="0.2">
      <c r="A529" s="5">
        <f t="shared" si="32"/>
        <v>43435</v>
      </c>
      <c r="B529" s="28">
        <v>78</v>
      </c>
      <c r="C529">
        <f>B529/B517</f>
        <v>0.96296296296296291</v>
      </c>
      <c r="D529" s="31">
        <f>J529^12</f>
        <v>0.96296296296296313</v>
      </c>
      <c r="E529" s="32">
        <f>D529-1</f>
        <v>-3.7037037037036868E-2</v>
      </c>
      <c r="I529" s="30">
        <f t="shared" si="33"/>
        <v>0.87150837988826813</v>
      </c>
      <c r="J529">
        <f>GEOMEAN(I518:I529)</f>
        <v>0.99685991308594846</v>
      </c>
    </row>
    <row r="530" spans="1:10" x14ac:dyDescent="0.2">
      <c r="A530" s="5">
        <f t="shared" si="32"/>
        <v>43466</v>
      </c>
      <c r="B530" s="28">
        <v>80.599999999999994</v>
      </c>
      <c r="I530" s="30">
        <f t="shared" si="33"/>
        <v>1.0333333333333332</v>
      </c>
    </row>
    <row r="531" spans="1:10" x14ac:dyDescent="0.2">
      <c r="A531" s="5">
        <f t="shared" si="32"/>
        <v>43497</v>
      </c>
      <c r="B531" s="28">
        <v>79.099999999999994</v>
      </c>
      <c r="I531" s="30">
        <f t="shared" si="33"/>
        <v>0.9813895781637717</v>
      </c>
    </row>
    <row r="532" spans="1:10" x14ac:dyDescent="0.2">
      <c r="A532" s="5">
        <f t="shared" si="32"/>
        <v>43525</v>
      </c>
      <c r="B532" s="28">
        <v>81</v>
      </c>
      <c r="I532" s="30">
        <f t="shared" si="33"/>
        <v>1.0240202275600507</v>
      </c>
    </row>
    <row r="533" spans="1:10" x14ac:dyDescent="0.2">
      <c r="A533" s="5">
        <f t="shared" si="32"/>
        <v>43556</v>
      </c>
      <c r="B533" s="28">
        <v>83.4</v>
      </c>
      <c r="I533" s="30">
        <f t="shared" si="33"/>
        <v>1.0296296296296297</v>
      </c>
    </row>
    <row r="534" spans="1:10" x14ac:dyDescent="0.2">
      <c r="A534" s="5">
        <f t="shared" si="32"/>
        <v>43586</v>
      </c>
      <c r="B534" s="28">
        <v>90.9</v>
      </c>
      <c r="I534" s="30">
        <f t="shared" si="33"/>
        <v>1.0899280575539567</v>
      </c>
    </row>
    <row r="535" spans="1:10" x14ac:dyDescent="0.2">
      <c r="A535" s="5">
        <f t="shared" si="32"/>
        <v>43617</v>
      </c>
      <c r="B535" s="28">
        <v>85.8</v>
      </c>
      <c r="I535" s="30">
        <f t="shared" si="33"/>
        <v>0.94389438943894377</v>
      </c>
    </row>
    <row r="536" spans="1:10" x14ac:dyDescent="0.2">
      <c r="A536" s="5">
        <f t="shared" si="32"/>
        <v>43647</v>
      </c>
      <c r="B536" s="28">
        <v>93.4</v>
      </c>
      <c r="I536" s="30">
        <f t="shared" si="33"/>
        <v>1.0885780885780887</v>
      </c>
    </row>
    <row r="537" spans="1:10" x14ac:dyDescent="0.2">
      <c r="A537" s="5">
        <f t="shared" ref="A537:A545" si="34">EOMONTH(A536,0)+1</f>
        <v>43678</v>
      </c>
      <c r="B537" s="28">
        <v>96.2</v>
      </c>
      <c r="I537" s="30">
        <f t="shared" si="33"/>
        <v>1.0299785867237687</v>
      </c>
    </row>
    <row r="538" spans="1:10" x14ac:dyDescent="0.2">
      <c r="A538" s="5">
        <f t="shared" si="34"/>
        <v>43709</v>
      </c>
      <c r="B538" s="28">
        <v>91.8</v>
      </c>
      <c r="I538" s="30">
        <f t="shared" si="33"/>
        <v>0.95426195426195426</v>
      </c>
    </row>
    <row r="539" spans="1:10" x14ac:dyDescent="0.2">
      <c r="A539" s="5">
        <f t="shared" si="34"/>
        <v>43739</v>
      </c>
      <c r="B539" s="28">
        <v>97</v>
      </c>
      <c r="I539" s="30">
        <f t="shared" si="33"/>
        <v>1.056644880174292</v>
      </c>
    </row>
    <row r="540" spans="1:10" x14ac:dyDescent="0.2">
      <c r="A540" s="5">
        <f t="shared" si="34"/>
        <v>43770</v>
      </c>
      <c r="B540" s="28">
        <v>88</v>
      </c>
      <c r="I540" s="30">
        <f t="shared" si="33"/>
        <v>0.90721649484536082</v>
      </c>
    </row>
    <row r="541" spans="1:10" x14ac:dyDescent="0.2">
      <c r="A541" s="5">
        <f t="shared" si="34"/>
        <v>43800</v>
      </c>
      <c r="B541" s="28">
        <v>76.900000000000006</v>
      </c>
      <c r="C541">
        <f>B541/B529</f>
        <v>0.98589743589743595</v>
      </c>
      <c r="D541" s="31">
        <f>J541^12</f>
        <v>0.98589743589743695</v>
      </c>
      <c r="E541" s="32">
        <f>D541-1</f>
        <v>-1.4102564102563053E-2</v>
      </c>
      <c r="I541" s="30">
        <f t="shared" si="33"/>
        <v>0.8738636363636364</v>
      </c>
      <c r="J541">
        <f>GEOMEAN(I530:I541)</f>
        <v>0.99881712097208375</v>
      </c>
    </row>
    <row r="542" spans="1:10" x14ac:dyDescent="0.2">
      <c r="A542" s="5">
        <f t="shared" si="34"/>
        <v>43831</v>
      </c>
      <c r="B542" s="28">
        <v>79.900000000000006</v>
      </c>
    </row>
    <row r="543" spans="1:10" x14ac:dyDescent="0.2">
      <c r="A543" s="5">
        <f t="shared" si="34"/>
        <v>43862</v>
      </c>
      <c r="B543" s="28">
        <v>78.8</v>
      </c>
      <c r="I543" s="29">
        <f>GEOMEAN(I506:I541)</f>
        <v>0.99989185083412235</v>
      </c>
      <c r="J543" s="29">
        <f>GEOMEAN(J517:J541)</f>
        <v>0.99989185083412246</v>
      </c>
    </row>
    <row r="544" spans="1:10" x14ac:dyDescent="0.2">
      <c r="A544" s="5">
        <f t="shared" si="34"/>
        <v>43891</v>
      </c>
      <c r="B544" s="28">
        <v>78</v>
      </c>
    </row>
    <row r="545" spans="1:2" x14ac:dyDescent="0.2">
      <c r="A545" s="5">
        <f t="shared" si="34"/>
        <v>43922</v>
      </c>
      <c r="B545" s="28">
        <v>60.7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6"/>
  <sheetViews>
    <sheetView workbookViewId="0"/>
  </sheetViews>
  <sheetFormatPr defaultRowHeight="12.75" x14ac:dyDescent="0.2"/>
  <cols>
    <col min="3" max="4" width="13.7109375" customWidth="1"/>
    <col min="6" max="6" width="13.28515625" customWidth="1"/>
  </cols>
  <sheetData>
    <row r="1" spans="1:4" x14ac:dyDescent="0.2">
      <c r="A1" t="s">
        <v>0</v>
      </c>
      <c r="B1" s="8" t="s">
        <v>1135</v>
      </c>
      <c r="C1" s="6"/>
      <c r="D1" s="6"/>
    </row>
    <row r="2" spans="1:4" x14ac:dyDescent="0.2">
      <c r="A2" s="5">
        <v>27395</v>
      </c>
      <c r="B2">
        <f>FRED!B684</f>
        <v>42.203499999999998</v>
      </c>
      <c r="C2" s="3"/>
    </row>
    <row r="3" spans="1:4" x14ac:dyDescent="0.2">
      <c r="A3" s="5">
        <v>27426</v>
      </c>
      <c r="B3">
        <f>FRED!B685</f>
        <v>42.02</v>
      </c>
      <c r="C3" s="3"/>
    </row>
    <row r="4" spans="1:4" x14ac:dyDescent="0.2">
      <c r="A4" s="5">
        <v>27454</v>
      </c>
      <c r="B4">
        <f>FRED!B686</f>
        <v>41.602200000000003</v>
      </c>
      <c r="C4" s="3"/>
    </row>
    <row r="5" spans="1:4" x14ac:dyDescent="0.2">
      <c r="A5" s="5">
        <v>27485</v>
      </c>
      <c r="B5">
        <f>FRED!B687</f>
        <v>41.706600000000002</v>
      </c>
      <c r="C5" s="3"/>
    </row>
    <row r="6" spans="1:4" x14ac:dyDescent="0.2">
      <c r="A6" s="5">
        <v>27515</v>
      </c>
      <c r="B6">
        <f>FRED!B688</f>
        <v>41.499899999999997</v>
      </c>
      <c r="C6" s="3"/>
    </row>
    <row r="7" spans="1:4" x14ac:dyDescent="0.2">
      <c r="A7" s="5">
        <v>27546</v>
      </c>
      <c r="B7">
        <f>FRED!B689</f>
        <v>42.703600000000002</v>
      </c>
      <c r="C7" s="3"/>
    </row>
    <row r="8" spans="1:4" x14ac:dyDescent="0.2">
      <c r="A8" s="5">
        <v>27576</v>
      </c>
      <c r="B8">
        <f>FRED!B690</f>
        <v>40.905500000000004</v>
      </c>
      <c r="C8" s="3"/>
    </row>
    <row r="9" spans="1:4" x14ac:dyDescent="0.2">
      <c r="A9" s="5">
        <v>27607</v>
      </c>
      <c r="B9">
        <f>FRED!B691</f>
        <v>42.557699999999997</v>
      </c>
      <c r="C9" s="3"/>
    </row>
    <row r="10" spans="1:4" x14ac:dyDescent="0.2">
      <c r="A10" s="5">
        <v>27638</v>
      </c>
      <c r="B10">
        <f>FRED!B692</f>
        <v>43.923200000000001</v>
      </c>
      <c r="C10" s="3"/>
    </row>
    <row r="11" spans="1:4" x14ac:dyDescent="0.2">
      <c r="A11" s="5">
        <v>27668</v>
      </c>
      <c r="B11">
        <f>FRED!B693</f>
        <v>44.157899999999998</v>
      </c>
      <c r="C11" s="3"/>
    </row>
    <row r="12" spans="1:4" x14ac:dyDescent="0.2">
      <c r="A12" s="5">
        <v>27699</v>
      </c>
      <c r="B12">
        <f>FRED!B694</f>
        <v>43.698799999999999</v>
      </c>
      <c r="C12" s="3"/>
    </row>
    <row r="13" spans="1:4" x14ac:dyDescent="0.2">
      <c r="A13" s="5">
        <v>27729</v>
      </c>
      <c r="B13">
        <f>FRED!B695</f>
        <v>43.442300000000003</v>
      </c>
      <c r="C13" s="3"/>
    </row>
    <row r="14" spans="1:4" x14ac:dyDescent="0.2">
      <c r="A14" s="5">
        <v>27760</v>
      </c>
      <c r="B14">
        <f>FRED!B696</f>
        <v>43.846499999999999</v>
      </c>
      <c r="C14" s="3"/>
    </row>
    <row r="15" spans="1:4" x14ac:dyDescent="0.2">
      <c r="A15" s="5">
        <v>27791</v>
      </c>
      <c r="B15">
        <f>FRED!B697</f>
        <v>45.151000000000003</v>
      </c>
      <c r="C15" s="3"/>
    </row>
    <row r="16" spans="1:4" x14ac:dyDescent="0.2">
      <c r="A16" s="5">
        <v>27820</v>
      </c>
      <c r="B16">
        <f>FRED!B698</f>
        <v>45.440199999999997</v>
      </c>
      <c r="C16" s="3"/>
    </row>
    <row r="17" spans="1:3" x14ac:dyDescent="0.2">
      <c r="A17" s="5">
        <v>27851</v>
      </c>
      <c r="B17">
        <f>FRED!B699</f>
        <v>45.061700000000002</v>
      </c>
      <c r="C17" s="3"/>
    </row>
    <row r="18" spans="1:3" x14ac:dyDescent="0.2">
      <c r="A18" s="5">
        <v>27881</v>
      </c>
      <c r="B18">
        <f>FRED!B700</f>
        <v>45.791699999999999</v>
      </c>
      <c r="C18" s="3"/>
    </row>
    <row r="19" spans="1:3" x14ac:dyDescent="0.2">
      <c r="A19" s="5">
        <v>27912</v>
      </c>
      <c r="B19">
        <f>FRED!B701</f>
        <v>46.774299999999997</v>
      </c>
      <c r="C19" s="3"/>
    </row>
    <row r="20" spans="1:3" x14ac:dyDescent="0.2">
      <c r="A20" s="5">
        <v>27942</v>
      </c>
      <c r="B20">
        <f>FRED!B702</f>
        <v>44.566400000000002</v>
      </c>
      <c r="C20" s="3"/>
    </row>
    <row r="21" spans="1:3" x14ac:dyDescent="0.2">
      <c r="A21" s="5">
        <v>27973</v>
      </c>
      <c r="B21">
        <f>FRED!B703</f>
        <v>45.85</v>
      </c>
      <c r="C21" s="3"/>
    </row>
    <row r="22" spans="1:3" x14ac:dyDescent="0.2">
      <c r="A22" s="5">
        <v>28004</v>
      </c>
      <c r="B22">
        <f>FRED!B704</f>
        <v>46.877600000000001</v>
      </c>
      <c r="C22" s="3"/>
    </row>
    <row r="23" spans="1:3" x14ac:dyDescent="0.2">
      <c r="A23" s="5">
        <v>28034</v>
      </c>
      <c r="B23">
        <f>FRED!B705</f>
        <v>47.1648</v>
      </c>
      <c r="C23" s="3"/>
    </row>
    <row r="24" spans="1:3" x14ac:dyDescent="0.2">
      <c r="A24" s="5">
        <v>28065</v>
      </c>
      <c r="B24">
        <f>FRED!B706</f>
        <v>47.2136</v>
      </c>
      <c r="C24" s="3"/>
    </row>
    <row r="25" spans="1:3" x14ac:dyDescent="0.2">
      <c r="A25" s="5">
        <v>28095</v>
      </c>
      <c r="B25">
        <f>FRED!B707</f>
        <v>46.916699999999999</v>
      </c>
      <c r="C25" s="3"/>
    </row>
    <row r="26" spans="1:3" x14ac:dyDescent="0.2">
      <c r="A26" s="5">
        <v>28126</v>
      </c>
      <c r="B26">
        <f>FRED!B708</f>
        <v>46.460599999999999</v>
      </c>
      <c r="C26" s="3"/>
    </row>
    <row r="27" spans="1:3" x14ac:dyDescent="0.2">
      <c r="A27" s="5">
        <v>28157</v>
      </c>
      <c r="B27">
        <f>FRED!B709</f>
        <v>48.1051</v>
      </c>
      <c r="C27" s="3"/>
    </row>
    <row r="28" spans="1:3" x14ac:dyDescent="0.2">
      <c r="A28" s="5">
        <v>28185</v>
      </c>
      <c r="B28">
        <f>FRED!B710</f>
        <v>49.024700000000003</v>
      </c>
      <c r="C28" s="3"/>
    </row>
    <row r="29" spans="1:3" x14ac:dyDescent="0.2">
      <c r="A29" s="5">
        <v>28216</v>
      </c>
      <c r="B29">
        <f>FRED!B711</f>
        <v>49.0105</v>
      </c>
      <c r="C29" s="3"/>
    </row>
    <row r="30" spans="1:3" x14ac:dyDescent="0.2">
      <c r="A30" s="5">
        <v>28246</v>
      </c>
      <c r="B30">
        <f>FRED!B712</f>
        <v>49.581000000000003</v>
      </c>
      <c r="C30" s="3"/>
    </row>
    <row r="31" spans="1:3" x14ac:dyDescent="0.2">
      <c r="A31" s="5">
        <v>28277</v>
      </c>
      <c r="B31">
        <f>FRED!B713</f>
        <v>51.018000000000001</v>
      </c>
      <c r="C31" s="3"/>
    </row>
    <row r="32" spans="1:3" x14ac:dyDescent="0.2">
      <c r="A32" s="5">
        <v>28307</v>
      </c>
      <c r="B32">
        <f>FRED!B714</f>
        <v>48.5381</v>
      </c>
      <c r="C32" s="3"/>
    </row>
    <row r="33" spans="1:3" x14ac:dyDescent="0.2">
      <c r="A33" s="5">
        <v>28338</v>
      </c>
      <c r="B33">
        <f>FRED!B715</f>
        <v>49.317999999999998</v>
      </c>
      <c r="C33" s="3"/>
    </row>
    <row r="34" spans="1:3" x14ac:dyDescent="0.2">
      <c r="A34" s="5">
        <v>28369</v>
      </c>
      <c r="B34">
        <f>FRED!B716</f>
        <v>50.667999999999999</v>
      </c>
      <c r="C34" s="3"/>
    </row>
    <row r="35" spans="1:3" x14ac:dyDescent="0.2">
      <c r="A35" s="5">
        <v>28399</v>
      </c>
      <c r="B35">
        <f>FRED!B717</f>
        <v>51.005800000000001</v>
      </c>
      <c r="C35" s="3"/>
    </row>
    <row r="36" spans="1:3" x14ac:dyDescent="0.2">
      <c r="A36" s="5">
        <v>28430</v>
      </c>
      <c r="B36">
        <f>FRED!B718</f>
        <v>50.331200000000003</v>
      </c>
      <c r="C36" s="3"/>
    </row>
    <row r="37" spans="1:3" x14ac:dyDescent="0.2">
      <c r="A37" s="5">
        <v>28460</v>
      </c>
      <c r="B37">
        <f>FRED!B719</f>
        <v>49.685200000000002</v>
      </c>
      <c r="C37" s="3"/>
    </row>
    <row r="38" spans="1:3" x14ac:dyDescent="0.2">
      <c r="A38" s="5">
        <v>28491</v>
      </c>
      <c r="B38">
        <f>FRED!B720</f>
        <v>48.846800000000002</v>
      </c>
      <c r="C38" s="3"/>
    </row>
    <row r="39" spans="1:3" x14ac:dyDescent="0.2">
      <c r="A39" s="5">
        <v>28522</v>
      </c>
      <c r="B39">
        <f>FRED!B721</f>
        <v>50.154699999999998</v>
      </c>
      <c r="C39" s="3"/>
    </row>
    <row r="40" spans="1:3" x14ac:dyDescent="0.2">
      <c r="A40" s="5">
        <v>28550</v>
      </c>
      <c r="B40">
        <f>FRED!B722</f>
        <v>51.241700000000002</v>
      </c>
      <c r="C40" s="3"/>
    </row>
    <row r="41" spans="1:3" x14ac:dyDescent="0.2">
      <c r="A41" s="5">
        <v>28581</v>
      </c>
      <c r="B41">
        <f>FRED!B723</f>
        <v>52.292499999999997</v>
      </c>
      <c r="C41" s="3"/>
    </row>
    <row r="42" spans="1:3" x14ac:dyDescent="0.2">
      <c r="A42" s="5">
        <v>28611</v>
      </c>
      <c r="B42">
        <f>FRED!B724</f>
        <v>52.164200000000001</v>
      </c>
      <c r="C42" s="3"/>
    </row>
    <row r="43" spans="1:3" x14ac:dyDescent="0.2">
      <c r="A43" s="5">
        <v>28642</v>
      </c>
      <c r="B43">
        <f>FRED!B725</f>
        <v>53.552399999999999</v>
      </c>
      <c r="C43" s="3"/>
    </row>
    <row r="44" spans="1:3" x14ac:dyDescent="0.2">
      <c r="A44" s="5">
        <v>28672</v>
      </c>
      <c r="B44">
        <f>FRED!B726</f>
        <v>50.840800000000002</v>
      </c>
      <c r="C44" s="3"/>
    </row>
    <row r="45" spans="1:3" x14ac:dyDescent="0.2">
      <c r="A45" s="5">
        <v>28703</v>
      </c>
      <c r="B45">
        <f>FRED!B727</f>
        <v>52.027500000000003</v>
      </c>
      <c r="C45" s="3"/>
    </row>
    <row r="46" spans="1:3" x14ac:dyDescent="0.2">
      <c r="A46" s="5">
        <v>28734</v>
      </c>
      <c r="B46">
        <f>FRED!B728</f>
        <v>53.371099999999998</v>
      </c>
      <c r="C46" s="3"/>
    </row>
    <row r="47" spans="1:3" x14ac:dyDescent="0.2">
      <c r="A47" s="5">
        <v>28764</v>
      </c>
      <c r="B47">
        <f>FRED!B729</f>
        <v>54.019799999999996</v>
      </c>
      <c r="C47" s="3"/>
    </row>
    <row r="48" spans="1:3" x14ac:dyDescent="0.2">
      <c r="A48" s="5">
        <v>28795</v>
      </c>
      <c r="B48">
        <f>FRED!B730</f>
        <v>53.6175</v>
      </c>
      <c r="C48" s="3"/>
    </row>
    <row r="49" spans="1:3" x14ac:dyDescent="0.2">
      <c r="A49" s="5">
        <v>28825</v>
      </c>
      <c r="B49">
        <f>FRED!B731</f>
        <v>53.2104</v>
      </c>
      <c r="C49" s="3"/>
    </row>
    <row r="50" spans="1:3" x14ac:dyDescent="0.2">
      <c r="A50" s="5">
        <v>28856</v>
      </c>
      <c r="B50">
        <f>FRED!B732</f>
        <v>52.588500000000003</v>
      </c>
      <c r="C50" s="3"/>
    </row>
    <row r="51" spans="1:3" x14ac:dyDescent="0.2">
      <c r="A51" s="5">
        <v>28887</v>
      </c>
      <c r="B51">
        <f>FRED!B733</f>
        <v>54.075899999999997</v>
      </c>
      <c r="C51" s="3"/>
    </row>
    <row r="52" spans="1:3" x14ac:dyDescent="0.2">
      <c r="A52" s="5">
        <v>28915</v>
      </c>
      <c r="B52">
        <f>FRED!B734</f>
        <v>54.734000000000002</v>
      </c>
      <c r="C52" s="3"/>
    </row>
    <row r="53" spans="1:3" x14ac:dyDescent="0.2">
      <c r="A53" s="5">
        <v>28946</v>
      </c>
      <c r="B53">
        <f>FRED!B735</f>
        <v>53.040799999999997</v>
      </c>
      <c r="C53" s="3"/>
    </row>
    <row r="54" spans="1:3" x14ac:dyDescent="0.2">
      <c r="A54" s="5">
        <v>28976</v>
      </c>
      <c r="B54">
        <f>FRED!B736</f>
        <v>53.898600000000002</v>
      </c>
      <c r="C54" s="3"/>
    </row>
    <row r="55" spans="1:3" x14ac:dyDescent="0.2">
      <c r="A55" s="5">
        <v>29007</v>
      </c>
      <c r="B55">
        <f>FRED!B737</f>
        <v>54.911299999999997</v>
      </c>
      <c r="C55" s="3"/>
    </row>
    <row r="56" spans="1:3" x14ac:dyDescent="0.2">
      <c r="A56" s="5">
        <v>29037</v>
      </c>
      <c r="B56">
        <f>FRED!B738</f>
        <v>52.276200000000003</v>
      </c>
      <c r="C56" s="3"/>
    </row>
    <row r="57" spans="1:3" x14ac:dyDescent="0.2">
      <c r="A57" s="5">
        <v>29068</v>
      </c>
      <c r="B57">
        <f>FRED!B739</f>
        <v>53.045400000000001</v>
      </c>
      <c r="C57" s="3"/>
    </row>
    <row r="58" spans="1:3" x14ac:dyDescent="0.2">
      <c r="A58" s="5">
        <v>29099</v>
      </c>
      <c r="B58">
        <f>FRED!B740</f>
        <v>54.078899999999997</v>
      </c>
      <c r="C58" s="3"/>
    </row>
    <row r="59" spans="1:3" x14ac:dyDescent="0.2">
      <c r="A59" s="5">
        <v>29129</v>
      </c>
      <c r="B59">
        <f>FRED!B741</f>
        <v>54.450899999999997</v>
      </c>
      <c r="C59" s="3"/>
    </row>
    <row r="60" spans="1:3" x14ac:dyDescent="0.2">
      <c r="A60" s="5">
        <v>29160</v>
      </c>
      <c r="B60">
        <f>FRED!B742</f>
        <v>53.691600000000001</v>
      </c>
      <c r="C60" s="3"/>
    </row>
    <row r="61" spans="1:3" x14ac:dyDescent="0.2">
      <c r="A61" s="5">
        <v>29190</v>
      </c>
      <c r="B61">
        <f>FRED!B743</f>
        <v>53.203000000000003</v>
      </c>
      <c r="C61" s="3"/>
    </row>
    <row r="62" spans="1:3" x14ac:dyDescent="0.2">
      <c r="A62" s="5">
        <v>29221</v>
      </c>
      <c r="B62">
        <f>FRED!B744</f>
        <v>53.202300000000001</v>
      </c>
      <c r="C62" s="3"/>
    </row>
    <row r="63" spans="1:3" x14ac:dyDescent="0.2">
      <c r="A63" s="5">
        <v>29252</v>
      </c>
      <c r="B63">
        <f>FRED!B745</f>
        <v>54.2363</v>
      </c>
      <c r="C63" s="3"/>
    </row>
    <row r="64" spans="1:3" x14ac:dyDescent="0.2">
      <c r="A64" s="5">
        <v>29281</v>
      </c>
      <c r="B64">
        <f>FRED!B746</f>
        <v>54.461799999999997</v>
      </c>
      <c r="C64" s="3"/>
    </row>
    <row r="65" spans="1:3" x14ac:dyDescent="0.2">
      <c r="A65" s="5">
        <v>29312</v>
      </c>
      <c r="B65">
        <f>FRED!B747</f>
        <v>52.591700000000003</v>
      </c>
      <c r="C65" s="3"/>
    </row>
    <row r="66" spans="1:3" x14ac:dyDescent="0.2">
      <c r="A66" s="5">
        <v>29342</v>
      </c>
      <c r="B66">
        <f>FRED!B748</f>
        <v>51.205500000000001</v>
      </c>
      <c r="C66" s="3"/>
    </row>
    <row r="67" spans="1:3" x14ac:dyDescent="0.2">
      <c r="A67" s="5">
        <v>29373</v>
      </c>
      <c r="B67">
        <f>FRED!B749</f>
        <v>51.501300000000001</v>
      </c>
      <c r="C67" s="3"/>
    </row>
    <row r="68" spans="1:3" x14ac:dyDescent="0.2">
      <c r="A68" s="5">
        <v>29403</v>
      </c>
      <c r="B68">
        <f>FRED!B750</f>
        <v>49.051600000000001</v>
      </c>
      <c r="C68" s="3"/>
    </row>
    <row r="69" spans="1:3" x14ac:dyDescent="0.2">
      <c r="A69" s="5">
        <v>29434</v>
      </c>
      <c r="B69">
        <f>FRED!B751</f>
        <v>50.597000000000001</v>
      </c>
      <c r="C69" s="3"/>
    </row>
    <row r="70" spans="1:3" x14ac:dyDescent="0.2">
      <c r="A70" s="5">
        <v>29465</v>
      </c>
      <c r="B70">
        <f>FRED!B752</f>
        <v>52.056100000000001</v>
      </c>
      <c r="C70" s="3"/>
    </row>
    <row r="71" spans="1:3" x14ac:dyDescent="0.2">
      <c r="A71" s="5">
        <v>29495</v>
      </c>
      <c r="B71">
        <f>FRED!B753</f>
        <v>52.631500000000003</v>
      </c>
      <c r="C71" s="3"/>
    </row>
    <row r="72" spans="1:3" x14ac:dyDescent="0.2">
      <c r="A72" s="5">
        <v>29526</v>
      </c>
      <c r="B72">
        <f>FRED!B754</f>
        <v>52.954599999999999</v>
      </c>
      <c r="C72" s="3"/>
    </row>
    <row r="73" spans="1:3" x14ac:dyDescent="0.2">
      <c r="A73" s="5">
        <v>29556</v>
      </c>
      <c r="B73">
        <f>FRED!B755</f>
        <v>52.888800000000003</v>
      </c>
      <c r="C73" s="3"/>
    </row>
    <row r="74" spans="1:3" x14ac:dyDescent="0.2">
      <c r="A74" s="5">
        <v>29587</v>
      </c>
      <c r="B74">
        <f>FRED!B756</f>
        <v>52.526299999999999</v>
      </c>
      <c r="C74" s="3"/>
    </row>
    <row r="75" spans="1:3" x14ac:dyDescent="0.2">
      <c r="A75" s="5">
        <v>29618</v>
      </c>
      <c r="B75">
        <f>FRED!B757</f>
        <v>53.074599999999997</v>
      </c>
      <c r="C75" s="3"/>
    </row>
    <row r="76" spans="1:3" x14ac:dyDescent="0.2">
      <c r="A76" s="5">
        <v>29646</v>
      </c>
      <c r="B76">
        <f>FRED!B758</f>
        <v>53.657699999999998</v>
      </c>
      <c r="C76" s="3"/>
    </row>
    <row r="77" spans="1:3" x14ac:dyDescent="0.2">
      <c r="A77" s="5">
        <v>29677</v>
      </c>
      <c r="B77">
        <f>FRED!B759</f>
        <v>52.546999999999997</v>
      </c>
      <c r="C77" s="3"/>
    </row>
    <row r="78" spans="1:3" x14ac:dyDescent="0.2">
      <c r="A78" s="5">
        <v>29707</v>
      </c>
      <c r="B78">
        <f>FRED!B760</f>
        <v>52.8476</v>
      </c>
      <c r="C78" s="3"/>
    </row>
    <row r="79" spans="1:3" x14ac:dyDescent="0.2">
      <c r="A79" s="5">
        <v>29738</v>
      </c>
      <c r="B79">
        <f>FRED!B761</f>
        <v>54.043700000000001</v>
      </c>
      <c r="C79" s="3"/>
    </row>
    <row r="80" spans="1:3" x14ac:dyDescent="0.2">
      <c r="A80" s="5">
        <v>29768</v>
      </c>
      <c r="B80">
        <f>FRED!B762</f>
        <v>52.405700000000003</v>
      </c>
      <c r="C80" s="3"/>
    </row>
    <row r="81" spans="1:3" x14ac:dyDescent="0.2">
      <c r="A81" s="5">
        <v>29799</v>
      </c>
      <c r="B81">
        <f>FRED!B763</f>
        <v>53.600499999999997</v>
      </c>
      <c r="C81" s="3"/>
    </row>
    <row r="82" spans="1:3" x14ac:dyDescent="0.2">
      <c r="A82" s="5">
        <v>29830</v>
      </c>
      <c r="B82">
        <f>FRED!B764</f>
        <v>53.619599999999998</v>
      </c>
      <c r="C82" s="3"/>
    </row>
    <row r="83" spans="1:3" x14ac:dyDescent="0.2">
      <c r="A83" s="5">
        <v>29860</v>
      </c>
      <c r="B83">
        <f>FRED!B765</f>
        <v>53.3889</v>
      </c>
      <c r="C83" s="3"/>
    </row>
    <row r="84" spans="1:3" x14ac:dyDescent="0.2">
      <c r="A84" s="5">
        <v>29891</v>
      </c>
      <c r="B84">
        <f>FRED!B766</f>
        <v>52.287799999999997</v>
      </c>
      <c r="C84" s="3"/>
    </row>
    <row r="85" spans="1:3" x14ac:dyDescent="0.2">
      <c r="A85" s="5">
        <v>29921</v>
      </c>
      <c r="B85">
        <f>FRED!B767</f>
        <v>51.530700000000003</v>
      </c>
      <c r="C85" s="3"/>
    </row>
    <row r="86" spans="1:3" x14ac:dyDescent="0.2">
      <c r="A86" s="5">
        <v>29952</v>
      </c>
      <c r="B86">
        <f>FRED!B768</f>
        <v>50.627099999999999</v>
      </c>
      <c r="C86" s="3"/>
    </row>
    <row r="87" spans="1:3" x14ac:dyDescent="0.2">
      <c r="A87" s="5">
        <v>29983</v>
      </c>
      <c r="B87">
        <f>FRED!B769</f>
        <v>52.182000000000002</v>
      </c>
      <c r="C87" s="3"/>
    </row>
    <row r="88" spans="1:3" x14ac:dyDescent="0.2">
      <c r="A88" s="5">
        <v>30011</v>
      </c>
      <c r="B88">
        <f>FRED!B770</f>
        <v>51.8934</v>
      </c>
      <c r="C88" s="3"/>
    </row>
    <row r="89" spans="1:3" x14ac:dyDescent="0.2">
      <c r="A89" s="5">
        <v>30042</v>
      </c>
      <c r="B89">
        <f>FRED!B771</f>
        <v>50.6205</v>
      </c>
      <c r="C89" s="3"/>
    </row>
    <row r="90" spans="1:3" x14ac:dyDescent="0.2">
      <c r="A90" s="5">
        <v>30072</v>
      </c>
      <c r="B90">
        <f>FRED!B772</f>
        <v>50.202500000000001</v>
      </c>
      <c r="C90" s="3"/>
    </row>
    <row r="91" spans="1:3" x14ac:dyDescent="0.2">
      <c r="A91" s="5">
        <v>30103</v>
      </c>
      <c r="B91">
        <f>FRED!B773</f>
        <v>51.030099999999997</v>
      </c>
      <c r="C91" s="3"/>
    </row>
    <row r="92" spans="1:3" x14ac:dyDescent="0.2">
      <c r="A92" s="5">
        <v>30133</v>
      </c>
      <c r="B92">
        <f>FRED!B774</f>
        <v>49.148299999999999</v>
      </c>
      <c r="C92" s="3"/>
    </row>
    <row r="93" spans="1:3" x14ac:dyDescent="0.2">
      <c r="A93" s="5">
        <v>30164</v>
      </c>
      <c r="B93">
        <f>FRED!B775</f>
        <v>49.895400000000002</v>
      </c>
      <c r="C93" s="3"/>
    </row>
    <row r="94" spans="1:3" x14ac:dyDescent="0.2">
      <c r="A94" s="5">
        <v>30195</v>
      </c>
      <c r="B94">
        <f>FRED!B776</f>
        <v>50.1205</v>
      </c>
      <c r="C94" s="3"/>
    </row>
    <row r="95" spans="1:3" x14ac:dyDescent="0.2">
      <c r="A95" s="5">
        <v>30225</v>
      </c>
      <c r="B95">
        <f>FRED!B777</f>
        <v>49.642400000000002</v>
      </c>
      <c r="C95" s="3"/>
    </row>
    <row r="96" spans="1:3" x14ac:dyDescent="0.2">
      <c r="A96" s="5">
        <v>30256</v>
      </c>
      <c r="B96">
        <f>FRED!B778</f>
        <v>48.909599999999998</v>
      </c>
      <c r="C96" s="3"/>
    </row>
    <row r="97" spans="1:3" x14ac:dyDescent="0.2">
      <c r="A97" s="5">
        <v>30286</v>
      </c>
      <c r="B97">
        <f>FRED!B779</f>
        <v>48.288800000000002</v>
      </c>
      <c r="C97" s="3"/>
    </row>
    <row r="98" spans="1:3" x14ac:dyDescent="0.2">
      <c r="A98" s="5">
        <v>30317</v>
      </c>
      <c r="B98">
        <f>FRED!B780</f>
        <v>49.619</v>
      </c>
      <c r="C98" s="3"/>
    </row>
    <row r="99" spans="1:3" x14ac:dyDescent="0.2">
      <c r="A99" s="5">
        <v>30348</v>
      </c>
      <c r="B99">
        <f>FRED!B781</f>
        <v>49.755699999999997</v>
      </c>
      <c r="C99" s="3"/>
    </row>
    <row r="100" spans="1:3" x14ac:dyDescent="0.2">
      <c r="A100" s="5">
        <v>30376</v>
      </c>
      <c r="B100">
        <f>FRED!B782</f>
        <v>50.262</v>
      </c>
      <c r="C100" s="3"/>
    </row>
    <row r="101" spans="1:3" x14ac:dyDescent="0.2">
      <c r="A101" s="5">
        <v>30407</v>
      </c>
      <c r="B101">
        <f>FRED!B783</f>
        <v>50.160699999999999</v>
      </c>
      <c r="C101" s="3"/>
    </row>
    <row r="102" spans="1:3" x14ac:dyDescent="0.2">
      <c r="A102" s="5">
        <v>30437</v>
      </c>
      <c r="B102">
        <f>FRED!B784</f>
        <v>50.2956</v>
      </c>
      <c r="C102" s="3"/>
    </row>
    <row r="103" spans="1:3" x14ac:dyDescent="0.2">
      <c r="A103" s="5">
        <v>30468</v>
      </c>
      <c r="B103">
        <f>FRED!B785</f>
        <v>51.6648</v>
      </c>
      <c r="C103" s="3"/>
    </row>
    <row r="104" spans="1:3" x14ac:dyDescent="0.2">
      <c r="A104" s="5">
        <v>30498</v>
      </c>
      <c r="B104">
        <f>FRED!B786</f>
        <v>50.612400000000001</v>
      </c>
      <c r="C104" s="3"/>
    </row>
    <row r="105" spans="1:3" x14ac:dyDescent="0.2">
      <c r="A105" s="5">
        <v>30529</v>
      </c>
      <c r="B105">
        <f>FRED!B787</f>
        <v>52.325299999999999</v>
      </c>
      <c r="C105" s="3"/>
    </row>
    <row r="106" spans="1:3" x14ac:dyDescent="0.2">
      <c r="A106" s="5">
        <v>30560</v>
      </c>
      <c r="B106">
        <f>FRED!B788</f>
        <v>53.664499999999997</v>
      </c>
      <c r="C106" s="3"/>
    </row>
    <row r="107" spans="1:3" x14ac:dyDescent="0.2">
      <c r="A107" s="5">
        <v>30590</v>
      </c>
      <c r="B107">
        <f>FRED!B789</f>
        <v>53.934899999999999</v>
      </c>
      <c r="C107" s="3"/>
    </row>
    <row r="108" spans="1:3" x14ac:dyDescent="0.2">
      <c r="A108" s="5">
        <v>30621</v>
      </c>
      <c r="B108">
        <f>FRED!B790</f>
        <v>53.416200000000003</v>
      </c>
      <c r="C108" s="3"/>
    </row>
    <row r="109" spans="1:3" x14ac:dyDescent="0.2">
      <c r="A109" s="5">
        <v>30651</v>
      </c>
      <c r="B109">
        <f>FRED!B791</f>
        <v>53.368699999999997</v>
      </c>
      <c r="C109" s="3"/>
    </row>
    <row r="110" spans="1:3" x14ac:dyDescent="0.2">
      <c r="A110" s="5">
        <v>30682</v>
      </c>
      <c r="B110">
        <f>FRED!B792</f>
        <v>55.121099999999998</v>
      </c>
      <c r="C110" s="3"/>
    </row>
    <row r="111" spans="1:3" x14ac:dyDescent="0.2">
      <c r="A111" s="5">
        <v>30713</v>
      </c>
      <c r="B111">
        <f>FRED!B793</f>
        <v>55.866399999999999</v>
      </c>
      <c r="C111" s="3"/>
    </row>
    <row r="112" spans="1:3" x14ac:dyDescent="0.2">
      <c r="A112" s="5">
        <v>30742</v>
      </c>
      <c r="B112">
        <f>FRED!B794</f>
        <v>56.238399999999999</v>
      </c>
      <c r="C112" s="3"/>
    </row>
    <row r="113" spans="1:3" x14ac:dyDescent="0.2">
      <c r="A113" s="5">
        <v>30773</v>
      </c>
      <c r="B113">
        <f>FRED!B795</f>
        <v>55.831600000000002</v>
      </c>
      <c r="C113" s="3"/>
    </row>
    <row r="114" spans="1:3" x14ac:dyDescent="0.2">
      <c r="A114" s="5">
        <v>30803</v>
      </c>
      <c r="B114">
        <f>FRED!B796</f>
        <v>55.7898</v>
      </c>
      <c r="C114" s="3"/>
    </row>
    <row r="115" spans="1:3" x14ac:dyDescent="0.2">
      <c r="A115" s="5">
        <v>30834</v>
      </c>
      <c r="B115">
        <f>FRED!B797</f>
        <v>57.145200000000003</v>
      </c>
      <c r="C115" s="3"/>
    </row>
    <row r="116" spans="1:3" x14ac:dyDescent="0.2">
      <c r="A116" s="5">
        <v>30864</v>
      </c>
      <c r="B116">
        <f>FRED!B798</f>
        <v>55.269500000000001</v>
      </c>
      <c r="C116" s="3"/>
    </row>
    <row r="117" spans="1:3" x14ac:dyDescent="0.2">
      <c r="A117" s="5">
        <v>30895</v>
      </c>
      <c r="B117">
        <f>FRED!B799</f>
        <v>56.647100000000002</v>
      </c>
      <c r="C117" s="3"/>
    </row>
    <row r="118" spans="1:3" x14ac:dyDescent="0.2">
      <c r="A118" s="5">
        <v>30926</v>
      </c>
      <c r="B118">
        <f>FRED!B800</f>
        <v>57.1858</v>
      </c>
      <c r="C118" s="3"/>
    </row>
    <row r="119" spans="1:3" x14ac:dyDescent="0.2">
      <c r="A119" s="5">
        <v>30956</v>
      </c>
      <c r="B119">
        <f>FRED!B801</f>
        <v>56.808900000000001</v>
      </c>
      <c r="C119" s="3"/>
    </row>
    <row r="120" spans="1:3" x14ac:dyDescent="0.2">
      <c r="A120" s="5">
        <v>30987</v>
      </c>
      <c r="B120">
        <f>FRED!B802</f>
        <v>56.319299999999998</v>
      </c>
      <c r="C120" s="3"/>
    </row>
    <row r="121" spans="1:3" x14ac:dyDescent="0.2">
      <c r="A121" s="5">
        <v>31017</v>
      </c>
      <c r="B121">
        <f>FRED!B803</f>
        <v>56.066200000000002</v>
      </c>
      <c r="C121" s="3"/>
    </row>
    <row r="122" spans="1:3" x14ac:dyDescent="0.2">
      <c r="A122" s="5">
        <v>31048</v>
      </c>
      <c r="B122">
        <f>FRED!B804</f>
        <v>56.655099999999997</v>
      </c>
      <c r="C122" s="3"/>
    </row>
    <row r="123" spans="1:3" x14ac:dyDescent="0.2">
      <c r="A123" s="5">
        <v>31079</v>
      </c>
      <c r="B123">
        <f>FRED!B805</f>
        <v>57.452300000000001</v>
      </c>
      <c r="C123" s="3"/>
    </row>
    <row r="124" spans="1:3" x14ac:dyDescent="0.2">
      <c r="A124" s="5">
        <v>31107</v>
      </c>
      <c r="B124">
        <f>FRED!B806</f>
        <v>57.456600000000002</v>
      </c>
      <c r="C124" s="3"/>
    </row>
    <row r="125" spans="1:3" x14ac:dyDescent="0.2">
      <c r="A125" s="5">
        <v>31138</v>
      </c>
      <c r="B125">
        <f>FRED!B807</f>
        <v>56.4482</v>
      </c>
      <c r="C125" s="3"/>
    </row>
    <row r="126" spans="1:3" x14ac:dyDescent="0.2">
      <c r="A126" s="5">
        <v>31168</v>
      </c>
      <c r="B126">
        <f>FRED!B808</f>
        <v>56.403100000000002</v>
      </c>
      <c r="C126" s="3"/>
    </row>
    <row r="127" spans="1:3" x14ac:dyDescent="0.2">
      <c r="A127" s="5">
        <v>31199</v>
      </c>
      <c r="B127">
        <f>FRED!B809</f>
        <v>57.666800000000002</v>
      </c>
      <c r="C127" s="3"/>
    </row>
    <row r="128" spans="1:3" x14ac:dyDescent="0.2">
      <c r="A128" s="5">
        <v>31229</v>
      </c>
      <c r="B128">
        <f>FRED!B810</f>
        <v>55.265000000000001</v>
      </c>
      <c r="C128" s="3"/>
    </row>
    <row r="129" spans="1:3" x14ac:dyDescent="0.2">
      <c r="A129" s="5">
        <v>31260</v>
      </c>
      <c r="B129">
        <f>FRED!B811</f>
        <v>56.858800000000002</v>
      </c>
      <c r="C129" s="3"/>
    </row>
    <row r="130" spans="1:3" x14ac:dyDescent="0.2">
      <c r="A130" s="5">
        <v>31291</v>
      </c>
      <c r="B130">
        <f>FRED!B812</f>
        <v>57.681600000000003</v>
      </c>
      <c r="C130" s="3"/>
    </row>
    <row r="131" spans="1:3" x14ac:dyDescent="0.2">
      <c r="A131" s="5">
        <v>31321</v>
      </c>
      <c r="B131">
        <f>FRED!B813</f>
        <v>57.1096</v>
      </c>
      <c r="C131" s="3"/>
    </row>
    <row r="132" spans="1:3" x14ac:dyDescent="0.2">
      <c r="A132" s="5">
        <v>31352</v>
      </c>
      <c r="B132">
        <f>FRED!B814</f>
        <v>56.588000000000001</v>
      </c>
      <c r="C132" s="3"/>
    </row>
    <row r="133" spans="1:3" x14ac:dyDescent="0.2">
      <c r="A133" s="5">
        <v>31382</v>
      </c>
      <c r="B133">
        <f>FRED!B815</f>
        <v>57.000599999999999</v>
      </c>
      <c r="C133" s="3"/>
    </row>
    <row r="134" spans="1:3" x14ac:dyDescent="0.2">
      <c r="A134" s="5">
        <v>31413</v>
      </c>
      <c r="B134">
        <f>FRED!B816</f>
        <v>57.923699999999997</v>
      </c>
      <c r="C134" s="3"/>
    </row>
    <row r="135" spans="1:3" x14ac:dyDescent="0.2">
      <c r="A135" s="5">
        <v>31444</v>
      </c>
      <c r="B135">
        <f>FRED!B817</f>
        <v>58.052500000000002</v>
      </c>
      <c r="C135" s="3"/>
    </row>
    <row r="136" spans="1:3" x14ac:dyDescent="0.2">
      <c r="A136" s="5">
        <v>31472</v>
      </c>
      <c r="B136">
        <f>FRED!B818</f>
        <v>57.243299999999998</v>
      </c>
      <c r="C136" s="3"/>
    </row>
    <row r="137" spans="1:3" x14ac:dyDescent="0.2">
      <c r="A137" s="5">
        <v>31503</v>
      </c>
      <c r="B137">
        <f>FRED!B819</f>
        <v>57.045699999999997</v>
      </c>
      <c r="C137" s="3"/>
    </row>
    <row r="138" spans="1:3" x14ac:dyDescent="0.2">
      <c r="A138" s="5">
        <v>31533</v>
      </c>
      <c r="B138">
        <f>FRED!B820</f>
        <v>56.668399999999998</v>
      </c>
      <c r="C138" s="3"/>
    </row>
    <row r="139" spans="1:3" x14ac:dyDescent="0.2">
      <c r="A139" s="5">
        <v>31564</v>
      </c>
      <c r="B139">
        <f>FRED!B821</f>
        <v>57.844299999999997</v>
      </c>
      <c r="C139" s="3"/>
    </row>
    <row r="140" spans="1:3" x14ac:dyDescent="0.2">
      <c r="A140" s="5">
        <v>31594</v>
      </c>
      <c r="B140">
        <f>FRED!B822</f>
        <v>55.9375</v>
      </c>
      <c r="C140" s="3"/>
    </row>
    <row r="141" spans="1:3" x14ac:dyDescent="0.2">
      <c r="A141" s="5">
        <v>31625</v>
      </c>
      <c r="B141">
        <f>FRED!B823</f>
        <v>57.5002</v>
      </c>
      <c r="C141" s="3"/>
    </row>
    <row r="142" spans="1:3" x14ac:dyDescent="0.2">
      <c r="A142" s="5">
        <v>31656</v>
      </c>
      <c r="B142">
        <f>FRED!B824</f>
        <v>58.129899999999999</v>
      </c>
      <c r="C142" s="3"/>
    </row>
    <row r="143" spans="1:3" x14ac:dyDescent="0.2">
      <c r="A143" s="5">
        <v>31686</v>
      </c>
      <c r="B143">
        <f>FRED!B825</f>
        <v>57.961599999999997</v>
      </c>
      <c r="C143" s="3"/>
    </row>
    <row r="144" spans="1:3" x14ac:dyDescent="0.2">
      <c r="A144" s="5">
        <v>31717</v>
      </c>
      <c r="B144">
        <f>FRED!B826</f>
        <v>57.483600000000003</v>
      </c>
      <c r="C144" s="3"/>
    </row>
    <row r="145" spans="1:3" x14ac:dyDescent="0.2">
      <c r="A145" s="5">
        <v>31747</v>
      </c>
      <c r="B145">
        <f>FRED!B827</f>
        <v>57.675800000000002</v>
      </c>
      <c r="C145" s="3"/>
    </row>
    <row r="146" spans="1:3" x14ac:dyDescent="0.2">
      <c r="A146" s="5">
        <v>31778</v>
      </c>
      <c r="B146">
        <f>FRED!B828</f>
        <v>58.1586</v>
      </c>
      <c r="C146" s="3"/>
    </row>
    <row r="147" spans="1:3" x14ac:dyDescent="0.2">
      <c r="A147" s="5">
        <v>31809</v>
      </c>
      <c r="B147">
        <f>FRED!B829</f>
        <v>59.514000000000003</v>
      </c>
      <c r="C147" s="3"/>
    </row>
    <row r="148" spans="1:3" x14ac:dyDescent="0.2">
      <c r="A148" s="5">
        <v>31837</v>
      </c>
      <c r="B148">
        <f>FRED!B830</f>
        <v>59.518500000000003</v>
      </c>
      <c r="C148" s="3"/>
    </row>
    <row r="149" spans="1:3" x14ac:dyDescent="0.2">
      <c r="A149" s="5">
        <v>31868</v>
      </c>
      <c r="B149">
        <f>FRED!B831</f>
        <v>58.784799999999997</v>
      </c>
      <c r="C149" s="3"/>
    </row>
    <row r="150" spans="1:3" x14ac:dyDescent="0.2">
      <c r="A150" s="5">
        <v>31898</v>
      </c>
      <c r="B150">
        <f>FRED!B832</f>
        <v>59.301699999999997</v>
      </c>
      <c r="C150" s="3"/>
    </row>
    <row r="151" spans="1:3" x14ac:dyDescent="0.2">
      <c r="A151" s="5">
        <v>31929</v>
      </c>
      <c r="B151">
        <f>FRED!B833</f>
        <v>61.117199999999997</v>
      </c>
      <c r="C151" s="3"/>
    </row>
    <row r="152" spans="1:3" x14ac:dyDescent="0.2">
      <c r="A152" s="5">
        <v>31959</v>
      </c>
      <c r="B152">
        <f>FRED!B834</f>
        <v>59.162300000000002</v>
      </c>
      <c r="C152" s="3"/>
    </row>
    <row r="153" spans="1:3" x14ac:dyDescent="0.2">
      <c r="A153" s="5">
        <v>31990</v>
      </c>
      <c r="B153">
        <f>FRED!B835</f>
        <v>61.464500000000001</v>
      </c>
      <c r="C153" s="3"/>
    </row>
    <row r="154" spans="1:3" x14ac:dyDescent="0.2">
      <c r="A154" s="5">
        <v>32021</v>
      </c>
      <c r="B154">
        <f>FRED!B836</f>
        <v>61.8001</v>
      </c>
      <c r="C154" s="3"/>
    </row>
    <row r="155" spans="1:3" x14ac:dyDescent="0.2">
      <c r="A155" s="5">
        <v>32051</v>
      </c>
      <c r="B155">
        <f>FRED!B837</f>
        <v>62.5349</v>
      </c>
      <c r="C155" s="3"/>
    </row>
    <row r="156" spans="1:3" x14ac:dyDescent="0.2">
      <c r="A156" s="5">
        <v>32082</v>
      </c>
      <c r="B156">
        <f>FRED!B838</f>
        <v>62.050800000000002</v>
      </c>
      <c r="C156" s="3"/>
    </row>
    <row r="157" spans="1:3" x14ac:dyDescent="0.2">
      <c r="A157" s="5">
        <v>32112</v>
      </c>
      <c r="B157">
        <f>FRED!B839</f>
        <v>61.858199999999997</v>
      </c>
      <c r="C157" s="3"/>
    </row>
    <row r="158" spans="1:3" x14ac:dyDescent="0.2">
      <c r="A158" s="5">
        <v>32143</v>
      </c>
      <c r="B158">
        <f>FRED!B840</f>
        <v>62.565600000000003</v>
      </c>
      <c r="C158" s="3"/>
    </row>
    <row r="159" spans="1:3" x14ac:dyDescent="0.2">
      <c r="A159" s="5">
        <v>32174</v>
      </c>
      <c r="B159">
        <f>FRED!B841</f>
        <v>63.313400000000001</v>
      </c>
      <c r="C159" s="3"/>
    </row>
    <row r="160" spans="1:3" x14ac:dyDescent="0.2">
      <c r="A160" s="5">
        <v>32203</v>
      </c>
      <c r="B160">
        <f>FRED!B842</f>
        <v>63.372700000000002</v>
      </c>
      <c r="C160" s="3"/>
    </row>
    <row r="161" spans="1:3" x14ac:dyDescent="0.2">
      <c r="A161" s="5">
        <v>32234</v>
      </c>
      <c r="B161">
        <f>FRED!B843</f>
        <v>62.882800000000003</v>
      </c>
      <c r="C161" s="3"/>
    </row>
    <row r="162" spans="1:3" x14ac:dyDescent="0.2">
      <c r="A162" s="5">
        <v>32264</v>
      </c>
      <c r="B162">
        <f>FRED!B844</f>
        <v>62.851799999999997</v>
      </c>
      <c r="C162" s="3"/>
    </row>
    <row r="163" spans="1:3" x14ac:dyDescent="0.2">
      <c r="A163" s="5">
        <v>32295</v>
      </c>
      <c r="B163">
        <f>FRED!B845</f>
        <v>64.706999999999994</v>
      </c>
      <c r="C163" s="3"/>
    </row>
    <row r="164" spans="1:3" x14ac:dyDescent="0.2">
      <c r="A164" s="5">
        <v>32325</v>
      </c>
      <c r="B164">
        <f>FRED!B846</f>
        <v>62.297800000000002</v>
      </c>
      <c r="C164" s="3"/>
    </row>
    <row r="165" spans="1:3" x14ac:dyDescent="0.2">
      <c r="A165" s="5">
        <v>32356</v>
      </c>
      <c r="B165">
        <f>FRED!B847</f>
        <v>64.417100000000005</v>
      </c>
      <c r="C165" s="3"/>
    </row>
    <row r="166" spans="1:3" x14ac:dyDescent="0.2">
      <c r="A166" s="5">
        <v>32387</v>
      </c>
      <c r="B166">
        <f>FRED!B848</f>
        <v>64.678200000000004</v>
      </c>
      <c r="C166" s="3"/>
    </row>
    <row r="167" spans="1:3" x14ac:dyDescent="0.2">
      <c r="A167" s="5">
        <v>32417</v>
      </c>
      <c r="B167">
        <f>FRED!B849</f>
        <v>64.647199999999998</v>
      </c>
      <c r="C167" s="3"/>
    </row>
    <row r="168" spans="1:3" x14ac:dyDescent="0.2">
      <c r="A168" s="5">
        <v>32448</v>
      </c>
      <c r="B168">
        <f>FRED!B850</f>
        <v>63.814399999999999</v>
      </c>
      <c r="C168" s="3"/>
    </row>
    <row r="169" spans="1:3" x14ac:dyDescent="0.2">
      <c r="A169" s="5">
        <v>32478</v>
      </c>
      <c r="B169">
        <f>FRED!B851</f>
        <v>63.5364</v>
      </c>
      <c r="C169" s="3"/>
    </row>
    <row r="170" spans="1:3" x14ac:dyDescent="0.2">
      <c r="A170" s="5">
        <v>32509</v>
      </c>
      <c r="B170">
        <f>FRED!B852</f>
        <v>64.293400000000005</v>
      </c>
      <c r="C170" s="3"/>
    </row>
    <row r="171" spans="1:3" x14ac:dyDescent="0.2">
      <c r="A171" s="5">
        <v>32540</v>
      </c>
      <c r="B171">
        <f>FRED!B853</f>
        <v>64.540300000000002</v>
      </c>
      <c r="C171" s="3"/>
    </row>
    <row r="172" spans="1:3" x14ac:dyDescent="0.2">
      <c r="A172" s="5">
        <v>32568</v>
      </c>
      <c r="B172">
        <f>FRED!B854</f>
        <v>64.225999999999999</v>
      </c>
      <c r="C172" s="3"/>
    </row>
    <row r="173" spans="1:3" x14ac:dyDescent="0.2">
      <c r="A173" s="5">
        <v>32599</v>
      </c>
      <c r="B173">
        <f>FRED!B855</f>
        <v>64.342500000000001</v>
      </c>
      <c r="C173" s="3"/>
    </row>
    <row r="174" spans="1:3" x14ac:dyDescent="0.2">
      <c r="A174" s="5">
        <v>32629</v>
      </c>
      <c r="B174">
        <f>FRED!B856</f>
        <v>63.446399999999997</v>
      </c>
      <c r="C174" s="3"/>
    </row>
    <row r="175" spans="1:3" x14ac:dyDescent="0.2">
      <c r="A175" s="5">
        <v>32660</v>
      </c>
      <c r="B175">
        <f>FRED!B857</f>
        <v>65.186700000000002</v>
      </c>
      <c r="C175" s="3"/>
    </row>
    <row r="176" spans="1:3" x14ac:dyDescent="0.2">
      <c r="A176" s="5">
        <v>32690</v>
      </c>
      <c r="B176">
        <f>FRED!B858</f>
        <v>62.100999999999999</v>
      </c>
      <c r="C176" s="3"/>
    </row>
    <row r="177" spans="1:3" x14ac:dyDescent="0.2">
      <c r="A177" s="5">
        <v>32721</v>
      </c>
      <c r="B177">
        <f>FRED!B859</f>
        <v>64.7714</v>
      </c>
      <c r="C177" s="3"/>
    </row>
    <row r="178" spans="1:3" x14ac:dyDescent="0.2">
      <c r="A178" s="5">
        <v>32752</v>
      </c>
      <c r="B178">
        <f>FRED!B860</f>
        <v>64.865200000000002</v>
      </c>
      <c r="C178" s="3"/>
    </row>
    <row r="179" spans="1:3" x14ac:dyDescent="0.2">
      <c r="A179" s="5">
        <v>32782</v>
      </c>
      <c r="B179">
        <f>FRED!B861</f>
        <v>64.500100000000003</v>
      </c>
      <c r="C179" s="3"/>
    </row>
    <row r="180" spans="1:3" x14ac:dyDescent="0.2">
      <c r="A180" s="5">
        <v>32813</v>
      </c>
      <c r="B180">
        <f>FRED!B862</f>
        <v>63.796799999999998</v>
      </c>
      <c r="C180" s="3"/>
    </row>
    <row r="181" spans="1:3" x14ac:dyDescent="0.2">
      <c r="A181" s="5">
        <v>32843</v>
      </c>
      <c r="B181">
        <f>FRED!B863</f>
        <v>63.823</v>
      </c>
      <c r="C181" s="3"/>
    </row>
    <row r="182" spans="1:3" x14ac:dyDescent="0.2">
      <c r="A182" s="5">
        <v>32874</v>
      </c>
      <c r="B182">
        <f>FRED!B864</f>
        <v>63.792999999999999</v>
      </c>
      <c r="C182" s="3"/>
    </row>
    <row r="183" spans="1:3" x14ac:dyDescent="0.2">
      <c r="A183" s="5">
        <v>32905</v>
      </c>
      <c r="B183">
        <f>FRED!B865</f>
        <v>64.740399999999994</v>
      </c>
      <c r="C183" s="3"/>
    </row>
    <row r="184" spans="1:3" x14ac:dyDescent="0.2">
      <c r="A184" s="5">
        <v>32933</v>
      </c>
      <c r="B184">
        <f>FRED!B866</f>
        <v>65.078800000000001</v>
      </c>
      <c r="C184" s="3"/>
    </row>
    <row r="185" spans="1:3" x14ac:dyDescent="0.2">
      <c r="A185" s="5">
        <v>32964</v>
      </c>
      <c r="B185">
        <f>FRED!B867</f>
        <v>63.743400000000001</v>
      </c>
      <c r="C185" s="3"/>
    </row>
    <row r="186" spans="1:3" x14ac:dyDescent="0.2">
      <c r="A186" s="5">
        <v>32994</v>
      </c>
      <c r="B186">
        <f>FRED!B868</f>
        <v>64.403599999999997</v>
      </c>
      <c r="C186" s="3"/>
    </row>
    <row r="187" spans="1:3" x14ac:dyDescent="0.2">
      <c r="A187" s="5">
        <v>33025</v>
      </c>
      <c r="B187">
        <f>FRED!B869</f>
        <v>66.392499999999998</v>
      </c>
      <c r="C187" s="3"/>
    </row>
    <row r="188" spans="1:3" x14ac:dyDescent="0.2">
      <c r="A188" s="5">
        <v>33055</v>
      </c>
      <c r="B188">
        <f>FRED!B870</f>
        <v>63.935000000000002</v>
      </c>
      <c r="C188" s="3"/>
    </row>
    <row r="189" spans="1:3" x14ac:dyDescent="0.2">
      <c r="A189" s="5">
        <v>33086</v>
      </c>
      <c r="B189">
        <f>FRED!B871</f>
        <v>66.143699999999995</v>
      </c>
      <c r="C189" s="3"/>
    </row>
    <row r="190" spans="1:3" x14ac:dyDescent="0.2">
      <c r="A190" s="5">
        <v>33117</v>
      </c>
      <c r="B190">
        <f>FRED!B872</f>
        <v>66.628399999999999</v>
      </c>
      <c r="C190" s="3"/>
    </row>
    <row r="191" spans="1:3" x14ac:dyDescent="0.2">
      <c r="A191" s="5">
        <v>33147</v>
      </c>
      <c r="B191">
        <f>FRED!B873</f>
        <v>65.686599999999999</v>
      </c>
      <c r="C191" s="3"/>
    </row>
    <row r="192" spans="1:3" x14ac:dyDescent="0.2">
      <c r="A192" s="5">
        <v>33178</v>
      </c>
      <c r="B192">
        <f>FRED!B874</f>
        <v>63.977600000000002</v>
      </c>
      <c r="C192" s="3"/>
    </row>
    <row r="193" spans="1:3" x14ac:dyDescent="0.2">
      <c r="A193" s="5">
        <v>33208</v>
      </c>
      <c r="B193">
        <f>FRED!B875</f>
        <v>63.084699999999998</v>
      </c>
      <c r="C193" s="3"/>
    </row>
    <row r="194" spans="1:3" x14ac:dyDescent="0.2">
      <c r="A194" s="5">
        <v>33239</v>
      </c>
      <c r="B194">
        <f>FRED!B876</f>
        <v>63.376300000000001</v>
      </c>
      <c r="C194" s="3"/>
    </row>
    <row r="195" spans="1:3" x14ac:dyDescent="0.2">
      <c r="A195" s="5">
        <v>33270</v>
      </c>
      <c r="B195">
        <f>FRED!B877</f>
        <v>63.129399999999997</v>
      </c>
      <c r="C195" s="3"/>
    </row>
    <row r="196" spans="1:3" x14ac:dyDescent="0.2">
      <c r="A196" s="5">
        <v>33298</v>
      </c>
      <c r="B196">
        <f>FRED!B878</f>
        <v>62.412799999999997</v>
      </c>
      <c r="C196" s="3"/>
    </row>
    <row r="197" spans="1:3" x14ac:dyDescent="0.2">
      <c r="A197" s="5">
        <v>33329</v>
      </c>
      <c r="B197">
        <f>FRED!B879</f>
        <v>62.413800000000002</v>
      </c>
      <c r="C197" s="3"/>
    </row>
    <row r="198" spans="1:3" x14ac:dyDescent="0.2">
      <c r="A198" s="5">
        <v>33359</v>
      </c>
      <c r="B198">
        <f>FRED!B880</f>
        <v>62.825499999999998</v>
      </c>
      <c r="C198" s="3"/>
    </row>
    <row r="199" spans="1:3" x14ac:dyDescent="0.2">
      <c r="A199" s="5">
        <v>33390</v>
      </c>
      <c r="B199">
        <f>FRED!B881</f>
        <v>65.195499999999996</v>
      </c>
      <c r="C199" s="3"/>
    </row>
    <row r="200" spans="1:3" x14ac:dyDescent="0.2">
      <c r="A200" s="5">
        <v>33420</v>
      </c>
      <c r="B200">
        <f>FRED!B882</f>
        <v>62.862200000000001</v>
      </c>
      <c r="C200" s="3"/>
    </row>
    <row r="201" spans="1:3" x14ac:dyDescent="0.2">
      <c r="A201" s="5">
        <v>33451</v>
      </c>
      <c r="B201">
        <f>FRED!B883</f>
        <v>65.123500000000007</v>
      </c>
      <c r="C201" s="3"/>
    </row>
    <row r="202" spans="1:3" x14ac:dyDescent="0.2">
      <c r="A202" s="5">
        <v>33482</v>
      </c>
      <c r="B202">
        <f>FRED!B884</f>
        <v>65.803399999999996</v>
      </c>
      <c r="C202" s="3"/>
    </row>
    <row r="203" spans="1:3" x14ac:dyDescent="0.2">
      <c r="A203" s="5">
        <v>33512</v>
      </c>
      <c r="B203">
        <f>FRED!B885</f>
        <v>65.3125</v>
      </c>
      <c r="C203" s="3"/>
    </row>
    <row r="204" spans="1:3" x14ac:dyDescent="0.2">
      <c r="A204" s="5">
        <v>33543</v>
      </c>
      <c r="B204">
        <f>FRED!B886</f>
        <v>64.176500000000004</v>
      </c>
      <c r="C204" s="3"/>
    </row>
    <row r="205" spans="1:3" x14ac:dyDescent="0.2">
      <c r="A205" s="5">
        <v>33573</v>
      </c>
      <c r="B205">
        <f>FRED!B887</f>
        <v>63.324800000000003</v>
      </c>
      <c r="C205" s="3"/>
    </row>
    <row r="206" spans="1:3" x14ac:dyDescent="0.2">
      <c r="A206" s="5">
        <v>33604</v>
      </c>
      <c r="B206">
        <f>FRED!B888</f>
        <v>63.555199999999999</v>
      </c>
      <c r="C206" s="3"/>
    </row>
    <row r="207" spans="1:3" x14ac:dyDescent="0.2">
      <c r="A207" s="5">
        <v>33635</v>
      </c>
      <c r="B207">
        <f>FRED!B889</f>
        <v>64.444900000000004</v>
      </c>
      <c r="C207" s="3"/>
    </row>
    <row r="208" spans="1:3" x14ac:dyDescent="0.2">
      <c r="A208" s="5">
        <v>33664</v>
      </c>
      <c r="B208">
        <f>FRED!B890</f>
        <v>65.131299999999996</v>
      </c>
      <c r="C208" s="3"/>
    </row>
    <row r="209" spans="1:3" x14ac:dyDescent="0.2">
      <c r="A209" s="5">
        <v>33695</v>
      </c>
      <c r="B209">
        <f>FRED!B891</f>
        <v>64.429500000000004</v>
      </c>
      <c r="C209" s="3"/>
    </row>
    <row r="210" spans="1:3" x14ac:dyDescent="0.2">
      <c r="A210" s="5">
        <v>33725</v>
      </c>
      <c r="B210">
        <f>FRED!B892</f>
        <v>64.941800000000001</v>
      </c>
      <c r="C210" s="3"/>
    </row>
    <row r="211" spans="1:3" x14ac:dyDescent="0.2">
      <c r="A211" s="5">
        <v>33756</v>
      </c>
      <c r="B211">
        <f>FRED!B893</f>
        <v>66.739900000000006</v>
      </c>
      <c r="C211" s="3"/>
    </row>
    <row r="212" spans="1:3" x14ac:dyDescent="0.2">
      <c r="A212" s="5">
        <v>33786</v>
      </c>
      <c r="B212">
        <f>FRED!B894</f>
        <v>64.691699999999997</v>
      </c>
      <c r="C212" s="3"/>
    </row>
    <row r="213" spans="1:3" x14ac:dyDescent="0.2">
      <c r="A213" s="5">
        <v>33817</v>
      </c>
      <c r="B213">
        <f>FRED!B895</f>
        <v>66.764799999999994</v>
      </c>
      <c r="C213" s="3"/>
    </row>
    <row r="214" spans="1:3" x14ac:dyDescent="0.2">
      <c r="A214" s="5">
        <v>33848</v>
      </c>
      <c r="B214">
        <f>FRED!B896</f>
        <v>66.951400000000007</v>
      </c>
      <c r="C214" s="3"/>
    </row>
    <row r="215" spans="1:3" x14ac:dyDescent="0.2">
      <c r="A215" s="5">
        <v>33878</v>
      </c>
      <c r="B215">
        <f>FRED!B897</f>
        <v>67.2483</v>
      </c>
      <c r="C215" s="3"/>
    </row>
    <row r="216" spans="1:3" x14ac:dyDescent="0.2">
      <c r="A216" s="5">
        <v>33909</v>
      </c>
      <c r="B216">
        <f>FRED!B898</f>
        <v>66.735500000000002</v>
      </c>
      <c r="C216" s="3"/>
    </row>
    <row r="217" spans="1:3" x14ac:dyDescent="0.2">
      <c r="A217" s="5">
        <v>33939</v>
      </c>
      <c r="B217">
        <f>FRED!B899</f>
        <v>66.328900000000004</v>
      </c>
      <c r="C217" s="3"/>
    </row>
    <row r="218" spans="1:3" x14ac:dyDescent="0.2">
      <c r="A218" s="5">
        <v>33970</v>
      </c>
      <c r="B218">
        <f>FRED!B900</f>
        <v>66.668099999999995</v>
      </c>
      <c r="C218" s="3"/>
    </row>
    <row r="219" spans="1:3" x14ac:dyDescent="0.2">
      <c r="A219" s="5">
        <v>34001</v>
      </c>
      <c r="B219">
        <f>FRED!B901</f>
        <v>67.633399999999995</v>
      </c>
      <c r="C219" s="3"/>
    </row>
    <row r="220" spans="1:3" x14ac:dyDescent="0.2">
      <c r="A220" s="5">
        <v>34029</v>
      </c>
      <c r="B220">
        <f>FRED!B902</f>
        <v>67.6601</v>
      </c>
      <c r="C220" s="3"/>
    </row>
    <row r="221" spans="1:3" x14ac:dyDescent="0.2">
      <c r="A221" s="5">
        <v>34060</v>
      </c>
      <c r="B221">
        <f>FRED!B903</f>
        <v>66.626499999999993</v>
      </c>
      <c r="C221" s="3"/>
    </row>
    <row r="222" spans="1:3" x14ac:dyDescent="0.2">
      <c r="A222" s="5">
        <v>34090</v>
      </c>
      <c r="B222">
        <f>FRED!B904</f>
        <v>66.659000000000006</v>
      </c>
      <c r="C222" s="3"/>
    </row>
    <row r="223" spans="1:3" x14ac:dyDescent="0.2">
      <c r="A223" s="5">
        <v>34121</v>
      </c>
      <c r="B223">
        <f>FRED!B905</f>
        <v>68.622100000000003</v>
      </c>
      <c r="C223" s="3"/>
    </row>
    <row r="224" spans="1:3" x14ac:dyDescent="0.2">
      <c r="A224" s="5">
        <v>34151</v>
      </c>
      <c r="B224">
        <f>FRED!B906</f>
        <v>66.290599999999998</v>
      </c>
      <c r="C224" s="3"/>
    </row>
    <row r="225" spans="1:3" x14ac:dyDescent="0.2">
      <c r="A225" s="5">
        <v>34182</v>
      </c>
      <c r="B225">
        <f>FRED!B907</f>
        <v>68.603399999999993</v>
      </c>
      <c r="C225" s="3"/>
    </row>
    <row r="226" spans="1:3" x14ac:dyDescent="0.2">
      <c r="A226" s="5">
        <v>34213</v>
      </c>
      <c r="B226">
        <f>FRED!B908</f>
        <v>68.933599999999998</v>
      </c>
      <c r="C226" s="3"/>
    </row>
    <row r="227" spans="1:3" x14ac:dyDescent="0.2">
      <c r="A227" s="5">
        <v>34243</v>
      </c>
      <c r="B227">
        <f>FRED!B909</f>
        <v>69.089299999999994</v>
      </c>
      <c r="C227" s="3"/>
    </row>
    <row r="228" spans="1:3" x14ac:dyDescent="0.2">
      <c r="A228" s="5">
        <v>34274</v>
      </c>
      <c r="B228">
        <f>FRED!B910</f>
        <v>68.610299999999995</v>
      </c>
      <c r="C228" s="3"/>
    </row>
    <row r="229" spans="1:3" x14ac:dyDescent="0.2">
      <c r="A229" s="5">
        <v>34304</v>
      </c>
      <c r="B229">
        <f>FRED!B911</f>
        <v>68.372500000000002</v>
      </c>
      <c r="C229" s="3"/>
    </row>
    <row r="230" spans="1:3" x14ac:dyDescent="0.2">
      <c r="A230" s="5">
        <v>34335</v>
      </c>
      <c r="B230">
        <f>FRED!B912</f>
        <v>68.945300000000003</v>
      </c>
      <c r="C230" s="3"/>
    </row>
    <row r="231" spans="1:3" x14ac:dyDescent="0.2">
      <c r="A231" s="5">
        <v>34366</v>
      </c>
      <c r="B231">
        <f>FRED!B913</f>
        <v>69.530199999999994</v>
      </c>
      <c r="C231" s="3"/>
    </row>
    <row r="232" spans="1:3" x14ac:dyDescent="0.2">
      <c r="A232" s="5">
        <v>34394</v>
      </c>
      <c r="B232">
        <f>FRED!B914</f>
        <v>70.371899999999997</v>
      </c>
      <c r="C232" s="3"/>
    </row>
    <row r="233" spans="1:3" x14ac:dyDescent="0.2">
      <c r="A233" s="5">
        <v>34425</v>
      </c>
      <c r="B233">
        <f>FRED!B915</f>
        <v>69.565100000000001</v>
      </c>
      <c r="C233" s="3"/>
    </row>
    <row r="234" spans="1:3" x14ac:dyDescent="0.2">
      <c r="A234" s="5">
        <v>34455</v>
      </c>
      <c r="B234">
        <f>FRED!B916</f>
        <v>70.033199999999994</v>
      </c>
      <c r="C234" s="3"/>
    </row>
    <row r="235" spans="1:3" x14ac:dyDescent="0.2">
      <c r="A235" s="5">
        <v>34486</v>
      </c>
      <c r="B235">
        <f>FRED!B917</f>
        <v>72.504900000000006</v>
      </c>
      <c r="C235" s="3"/>
    </row>
    <row r="236" spans="1:3" x14ac:dyDescent="0.2">
      <c r="A236" s="5">
        <v>34516</v>
      </c>
      <c r="B236">
        <f>FRED!B918</f>
        <v>69.581999999999994</v>
      </c>
      <c r="C236" s="3"/>
    </row>
    <row r="237" spans="1:3" x14ac:dyDescent="0.2">
      <c r="A237" s="5">
        <v>34547</v>
      </c>
      <c r="B237">
        <f>FRED!B919</f>
        <v>72.782700000000006</v>
      </c>
      <c r="C237" s="3"/>
    </row>
    <row r="238" spans="1:3" x14ac:dyDescent="0.2">
      <c r="A238" s="5">
        <v>34578</v>
      </c>
      <c r="B238">
        <f>FRED!B920</f>
        <v>73.375200000000007</v>
      </c>
      <c r="C238" s="3"/>
    </row>
    <row r="239" spans="1:3" x14ac:dyDescent="0.2">
      <c r="A239" s="5">
        <v>34608</v>
      </c>
      <c r="B239">
        <f>FRED!B921</f>
        <v>73.3977</v>
      </c>
      <c r="C239" s="3"/>
    </row>
    <row r="240" spans="1:3" x14ac:dyDescent="0.2">
      <c r="A240" s="5">
        <v>34639</v>
      </c>
      <c r="B240">
        <f>FRED!B922</f>
        <v>73.036900000000003</v>
      </c>
      <c r="C240" s="3"/>
    </row>
    <row r="241" spans="1:3" x14ac:dyDescent="0.2">
      <c r="A241" s="5">
        <v>34669</v>
      </c>
      <c r="B241">
        <f>FRED!B923</f>
        <v>73.175600000000003</v>
      </c>
      <c r="C241" s="3"/>
    </row>
    <row r="242" spans="1:3" x14ac:dyDescent="0.2">
      <c r="A242" s="5">
        <v>34700</v>
      </c>
      <c r="B242">
        <f>FRED!B924</f>
        <v>73.3322</v>
      </c>
      <c r="C242" s="3"/>
    </row>
    <row r="243" spans="1:3" x14ac:dyDescent="0.2">
      <c r="A243" s="5">
        <v>34731</v>
      </c>
      <c r="B243">
        <f>FRED!B925</f>
        <v>74.106700000000004</v>
      </c>
      <c r="C243" s="3"/>
    </row>
    <row r="244" spans="1:3" x14ac:dyDescent="0.2">
      <c r="A244" s="5">
        <v>34759</v>
      </c>
      <c r="B244">
        <f>FRED!B926</f>
        <v>74.580500000000001</v>
      </c>
      <c r="C244" s="3"/>
    </row>
    <row r="245" spans="1:3" x14ac:dyDescent="0.2">
      <c r="A245" s="5">
        <v>34790</v>
      </c>
      <c r="B245">
        <f>FRED!B927</f>
        <v>72.598799999999997</v>
      </c>
      <c r="C245" s="3"/>
    </row>
    <row r="246" spans="1:3" x14ac:dyDescent="0.2">
      <c r="A246" s="5">
        <v>34820</v>
      </c>
      <c r="B246">
        <f>FRED!B928</f>
        <v>73.269099999999995</v>
      </c>
      <c r="C246" s="3"/>
    </row>
    <row r="247" spans="1:3" x14ac:dyDescent="0.2">
      <c r="A247" s="5">
        <v>34851</v>
      </c>
      <c r="B247">
        <f>FRED!B929</f>
        <v>75.869399999999999</v>
      </c>
      <c r="C247" s="3"/>
    </row>
    <row r="248" spans="1:3" x14ac:dyDescent="0.2">
      <c r="A248" s="5">
        <v>34881</v>
      </c>
      <c r="B248">
        <f>FRED!B930</f>
        <v>72.534999999999997</v>
      </c>
      <c r="C248" s="3"/>
    </row>
    <row r="249" spans="1:3" x14ac:dyDescent="0.2">
      <c r="A249" s="5">
        <v>34912</v>
      </c>
      <c r="B249">
        <f>FRED!B931</f>
        <v>76.267399999999995</v>
      </c>
      <c r="C249" s="3"/>
    </row>
    <row r="250" spans="1:3" x14ac:dyDescent="0.2">
      <c r="A250" s="5">
        <v>34943</v>
      </c>
      <c r="B250">
        <f>FRED!B932</f>
        <v>76.952299999999994</v>
      </c>
      <c r="C250" s="3"/>
    </row>
    <row r="251" spans="1:3" x14ac:dyDescent="0.2">
      <c r="A251" s="5">
        <v>34973</v>
      </c>
      <c r="B251">
        <f>FRED!B933</f>
        <v>75.983000000000004</v>
      </c>
      <c r="C251" s="3"/>
    </row>
    <row r="252" spans="1:3" x14ac:dyDescent="0.2">
      <c r="A252" s="5">
        <v>35004</v>
      </c>
      <c r="B252">
        <f>FRED!B934</f>
        <v>75.396199999999993</v>
      </c>
      <c r="C252" s="3"/>
    </row>
    <row r="253" spans="1:3" x14ac:dyDescent="0.2">
      <c r="A253" s="5">
        <v>35034</v>
      </c>
      <c r="B253">
        <f>FRED!B935</f>
        <v>75.235799999999998</v>
      </c>
      <c r="C253" s="3"/>
    </row>
    <row r="254" spans="1:3" x14ac:dyDescent="0.2">
      <c r="A254" s="5">
        <v>35065</v>
      </c>
      <c r="B254">
        <f>FRED!B936</f>
        <v>74.680300000000003</v>
      </c>
      <c r="C254" s="3"/>
    </row>
    <row r="255" spans="1:3" x14ac:dyDescent="0.2">
      <c r="A255" s="5">
        <v>35096</v>
      </c>
      <c r="B255">
        <f>FRED!B937</f>
        <v>76.506399999999999</v>
      </c>
      <c r="C255" s="3"/>
    </row>
    <row r="256" spans="1:3" x14ac:dyDescent="0.2">
      <c r="A256" s="5">
        <v>35125</v>
      </c>
      <c r="B256">
        <f>FRED!B938</f>
        <v>76.899799999999999</v>
      </c>
      <c r="C256" s="3"/>
    </row>
    <row r="257" spans="1:3" x14ac:dyDescent="0.2">
      <c r="A257" s="5">
        <v>35156</v>
      </c>
      <c r="B257">
        <f>FRED!B939</f>
        <v>75.8964</v>
      </c>
      <c r="C257" s="3"/>
    </row>
    <row r="258" spans="1:3" x14ac:dyDescent="0.2">
      <c r="A258" s="5">
        <v>35186</v>
      </c>
      <c r="B258">
        <f>FRED!B940</f>
        <v>76.554000000000002</v>
      </c>
      <c r="C258" s="3"/>
    </row>
    <row r="259" spans="1:3" x14ac:dyDescent="0.2">
      <c r="A259" s="5">
        <v>35217</v>
      </c>
      <c r="B259">
        <f>FRED!B941</f>
        <v>79.692099999999996</v>
      </c>
      <c r="C259" s="3"/>
    </row>
    <row r="260" spans="1:3" x14ac:dyDescent="0.2">
      <c r="A260" s="5">
        <v>35247</v>
      </c>
      <c r="B260">
        <f>FRED!B942</f>
        <v>76.225800000000007</v>
      </c>
      <c r="C260" s="3"/>
    </row>
    <row r="261" spans="1:3" x14ac:dyDescent="0.2">
      <c r="A261" s="5">
        <v>35278</v>
      </c>
      <c r="B261">
        <f>FRED!B943</f>
        <v>79.870199999999997</v>
      </c>
      <c r="C261" s="3"/>
    </row>
    <row r="262" spans="1:3" x14ac:dyDescent="0.2">
      <c r="A262" s="5">
        <v>35309</v>
      </c>
      <c r="B262">
        <f>FRED!B944</f>
        <v>80.947500000000005</v>
      </c>
      <c r="C262" s="3"/>
    </row>
    <row r="263" spans="1:3" x14ac:dyDescent="0.2">
      <c r="A263" s="5">
        <v>35339</v>
      </c>
      <c r="B263">
        <f>FRED!B945</f>
        <v>79.9619</v>
      </c>
      <c r="C263" s="3"/>
    </row>
    <row r="264" spans="1:3" x14ac:dyDescent="0.2">
      <c r="A264" s="5">
        <v>35370</v>
      </c>
      <c r="B264">
        <f>FRED!B946</f>
        <v>79.871700000000004</v>
      </c>
      <c r="C264" s="3"/>
    </row>
    <row r="265" spans="1:3" x14ac:dyDescent="0.2">
      <c r="A265" s="5">
        <v>35400</v>
      </c>
      <c r="B265">
        <f>FRED!B947</f>
        <v>79.697199999999995</v>
      </c>
      <c r="C265" s="3"/>
    </row>
    <row r="266" spans="1:3" x14ac:dyDescent="0.2">
      <c r="A266" s="5">
        <v>35431</v>
      </c>
      <c r="B266">
        <f>FRED!B948</f>
        <v>79.762299999999996</v>
      </c>
      <c r="C266" s="3"/>
    </row>
    <row r="267" spans="1:3" x14ac:dyDescent="0.2">
      <c r="A267" s="5">
        <v>35462</v>
      </c>
      <c r="B267">
        <f>FRED!B949</f>
        <v>81.440700000000007</v>
      </c>
      <c r="C267" s="3"/>
    </row>
    <row r="268" spans="1:3" x14ac:dyDescent="0.2">
      <c r="A268" s="5">
        <v>35490</v>
      </c>
      <c r="B268">
        <f>FRED!B950</f>
        <v>82.321100000000001</v>
      </c>
      <c r="C268" s="3"/>
    </row>
    <row r="269" spans="1:3" x14ac:dyDescent="0.2">
      <c r="A269" s="5">
        <v>35521</v>
      </c>
      <c r="B269">
        <f>FRED!B951</f>
        <v>81.412300000000002</v>
      </c>
      <c r="C269" s="3"/>
    </row>
    <row r="270" spans="1:3" x14ac:dyDescent="0.2">
      <c r="A270" s="5">
        <v>35551</v>
      </c>
      <c r="B270">
        <f>FRED!B952</f>
        <v>81.5137</v>
      </c>
      <c r="C270" s="3"/>
    </row>
    <row r="271" spans="1:3" x14ac:dyDescent="0.2">
      <c r="A271" s="5">
        <v>35582</v>
      </c>
      <c r="B271">
        <f>FRED!B953</f>
        <v>84.075999999999993</v>
      </c>
      <c r="C271" s="3"/>
    </row>
    <row r="272" spans="1:3" x14ac:dyDescent="0.2">
      <c r="A272" s="5">
        <v>35612</v>
      </c>
      <c r="B272">
        <f>FRED!B954</f>
        <v>80.716300000000004</v>
      </c>
      <c r="C272" s="3"/>
    </row>
    <row r="273" spans="1:3" x14ac:dyDescent="0.2">
      <c r="A273" s="5">
        <v>35643</v>
      </c>
      <c r="B273">
        <f>FRED!B955</f>
        <v>85.2607</v>
      </c>
      <c r="C273" s="3"/>
    </row>
    <row r="274" spans="1:3" x14ac:dyDescent="0.2">
      <c r="A274" s="5">
        <v>35674</v>
      </c>
      <c r="B274">
        <f>FRED!B956</f>
        <v>86.751499999999993</v>
      </c>
      <c r="C274" s="3"/>
    </row>
    <row r="275" spans="1:3" x14ac:dyDescent="0.2">
      <c r="A275" s="5">
        <v>35704</v>
      </c>
      <c r="B275">
        <f>FRED!B957</f>
        <v>86.739800000000002</v>
      </c>
      <c r="C275" s="3"/>
    </row>
    <row r="276" spans="1:3" x14ac:dyDescent="0.2">
      <c r="A276" s="5">
        <v>35735</v>
      </c>
      <c r="B276">
        <f>FRED!B958</f>
        <v>87.084100000000007</v>
      </c>
      <c r="C276" s="3"/>
    </row>
    <row r="277" spans="1:3" x14ac:dyDescent="0.2">
      <c r="A277" s="5">
        <v>35765</v>
      </c>
      <c r="B277">
        <f>FRED!B959</f>
        <v>86.895099999999999</v>
      </c>
      <c r="C277" s="3"/>
    </row>
    <row r="278" spans="1:3" x14ac:dyDescent="0.2">
      <c r="A278" s="5">
        <v>35796</v>
      </c>
      <c r="B278">
        <f>FRED!B960</f>
        <v>86.482100000000003</v>
      </c>
      <c r="C278" s="3"/>
    </row>
    <row r="279" spans="1:3" x14ac:dyDescent="0.2">
      <c r="A279" s="5">
        <v>35827</v>
      </c>
      <c r="B279">
        <f>FRED!B961</f>
        <v>87.638099999999994</v>
      </c>
      <c r="C279" s="3"/>
    </row>
    <row r="280" spans="1:3" x14ac:dyDescent="0.2">
      <c r="A280" s="5">
        <v>35855</v>
      </c>
      <c r="B280">
        <f>FRED!B962</f>
        <v>88.436499999999995</v>
      </c>
      <c r="C280" s="3"/>
    </row>
    <row r="281" spans="1:3" x14ac:dyDescent="0.2">
      <c r="A281" s="5">
        <v>35886</v>
      </c>
      <c r="B281">
        <f>FRED!B963</f>
        <v>86.300799999999995</v>
      </c>
      <c r="C281" s="3"/>
    </row>
    <row r="282" spans="1:3" x14ac:dyDescent="0.2">
      <c r="A282" s="5">
        <v>35916</v>
      </c>
      <c r="B282">
        <f>FRED!B964</f>
        <v>87.599400000000003</v>
      </c>
      <c r="C282" s="3"/>
    </row>
    <row r="283" spans="1:3" x14ac:dyDescent="0.2">
      <c r="A283" s="5">
        <v>35947</v>
      </c>
      <c r="B283">
        <f>FRED!B965</f>
        <v>89.001900000000006</v>
      </c>
      <c r="C283" s="3"/>
    </row>
    <row r="284" spans="1:3" x14ac:dyDescent="0.2">
      <c r="A284" s="5">
        <v>35977</v>
      </c>
      <c r="B284">
        <f>FRED!B966</f>
        <v>85.706100000000006</v>
      </c>
      <c r="C284" s="3"/>
    </row>
    <row r="285" spans="1:3" x14ac:dyDescent="0.2">
      <c r="A285" s="5">
        <v>36008</v>
      </c>
      <c r="B285">
        <f>FRED!B967</f>
        <v>90.473399999999998</v>
      </c>
      <c r="C285" s="3"/>
    </row>
    <row r="286" spans="1:3" x14ac:dyDescent="0.2">
      <c r="A286" s="5">
        <v>36039</v>
      </c>
      <c r="B286">
        <f>FRED!B968</f>
        <v>90.215100000000007</v>
      </c>
      <c r="C286" s="3"/>
    </row>
    <row r="287" spans="1:3" x14ac:dyDescent="0.2">
      <c r="A287" s="5">
        <v>36069</v>
      </c>
      <c r="B287">
        <f>FRED!B969</f>
        <v>90.847499999999997</v>
      </c>
      <c r="C287" s="3"/>
    </row>
    <row r="288" spans="1:3" x14ac:dyDescent="0.2">
      <c r="A288" s="5">
        <v>36100</v>
      </c>
      <c r="B288">
        <f>FRED!B970</f>
        <v>89.981499999999997</v>
      </c>
      <c r="C288" s="3"/>
    </row>
    <row r="289" spans="1:3" x14ac:dyDescent="0.2">
      <c r="A289" s="5">
        <v>36130</v>
      </c>
      <c r="B289">
        <f>FRED!B971</f>
        <v>89.849400000000003</v>
      </c>
      <c r="C289" s="3"/>
    </row>
    <row r="290" spans="1:3" x14ac:dyDescent="0.2">
      <c r="A290" s="5">
        <v>36161</v>
      </c>
      <c r="B290">
        <f>FRED!B972</f>
        <v>89.878799999999998</v>
      </c>
      <c r="C290" s="3"/>
    </row>
    <row r="291" spans="1:3" x14ac:dyDescent="0.2">
      <c r="A291" s="5">
        <v>36192</v>
      </c>
      <c r="B291">
        <f>FRED!B973</f>
        <v>90.911100000000005</v>
      </c>
      <c r="C291" s="3"/>
    </row>
    <row r="292" spans="1:3" x14ac:dyDescent="0.2">
      <c r="A292" s="5">
        <v>36220</v>
      </c>
      <c r="B292">
        <f>FRED!B974</f>
        <v>92.314999999999998</v>
      </c>
      <c r="C292" s="3"/>
    </row>
    <row r="293" spans="1:3" x14ac:dyDescent="0.2">
      <c r="A293" s="5">
        <v>36251</v>
      </c>
      <c r="B293">
        <f>FRED!B975</f>
        <v>90.366399999999999</v>
      </c>
      <c r="C293" s="3"/>
    </row>
    <row r="294" spans="1:3" x14ac:dyDescent="0.2">
      <c r="A294" s="5">
        <v>36281</v>
      </c>
      <c r="B294">
        <f>FRED!B976</f>
        <v>91.286799999999999</v>
      </c>
      <c r="C294" s="3"/>
    </row>
    <row r="295" spans="1:3" x14ac:dyDescent="0.2">
      <c r="A295" s="5">
        <v>36312</v>
      </c>
      <c r="B295">
        <f>FRED!B977</f>
        <v>93.722399999999993</v>
      </c>
      <c r="C295" s="3"/>
    </row>
    <row r="296" spans="1:3" x14ac:dyDescent="0.2">
      <c r="A296" s="5">
        <v>36342</v>
      </c>
      <c r="B296">
        <f>FRED!B978</f>
        <v>89.908500000000004</v>
      </c>
      <c r="C296" s="3"/>
    </row>
    <row r="297" spans="1:3" x14ac:dyDescent="0.2">
      <c r="A297" s="5">
        <v>36373</v>
      </c>
      <c r="B297">
        <f>FRED!B979</f>
        <v>94.292599999999993</v>
      </c>
      <c r="C297" s="3"/>
    </row>
    <row r="298" spans="1:3" x14ac:dyDescent="0.2">
      <c r="A298" s="5">
        <v>36404</v>
      </c>
      <c r="B298">
        <f>FRED!B980</f>
        <v>93.817300000000003</v>
      </c>
      <c r="C298" s="3"/>
    </row>
    <row r="299" spans="1:3" x14ac:dyDescent="0.2">
      <c r="A299" s="5">
        <v>36434</v>
      </c>
      <c r="B299">
        <f>FRED!B981</f>
        <v>94.794700000000006</v>
      </c>
      <c r="C299" s="3"/>
    </row>
    <row r="300" spans="1:3" x14ac:dyDescent="0.2">
      <c r="A300" s="5">
        <v>36465</v>
      </c>
      <c r="B300">
        <f>FRED!B982</f>
        <v>94.173900000000003</v>
      </c>
      <c r="C300" s="3"/>
    </row>
    <row r="301" spans="1:3" x14ac:dyDescent="0.2">
      <c r="A301" s="5">
        <v>36495</v>
      </c>
      <c r="B301">
        <f>FRED!B983</f>
        <v>94.250900000000001</v>
      </c>
      <c r="C301" s="3"/>
    </row>
    <row r="302" spans="1:3" x14ac:dyDescent="0.2">
      <c r="A302" s="5">
        <v>36526</v>
      </c>
      <c r="B302">
        <f>FRED!B984</f>
        <v>93.992199999999997</v>
      </c>
      <c r="C302" s="3"/>
    </row>
    <row r="303" spans="1:3" x14ac:dyDescent="0.2">
      <c r="A303" s="5">
        <v>36557</v>
      </c>
      <c r="B303">
        <f>FRED!B985</f>
        <v>94.7928</v>
      </c>
      <c r="C303" s="3"/>
    </row>
    <row r="304" spans="1:3" x14ac:dyDescent="0.2">
      <c r="A304" s="5">
        <v>36586</v>
      </c>
      <c r="B304">
        <f>FRED!B986</f>
        <v>96.501300000000001</v>
      </c>
      <c r="C304" s="3"/>
    </row>
    <row r="305" spans="1:3" x14ac:dyDescent="0.2">
      <c r="A305" s="5">
        <v>36617</v>
      </c>
      <c r="B305">
        <f>FRED!B987</f>
        <v>95.156499999999994</v>
      </c>
      <c r="C305" s="3"/>
    </row>
    <row r="306" spans="1:3" x14ac:dyDescent="0.2">
      <c r="A306" s="5">
        <v>36647</v>
      </c>
      <c r="B306">
        <f>FRED!B988</f>
        <v>95.5304</v>
      </c>
      <c r="C306" s="3"/>
    </row>
    <row r="307" spans="1:3" x14ac:dyDescent="0.2">
      <c r="A307" s="5">
        <v>36678</v>
      </c>
      <c r="B307">
        <f>FRED!B989</f>
        <v>98.6524</v>
      </c>
      <c r="C307" s="3"/>
    </row>
    <row r="308" spans="1:3" x14ac:dyDescent="0.2">
      <c r="A308" s="5">
        <v>36708</v>
      </c>
      <c r="B308">
        <f>FRED!B990</f>
        <v>93.926900000000003</v>
      </c>
      <c r="C308" s="3"/>
    </row>
    <row r="309" spans="1:3" x14ac:dyDescent="0.2">
      <c r="A309" s="5">
        <v>36739</v>
      </c>
      <c r="B309">
        <f>FRED!B991</f>
        <v>97.557100000000005</v>
      </c>
      <c r="C309" s="3"/>
    </row>
    <row r="310" spans="1:3" x14ac:dyDescent="0.2">
      <c r="A310" s="5">
        <v>36770</v>
      </c>
      <c r="B310">
        <f>FRED!B992</f>
        <v>98.060299999999998</v>
      </c>
      <c r="C310" s="3"/>
    </row>
    <row r="311" spans="1:3" x14ac:dyDescent="0.2">
      <c r="A311" s="5">
        <v>36800</v>
      </c>
      <c r="B311">
        <f>FRED!B993</f>
        <v>97.144999999999996</v>
      </c>
      <c r="C311" s="3"/>
    </row>
    <row r="312" spans="1:3" x14ac:dyDescent="0.2">
      <c r="A312" s="5">
        <v>36831</v>
      </c>
      <c r="B312">
        <f>FRED!B994</f>
        <v>96.061499999999995</v>
      </c>
      <c r="C312" s="3"/>
    </row>
    <row r="313" spans="1:3" x14ac:dyDescent="0.2">
      <c r="A313" s="5">
        <v>36861</v>
      </c>
      <c r="B313">
        <f>FRED!B995</f>
        <v>95.621799999999993</v>
      </c>
      <c r="C313" s="3"/>
    </row>
    <row r="314" spans="1:3" x14ac:dyDescent="0.2">
      <c r="A314" s="5">
        <v>36892</v>
      </c>
      <c r="B314">
        <f>FRED!B996</f>
        <v>94.373800000000003</v>
      </c>
      <c r="C314" s="3"/>
    </row>
    <row r="315" spans="1:3" x14ac:dyDescent="0.2">
      <c r="A315" s="5">
        <v>36923</v>
      </c>
      <c r="B315">
        <f>FRED!B997</f>
        <v>94.546099999999996</v>
      </c>
      <c r="C315" s="3"/>
    </row>
    <row r="316" spans="1:3" x14ac:dyDescent="0.2">
      <c r="A316" s="5">
        <v>36951</v>
      </c>
      <c r="B316">
        <f>FRED!B998</f>
        <v>95.468999999999994</v>
      </c>
      <c r="C316" s="3"/>
    </row>
    <row r="317" spans="1:3" x14ac:dyDescent="0.2">
      <c r="A317" s="5">
        <v>36982</v>
      </c>
      <c r="B317">
        <f>FRED!B999</f>
        <v>92.240200000000002</v>
      </c>
      <c r="C317" s="3"/>
    </row>
    <row r="318" spans="1:3" x14ac:dyDescent="0.2">
      <c r="A318" s="5">
        <v>37012</v>
      </c>
      <c r="B318">
        <f>FRED!B1000</f>
        <v>93.028800000000004</v>
      </c>
      <c r="C318" s="3"/>
    </row>
    <row r="319" spans="1:3" x14ac:dyDescent="0.2">
      <c r="A319" s="5">
        <v>37043</v>
      </c>
      <c r="B319">
        <f>FRED!B1001</f>
        <v>95.281599999999997</v>
      </c>
      <c r="C319" s="3"/>
    </row>
    <row r="320" spans="1:3" x14ac:dyDescent="0.2">
      <c r="A320" s="5">
        <v>37073</v>
      </c>
      <c r="B320">
        <f>FRED!B1002</f>
        <v>90.755200000000002</v>
      </c>
      <c r="C320" s="3"/>
    </row>
    <row r="321" spans="1:4" x14ac:dyDescent="0.2">
      <c r="A321" s="5">
        <v>37104</v>
      </c>
      <c r="B321">
        <f>FRED!B1003</f>
        <v>94.307299999999998</v>
      </c>
      <c r="C321" s="3"/>
    </row>
    <row r="322" spans="1:4" x14ac:dyDescent="0.2">
      <c r="A322" s="5">
        <v>37135</v>
      </c>
      <c r="B322">
        <f>FRED!B1004</f>
        <v>93.504499999999993</v>
      </c>
      <c r="C322" s="3"/>
    </row>
    <row r="323" spans="1:4" x14ac:dyDescent="0.2">
      <c r="A323" s="5">
        <v>37165</v>
      </c>
      <c r="B323">
        <f>FRED!B1005</f>
        <v>92.373099999999994</v>
      </c>
      <c r="C323" s="3"/>
    </row>
    <row r="324" spans="1:4" x14ac:dyDescent="0.2">
      <c r="A324" s="5">
        <v>37196</v>
      </c>
      <c r="B324">
        <f>FRED!B1006</f>
        <v>90.792500000000004</v>
      </c>
      <c r="C324" s="3"/>
    </row>
    <row r="325" spans="1:4" x14ac:dyDescent="0.2">
      <c r="A325" s="5">
        <v>37226</v>
      </c>
      <c r="B325">
        <f>FRED!B1007</f>
        <v>90.366</v>
      </c>
      <c r="C325" s="3"/>
    </row>
    <row r="326" spans="1:4" x14ac:dyDescent="0.2">
      <c r="A326" s="5">
        <v>37257</v>
      </c>
      <c r="B326">
        <f>FRED!B1008</f>
        <v>90.781800000000004</v>
      </c>
      <c r="C326" s="3"/>
      <c r="D326" s="3"/>
    </row>
    <row r="327" spans="1:4" x14ac:dyDescent="0.2">
      <c r="A327" s="5">
        <v>37288</v>
      </c>
      <c r="B327">
        <f>FRED!B1009</f>
        <v>91.490399999999994</v>
      </c>
      <c r="C327" s="3"/>
      <c r="D327" s="3"/>
    </row>
    <row r="328" spans="1:4" x14ac:dyDescent="0.2">
      <c r="A328" s="5">
        <v>37316</v>
      </c>
      <c r="B328">
        <f>FRED!B1010</f>
        <v>93.037000000000006</v>
      </c>
      <c r="C328" s="3"/>
      <c r="D328" s="3"/>
    </row>
    <row r="329" spans="1:4" x14ac:dyDescent="0.2">
      <c r="A329" s="5">
        <v>37347</v>
      </c>
      <c r="B329">
        <f>FRED!B1011</f>
        <v>92.090800000000002</v>
      </c>
      <c r="C329" s="3"/>
      <c r="D329" s="3"/>
    </row>
    <row r="330" spans="1:4" x14ac:dyDescent="0.2">
      <c r="A330" s="5">
        <v>37377</v>
      </c>
      <c r="B330">
        <f>FRED!B1012</f>
        <v>92.603399999999993</v>
      </c>
      <c r="C330" s="3"/>
      <c r="D330" s="3"/>
    </row>
    <row r="331" spans="1:4" x14ac:dyDescent="0.2">
      <c r="A331" s="5">
        <v>37408</v>
      </c>
      <c r="B331">
        <f>FRED!B1013</f>
        <v>96.425700000000006</v>
      </c>
      <c r="C331" s="3"/>
      <c r="D331" s="3"/>
    </row>
    <row r="332" spans="1:4" x14ac:dyDescent="0.2">
      <c r="A332" s="5">
        <v>37438</v>
      </c>
      <c r="B332">
        <f>FRED!B1014</f>
        <v>91.649199999999993</v>
      </c>
      <c r="C332" s="3"/>
      <c r="D332" s="3"/>
    </row>
    <row r="333" spans="1:4" x14ac:dyDescent="0.2">
      <c r="A333" s="5">
        <v>37469</v>
      </c>
      <c r="B333">
        <f>FRED!B1015</f>
        <v>95.8827</v>
      </c>
      <c r="C333" s="3"/>
      <c r="D333" s="3"/>
    </row>
    <row r="334" spans="1:4" x14ac:dyDescent="0.2">
      <c r="A334" s="5">
        <v>37500</v>
      </c>
      <c r="B334">
        <f>FRED!B1016</f>
        <v>95.781999999999996</v>
      </c>
      <c r="C334" s="3"/>
      <c r="D334" s="3"/>
    </row>
    <row r="335" spans="1:4" x14ac:dyDescent="0.2">
      <c r="A335" s="5">
        <v>37530</v>
      </c>
      <c r="B335">
        <f>FRED!B1017</f>
        <v>94.534599999999998</v>
      </c>
      <c r="C335" s="3"/>
      <c r="D335" s="3"/>
    </row>
    <row r="336" spans="1:4" x14ac:dyDescent="0.2">
      <c r="A336" s="5">
        <v>37561</v>
      </c>
      <c r="B336">
        <f>FRED!B1018</f>
        <v>93.5441</v>
      </c>
      <c r="C336" s="3"/>
      <c r="D336" s="3"/>
    </row>
    <row r="337" spans="1:8" x14ac:dyDescent="0.2">
      <c r="A337" s="5">
        <v>37591</v>
      </c>
      <c r="B337">
        <f>FRED!B1019</f>
        <v>92.710800000000006</v>
      </c>
      <c r="C337" s="3"/>
      <c r="D337" s="3"/>
    </row>
    <row r="338" spans="1:8" x14ac:dyDescent="0.2">
      <c r="A338" s="5">
        <v>37622</v>
      </c>
      <c r="B338">
        <f>FRED!B1020</f>
        <v>93.242500000000007</v>
      </c>
      <c r="C338" s="3"/>
      <c r="D338" s="3"/>
    </row>
    <row r="339" spans="1:8" x14ac:dyDescent="0.2">
      <c r="A339" s="5">
        <v>37653</v>
      </c>
      <c r="B339">
        <f>FRED!B1021</f>
        <v>94.432199999999995</v>
      </c>
      <c r="C339" s="3"/>
      <c r="D339" s="3"/>
    </row>
    <row r="340" spans="1:8" x14ac:dyDescent="0.2">
      <c r="A340" s="5">
        <v>37681</v>
      </c>
      <c r="B340">
        <f>FRED!B1022</f>
        <v>95.154499999999999</v>
      </c>
      <c r="C340" s="3"/>
      <c r="D340" s="3"/>
    </row>
    <row r="341" spans="1:8" x14ac:dyDescent="0.2">
      <c r="A341" s="5">
        <v>37712</v>
      </c>
      <c r="B341">
        <f>FRED!B1023</f>
        <v>92.493899999999996</v>
      </c>
      <c r="C341" s="3"/>
      <c r="D341" s="3"/>
    </row>
    <row r="342" spans="1:8" x14ac:dyDescent="0.2">
      <c r="A342" s="5">
        <v>37742</v>
      </c>
      <c r="B342">
        <f>FRED!B1024</f>
        <v>93.114999999999995</v>
      </c>
      <c r="C342" s="3"/>
      <c r="D342" s="3"/>
    </row>
    <row r="343" spans="1:8" x14ac:dyDescent="0.2">
      <c r="A343" s="5">
        <v>37773</v>
      </c>
      <c r="B343">
        <f>FRED!B1025</f>
        <v>96.022999999999996</v>
      </c>
      <c r="C343" s="3"/>
      <c r="D343" s="3"/>
    </row>
    <row r="344" spans="1:8" x14ac:dyDescent="0.2">
      <c r="A344" s="5">
        <v>37803</v>
      </c>
      <c r="B344">
        <f>FRED!B1026</f>
        <v>91.774699999999996</v>
      </c>
      <c r="C344" s="3"/>
      <c r="D344" s="3"/>
    </row>
    <row r="345" spans="1:8" x14ac:dyDescent="0.2">
      <c r="A345" s="5">
        <v>37834</v>
      </c>
      <c r="B345">
        <f>FRED!B1027</f>
        <v>96.146199999999993</v>
      </c>
      <c r="C345" s="3"/>
      <c r="D345" s="3"/>
    </row>
    <row r="346" spans="1:8" x14ac:dyDescent="0.2">
      <c r="A346" s="5">
        <v>37865</v>
      </c>
      <c r="B346">
        <f>FRED!B1028</f>
        <v>96.442499999999995</v>
      </c>
      <c r="C346" s="3"/>
      <c r="D346" s="3"/>
    </row>
    <row r="347" spans="1:8" x14ac:dyDescent="0.2">
      <c r="A347" s="5">
        <v>37895</v>
      </c>
      <c r="B347">
        <f>FRED!B1029</f>
        <v>95.513400000000004</v>
      </c>
      <c r="C347" s="3"/>
      <c r="D347" s="3"/>
    </row>
    <row r="348" spans="1:8" x14ac:dyDescent="0.2">
      <c r="A348" s="5">
        <v>37926</v>
      </c>
      <c r="B348">
        <f>FRED!B1030</f>
        <v>95.169700000000006</v>
      </c>
      <c r="C348" s="3"/>
      <c r="D348" s="3"/>
    </row>
    <row r="349" spans="1:8" x14ac:dyDescent="0.2">
      <c r="A349" s="5">
        <v>37956</v>
      </c>
      <c r="B349">
        <f>FRED!B1031</f>
        <v>94.642499999999998</v>
      </c>
      <c r="C349" s="3"/>
      <c r="D349" s="3"/>
    </row>
    <row r="350" spans="1:8" ht="15" x14ac:dyDescent="0.25">
      <c r="A350" s="5">
        <v>37987</v>
      </c>
      <c r="B350">
        <f>FRED!B1032</f>
        <v>94.410200000000003</v>
      </c>
      <c r="C350" s="3"/>
      <c r="D350" s="3"/>
      <c r="H350" s="7"/>
    </row>
    <row r="351" spans="1:8" ht="15" x14ac:dyDescent="0.25">
      <c r="A351" s="5">
        <v>38018</v>
      </c>
      <c r="B351">
        <f>FRED!B1033</f>
        <v>96.258899999999997</v>
      </c>
      <c r="C351" s="3"/>
      <c r="D351" s="3"/>
      <c r="H351" s="7"/>
    </row>
    <row r="352" spans="1:8" ht="15" x14ac:dyDescent="0.25">
      <c r="A352" s="5">
        <v>38047</v>
      </c>
      <c r="B352">
        <f>FRED!B1034</f>
        <v>96.618300000000005</v>
      </c>
      <c r="C352" s="3"/>
      <c r="D352" s="3"/>
      <c r="H352" s="7"/>
    </row>
    <row r="353" spans="1:8" ht="15" x14ac:dyDescent="0.25">
      <c r="A353" s="5">
        <v>38078</v>
      </c>
      <c r="B353">
        <f>FRED!B1035</f>
        <v>94.837100000000007</v>
      </c>
      <c r="C353" s="3"/>
      <c r="D353" s="3"/>
      <c r="H353" s="7"/>
    </row>
    <row r="354" spans="1:8" ht="15" x14ac:dyDescent="0.25">
      <c r="A354" s="5">
        <v>38108</v>
      </c>
      <c r="B354">
        <f>FRED!B1036</f>
        <v>96.379199999999997</v>
      </c>
      <c r="C354" s="3"/>
      <c r="D354" s="3"/>
      <c r="H354" s="7"/>
    </row>
    <row r="355" spans="1:8" ht="15" x14ac:dyDescent="0.25">
      <c r="A355" s="5">
        <v>38139</v>
      </c>
      <c r="B355">
        <f>FRED!B1037</f>
        <v>98.580600000000004</v>
      </c>
      <c r="C355" s="3"/>
      <c r="D355" s="3"/>
      <c r="H355" s="7"/>
    </row>
    <row r="356" spans="1:8" ht="15" x14ac:dyDescent="0.25">
      <c r="A356" s="5">
        <v>38169</v>
      </c>
      <c r="B356">
        <f>FRED!B1038</f>
        <v>95.402799999999999</v>
      </c>
      <c r="C356" s="3"/>
      <c r="D356" s="3"/>
      <c r="H356" s="7"/>
    </row>
    <row r="357" spans="1:8" ht="15" x14ac:dyDescent="0.25">
      <c r="A357" s="5">
        <v>38200</v>
      </c>
      <c r="B357">
        <f>FRED!B1039</f>
        <v>98.990200000000002</v>
      </c>
      <c r="C357" s="3"/>
      <c r="D357" s="3"/>
      <c r="H357" s="7"/>
    </row>
    <row r="358" spans="1:8" ht="15" x14ac:dyDescent="0.25">
      <c r="A358" s="5">
        <v>38231</v>
      </c>
      <c r="B358">
        <f>FRED!B1040</f>
        <v>98.380200000000002</v>
      </c>
      <c r="C358" s="3"/>
      <c r="D358" s="3"/>
      <c r="H358" s="7"/>
    </row>
    <row r="359" spans="1:8" ht="15" x14ac:dyDescent="0.25">
      <c r="A359" s="5">
        <v>38261</v>
      </c>
      <c r="B359">
        <f>FRED!B1041</f>
        <v>98.572999999999993</v>
      </c>
      <c r="C359" s="3"/>
      <c r="D359" s="3"/>
      <c r="H359" s="7"/>
    </row>
    <row r="360" spans="1:8" ht="15" x14ac:dyDescent="0.25">
      <c r="A360" s="5">
        <v>38292</v>
      </c>
      <c r="B360">
        <f>FRED!B1042</f>
        <v>97.627899999999997</v>
      </c>
      <c r="C360" s="3"/>
      <c r="D360" s="3"/>
      <c r="H360" s="7"/>
    </row>
    <row r="361" spans="1:8" ht="15" x14ac:dyDescent="0.25">
      <c r="A361" s="5">
        <v>38322</v>
      </c>
      <c r="B361">
        <f>FRED!B1043</f>
        <v>98.001499999999993</v>
      </c>
      <c r="C361" s="3"/>
      <c r="D361" s="3"/>
      <c r="H361" s="7"/>
    </row>
    <row r="362" spans="1:8" ht="15" x14ac:dyDescent="0.25">
      <c r="A362" s="5">
        <v>38353</v>
      </c>
      <c r="B362">
        <f>FRED!B1044</f>
        <v>98.228899999999996</v>
      </c>
      <c r="C362" s="3"/>
      <c r="D362" s="3"/>
      <c r="H362" s="7"/>
    </row>
    <row r="363" spans="1:8" ht="15" x14ac:dyDescent="0.25">
      <c r="A363" s="5">
        <v>38384</v>
      </c>
      <c r="B363">
        <f>FRED!B1045</f>
        <v>99.461399999999998</v>
      </c>
      <c r="C363" s="3"/>
      <c r="D363" s="3"/>
      <c r="H363" s="7"/>
    </row>
    <row r="364" spans="1:8" ht="15" x14ac:dyDescent="0.25">
      <c r="A364" s="5">
        <v>38412</v>
      </c>
      <c r="B364">
        <f>FRED!B1046</f>
        <v>99.956500000000005</v>
      </c>
      <c r="C364" s="3"/>
      <c r="D364" s="3"/>
      <c r="H364" s="7"/>
    </row>
    <row r="365" spans="1:8" ht="15" x14ac:dyDescent="0.25">
      <c r="A365" s="5">
        <v>38443</v>
      </c>
      <c r="B365">
        <f>FRED!B1047</f>
        <v>99.208399999999997</v>
      </c>
      <c r="C365" s="3"/>
      <c r="D365" s="3"/>
      <c r="H365" s="7"/>
    </row>
    <row r="366" spans="1:8" ht="15" x14ac:dyDescent="0.25">
      <c r="A366" s="5">
        <v>38473</v>
      </c>
      <c r="B366">
        <f>FRED!B1048</f>
        <v>99.552499999999995</v>
      </c>
      <c r="C366" s="3"/>
      <c r="D366" s="3"/>
      <c r="H366" s="7"/>
    </row>
    <row r="367" spans="1:8" ht="15" x14ac:dyDescent="0.25">
      <c r="A367" s="5">
        <v>38504</v>
      </c>
      <c r="B367">
        <f>FRED!B1049</f>
        <v>102.9842</v>
      </c>
      <c r="C367" s="3"/>
      <c r="D367" s="3"/>
      <c r="H367" s="7"/>
    </row>
    <row r="368" spans="1:8" ht="15" x14ac:dyDescent="0.25">
      <c r="A368" s="5">
        <v>38534</v>
      </c>
      <c r="B368">
        <f>FRED!B1050</f>
        <v>99.074200000000005</v>
      </c>
      <c r="C368" s="3"/>
      <c r="D368" s="3"/>
      <c r="H368" s="7"/>
    </row>
    <row r="369" spans="1:8" ht="15" x14ac:dyDescent="0.25">
      <c r="A369" s="5">
        <v>38565</v>
      </c>
      <c r="B369">
        <f>FRED!B1051</f>
        <v>102.61669999999999</v>
      </c>
      <c r="C369" s="3"/>
      <c r="D369" s="3"/>
      <c r="H369" s="7"/>
    </row>
    <row r="370" spans="1:8" ht="15" x14ac:dyDescent="0.25">
      <c r="A370" s="5">
        <v>38596</v>
      </c>
      <c r="B370">
        <f>FRED!B1052</f>
        <v>100.1392</v>
      </c>
      <c r="C370" s="3"/>
      <c r="D370" s="3"/>
      <c r="H370" s="7"/>
    </row>
    <row r="371" spans="1:8" ht="15" x14ac:dyDescent="0.25">
      <c r="A371" s="5">
        <v>38626</v>
      </c>
      <c r="B371">
        <f>FRED!B1053</f>
        <v>100.23520000000001</v>
      </c>
      <c r="C371" s="3"/>
      <c r="D371" s="3"/>
      <c r="H371" s="7"/>
    </row>
    <row r="372" spans="1:8" ht="15" x14ac:dyDescent="0.25">
      <c r="A372" s="5">
        <v>38657</v>
      </c>
      <c r="B372">
        <f>FRED!B1054</f>
        <v>100.07040000000001</v>
      </c>
      <c r="C372" s="3"/>
      <c r="D372" s="3"/>
      <c r="H372" s="7"/>
    </row>
    <row r="373" spans="1:8" ht="15" x14ac:dyDescent="0.25">
      <c r="A373" s="5">
        <v>38687</v>
      </c>
      <c r="B373">
        <f>FRED!B1055</f>
        <v>100.57989999999999</v>
      </c>
      <c r="C373" s="3"/>
      <c r="D373" s="3"/>
      <c r="H373" s="7"/>
    </row>
    <row r="374" spans="1:8" ht="15" x14ac:dyDescent="0.25">
      <c r="A374" s="5">
        <v>38718</v>
      </c>
      <c r="B374">
        <f>FRED!B1056</f>
        <v>99.902799999999999</v>
      </c>
      <c r="C374" s="3"/>
      <c r="D374" s="3"/>
      <c r="H374" s="7"/>
    </row>
    <row r="375" spans="1:8" ht="15" x14ac:dyDescent="0.25">
      <c r="A375" s="5">
        <v>38749</v>
      </c>
      <c r="B375">
        <f>FRED!B1057</f>
        <v>100.7886</v>
      </c>
      <c r="C375" s="3"/>
      <c r="D375" s="3"/>
      <c r="H375" s="7"/>
    </row>
    <row r="376" spans="1:8" ht="15" x14ac:dyDescent="0.25">
      <c r="A376" s="5">
        <v>38777</v>
      </c>
      <c r="B376">
        <f>FRED!B1058</f>
        <v>102.1181</v>
      </c>
      <c r="C376" s="3"/>
      <c r="D376" s="3"/>
      <c r="H376" s="7"/>
    </row>
    <row r="377" spans="1:8" ht="15" x14ac:dyDescent="0.25">
      <c r="A377" s="5">
        <v>38808</v>
      </c>
      <c r="B377">
        <f>FRED!B1059</f>
        <v>100.13330000000001</v>
      </c>
      <c r="C377" s="3"/>
      <c r="D377" s="3"/>
      <c r="H377" s="7"/>
    </row>
    <row r="378" spans="1:8" ht="15" x14ac:dyDescent="0.25">
      <c r="A378" s="5">
        <v>38838</v>
      </c>
      <c r="B378">
        <f>FRED!B1060</f>
        <v>101.6305</v>
      </c>
      <c r="C378" s="3"/>
      <c r="D378" s="3"/>
      <c r="H378" s="7"/>
    </row>
    <row r="379" spans="1:8" ht="15" x14ac:dyDescent="0.25">
      <c r="A379" s="5">
        <v>38869</v>
      </c>
      <c r="B379">
        <f>FRED!B1061</f>
        <v>105.0911</v>
      </c>
      <c r="C379" s="3"/>
      <c r="D379" s="3"/>
      <c r="H379" s="7"/>
    </row>
    <row r="380" spans="1:8" ht="15" x14ac:dyDescent="0.25">
      <c r="A380" s="5">
        <v>38899</v>
      </c>
      <c r="B380">
        <f>FRED!B1062</f>
        <v>101.8612</v>
      </c>
      <c r="C380" s="3"/>
      <c r="D380" s="3"/>
      <c r="H380" s="7"/>
    </row>
    <row r="381" spans="1:8" ht="15" x14ac:dyDescent="0.25">
      <c r="A381" s="5">
        <v>38930</v>
      </c>
      <c r="B381">
        <f>FRED!B1063</f>
        <v>105.29649999999999</v>
      </c>
      <c r="C381" s="3"/>
      <c r="D381" s="3"/>
      <c r="H381" s="7"/>
    </row>
    <row r="382" spans="1:8" ht="15" x14ac:dyDescent="0.25">
      <c r="A382" s="5">
        <v>38961</v>
      </c>
      <c r="B382">
        <f>FRED!B1064</f>
        <v>104.31959999999999</v>
      </c>
      <c r="C382" s="3"/>
      <c r="D382" s="3"/>
      <c r="H382" s="7"/>
    </row>
    <row r="383" spans="1:8" ht="15" x14ac:dyDescent="0.25">
      <c r="A383" s="5">
        <v>38991</v>
      </c>
      <c r="B383">
        <f>FRED!B1065</f>
        <v>103.0231</v>
      </c>
      <c r="C383" s="3"/>
      <c r="D383" s="3"/>
      <c r="H383" s="7"/>
    </row>
    <row r="384" spans="1:8" ht="15" x14ac:dyDescent="0.25">
      <c r="A384" s="5">
        <v>39022</v>
      </c>
      <c r="B384">
        <f>FRED!B1066</f>
        <v>101.8533</v>
      </c>
      <c r="C384" s="3"/>
      <c r="D384" s="3"/>
      <c r="H384" s="7"/>
    </row>
    <row r="385" spans="1:8" ht="15" x14ac:dyDescent="0.25">
      <c r="A385" s="5">
        <v>39052</v>
      </c>
      <c r="B385">
        <f>FRED!B1067</f>
        <v>102.89060000000001</v>
      </c>
      <c r="C385" s="3"/>
      <c r="D385" s="3"/>
      <c r="H385" s="7"/>
    </row>
    <row r="386" spans="1:8" ht="15" x14ac:dyDescent="0.25">
      <c r="A386" s="5">
        <v>39083</v>
      </c>
      <c r="B386">
        <f>FRED!B1068</f>
        <v>101.7402</v>
      </c>
      <c r="C386" s="3"/>
      <c r="D386" s="3"/>
      <c r="H386" s="7"/>
    </row>
    <row r="387" spans="1:8" ht="15" x14ac:dyDescent="0.25">
      <c r="A387" s="5">
        <v>39114</v>
      </c>
      <c r="B387">
        <f>FRED!B1069</f>
        <v>103.3257</v>
      </c>
      <c r="C387" s="3"/>
      <c r="D387" s="3"/>
      <c r="H387" s="7"/>
    </row>
    <row r="388" spans="1:8" ht="15" x14ac:dyDescent="0.25">
      <c r="A388" s="5">
        <v>39142</v>
      </c>
      <c r="B388">
        <f>FRED!B1070</f>
        <v>104.4967</v>
      </c>
      <c r="C388" s="3"/>
      <c r="D388" s="3"/>
      <c r="H388" s="7"/>
    </row>
    <row r="389" spans="1:8" ht="15" x14ac:dyDescent="0.25">
      <c r="A389" s="5">
        <v>39173</v>
      </c>
      <c r="B389">
        <f>FRED!B1071</f>
        <v>103.5013</v>
      </c>
      <c r="C389" s="3"/>
      <c r="D389" s="3"/>
      <c r="H389" s="7"/>
    </row>
    <row r="390" spans="1:8" ht="15" x14ac:dyDescent="0.25">
      <c r="A390" s="5">
        <v>39203</v>
      </c>
      <c r="B390">
        <f>FRED!B1072</f>
        <v>104.5625</v>
      </c>
      <c r="C390" s="3"/>
      <c r="D390" s="3"/>
      <c r="H390" s="7"/>
    </row>
    <row r="391" spans="1:8" ht="15" x14ac:dyDescent="0.25">
      <c r="A391" s="5">
        <v>39234</v>
      </c>
      <c r="B391">
        <f>FRED!B1073</f>
        <v>107.67910000000001</v>
      </c>
      <c r="C391" s="3"/>
      <c r="D391" s="3"/>
      <c r="H391" s="7"/>
    </row>
    <row r="392" spans="1:8" ht="15" x14ac:dyDescent="0.25">
      <c r="A392" s="5">
        <v>39264</v>
      </c>
      <c r="B392">
        <f>FRED!B1074</f>
        <v>104.2692</v>
      </c>
      <c r="C392" s="3"/>
      <c r="D392" s="3"/>
      <c r="H392" s="7"/>
    </row>
    <row r="393" spans="1:8" ht="15" x14ac:dyDescent="0.25">
      <c r="A393" s="5">
        <v>39295</v>
      </c>
      <c r="B393">
        <f>FRED!B1075</f>
        <v>107.7355</v>
      </c>
      <c r="C393" s="3"/>
      <c r="D393" s="3"/>
      <c r="H393" s="7"/>
    </row>
    <row r="394" spans="1:8" ht="15" x14ac:dyDescent="0.25">
      <c r="A394" s="5">
        <v>39326</v>
      </c>
      <c r="B394">
        <f>FRED!B1076</f>
        <v>107.2204</v>
      </c>
      <c r="C394" s="3"/>
      <c r="D394" s="3"/>
      <c r="H394" s="7"/>
    </row>
    <row r="395" spans="1:8" ht="15" x14ac:dyDescent="0.25">
      <c r="A395" s="5">
        <v>39356</v>
      </c>
      <c r="B395">
        <f>FRED!B1077</f>
        <v>105.3873</v>
      </c>
      <c r="C395" s="3"/>
      <c r="D395" s="3"/>
      <c r="H395" s="7"/>
    </row>
    <row r="396" spans="1:8" ht="15" x14ac:dyDescent="0.25">
      <c r="A396" s="5">
        <v>39387</v>
      </c>
      <c r="B396">
        <f>FRED!B1078</f>
        <v>104.9072</v>
      </c>
      <c r="C396" s="3"/>
      <c r="D396" s="3"/>
      <c r="H396" s="7"/>
    </row>
    <row r="397" spans="1:8" ht="15" x14ac:dyDescent="0.25">
      <c r="A397" s="5">
        <v>39417</v>
      </c>
      <c r="B397">
        <f>FRED!B1079</f>
        <v>104.9109</v>
      </c>
      <c r="C397" s="3"/>
      <c r="D397" s="3"/>
      <c r="H397" s="7"/>
    </row>
    <row r="398" spans="1:8" ht="15" x14ac:dyDescent="0.25">
      <c r="A398" s="5">
        <v>39448</v>
      </c>
      <c r="B398">
        <f>FRED!B1080</f>
        <v>104.0921</v>
      </c>
      <c r="C398" s="3"/>
      <c r="D398" s="3"/>
      <c r="H398" s="7"/>
    </row>
    <row r="399" spans="1:8" ht="15" x14ac:dyDescent="0.25">
      <c r="A399" s="5">
        <v>39479</v>
      </c>
      <c r="B399">
        <f>FRED!B1081</f>
        <v>103.9701</v>
      </c>
      <c r="C399" s="3"/>
      <c r="D399" s="3"/>
      <c r="H399" s="7"/>
    </row>
    <row r="400" spans="1:8" ht="15" x14ac:dyDescent="0.25">
      <c r="A400" s="5">
        <v>39508</v>
      </c>
      <c r="B400">
        <f>FRED!B1082</f>
        <v>104.3638</v>
      </c>
      <c r="C400" s="3"/>
      <c r="D400" s="3"/>
      <c r="H400" s="7"/>
    </row>
    <row r="401" spans="1:8" ht="15" x14ac:dyDescent="0.25">
      <c r="A401" s="5">
        <v>39539</v>
      </c>
      <c r="B401">
        <f>FRED!B1083</f>
        <v>102.8907</v>
      </c>
      <c r="C401" s="3"/>
      <c r="D401" s="3"/>
      <c r="H401" s="7"/>
    </row>
    <row r="402" spans="1:8" ht="15" x14ac:dyDescent="0.25">
      <c r="A402" s="5">
        <v>39569</v>
      </c>
      <c r="B402">
        <f>FRED!B1084</f>
        <v>102.678</v>
      </c>
      <c r="C402" s="3"/>
      <c r="D402" s="3"/>
      <c r="H402" s="7"/>
    </row>
    <row r="403" spans="1:8" ht="15" x14ac:dyDescent="0.25">
      <c r="A403" s="5">
        <v>39600</v>
      </c>
      <c r="B403">
        <f>FRED!B1085</f>
        <v>105.55159999999999</v>
      </c>
      <c r="C403" s="3"/>
      <c r="D403" s="3"/>
      <c r="H403" s="7"/>
    </row>
    <row r="404" spans="1:8" ht="15" x14ac:dyDescent="0.25">
      <c r="A404" s="5">
        <v>39630</v>
      </c>
      <c r="B404">
        <f>FRED!B1086</f>
        <v>102.5579</v>
      </c>
      <c r="C404" s="3"/>
      <c r="D404" s="3"/>
      <c r="H404" s="7"/>
    </row>
    <row r="405" spans="1:8" ht="15" x14ac:dyDescent="0.25">
      <c r="A405" s="5">
        <v>39661</v>
      </c>
      <c r="B405">
        <f>FRED!B1087</f>
        <v>103.3784</v>
      </c>
      <c r="C405" s="3"/>
      <c r="D405" s="3"/>
      <c r="H405" s="7"/>
    </row>
    <row r="406" spans="1:8" ht="15" x14ac:dyDescent="0.25">
      <c r="A406" s="5">
        <v>39692</v>
      </c>
      <c r="B406">
        <f>FRED!B1088</f>
        <v>98.274100000000004</v>
      </c>
      <c r="C406" s="3"/>
      <c r="D406" s="3"/>
      <c r="H406" s="7"/>
    </row>
    <row r="407" spans="1:8" ht="15" x14ac:dyDescent="0.25">
      <c r="A407" s="5">
        <v>39722</v>
      </c>
      <c r="B407">
        <f>FRED!B1089</f>
        <v>97.801599999999993</v>
      </c>
      <c r="C407" s="3"/>
      <c r="D407" s="3"/>
      <c r="H407" s="7"/>
    </row>
    <row r="408" spans="1:8" ht="15" x14ac:dyDescent="0.25">
      <c r="A408" s="5">
        <v>39753</v>
      </c>
      <c r="B408">
        <f>FRED!B1090</f>
        <v>95.787199999999999</v>
      </c>
      <c r="C408" s="3"/>
      <c r="D408" s="3"/>
      <c r="H408" s="7"/>
    </row>
    <row r="409" spans="1:8" ht="15" x14ac:dyDescent="0.25">
      <c r="A409" s="5">
        <v>39783</v>
      </c>
      <c r="B409">
        <f>FRED!B1091</f>
        <v>93.643500000000003</v>
      </c>
      <c r="C409" s="3"/>
      <c r="D409" s="3"/>
      <c r="H409" s="7"/>
    </row>
    <row r="410" spans="1:8" ht="15" x14ac:dyDescent="0.25">
      <c r="A410" s="5">
        <v>39814</v>
      </c>
      <c r="B410">
        <f>FRED!B1092</f>
        <v>90.985100000000003</v>
      </c>
      <c r="C410" s="3"/>
      <c r="D410" s="3"/>
      <c r="H410" s="7"/>
    </row>
    <row r="411" spans="1:8" ht="15" x14ac:dyDescent="0.25">
      <c r="A411" s="5">
        <v>39845</v>
      </c>
      <c r="B411">
        <f>FRED!B1093</f>
        <v>90.284599999999998</v>
      </c>
      <c r="C411" s="3"/>
      <c r="D411" s="3"/>
      <c r="H411" s="7"/>
    </row>
    <row r="412" spans="1:8" ht="15" x14ac:dyDescent="0.25">
      <c r="A412" s="5">
        <v>39873</v>
      </c>
      <c r="B412">
        <f>FRED!B1094</f>
        <v>89.3215</v>
      </c>
      <c r="C412" s="3"/>
      <c r="D412" s="3"/>
      <c r="H412" s="7"/>
    </row>
    <row r="413" spans="1:8" ht="15" x14ac:dyDescent="0.25">
      <c r="A413" s="5">
        <v>39904</v>
      </c>
      <c r="B413">
        <f>FRED!B1095</f>
        <v>86.760999999999996</v>
      </c>
      <c r="C413" s="3"/>
      <c r="D413" s="3"/>
      <c r="H413" s="7"/>
    </row>
    <row r="414" spans="1:8" ht="15" x14ac:dyDescent="0.25">
      <c r="A414" s="5">
        <v>39934</v>
      </c>
      <c r="B414">
        <f>FRED!B1096</f>
        <v>86.953400000000002</v>
      </c>
      <c r="C414" s="3"/>
      <c r="D414" s="3"/>
      <c r="H414" s="7"/>
    </row>
    <row r="415" spans="1:8" ht="15" x14ac:dyDescent="0.25">
      <c r="A415" s="5">
        <v>39965</v>
      </c>
      <c r="B415">
        <f>FRED!B1097</f>
        <v>89.227999999999994</v>
      </c>
      <c r="C415" s="3"/>
      <c r="D415" s="3"/>
      <c r="H415" s="7"/>
    </row>
    <row r="416" spans="1:8" ht="15" x14ac:dyDescent="0.25">
      <c r="A416" s="5">
        <v>39995</v>
      </c>
      <c r="B416">
        <f>FRED!B1098</f>
        <v>88.433599999999998</v>
      </c>
      <c r="C416" s="3"/>
      <c r="D416" s="3"/>
      <c r="H416" s="7"/>
    </row>
    <row r="417" spans="1:8" ht="15" x14ac:dyDescent="0.25">
      <c r="A417" s="5">
        <v>40026</v>
      </c>
      <c r="B417">
        <f>FRED!B1099</f>
        <v>91.532200000000003</v>
      </c>
      <c r="C417" s="3"/>
      <c r="D417" s="3"/>
      <c r="H417" s="7"/>
    </row>
    <row r="418" spans="1:8" ht="15" x14ac:dyDescent="0.25">
      <c r="A418" s="5">
        <v>40057</v>
      </c>
      <c r="B418">
        <f>FRED!B1100</f>
        <v>90.794200000000004</v>
      </c>
      <c r="C418" s="3"/>
      <c r="D418" s="3"/>
      <c r="H418" s="7"/>
    </row>
    <row r="419" spans="1:8" ht="15" x14ac:dyDescent="0.25">
      <c r="A419" s="5">
        <v>40087</v>
      </c>
      <c r="B419">
        <f>FRED!B1101</f>
        <v>90.240600000000001</v>
      </c>
      <c r="C419" s="3"/>
      <c r="D419" s="3"/>
      <c r="H419" s="7"/>
    </row>
    <row r="420" spans="1:8" ht="15" x14ac:dyDescent="0.25">
      <c r="A420" s="5">
        <v>40118</v>
      </c>
      <c r="B420">
        <f>FRED!B1102</f>
        <v>89.951499999999996</v>
      </c>
      <c r="C420" s="3"/>
      <c r="D420" s="3"/>
      <c r="H420" s="7"/>
    </row>
    <row r="421" spans="1:8" ht="15" x14ac:dyDescent="0.25">
      <c r="A421" s="5">
        <v>40148</v>
      </c>
      <c r="B421">
        <f>FRED!B1103</f>
        <v>90.735900000000001</v>
      </c>
      <c r="C421" s="3"/>
      <c r="D421" s="3"/>
      <c r="H421" s="7"/>
    </row>
    <row r="422" spans="1:8" ht="15" x14ac:dyDescent="0.25">
      <c r="A422" s="5">
        <v>40179</v>
      </c>
      <c r="B422">
        <f>FRED!B1104</f>
        <v>91.588399999999993</v>
      </c>
      <c r="C422" s="3"/>
      <c r="D422" s="3"/>
      <c r="H422" s="7"/>
    </row>
    <row r="423" spans="1:8" ht="15" x14ac:dyDescent="0.25">
      <c r="A423" s="5">
        <v>40210</v>
      </c>
      <c r="B423">
        <f>FRED!B1105</f>
        <v>91.694900000000004</v>
      </c>
      <c r="C423" s="3"/>
      <c r="D423" s="3"/>
      <c r="H423" s="7"/>
    </row>
    <row r="424" spans="1:8" ht="15" x14ac:dyDescent="0.25">
      <c r="A424" s="5">
        <v>40238</v>
      </c>
      <c r="B424">
        <f>FRED!B1106</f>
        <v>92.855500000000006</v>
      </c>
      <c r="C424" s="3"/>
      <c r="D424" s="3"/>
      <c r="H424" s="7"/>
    </row>
    <row r="425" spans="1:8" ht="15" x14ac:dyDescent="0.25">
      <c r="A425" s="5">
        <v>40269</v>
      </c>
      <c r="B425">
        <f>FRED!B1107</f>
        <v>91.785700000000006</v>
      </c>
      <c r="C425" s="3"/>
      <c r="D425" s="3"/>
      <c r="H425" s="7"/>
    </row>
    <row r="426" spans="1:8" ht="15" x14ac:dyDescent="0.25">
      <c r="A426" s="5">
        <v>40299</v>
      </c>
      <c r="B426">
        <f>FRED!B1108</f>
        <v>93.748900000000006</v>
      </c>
      <c r="C426" s="3"/>
      <c r="D426" s="3"/>
      <c r="H426" s="7"/>
    </row>
    <row r="427" spans="1:8" ht="15" x14ac:dyDescent="0.25">
      <c r="A427" s="5">
        <v>40330</v>
      </c>
      <c r="B427">
        <f>FRED!B1109</f>
        <v>96.776700000000005</v>
      </c>
      <c r="C427" s="3"/>
      <c r="D427" s="3"/>
      <c r="H427" s="7"/>
    </row>
    <row r="428" spans="1:8" ht="15" x14ac:dyDescent="0.25">
      <c r="A428" s="5">
        <v>40360</v>
      </c>
      <c r="B428">
        <f>FRED!B1110</f>
        <v>94.9923</v>
      </c>
      <c r="C428" s="3"/>
      <c r="D428" s="3"/>
      <c r="H428" s="7"/>
    </row>
    <row r="429" spans="1:8" ht="15" x14ac:dyDescent="0.25">
      <c r="A429" s="5">
        <v>40391</v>
      </c>
      <c r="B429">
        <f>FRED!B1111</f>
        <v>97.721900000000005</v>
      </c>
      <c r="C429" s="3"/>
      <c r="D429" s="3"/>
      <c r="H429" s="7"/>
    </row>
    <row r="430" spans="1:8" ht="15" x14ac:dyDescent="0.25">
      <c r="A430" s="5">
        <v>40422</v>
      </c>
      <c r="B430">
        <f>FRED!B1112</f>
        <v>96.682000000000002</v>
      </c>
      <c r="C430" s="3"/>
      <c r="D430" s="3"/>
      <c r="H430" s="7"/>
    </row>
    <row r="431" spans="1:8" ht="15" x14ac:dyDescent="0.25">
      <c r="A431" s="5">
        <v>40452</v>
      </c>
      <c r="B431">
        <f>FRED!B1113</f>
        <v>95.526700000000005</v>
      </c>
      <c r="C431" s="3"/>
      <c r="D431" s="3"/>
      <c r="H431" s="7"/>
    </row>
    <row r="432" spans="1:8" ht="15" x14ac:dyDescent="0.25">
      <c r="A432" s="5">
        <v>40483</v>
      </c>
      <c r="B432">
        <f>FRED!B1114</f>
        <v>94.681200000000004</v>
      </c>
      <c r="C432" s="3"/>
      <c r="D432" s="3"/>
      <c r="H432" s="7"/>
    </row>
    <row r="433" spans="1:8" ht="15" x14ac:dyDescent="0.25">
      <c r="A433" s="5">
        <v>40513</v>
      </c>
      <c r="B433">
        <f>FRED!B1115</f>
        <v>96.134600000000006</v>
      </c>
      <c r="C433" s="3"/>
      <c r="D433" s="3"/>
      <c r="H433" s="7"/>
    </row>
    <row r="434" spans="1:8" ht="15" x14ac:dyDescent="0.25">
      <c r="A434" s="5">
        <v>40544</v>
      </c>
      <c r="B434">
        <f>FRED!B1116</f>
        <v>96.006299999999996</v>
      </c>
      <c r="C434" s="3"/>
      <c r="D434" s="3"/>
      <c r="H434" s="7"/>
    </row>
    <row r="435" spans="1:8" ht="15" x14ac:dyDescent="0.25">
      <c r="A435" s="5">
        <v>40575</v>
      </c>
      <c r="B435">
        <f>FRED!B1117</f>
        <v>95.217299999999994</v>
      </c>
      <c r="C435" s="3"/>
      <c r="D435" s="3"/>
      <c r="H435" s="7"/>
    </row>
    <row r="436" spans="1:8" ht="15" x14ac:dyDescent="0.25">
      <c r="A436" s="5">
        <v>40603</v>
      </c>
      <c r="B436">
        <f>FRED!B1118</f>
        <v>96.804599999999994</v>
      </c>
      <c r="C436" s="3"/>
      <c r="D436" s="3"/>
      <c r="H436" s="7"/>
    </row>
    <row r="437" spans="1:8" ht="15" x14ac:dyDescent="0.25">
      <c r="A437" s="5">
        <v>40634</v>
      </c>
      <c r="B437">
        <f>FRED!B1119</f>
        <v>94.841499999999996</v>
      </c>
      <c r="C437" s="3"/>
      <c r="D437" s="3"/>
      <c r="H437" s="7"/>
    </row>
    <row r="438" spans="1:8" ht="15" x14ac:dyDescent="0.25">
      <c r="A438" s="5">
        <v>40664</v>
      </c>
      <c r="B438">
        <f>FRED!B1120</f>
        <v>95.5946</v>
      </c>
      <c r="C438" s="3"/>
      <c r="D438" s="3"/>
      <c r="H438" s="7"/>
    </row>
    <row r="439" spans="1:8" ht="15" x14ac:dyDescent="0.25">
      <c r="A439" s="5">
        <v>40695</v>
      </c>
      <c r="B439">
        <f>FRED!B1121</f>
        <v>98.664199999999994</v>
      </c>
      <c r="C439" s="3"/>
      <c r="D439" s="3"/>
      <c r="H439" s="7"/>
    </row>
    <row r="440" spans="1:8" ht="15" x14ac:dyDescent="0.25">
      <c r="A440" s="5">
        <v>40725</v>
      </c>
      <c r="B440">
        <f>FRED!B1122</f>
        <v>97.370900000000006</v>
      </c>
      <c r="C440" s="3"/>
      <c r="D440" s="3"/>
      <c r="H440" s="7"/>
    </row>
    <row r="441" spans="1:8" ht="15" x14ac:dyDescent="0.25">
      <c r="A441" s="5">
        <v>40756</v>
      </c>
      <c r="B441">
        <f>FRED!B1123</f>
        <v>99.853300000000004</v>
      </c>
      <c r="C441" s="3"/>
      <c r="D441" s="3"/>
      <c r="H441" s="7"/>
    </row>
    <row r="442" spans="1:8" ht="15" x14ac:dyDescent="0.25">
      <c r="A442" s="5">
        <v>40787</v>
      </c>
      <c r="B442">
        <f>FRED!B1124</f>
        <v>98.747299999999996</v>
      </c>
      <c r="C442" s="3"/>
      <c r="D442" s="3"/>
      <c r="H442" s="7"/>
    </row>
    <row r="443" spans="1:8" ht="15" x14ac:dyDescent="0.25">
      <c r="A443" s="5">
        <v>40817</v>
      </c>
      <c r="B443">
        <f>FRED!B1125</f>
        <v>98.287700000000001</v>
      </c>
      <c r="C443" s="3"/>
      <c r="D443" s="3"/>
      <c r="H443" s="7"/>
    </row>
    <row r="444" spans="1:8" ht="15" x14ac:dyDescent="0.25">
      <c r="A444" s="5">
        <v>40848</v>
      </c>
      <c r="B444">
        <f>FRED!B1126</f>
        <v>97.549199999999999</v>
      </c>
      <c r="C444" s="3"/>
      <c r="D444" s="3"/>
      <c r="H444" s="7"/>
    </row>
    <row r="445" spans="1:8" ht="15" x14ac:dyDescent="0.25">
      <c r="A445" s="5">
        <v>40878</v>
      </c>
      <c r="B445">
        <f>FRED!B1127</f>
        <v>98.481399999999994</v>
      </c>
      <c r="C445" s="3"/>
      <c r="D445" s="3"/>
      <c r="H445" s="7"/>
    </row>
    <row r="446" spans="1:8" ht="15" x14ac:dyDescent="0.25">
      <c r="A446" s="5">
        <v>40909</v>
      </c>
      <c r="B446">
        <f>FRED!B1128</f>
        <v>98.854600000000005</v>
      </c>
      <c r="C446" s="3"/>
      <c r="D446" s="3"/>
      <c r="H446" s="7"/>
    </row>
    <row r="447" spans="1:8" ht="15" x14ac:dyDescent="0.25">
      <c r="A447" s="5">
        <v>40940</v>
      </c>
      <c r="B447">
        <f>FRED!B1129</f>
        <v>99.123800000000003</v>
      </c>
      <c r="C447" s="3"/>
      <c r="D447" s="3"/>
      <c r="H447" s="7"/>
    </row>
    <row r="448" spans="1:8" ht="15" x14ac:dyDescent="0.25">
      <c r="A448" s="5">
        <v>40969</v>
      </c>
      <c r="B448">
        <f>FRED!B1130</f>
        <v>99.084500000000006</v>
      </c>
      <c r="C448" s="3"/>
      <c r="D448" s="3"/>
      <c r="H448" s="7"/>
    </row>
    <row r="449" spans="1:8" ht="15" x14ac:dyDescent="0.25">
      <c r="A449" s="5">
        <v>41000</v>
      </c>
      <c r="B449">
        <f>FRED!B1131</f>
        <v>98.294799999999995</v>
      </c>
      <c r="C449" s="3"/>
      <c r="D449" s="3"/>
      <c r="H449" s="7"/>
    </row>
    <row r="450" spans="1:8" ht="15" x14ac:dyDescent="0.25">
      <c r="A450" s="5">
        <v>41030</v>
      </c>
      <c r="B450">
        <f>FRED!B1132</f>
        <v>99.116799999999998</v>
      </c>
      <c r="C450" s="3"/>
      <c r="D450" s="3"/>
      <c r="H450" s="7"/>
    </row>
    <row r="451" spans="1:8" ht="15" x14ac:dyDescent="0.25">
      <c r="A451" s="5">
        <v>41061</v>
      </c>
      <c r="B451">
        <f>FRED!B1133</f>
        <v>101.8729</v>
      </c>
      <c r="C451" s="3"/>
      <c r="D451" s="3"/>
      <c r="H451" s="7"/>
    </row>
    <row r="452" spans="1:8" ht="15" x14ac:dyDescent="0.25">
      <c r="A452" s="5">
        <v>41091</v>
      </c>
      <c r="B452">
        <f>FRED!B1134</f>
        <v>100.18210000000001</v>
      </c>
      <c r="C452" s="3"/>
      <c r="D452" s="3"/>
      <c r="H452" s="7"/>
    </row>
    <row r="453" spans="1:8" ht="15" x14ac:dyDescent="0.25">
      <c r="A453" s="5">
        <v>41122</v>
      </c>
      <c r="B453">
        <f>FRED!B1135</f>
        <v>101.8822</v>
      </c>
      <c r="C453" s="3"/>
      <c r="D453" s="3"/>
      <c r="H453" s="7"/>
    </row>
    <row r="454" spans="1:8" ht="15" x14ac:dyDescent="0.25">
      <c r="A454" s="5">
        <v>41153</v>
      </c>
      <c r="B454">
        <f>FRED!B1136</f>
        <v>100.9534</v>
      </c>
      <c r="C454" s="3"/>
      <c r="D454" s="3"/>
      <c r="H454" s="7"/>
    </row>
    <row r="455" spans="1:8" ht="15" x14ac:dyDescent="0.25">
      <c r="A455" s="5">
        <v>41183</v>
      </c>
      <c r="B455">
        <f>FRED!B1137</f>
        <v>100.026</v>
      </c>
      <c r="C455" s="3"/>
      <c r="D455" s="3"/>
      <c r="H455" s="7"/>
    </row>
    <row r="456" spans="1:8" ht="15" x14ac:dyDescent="0.25">
      <c r="A456" s="5">
        <v>41214</v>
      </c>
      <c r="B456">
        <f>FRED!B1138</f>
        <v>100.0301</v>
      </c>
      <c r="C456" s="3"/>
      <c r="D456" s="3"/>
      <c r="H456" s="7"/>
    </row>
    <row r="457" spans="1:8" ht="15" x14ac:dyDescent="0.25">
      <c r="A457" s="5">
        <v>41244</v>
      </c>
      <c r="B457">
        <f>FRED!B1139</f>
        <v>100.5789</v>
      </c>
      <c r="C457" s="3"/>
      <c r="D457" s="3"/>
      <c r="H457" s="7"/>
    </row>
    <row r="458" spans="1:8" ht="15" x14ac:dyDescent="0.25">
      <c r="A458" s="5">
        <v>41275</v>
      </c>
      <c r="B458">
        <f>FRED!B1140</f>
        <v>100.5607</v>
      </c>
      <c r="C458" s="3"/>
      <c r="D458" s="3"/>
      <c r="H458" s="7"/>
    </row>
    <row r="459" spans="1:8" ht="15" x14ac:dyDescent="0.25">
      <c r="A459" s="5">
        <v>41306</v>
      </c>
      <c r="B459">
        <f>FRED!B1141</f>
        <v>100.8241</v>
      </c>
      <c r="C459" s="3"/>
      <c r="D459" s="3"/>
      <c r="H459" s="7"/>
    </row>
    <row r="460" spans="1:8" ht="15" x14ac:dyDescent="0.25">
      <c r="A460" s="5">
        <v>41334</v>
      </c>
      <c r="B460">
        <f>FRED!B1142</f>
        <v>101.4091</v>
      </c>
      <c r="C460" s="3"/>
      <c r="D460" s="3"/>
      <c r="H460" s="7"/>
    </row>
    <row r="461" spans="1:8" ht="15" x14ac:dyDescent="0.25">
      <c r="A461" s="5">
        <v>41365</v>
      </c>
      <c r="B461">
        <f>FRED!B1143</f>
        <v>100.50449999999999</v>
      </c>
      <c r="C461" s="3"/>
      <c r="D461" s="3"/>
      <c r="H461" s="7"/>
    </row>
    <row r="462" spans="1:8" ht="15" x14ac:dyDescent="0.25">
      <c r="A462" s="5">
        <v>41395</v>
      </c>
      <c r="B462">
        <f>FRED!B1144</f>
        <v>100.64790000000001</v>
      </c>
      <c r="C462" s="3"/>
      <c r="D462" s="3"/>
      <c r="H462" s="7"/>
    </row>
    <row r="463" spans="1:8" ht="15" x14ac:dyDescent="0.25">
      <c r="A463" s="5">
        <v>41426</v>
      </c>
      <c r="B463">
        <f>FRED!B1145</f>
        <v>103.4528</v>
      </c>
      <c r="C463" s="3"/>
      <c r="D463" s="3"/>
      <c r="H463" s="7"/>
    </row>
    <row r="464" spans="1:8" ht="15" x14ac:dyDescent="0.25">
      <c r="A464" s="5">
        <v>41456</v>
      </c>
      <c r="B464">
        <f>FRED!B1146</f>
        <v>101.25579999999999</v>
      </c>
      <c r="C464" s="3"/>
      <c r="D464" s="3"/>
      <c r="H464" s="7"/>
    </row>
    <row r="465" spans="1:8" ht="15" x14ac:dyDescent="0.25">
      <c r="A465" s="5">
        <v>41487</v>
      </c>
      <c r="B465">
        <f>FRED!B1147</f>
        <v>104.0902</v>
      </c>
      <c r="C465" s="3"/>
      <c r="D465" s="3"/>
      <c r="H465" s="7"/>
    </row>
    <row r="466" spans="1:8" ht="15" x14ac:dyDescent="0.25">
      <c r="A466" s="5">
        <v>41518</v>
      </c>
      <c r="B466">
        <f>FRED!B1148</f>
        <v>103.42270000000001</v>
      </c>
      <c r="C466" s="3"/>
      <c r="D466" s="3"/>
      <c r="H466" s="7"/>
    </row>
    <row r="467" spans="1:8" ht="15" x14ac:dyDescent="0.25">
      <c r="A467" s="5">
        <v>41548</v>
      </c>
      <c r="B467">
        <f>FRED!B1149</f>
        <v>102.298</v>
      </c>
      <c r="C467" s="3"/>
      <c r="D467" s="3"/>
      <c r="H467" s="7"/>
    </row>
    <row r="468" spans="1:8" ht="15" x14ac:dyDescent="0.25">
      <c r="A468" s="5">
        <v>41579</v>
      </c>
      <c r="B468">
        <f>FRED!B1150</f>
        <v>102.1056</v>
      </c>
      <c r="C468" s="3"/>
      <c r="D468" s="3"/>
      <c r="H468" s="7"/>
    </row>
    <row r="469" spans="1:8" ht="15" x14ac:dyDescent="0.25">
      <c r="A469" s="5">
        <v>41609</v>
      </c>
      <c r="B469">
        <f>FRED!B1151</f>
        <v>102.3793</v>
      </c>
      <c r="C469" s="3"/>
      <c r="D469" s="3"/>
      <c r="H469" s="7"/>
    </row>
    <row r="470" spans="1:8" ht="15" x14ac:dyDescent="0.25">
      <c r="A470" s="5">
        <v>41640</v>
      </c>
      <c r="B470">
        <f>FRED!B1152</f>
        <v>102.1683</v>
      </c>
      <c r="C470" s="3"/>
      <c r="D470" s="3"/>
      <c r="H470" s="7"/>
    </row>
    <row r="471" spans="1:8" ht="15" x14ac:dyDescent="0.25">
      <c r="A471" s="5">
        <v>41671</v>
      </c>
      <c r="B471">
        <f>FRED!B1153</f>
        <v>102.7889</v>
      </c>
      <c r="C471" s="3"/>
      <c r="D471" s="3"/>
      <c r="H471" s="7"/>
    </row>
    <row r="472" spans="1:8" ht="15" x14ac:dyDescent="0.25">
      <c r="A472" s="5">
        <f>EOMONTH(A471,0)+1</f>
        <v>41699</v>
      </c>
      <c r="B472">
        <f>FRED!B1154</f>
        <v>104.2804</v>
      </c>
      <c r="C472" s="3"/>
      <c r="D472" s="3"/>
      <c r="H472" s="7"/>
    </row>
    <row r="473" spans="1:8" ht="15" x14ac:dyDescent="0.25">
      <c r="A473" s="5">
        <f t="shared" ref="A473:A505" si="0">EOMONTH(A472,0)+1</f>
        <v>41730</v>
      </c>
      <c r="B473">
        <f>FRED!B1155</f>
        <v>102.9064</v>
      </c>
      <c r="C473" s="3"/>
      <c r="D473" s="3"/>
      <c r="H473" s="7"/>
    </row>
    <row r="474" spans="1:8" ht="15" x14ac:dyDescent="0.25">
      <c r="A474" s="5">
        <f t="shared" si="0"/>
        <v>41760</v>
      </c>
      <c r="B474">
        <f>FRED!B1156</f>
        <v>103.72709999999999</v>
      </c>
      <c r="C474" s="3"/>
      <c r="D474" s="3"/>
      <c r="H474" s="7"/>
    </row>
    <row r="475" spans="1:8" ht="15" x14ac:dyDescent="0.25">
      <c r="A475" s="5">
        <f t="shared" si="0"/>
        <v>41791</v>
      </c>
      <c r="B475">
        <f>FRED!B1157</f>
        <v>106.80759999999999</v>
      </c>
      <c r="C475" s="3"/>
      <c r="D475" s="3"/>
      <c r="H475" s="7"/>
    </row>
    <row r="476" spans="1:8" ht="15" x14ac:dyDescent="0.25">
      <c r="A476" s="5">
        <f t="shared" si="0"/>
        <v>41821</v>
      </c>
      <c r="B476">
        <f>FRED!B1158</f>
        <v>104.8018</v>
      </c>
      <c r="C476" s="3"/>
      <c r="D476" s="3"/>
      <c r="H476" s="7"/>
    </row>
    <row r="477" spans="1:8" ht="15" x14ac:dyDescent="0.25">
      <c r="A477" s="5">
        <f t="shared" si="0"/>
        <v>41852</v>
      </c>
      <c r="B477">
        <f>FRED!B1159</f>
        <v>107.4252</v>
      </c>
      <c r="C477" s="3"/>
      <c r="D477" s="3"/>
      <c r="H477" s="7"/>
    </row>
    <row r="478" spans="1:8" ht="15" x14ac:dyDescent="0.25">
      <c r="A478" s="5">
        <f t="shared" si="0"/>
        <v>41883</v>
      </c>
      <c r="B478">
        <f>FRED!B1160</f>
        <v>106.6147</v>
      </c>
      <c r="C478" s="3"/>
      <c r="D478" s="3"/>
      <c r="H478" s="7"/>
    </row>
    <row r="479" spans="1:8" ht="15" x14ac:dyDescent="0.25">
      <c r="A479" s="5">
        <f t="shared" si="0"/>
        <v>41913</v>
      </c>
      <c r="B479">
        <f>FRED!B1161</f>
        <v>105.4789</v>
      </c>
      <c r="C479" s="3"/>
      <c r="D479" s="3"/>
      <c r="H479" s="7"/>
    </row>
    <row r="480" spans="1:8" ht="15" x14ac:dyDescent="0.25">
      <c r="A480" s="5">
        <f t="shared" si="0"/>
        <v>41944</v>
      </c>
      <c r="B480">
        <f>FRED!B1162</f>
        <v>105.91500000000001</v>
      </c>
      <c r="C480" s="3"/>
      <c r="D480" s="3"/>
      <c r="H480" s="7"/>
    </row>
    <row r="481" spans="1:8" ht="15" x14ac:dyDescent="0.25">
      <c r="A481" s="5">
        <f t="shared" si="0"/>
        <v>41974</v>
      </c>
      <c r="B481">
        <f>FRED!B1163</f>
        <v>105.777</v>
      </c>
      <c r="C481" s="3"/>
      <c r="D481" s="3"/>
      <c r="H481" s="7"/>
    </row>
    <row r="482" spans="1:8" ht="15" x14ac:dyDescent="0.25">
      <c r="A482" s="5">
        <f t="shared" si="0"/>
        <v>42005</v>
      </c>
      <c r="B482">
        <f>FRED!B1164</f>
        <v>105.3085</v>
      </c>
      <c r="C482" s="3"/>
      <c r="D482" s="3"/>
      <c r="H482" s="7"/>
    </row>
    <row r="483" spans="1:8" ht="15" x14ac:dyDescent="0.25">
      <c r="A483" s="5">
        <f t="shared" si="0"/>
        <v>42036</v>
      </c>
      <c r="B483">
        <f>FRED!B1165</f>
        <v>105.3511</v>
      </c>
      <c r="C483" s="3"/>
      <c r="D483" s="3"/>
      <c r="H483" s="7"/>
    </row>
    <row r="484" spans="1:8" ht="15" x14ac:dyDescent="0.25">
      <c r="A484" s="5">
        <f t="shared" si="0"/>
        <v>42064</v>
      </c>
      <c r="B484">
        <f>FRED!B1166</f>
        <v>105.7556</v>
      </c>
      <c r="C484" s="3"/>
      <c r="D484" s="3"/>
      <c r="H484" s="7"/>
    </row>
    <row r="485" spans="1:8" ht="15" x14ac:dyDescent="0.25">
      <c r="A485" s="5">
        <f t="shared" si="0"/>
        <v>42095</v>
      </c>
      <c r="B485">
        <f>FRED!B1167</f>
        <v>103.7886</v>
      </c>
      <c r="C485" s="3"/>
      <c r="D485" s="3"/>
      <c r="H485" s="7"/>
    </row>
    <row r="486" spans="1:8" ht="15" x14ac:dyDescent="0.25">
      <c r="A486" s="5">
        <f t="shared" si="0"/>
        <v>42125</v>
      </c>
      <c r="B486">
        <f>FRED!B1168</f>
        <v>104.22190000000001</v>
      </c>
      <c r="C486" s="3"/>
      <c r="D486" s="3"/>
      <c r="H486" s="7"/>
    </row>
    <row r="487" spans="1:8" ht="15" x14ac:dyDescent="0.25">
      <c r="A487" s="5">
        <f t="shared" si="0"/>
        <v>42156</v>
      </c>
      <c r="B487">
        <f>FRED!B1169</f>
        <v>106.8813</v>
      </c>
      <c r="C487" s="3"/>
      <c r="D487" s="3"/>
      <c r="H487" s="7"/>
    </row>
    <row r="488" spans="1:8" ht="15" x14ac:dyDescent="0.25">
      <c r="A488" s="5">
        <f t="shared" si="0"/>
        <v>42186</v>
      </c>
      <c r="B488">
        <f>FRED!B1170</f>
        <v>105.4284</v>
      </c>
      <c r="C488" s="3"/>
      <c r="D488" s="3"/>
      <c r="H488" s="7"/>
    </row>
    <row r="489" spans="1:8" ht="15" x14ac:dyDescent="0.25">
      <c r="A489" s="5">
        <f t="shared" si="0"/>
        <v>42217</v>
      </c>
      <c r="B489">
        <f>FRED!B1171</f>
        <v>108.03879999999999</v>
      </c>
      <c r="C489" s="3"/>
      <c r="D489" s="3"/>
      <c r="H489" s="7"/>
    </row>
    <row r="490" spans="1:8" ht="15" x14ac:dyDescent="0.25">
      <c r="A490" s="5">
        <f t="shared" si="0"/>
        <v>42248</v>
      </c>
      <c r="B490">
        <f>FRED!B1172</f>
        <v>105.99930000000001</v>
      </c>
      <c r="C490" s="3"/>
      <c r="D490" s="3"/>
      <c r="H490" s="7"/>
    </row>
    <row r="491" spans="1:8" ht="15" x14ac:dyDescent="0.25">
      <c r="A491" s="5">
        <f t="shared" si="0"/>
        <v>42278</v>
      </c>
      <c r="B491">
        <f>FRED!B1173</f>
        <v>105.07299999999999</v>
      </c>
      <c r="C491" s="3"/>
      <c r="D491" s="3"/>
      <c r="H491" s="7"/>
    </row>
    <row r="492" spans="1:8" ht="15" x14ac:dyDescent="0.25">
      <c r="A492" s="5">
        <f t="shared" si="0"/>
        <v>42309</v>
      </c>
      <c r="B492">
        <f>FRED!B1174</f>
        <v>103.7379</v>
      </c>
      <c r="C492" s="3"/>
      <c r="D492" s="3"/>
      <c r="H492" s="7"/>
    </row>
    <row r="493" spans="1:8" ht="15" x14ac:dyDescent="0.25">
      <c r="A493" s="5">
        <f t="shared" si="0"/>
        <v>42339</v>
      </c>
      <c r="B493">
        <f>FRED!B1175</f>
        <v>102.98390000000001</v>
      </c>
      <c r="C493" s="3"/>
      <c r="D493" s="3"/>
      <c r="H493" s="7"/>
    </row>
    <row r="494" spans="1:8" ht="15" x14ac:dyDescent="0.25">
      <c r="A494" s="5">
        <f t="shared" si="0"/>
        <v>42370</v>
      </c>
      <c r="B494">
        <f>FRED!B1176</f>
        <v>103.7467</v>
      </c>
      <c r="C494" s="3"/>
      <c r="D494" s="3"/>
      <c r="H494" s="7"/>
    </row>
    <row r="495" spans="1:8" ht="15" x14ac:dyDescent="0.25">
      <c r="A495" s="5">
        <f t="shared" si="0"/>
        <v>42401</v>
      </c>
      <c r="B495">
        <f>FRED!B1177</f>
        <v>103.5964</v>
      </c>
      <c r="C495" s="3"/>
      <c r="D495" s="3"/>
      <c r="H495" s="7"/>
    </row>
    <row r="496" spans="1:8" ht="15" x14ac:dyDescent="0.25">
      <c r="A496" s="5">
        <f t="shared" si="0"/>
        <v>42430</v>
      </c>
      <c r="B496">
        <f>FRED!B1178</f>
        <v>103.0343</v>
      </c>
      <c r="C496" s="3"/>
      <c r="D496" s="3"/>
      <c r="H496" s="7"/>
    </row>
    <row r="497" spans="1:8" ht="15" x14ac:dyDescent="0.25">
      <c r="A497" s="5">
        <f t="shared" si="0"/>
        <v>42461</v>
      </c>
      <c r="B497">
        <f>FRED!B1179</f>
        <v>102.8002</v>
      </c>
      <c r="C497" s="3"/>
      <c r="D497" s="3"/>
      <c r="H497" s="7"/>
    </row>
    <row r="498" spans="1:8" ht="15" x14ac:dyDescent="0.25">
      <c r="A498" s="5">
        <f t="shared" si="0"/>
        <v>42491</v>
      </c>
      <c r="B498">
        <f>FRED!B1180</f>
        <v>102.8557</v>
      </c>
      <c r="C498" s="3"/>
      <c r="D498" s="3"/>
      <c r="H498" s="7"/>
    </row>
    <row r="499" spans="1:8" ht="15" x14ac:dyDescent="0.25">
      <c r="A499" s="5">
        <f t="shared" si="0"/>
        <v>42522</v>
      </c>
      <c r="B499">
        <f>FRED!B1181</f>
        <v>106.4273</v>
      </c>
      <c r="C499" s="3"/>
      <c r="D499" s="3"/>
      <c r="H499" s="7"/>
    </row>
    <row r="500" spans="1:8" ht="15" x14ac:dyDescent="0.25">
      <c r="A500" s="5">
        <f t="shared" si="0"/>
        <v>42552</v>
      </c>
      <c r="B500">
        <f>FRED!B1182</f>
        <v>104.4508</v>
      </c>
      <c r="C500" s="3"/>
      <c r="D500" s="3"/>
      <c r="H500" s="7"/>
    </row>
    <row r="501" spans="1:8" ht="15" x14ac:dyDescent="0.25">
      <c r="A501" s="5">
        <f t="shared" si="0"/>
        <v>42583</v>
      </c>
      <c r="B501">
        <f>FRED!B1183</f>
        <v>106.93989999999999</v>
      </c>
      <c r="C501" s="3"/>
      <c r="D501" s="3"/>
      <c r="H501" s="7"/>
    </row>
    <row r="502" spans="1:8" x14ac:dyDescent="0.2">
      <c r="A502" s="5">
        <f t="shared" si="0"/>
        <v>42614</v>
      </c>
      <c r="B502">
        <f>FRED!B1184</f>
        <v>105.3682</v>
      </c>
      <c r="C502" s="3"/>
      <c r="D502" s="3"/>
    </row>
    <row r="503" spans="1:8" x14ac:dyDescent="0.2">
      <c r="A503" s="5">
        <f t="shared" si="0"/>
        <v>42644</v>
      </c>
      <c r="B503">
        <f>FRED!B1185</f>
        <v>104.3895</v>
      </c>
      <c r="C503" s="3"/>
      <c r="D503" s="3"/>
    </row>
    <row r="504" spans="1:8" x14ac:dyDescent="0.2">
      <c r="A504" s="5">
        <f t="shared" si="0"/>
        <v>42675</v>
      </c>
      <c r="B504">
        <f>FRED!B1186</f>
        <v>102.8768</v>
      </c>
      <c r="C504" s="3"/>
      <c r="D504" s="3"/>
    </row>
    <row r="505" spans="1:8" x14ac:dyDescent="0.2">
      <c r="A505" s="5">
        <f t="shared" si="0"/>
        <v>42705</v>
      </c>
      <c r="B505">
        <f>FRED!B1187</f>
        <v>103.51300000000001</v>
      </c>
      <c r="C505" s="3"/>
      <c r="D505" s="3"/>
    </row>
    <row r="506" spans="1:8" x14ac:dyDescent="0.2">
      <c r="A506" s="5"/>
    </row>
  </sheetData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6"/>
  <sheetViews>
    <sheetView topLeftCell="A469" workbookViewId="0">
      <selection activeCell="B2" sqref="B2:B505"/>
    </sheetView>
  </sheetViews>
  <sheetFormatPr defaultRowHeight="12.75" x14ac:dyDescent="0.2"/>
  <cols>
    <col min="3" max="4" width="13.7109375" bestFit="1" customWidth="1"/>
    <col min="6" max="6" width="13.28515625" bestFit="1" customWidth="1"/>
  </cols>
  <sheetData>
    <row r="1" spans="1:4" x14ac:dyDescent="0.2">
      <c r="A1" t="s">
        <v>0</v>
      </c>
      <c r="B1" s="8" t="s">
        <v>1136</v>
      </c>
      <c r="C1" s="6" t="s">
        <v>1122</v>
      </c>
      <c r="D1" s="6" t="s">
        <v>1123</v>
      </c>
    </row>
    <row r="2" spans="1:4" x14ac:dyDescent="0.2">
      <c r="A2" s="5">
        <v>27395</v>
      </c>
      <c r="B2">
        <f>IF(ISBLANK(D2),B3/(C3/C2),D2)</f>
        <v>40.694753593154104</v>
      </c>
      <c r="C2" s="3">
        <f>'PIM(2002 = 100)'!B2</f>
        <v>51.008962549430102</v>
      </c>
    </row>
    <row r="3" spans="1:4" x14ac:dyDescent="0.2">
      <c r="A3" s="5">
        <v>27426</v>
      </c>
      <c r="B3">
        <f t="shared" ref="B3:B66" si="0">IF(ISBLANK(D3),B4/(C4/C3),D3)</f>
        <v>38.181290255854236</v>
      </c>
      <c r="C3" s="3">
        <f>'PIM(2002 = 100)'!B3</f>
        <v>47.8584542916958</v>
      </c>
    </row>
    <row r="4" spans="1:4" x14ac:dyDescent="0.2">
      <c r="A4" s="5">
        <v>27454</v>
      </c>
      <c r="B4">
        <f t="shared" si="0"/>
        <v>41.352310016359716</v>
      </c>
      <c r="C4" s="3">
        <f>'PIM(2002 = 100)'!B4</f>
        <v>51.833178646196799</v>
      </c>
    </row>
    <row r="5" spans="1:4" x14ac:dyDescent="0.2">
      <c r="A5" s="5">
        <v>27485</v>
      </c>
      <c r="B5">
        <f t="shared" si="0"/>
        <v>43.570794771287062</v>
      </c>
      <c r="C5" s="3">
        <f>'PIM(2002 = 100)'!B5</f>
        <v>54.613945103512499</v>
      </c>
    </row>
    <row r="6" spans="1:4" x14ac:dyDescent="0.2">
      <c r="A6" s="5">
        <v>27515</v>
      </c>
      <c r="B6">
        <f t="shared" si="0"/>
        <v>43.724429449606092</v>
      </c>
      <c r="C6" s="3">
        <f>'PIM(2002 = 100)'!B6</f>
        <v>54.806518957897197</v>
      </c>
    </row>
    <row r="7" spans="1:4" x14ac:dyDescent="0.2">
      <c r="A7" s="5">
        <v>27546</v>
      </c>
      <c r="B7">
        <f t="shared" si="0"/>
        <v>45.174740812938033</v>
      </c>
      <c r="C7" s="3">
        <f>'PIM(2002 = 100)'!B7</f>
        <v>56.624416143289103</v>
      </c>
    </row>
    <row r="8" spans="1:4" x14ac:dyDescent="0.2">
      <c r="A8" s="5">
        <v>27576</v>
      </c>
      <c r="B8">
        <f t="shared" si="0"/>
        <v>46.877013048713337</v>
      </c>
      <c r="C8" s="3">
        <f>'PIM(2002 = 100)'!B8</f>
        <v>58.758134449872102</v>
      </c>
    </row>
    <row r="9" spans="1:4" x14ac:dyDescent="0.2">
      <c r="A9" s="5">
        <v>27607</v>
      </c>
      <c r="B9">
        <f t="shared" si="0"/>
        <v>46.022804237259294</v>
      </c>
      <c r="C9" s="3">
        <f>'PIM(2002 = 100)'!B9</f>
        <v>57.687423819492899</v>
      </c>
    </row>
    <row r="10" spans="1:4" x14ac:dyDescent="0.2">
      <c r="A10" s="5">
        <v>27638</v>
      </c>
      <c r="B10">
        <f t="shared" si="0"/>
        <v>47.178137018218628</v>
      </c>
      <c r="C10" s="3">
        <f>'PIM(2002 = 100)'!B10</f>
        <v>59.135579204466097</v>
      </c>
    </row>
    <row r="11" spans="1:4" x14ac:dyDescent="0.2">
      <c r="A11" s="5">
        <v>27668</v>
      </c>
      <c r="B11">
        <f t="shared" si="0"/>
        <v>48.812809995533541</v>
      </c>
      <c r="C11" s="3">
        <f>'PIM(2002 = 100)'!B11</f>
        <v>61.184565015119802</v>
      </c>
    </row>
    <row r="12" spans="1:4" x14ac:dyDescent="0.2">
      <c r="A12" s="5">
        <v>27699</v>
      </c>
      <c r="B12">
        <f t="shared" si="0"/>
        <v>45.752407203417782</v>
      </c>
      <c r="C12" s="3">
        <f>'PIM(2002 = 100)'!B12</f>
        <v>57.348493835775798</v>
      </c>
    </row>
    <row r="13" spans="1:4" x14ac:dyDescent="0.2">
      <c r="A13" s="5">
        <v>27729</v>
      </c>
      <c r="B13">
        <f t="shared" si="0"/>
        <v>44.39427664707717</v>
      </c>
      <c r="C13" s="3">
        <f>'PIM(2002 = 100)'!B13</f>
        <v>55.646140963014602</v>
      </c>
    </row>
    <row r="14" spans="1:4" x14ac:dyDescent="0.2">
      <c r="A14" s="5">
        <v>27760</v>
      </c>
      <c r="B14">
        <f t="shared" si="0"/>
        <v>43.951808773518302</v>
      </c>
      <c r="C14" s="3">
        <f>'PIM(2002 = 100)'!B14</f>
        <v>55.091528262386603</v>
      </c>
    </row>
    <row r="15" spans="1:4" x14ac:dyDescent="0.2">
      <c r="A15" s="5">
        <v>27791</v>
      </c>
      <c r="B15">
        <f t="shared" si="0"/>
        <v>45.076414618813857</v>
      </c>
      <c r="C15" s="3">
        <f>'PIM(2002 = 100)'!B15</f>
        <v>56.5011688764829</v>
      </c>
    </row>
    <row r="16" spans="1:4" x14ac:dyDescent="0.2">
      <c r="A16" s="5">
        <v>27820</v>
      </c>
      <c r="B16">
        <f t="shared" si="0"/>
        <v>48.155253572327929</v>
      </c>
      <c r="C16" s="3">
        <f>'PIM(2002 = 100)'!B16</f>
        <v>60.360348918353097</v>
      </c>
    </row>
    <row r="17" spans="1:3" x14ac:dyDescent="0.2">
      <c r="A17" s="5">
        <v>27851</v>
      </c>
      <c r="B17">
        <f t="shared" si="0"/>
        <v>47.092101598360003</v>
      </c>
      <c r="C17" s="3">
        <f>'PIM(2002 = 100)'!B17</f>
        <v>59.027737846010702</v>
      </c>
    </row>
    <row r="18" spans="1:3" x14ac:dyDescent="0.2">
      <c r="A18" s="5">
        <v>27881</v>
      </c>
      <c r="B18">
        <f t="shared" si="0"/>
        <v>49.728472678315129</v>
      </c>
      <c r="C18" s="3">
        <f>'PIM(2002 = 100)'!B18</f>
        <v>62.3323051872528</v>
      </c>
    </row>
    <row r="19" spans="1:3" x14ac:dyDescent="0.2">
      <c r="A19" s="5">
        <v>27912</v>
      </c>
      <c r="B19">
        <f t="shared" si="0"/>
        <v>51.264819461505859</v>
      </c>
      <c r="C19" s="3">
        <f>'PIM(2002 = 100)'!B19</f>
        <v>64.258043731100301</v>
      </c>
    </row>
    <row r="20" spans="1:3" x14ac:dyDescent="0.2">
      <c r="A20" s="5">
        <v>27942</v>
      </c>
      <c r="B20">
        <f t="shared" si="0"/>
        <v>52.229645241349537</v>
      </c>
      <c r="C20" s="3">
        <f>'PIM(2002 = 100)'!B20</f>
        <v>65.467407536636401</v>
      </c>
    </row>
    <row r="21" spans="1:3" x14ac:dyDescent="0.2">
      <c r="A21" s="5">
        <v>27973</v>
      </c>
      <c r="B21">
        <f t="shared" si="0"/>
        <v>52.752003147634355</v>
      </c>
      <c r="C21" s="3">
        <f>'PIM(2002 = 100)'!B21</f>
        <v>66.122158641544502</v>
      </c>
    </row>
    <row r="22" spans="1:3" x14ac:dyDescent="0.2">
      <c r="A22" s="5">
        <v>28004</v>
      </c>
      <c r="B22">
        <f t="shared" si="0"/>
        <v>51.897794336180397</v>
      </c>
      <c r="C22" s="3">
        <f>'PIM(2002 = 100)'!B22</f>
        <v>65.051448011165405</v>
      </c>
    </row>
    <row r="23" spans="1:3" x14ac:dyDescent="0.2">
      <c r="A23" s="5">
        <v>28034</v>
      </c>
      <c r="B23">
        <f t="shared" si="0"/>
        <v>53.557048862026299</v>
      </c>
      <c r="C23" s="3">
        <f>'PIM(2002 = 100)'!B23</f>
        <v>67.131245638520596</v>
      </c>
    </row>
    <row r="24" spans="1:3" x14ac:dyDescent="0.2">
      <c r="A24" s="5">
        <v>28065</v>
      </c>
      <c r="B24">
        <f t="shared" si="0"/>
        <v>50.386029101520741</v>
      </c>
      <c r="C24" s="3">
        <f>'PIM(2002 = 100)'!B24</f>
        <v>63.156521284019497</v>
      </c>
    </row>
    <row r="25" spans="1:3" x14ac:dyDescent="0.2">
      <c r="A25" s="5">
        <v>28095</v>
      </c>
      <c r="B25">
        <f t="shared" si="0"/>
        <v>48.935717738188799</v>
      </c>
      <c r="C25" s="3">
        <f>'PIM(2002 = 100)'!B25</f>
        <v>61.338624098627598</v>
      </c>
    </row>
    <row r="26" spans="1:3" x14ac:dyDescent="0.2">
      <c r="A26" s="5">
        <v>28126</v>
      </c>
      <c r="B26">
        <f t="shared" si="0"/>
        <v>45.266921619929519</v>
      </c>
      <c r="C26" s="3">
        <f>'PIM(2002 = 100)'!B26</f>
        <v>56.739960455919999</v>
      </c>
    </row>
    <row r="27" spans="1:3" x14ac:dyDescent="0.2">
      <c r="A27" s="5">
        <v>28157</v>
      </c>
      <c r="B27">
        <f t="shared" si="0"/>
        <v>43.828901030863044</v>
      </c>
      <c r="C27" s="3">
        <f>'PIM(2002 = 100)'!B27</f>
        <v>54.9374691788788</v>
      </c>
    </row>
    <row r="28" spans="1:3" x14ac:dyDescent="0.2">
      <c r="A28" s="5">
        <v>28185</v>
      </c>
      <c r="B28">
        <f t="shared" si="0"/>
        <v>51.375436429895579</v>
      </c>
      <c r="C28" s="3">
        <f>'PIM(2002 = 100)'!B28</f>
        <v>64.396696906257304</v>
      </c>
    </row>
    <row r="29" spans="1:3" x14ac:dyDescent="0.2">
      <c r="A29" s="5">
        <v>28216</v>
      </c>
      <c r="B29">
        <f t="shared" si="0"/>
        <v>47.700494924503523</v>
      </c>
      <c r="C29" s="3">
        <f>'PIM(2002 = 100)'!B29</f>
        <v>59.790330309374298</v>
      </c>
    </row>
    <row r="30" spans="1:3" x14ac:dyDescent="0.2">
      <c r="A30" s="5">
        <v>28246</v>
      </c>
      <c r="B30">
        <f t="shared" si="0"/>
        <v>52.530769210854913</v>
      </c>
      <c r="C30" s="3">
        <f>'PIM(2002 = 100)'!B30</f>
        <v>65.844852291230495</v>
      </c>
    </row>
    <row r="31" spans="1:3" x14ac:dyDescent="0.2">
      <c r="A31" s="5">
        <v>28277</v>
      </c>
      <c r="B31">
        <f t="shared" si="0"/>
        <v>52.493896888058366</v>
      </c>
      <c r="C31" s="3">
        <f>'PIM(2002 = 100)'!B31</f>
        <v>65.798634566178194</v>
      </c>
    </row>
    <row r="32" spans="1:3" x14ac:dyDescent="0.2">
      <c r="A32" s="5">
        <v>28307</v>
      </c>
      <c r="B32">
        <f t="shared" si="0"/>
        <v>52.284953725544405</v>
      </c>
      <c r="C32" s="3">
        <f>'PIM(2002 = 100)'!B32</f>
        <v>65.536734124214902</v>
      </c>
    </row>
    <row r="33" spans="1:3" x14ac:dyDescent="0.2">
      <c r="A33" s="5">
        <v>28338</v>
      </c>
      <c r="B33">
        <f t="shared" si="0"/>
        <v>54.362094576418187</v>
      </c>
      <c r="C33" s="3">
        <f>'PIM(2002 = 100)'!B33</f>
        <v>68.140332635496605</v>
      </c>
    </row>
    <row r="34" spans="1:3" x14ac:dyDescent="0.2">
      <c r="A34" s="5">
        <v>28369</v>
      </c>
      <c r="B34">
        <f t="shared" si="0"/>
        <v>52.205063692818548</v>
      </c>
      <c r="C34" s="3">
        <f>'PIM(2002 = 100)'!B34</f>
        <v>65.4365957199349</v>
      </c>
    </row>
    <row r="35" spans="1:3" x14ac:dyDescent="0.2">
      <c r="A35" s="5">
        <v>28399</v>
      </c>
      <c r="B35">
        <f t="shared" si="0"/>
        <v>53.833591283000615</v>
      </c>
      <c r="C35" s="3">
        <f>'PIM(2002 = 100)'!B35</f>
        <v>67.477878576413104</v>
      </c>
    </row>
    <row r="36" spans="1:3" x14ac:dyDescent="0.2">
      <c r="A36" s="5">
        <v>28430</v>
      </c>
      <c r="B36">
        <f t="shared" si="0"/>
        <v>52.155900595756464</v>
      </c>
      <c r="C36" s="3">
        <f>'PIM(2002 = 100)'!B36</f>
        <v>65.374972086531798</v>
      </c>
    </row>
    <row r="37" spans="1:3" x14ac:dyDescent="0.2">
      <c r="A37" s="5">
        <v>28460</v>
      </c>
      <c r="B37">
        <f t="shared" si="0"/>
        <v>49.562547225730654</v>
      </c>
      <c r="C37" s="3">
        <f>'PIM(2002 = 100)'!B37</f>
        <v>62.124325424517401</v>
      </c>
    </row>
    <row r="38" spans="1:3" x14ac:dyDescent="0.2">
      <c r="A38" s="5">
        <v>28491</v>
      </c>
      <c r="B38">
        <f t="shared" si="0"/>
        <v>48.39492367050569</v>
      </c>
      <c r="C38" s="3">
        <f>'PIM(2002 = 100)'!B38</f>
        <v>60.660764131193297</v>
      </c>
    </row>
    <row r="39" spans="1:3" x14ac:dyDescent="0.2">
      <c r="A39" s="5">
        <v>28522</v>
      </c>
      <c r="B39">
        <f t="shared" si="0"/>
        <v>45.942914204533452</v>
      </c>
      <c r="C39" s="3">
        <f>'PIM(2002 = 100)'!B39</f>
        <v>57.587285415212897</v>
      </c>
    </row>
    <row r="40" spans="1:3" x14ac:dyDescent="0.2">
      <c r="A40" s="5">
        <v>28550</v>
      </c>
      <c r="B40">
        <f t="shared" si="0"/>
        <v>52.788875470430987</v>
      </c>
      <c r="C40" s="3">
        <f>'PIM(2002 = 100)'!B40</f>
        <v>66.168376366596902</v>
      </c>
    </row>
    <row r="41" spans="1:3" x14ac:dyDescent="0.2">
      <c r="A41" s="5">
        <v>28581</v>
      </c>
      <c r="B41">
        <f t="shared" si="0"/>
        <v>51.00671320192982</v>
      </c>
      <c r="C41" s="3">
        <f>'PIM(2002 = 100)'!B41</f>
        <v>63.934519655733901</v>
      </c>
    </row>
    <row r="42" spans="1:3" x14ac:dyDescent="0.2">
      <c r="A42" s="5">
        <v>28611</v>
      </c>
      <c r="B42">
        <f t="shared" si="0"/>
        <v>53.913481315726557</v>
      </c>
      <c r="C42" s="3">
        <f>'PIM(2002 = 100)'!B42</f>
        <v>67.578016980693207</v>
      </c>
    </row>
    <row r="43" spans="1:3" x14ac:dyDescent="0.2">
      <c r="A43" s="5">
        <v>28642</v>
      </c>
      <c r="B43">
        <f t="shared" si="0"/>
        <v>54.300640705090636</v>
      </c>
      <c r="C43" s="3">
        <f>'PIM(2002 = 100)'!B43</f>
        <v>68.063303093742803</v>
      </c>
    </row>
    <row r="44" spans="1:3" x14ac:dyDescent="0.2">
      <c r="A44" s="5">
        <v>28672</v>
      </c>
      <c r="B44">
        <f t="shared" si="0"/>
        <v>55.154849516544594</v>
      </c>
      <c r="C44" s="3">
        <f>'PIM(2002 = 100)'!B44</f>
        <v>69.1340137241219</v>
      </c>
    </row>
    <row r="45" spans="1:3" x14ac:dyDescent="0.2">
      <c r="A45" s="5">
        <v>28703</v>
      </c>
      <c r="B45">
        <f t="shared" si="0"/>
        <v>59.143205765707563</v>
      </c>
      <c r="C45" s="3">
        <f>'PIM(2002 = 100)'!B45</f>
        <v>74.133230983949801</v>
      </c>
    </row>
    <row r="46" spans="1:3" x14ac:dyDescent="0.2">
      <c r="A46" s="5">
        <v>28734</v>
      </c>
      <c r="B46">
        <f t="shared" si="0"/>
        <v>56.045930650795171</v>
      </c>
      <c r="C46" s="3">
        <f>'PIM(2002 = 100)'!B46</f>
        <v>70.250942079553397</v>
      </c>
    </row>
    <row r="47" spans="1:3" x14ac:dyDescent="0.2">
      <c r="A47" s="5">
        <v>28764</v>
      </c>
      <c r="B47">
        <f t="shared" si="0"/>
        <v>59.610255187797506</v>
      </c>
      <c r="C47" s="3">
        <f>'PIM(2002 = 100)'!B47</f>
        <v>74.7186555012794</v>
      </c>
    </row>
    <row r="48" spans="1:3" x14ac:dyDescent="0.2">
      <c r="A48" s="5">
        <v>28795</v>
      </c>
      <c r="B48">
        <f t="shared" si="0"/>
        <v>55.941459069538219</v>
      </c>
      <c r="C48" s="3">
        <f>'PIM(2002 = 100)'!B48</f>
        <v>70.119991858571794</v>
      </c>
    </row>
    <row r="49" spans="1:3" x14ac:dyDescent="0.2">
      <c r="A49" s="5">
        <v>28825</v>
      </c>
      <c r="B49">
        <f t="shared" si="0"/>
        <v>52.868765503156922</v>
      </c>
      <c r="C49" s="3">
        <f>'PIM(2002 = 100)'!B49</f>
        <v>66.268514770877005</v>
      </c>
    </row>
    <row r="50" spans="1:3" x14ac:dyDescent="0.2">
      <c r="A50" s="5">
        <v>28856</v>
      </c>
      <c r="B50">
        <f t="shared" si="0"/>
        <v>53.569339636291836</v>
      </c>
      <c r="C50" s="3">
        <f>'PIM(2002 = 100)'!B50</f>
        <v>67.146651546871396</v>
      </c>
    </row>
    <row r="51" spans="1:3" x14ac:dyDescent="0.2">
      <c r="A51" s="5">
        <v>28887</v>
      </c>
      <c r="B51">
        <f t="shared" si="0"/>
        <v>49.980433550758413</v>
      </c>
      <c r="C51" s="3">
        <f>'PIM(2002 = 100)'!B51</f>
        <v>62.6481263084438</v>
      </c>
    </row>
    <row r="52" spans="1:3" x14ac:dyDescent="0.2">
      <c r="A52" s="5">
        <v>28915</v>
      </c>
      <c r="B52">
        <f t="shared" si="0"/>
        <v>55.726370519891468</v>
      </c>
      <c r="C52" s="3">
        <f>'PIM(2002 = 100)'!B52</f>
        <v>69.850388462433102</v>
      </c>
    </row>
    <row r="53" spans="1:3" x14ac:dyDescent="0.2">
      <c r="A53" s="5">
        <v>28946</v>
      </c>
      <c r="B53">
        <f t="shared" si="0"/>
        <v>53.729119701743635</v>
      </c>
      <c r="C53" s="3">
        <f>'PIM(2002 = 100)'!B53</f>
        <v>67.346928355431501</v>
      </c>
    </row>
    <row r="54" spans="1:3" x14ac:dyDescent="0.2">
      <c r="A54" s="5">
        <v>28976</v>
      </c>
      <c r="B54">
        <f t="shared" si="0"/>
        <v>58.424195471174293</v>
      </c>
      <c r="C54" s="3">
        <f>'PIM(2002 = 100)'!B54</f>
        <v>73.231985345429194</v>
      </c>
    </row>
    <row r="55" spans="1:3" x14ac:dyDescent="0.2">
      <c r="A55" s="5">
        <v>29007</v>
      </c>
      <c r="B55">
        <f t="shared" si="0"/>
        <v>58.424195471174293</v>
      </c>
      <c r="C55" s="3">
        <f>'PIM(2002 = 100)'!B55</f>
        <v>73.231985345429194</v>
      </c>
    </row>
    <row r="56" spans="1:3" x14ac:dyDescent="0.2">
      <c r="A56" s="5">
        <v>29037</v>
      </c>
      <c r="B56">
        <f t="shared" si="0"/>
        <v>59.32756737969035</v>
      </c>
      <c r="C56" s="3">
        <f>'PIM(2002 = 100)'!B56</f>
        <v>74.364319609211407</v>
      </c>
    </row>
    <row r="57" spans="1:3" x14ac:dyDescent="0.2">
      <c r="A57" s="5">
        <v>29068</v>
      </c>
      <c r="B57">
        <f t="shared" si="0"/>
        <v>63.002508885082392</v>
      </c>
      <c r="C57" s="3">
        <f>'PIM(2002 = 100)'!B57</f>
        <v>78.970686206094399</v>
      </c>
    </row>
    <row r="58" spans="1:3" x14ac:dyDescent="0.2">
      <c r="A58" s="5">
        <v>29099</v>
      </c>
      <c r="B58">
        <f t="shared" si="0"/>
        <v>57.98172759761534</v>
      </c>
      <c r="C58" s="3">
        <f>'PIM(2002 = 100)'!B58</f>
        <v>72.677372644801096</v>
      </c>
    </row>
    <row r="59" spans="1:3" x14ac:dyDescent="0.2">
      <c r="A59" s="5">
        <v>29129</v>
      </c>
      <c r="B59">
        <f t="shared" si="0"/>
        <v>64.876851960574953</v>
      </c>
      <c r="C59" s="3">
        <f>'PIM(2002 = 100)'!B59</f>
        <v>81.320087229588196</v>
      </c>
    </row>
    <row r="60" spans="1:3" x14ac:dyDescent="0.2">
      <c r="A60" s="5">
        <v>29160</v>
      </c>
      <c r="B60">
        <f t="shared" si="0"/>
        <v>59.714726769054415</v>
      </c>
      <c r="C60" s="3">
        <f>'PIM(2002 = 100)'!B60</f>
        <v>74.849605722261003</v>
      </c>
    </row>
    <row r="61" spans="1:3" x14ac:dyDescent="0.2">
      <c r="A61" s="5">
        <v>29190</v>
      </c>
      <c r="B61">
        <f t="shared" si="0"/>
        <v>55.296193420598044</v>
      </c>
      <c r="C61" s="3">
        <f>'PIM(2002 = 100)'!B61</f>
        <v>69.311181670155804</v>
      </c>
    </row>
    <row r="62" spans="1:3" x14ac:dyDescent="0.2">
      <c r="A62" s="5">
        <v>29221</v>
      </c>
      <c r="B62">
        <f t="shared" si="0"/>
        <v>57.096791850497517</v>
      </c>
      <c r="C62" s="3">
        <f>'PIM(2002 = 100)'!B62</f>
        <v>71.568147243544999</v>
      </c>
    </row>
    <row r="63" spans="1:3" x14ac:dyDescent="0.2">
      <c r="A63" s="5">
        <v>29252</v>
      </c>
      <c r="B63">
        <f t="shared" si="0"/>
        <v>55.966040618069187</v>
      </c>
      <c r="C63" s="3">
        <f>'PIM(2002 = 100)'!B63</f>
        <v>70.150803675273295</v>
      </c>
    </row>
    <row r="64" spans="1:3" x14ac:dyDescent="0.2">
      <c r="A64" s="5">
        <v>29281</v>
      </c>
      <c r="B64">
        <f t="shared" si="0"/>
        <v>61.798013007060959</v>
      </c>
      <c r="C64" s="3">
        <f>'PIM(2002 = 100)'!B64</f>
        <v>77.460907187718107</v>
      </c>
    </row>
    <row r="65" spans="1:3" x14ac:dyDescent="0.2">
      <c r="A65" s="5">
        <v>29312</v>
      </c>
      <c r="B65">
        <f t="shared" si="0"/>
        <v>57.490096626994294</v>
      </c>
      <c r="C65" s="3">
        <f>'PIM(2002 = 100)'!B65</f>
        <v>72.061136310769896</v>
      </c>
    </row>
    <row r="66" spans="1:3" x14ac:dyDescent="0.2">
      <c r="A66" s="5">
        <v>29342</v>
      </c>
      <c r="B66">
        <f t="shared" si="0"/>
        <v>63.186870499065265</v>
      </c>
      <c r="C66" s="3">
        <f>'PIM(2002 = 100)'!B66</f>
        <v>79.201774831356104</v>
      </c>
    </row>
    <row r="67" spans="1:3" x14ac:dyDescent="0.2">
      <c r="A67" s="5">
        <v>29373</v>
      </c>
      <c r="B67">
        <f t="shared" ref="B67:B130" si="1">IF(ISBLANK(D67),B68/(C68/C67),D67)</f>
        <v>64.016497761988219</v>
      </c>
      <c r="C67" s="3">
        <f>'PIM(2002 = 100)'!B67</f>
        <v>80.2416736450337</v>
      </c>
    </row>
    <row r="68" spans="1:3" x14ac:dyDescent="0.2">
      <c r="A68" s="5">
        <v>29403</v>
      </c>
      <c r="B68">
        <f t="shared" si="1"/>
        <v>67.132209038298839</v>
      </c>
      <c r="C68" s="3">
        <f>'PIM(2002 = 100)'!B68</f>
        <v>84.147071411956205</v>
      </c>
    </row>
    <row r="69" spans="1:3" x14ac:dyDescent="0.2">
      <c r="A69" s="5">
        <v>29434</v>
      </c>
      <c r="B69">
        <f t="shared" si="1"/>
        <v>66.394762582367363</v>
      </c>
      <c r="C69" s="3">
        <f>'PIM(2002 = 100)'!B69</f>
        <v>83.222716910909497</v>
      </c>
    </row>
    <row r="70" spans="1:3" x14ac:dyDescent="0.2">
      <c r="A70" s="5">
        <v>29465</v>
      </c>
      <c r="B70">
        <f t="shared" si="1"/>
        <v>68.090889431009828</v>
      </c>
      <c r="C70" s="3">
        <f>'PIM(2002 = 100)'!B70</f>
        <v>85.348732263317004</v>
      </c>
    </row>
    <row r="71" spans="1:3" x14ac:dyDescent="0.2">
      <c r="A71" s="5">
        <v>29495</v>
      </c>
      <c r="B71">
        <f t="shared" si="1"/>
        <v>69.375275341757259</v>
      </c>
      <c r="C71" s="3">
        <f>'PIM(2002 = 100)'!B71</f>
        <v>86.958649685973498</v>
      </c>
    </row>
    <row r="72" spans="1:3" x14ac:dyDescent="0.2">
      <c r="A72" s="5">
        <v>29526</v>
      </c>
      <c r="B72">
        <f t="shared" si="1"/>
        <v>64.342203280024677</v>
      </c>
      <c r="C72" s="3">
        <f>'PIM(2002 = 100)'!B72</f>
        <v>80.649930216329395</v>
      </c>
    </row>
    <row r="73" spans="1:3" x14ac:dyDescent="0.2">
      <c r="A73" s="5">
        <v>29556</v>
      </c>
      <c r="B73">
        <f t="shared" si="1"/>
        <v>58.577830149493316</v>
      </c>
      <c r="C73" s="3">
        <f>'PIM(2002 = 100)'!B73</f>
        <v>73.424559199813899</v>
      </c>
    </row>
    <row r="74" spans="1:3" x14ac:dyDescent="0.2">
      <c r="A74" s="5">
        <v>29587</v>
      </c>
      <c r="B74">
        <f t="shared" si="1"/>
        <v>57.188972657488925</v>
      </c>
      <c r="C74" s="3">
        <f>'PIM(2002 = 100)'!B74</f>
        <v>71.683691556175802</v>
      </c>
    </row>
    <row r="75" spans="1:3" x14ac:dyDescent="0.2">
      <c r="A75" s="5">
        <v>29618</v>
      </c>
      <c r="B75">
        <f t="shared" si="1"/>
        <v>56.912430236514631</v>
      </c>
      <c r="C75" s="3">
        <f>'PIM(2002 = 100)'!B75</f>
        <v>71.337058618283294</v>
      </c>
    </row>
    <row r="76" spans="1:3" x14ac:dyDescent="0.2">
      <c r="A76" s="5">
        <v>29646</v>
      </c>
      <c r="B76">
        <f t="shared" si="1"/>
        <v>57.539259724056393</v>
      </c>
      <c r="C76" s="3">
        <f>'PIM(2002 = 100)'!B76</f>
        <v>72.122759944172998</v>
      </c>
    </row>
    <row r="77" spans="1:3" x14ac:dyDescent="0.2">
      <c r="A77" s="5">
        <v>29677</v>
      </c>
      <c r="B77">
        <f t="shared" si="1"/>
        <v>53.735265088876396</v>
      </c>
      <c r="C77" s="3">
        <f>'PIM(2002 = 100)'!B77</f>
        <v>67.354631309606901</v>
      </c>
    </row>
    <row r="78" spans="1:3" x14ac:dyDescent="0.2">
      <c r="A78" s="5">
        <v>29707</v>
      </c>
      <c r="B78">
        <f t="shared" si="1"/>
        <v>55.695643584227604</v>
      </c>
      <c r="C78" s="3">
        <f>'PIM(2002 = 100)'!B78</f>
        <v>69.811873691556102</v>
      </c>
    </row>
    <row r="79" spans="1:3" x14ac:dyDescent="0.2">
      <c r="A79" s="5">
        <v>29738</v>
      </c>
      <c r="B79">
        <f t="shared" si="1"/>
        <v>57.821947532163549</v>
      </c>
      <c r="C79" s="3">
        <f>'PIM(2002 = 100)'!B79</f>
        <v>72.477095836241006</v>
      </c>
    </row>
    <row r="80" spans="1:3" x14ac:dyDescent="0.2">
      <c r="A80" s="5">
        <v>29768</v>
      </c>
      <c r="B80">
        <f t="shared" si="1"/>
        <v>59.942106092966625</v>
      </c>
      <c r="C80" s="3">
        <f>'PIM(2002 = 100)'!B80</f>
        <v>75.134615026750396</v>
      </c>
    </row>
    <row r="81" spans="1:3" x14ac:dyDescent="0.2">
      <c r="A81" s="5">
        <v>29799</v>
      </c>
      <c r="B81">
        <f t="shared" si="1"/>
        <v>58.368886986979348</v>
      </c>
      <c r="C81" s="3">
        <f>'PIM(2002 = 100)'!B81</f>
        <v>73.162658757850593</v>
      </c>
    </row>
    <row r="82" spans="1:3" x14ac:dyDescent="0.2">
      <c r="A82" s="5">
        <v>29830</v>
      </c>
      <c r="B82">
        <f t="shared" si="1"/>
        <v>56.758795558195615</v>
      </c>
      <c r="C82" s="3">
        <f>'PIM(2002 = 100)'!B82</f>
        <v>71.144484763898603</v>
      </c>
    </row>
    <row r="83" spans="1:3" x14ac:dyDescent="0.2">
      <c r="A83" s="5">
        <v>29860</v>
      </c>
      <c r="B83">
        <f t="shared" si="1"/>
        <v>58.282851567120723</v>
      </c>
      <c r="C83" s="3">
        <f>'PIM(2002 = 100)'!B83</f>
        <v>73.054817399395205</v>
      </c>
    </row>
    <row r="84" spans="1:3" x14ac:dyDescent="0.2">
      <c r="A84" s="5">
        <v>29891</v>
      </c>
      <c r="B84">
        <f t="shared" si="1"/>
        <v>54.614055448861436</v>
      </c>
      <c r="C84" s="3">
        <f>'PIM(2002 = 100)'!B84</f>
        <v>68.456153756687598</v>
      </c>
    </row>
    <row r="85" spans="1:3" x14ac:dyDescent="0.2">
      <c r="A85" s="5">
        <v>29921</v>
      </c>
      <c r="B85">
        <f t="shared" si="1"/>
        <v>49.906688905165225</v>
      </c>
      <c r="C85" s="3">
        <f>'PIM(2002 = 100)'!B85</f>
        <v>62.555690858339098</v>
      </c>
    </row>
    <row r="86" spans="1:3" x14ac:dyDescent="0.2">
      <c r="A86" s="5">
        <v>29952</v>
      </c>
      <c r="B86">
        <f t="shared" si="1"/>
        <v>48.597721445886783</v>
      </c>
      <c r="C86" s="3">
        <f>'PIM(2002 = 100)'!B86</f>
        <v>60.914961618981103</v>
      </c>
    </row>
    <row r="87" spans="1:3" x14ac:dyDescent="0.2">
      <c r="A87" s="5">
        <v>29983</v>
      </c>
      <c r="B87">
        <f t="shared" si="1"/>
        <v>48.136817410929609</v>
      </c>
      <c r="C87" s="3">
        <f>'PIM(2002 = 100)'!B87</f>
        <v>60.337240055826904</v>
      </c>
    </row>
    <row r="88" spans="1:3" x14ac:dyDescent="0.2">
      <c r="A88" s="5">
        <v>30011</v>
      </c>
      <c r="B88">
        <f t="shared" si="1"/>
        <v>57.053774140568216</v>
      </c>
      <c r="C88" s="3">
        <f>'PIM(2002 = 100)'!B88</f>
        <v>71.514226564317298</v>
      </c>
    </row>
    <row r="89" spans="1:3" x14ac:dyDescent="0.2">
      <c r="A89" s="5">
        <v>30042</v>
      </c>
      <c r="B89">
        <f t="shared" si="1"/>
        <v>53.630793507619373</v>
      </c>
      <c r="C89" s="3">
        <f>'PIM(2002 = 100)'!B89</f>
        <v>67.223681088625199</v>
      </c>
    </row>
    <row r="90" spans="1:3" x14ac:dyDescent="0.2">
      <c r="A90" s="5">
        <v>30072</v>
      </c>
      <c r="B90">
        <f t="shared" si="1"/>
        <v>56.930866397912958</v>
      </c>
      <c r="C90" s="3">
        <f>'PIM(2002 = 100)'!B90</f>
        <v>71.360167480809494</v>
      </c>
    </row>
    <row r="91" spans="1:3" x14ac:dyDescent="0.2">
      <c r="A91" s="5">
        <v>30103</v>
      </c>
      <c r="B91">
        <f t="shared" si="1"/>
        <v>59.73930831758544</v>
      </c>
      <c r="C91" s="3">
        <f>'PIM(2002 = 100)'!B91</f>
        <v>74.880417538962504</v>
      </c>
    </row>
    <row r="92" spans="1:3" x14ac:dyDescent="0.2">
      <c r="A92" s="5">
        <v>30133</v>
      </c>
      <c r="B92">
        <f t="shared" si="1"/>
        <v>61.865612265521285</v>
      </c>
      <c r="C92" s="3">
        <f>'PIM(2002 = 100)'!B92</f>
        <v>77.545639683647295</v>
      </c>
    </row>
    <row r="93" spans="1:3" x14ac:dyDescent="0.2">
      <c r="A93" s="5">
        <v>30164</v>
      </c>
      <c r="B93">
        <f t="shared" si="1"/>
        <v>63.199161273330823</v>
      </c>
      <c r="C93" s="3">
        <f>'PIM(2002 = 100)'!B93</f>
        <v>79.217180739706905</v>
      </c>
    </row>
    <row r="94" spans="1:3" x14ac:dyDescent="0.2">
      <c r="A94" s="5">
        <v>30195</v>
      </c>
      <c r="B94">
        <f t="shared" si="1"/>
        <v>61.091293486793198</v>
      </c>
      <c r="C94" s="3">
        <f>'PIM(2002 = 100)'!B94</f>
        <v>76.575067457548201</v>
      </c>
    </row>
    <row r="95" spans="1:3" x14ac:dyDescent="0.2">
      <c r="A95" s="5">
        <v>30225</v>
      </c>
      <c r="B95">
        <f t="shared" si="1"/>
        <v>59.899088383037309</v>
      </c>
      <c r="C95" s="3">
        <f>'PIM(2002 = 100)'!B95</f>
        <v>75.080694347522694</v>
      </c>
    </row>
    <row r="96" spans="1:3" x14ac:dyDescent="0.2">
      <c r="A96" s="5">
        <v>30256</v>
      </c>
      <c r="B96">
        <f t="shared" si="1"/>
        <v>56.230292264777958</v>
      </c>
      <c r="C96" s="3">
        <f>'PIM(2002 = 100)'!B96</f>
        <v>70.482030704815003</v>
      </c>
    </row>
    <row r="97" spans="1:3" x14ac:dyDescent="0.2">
      <c r="A97" s="5">
        <v>30286</v>
      </c>
      <c r="B97">
        <f t="shared" si="1"/>
        <v>50.601117651167385</v>
      </c>
      <c r="C97" s="3">
        <f>'PIM(2002 = 100)'!B97</f>
        <v>63.426124680158097</v>
      </c>
    </row>
    <row r="98" spans="1:3" x14ac:dyDescent="0.2">
      <c r="A98" s="5">
        <v>30317</v>
      </c>
      <c r="B98">
        <f t="shared" si="1"/>
        <v>47.313335535139423</v>
      </c>
      <c r="C98" s="3">
        <f>'PIM(2002 = 100)'!B98</f>
        <v>59.305044196324701</v>
      </c>
    </row>
    <row r="99" spans="1:3" x14ac:dyDescent="0.2">
      <c r="A99" s="5">
        <v>30348</v>
      </c>
      <c r="B99">
        <f t="shared" si="1"/>
        <v>45.568045589434803</v>
      </c>
      <c r="C99" s="3">
        <f>'PIM(2002 = 100)'!B99</f>
        <v>57.117405210514001</v>
      </c>
    </row>
    <row r="100" spans="1:3" x14ac:dyDescent="0.2">
      <c r="A100" s="5">
        <v>30376</v>
      </c>
      <c r="B100">
        <f t="shared" si="1"/>
        <v>53.815155121602267</v>
      </c>
      <c r="C100" s="3">
        <f>'PIM(2002 = 100)'!B100</f>
        <v>67.454769713886904</v>
      </c>
    </row>
    <row r="101" spans="1:3" x14ac:dyDescent="0.2">
      <c r="A101" s="5">
        <v>30407</v>
      </c>
      <c r="B101">
        <f t="shared" si="1"/>
        <v>48.74521073707313</v>
      </c>
      <c r="C101" s="3">
        <f>'PIM(2002 = 100)'!B101</f>
        <v>61.0998325191905</v>
      </c>
    </row>
    <row r="102" spans="1:3" x14ac:dyDescent="0.2">
      <c r="A102" s="5">
        <v>30437</v>
      </c>
      <c r="B102">
        <f t="shared" si="1"/>
        <v>54.030243671249004</v>
      </c>
      <c r="C102" s="3">
        <f>'PIM(2002 = 100)'!B102</f>
        <v>67.724373110025596</v>
      </c>
    </row>
    <row r="103" spans="1:3" x14ac:dyDescent="0.2">
      <c r="A103" s="5">
        <v>30468</v>
      </c>
      <c r="B103">
        <f t="shared" si="1"/>
        <v>54.435839222011317</v>
      </c>
      <c r="C103" s="3">
        <f>'PIM(2002 = 100)'!B103</f>
        <v>68.232768085601293</v>
      </c>
    </row>
    <row r="104" spans="1:3" x14ac:dyDescent="0.2">
      <c r="A104" s="5">
        <v>30498</v>
      </c>
      <c r="B104">
        <f t="shared" si="1"/>
        <v>55.025796386756532</v>
      </c>
      <c r="C104" s="3">
        <f>'PIM(2002 = 100)'!B104</f>
        <v>68.972251686438696</v>
      </c>
    </row>
    <row r="105" spans="1:3" x14ac:dyDescent="0.2">
      <c r="A105" s="5">
        <v>30529</v>
      </c>
      <c r="B105">
        <f t="shared" si="1"/>
        <v>59.364439702486962</v>
      </c>
      <c r="C105" s="3">
        <f>'PIM(2002 = 100)'!B105</f>
        <v>74.410537334263793</v>
      </c>
    </row>
    <row r="106" spans="1:3" x14ac:dyDescent="0.2">
      <c r="A106" s="5">
        <v>30560</v>
      </c>
      <c r="B106">
        <f t="shared" si="1"/>
        <v>57.268862690214888</v>
      </c>
      <c r="C106" s="3">
        <f>'PIM(2002 = 100)'!B106</f>
        <v>71.783829960455904</v>
      </c>
    </row>
    <row r="107" spans="1:3" x14ac:dyDescent="0.2">
      <c r="A107" s="5">
        <v>30590</v>
      </c>
      <c r="B107">
        <f t="shared" si="1"/>
        <v>58.516376278165701</v>
      </c>
      <c r="C107" s="3">
        <f>'PIM(2002 = 100)'!B107</f>
        <v>73.347529658059997</v>
      </c>
    </row>
    <row r="108" spans="1:3" x14ac:dyDescent="0.2">
      <c r="A108" s="5">
        <v>30621</v>
      </c>
      <c r="B108">
        <f t="shared" si="1"/>
        <v>56.38392694309708</v>
      </c>
      <c r="C108" s="3">
        <f>'PIM(2002 = 100)'!B108</f>
        <v>70.674604559199807</v>
      </c>
    </row>
    <row r="109" spans="1:3" x14ac:dyDescent="0.2">
      <c r="A109" s="5">
        <v>30651</v>
      </c>
      <c r="B109">
        <f t="shared" si="1"/>
        <v>51.449181075488667</v>
      </c>
      <c r="C109" s="3">
        <f>'PIM(2002 = 100)'!B109</f>
        <v>64.489132356361907</v>
      </c>
    </row>
    <row r="110" spans="1:3" x14ac:dyDescent="0.2">
      <c r="A110" s="5">
        <v>30682</v>
      </c>
      <c r="B110">
        <f t="shared" si="1"/>
        <v>49.175387836366539</v>
      </c>
      <c r="C110" s="3">
        <f>'PIM(2002 = 100)'!B110</f>
        <v>61.639039311467798</v>
      </c>
    </row>
    <row r="111" spans="1:3" x14ac:dyDescent="0.2">
      <c r="A111" s="5">
        <v>30713</v>
      </c>
      <c r="B111">
        <f t="shared" si="1"/>
        <v>51.283255622904093</v>
      </c>
      <c r="C111" s="3">
        <f>'PIM(2002 = 100)'!B111</f>
        <v>64.281152593626402</v>
      </c>
    </row>
    <row r="112" spans="1:3" x14ac:dyDescent="0.2">
      <c r="A112" s="5">
        <v>30742</v>
      </c>
      <c r="B112">
        <f t="shared" si="1"/>
        <v>52.616804630713624</v>
      </c>
      <c r="C112" s="3">
        <f>'PIM(2002 = 100)'!B112</f>
        <v>65.952693649685997</v>
      </c>
    </row>
    <row r="113" spans="1:3" x14ac:dyDescent="0.2">
      <c r="A113" s="5">
        <v>30773</v>
      </c>
      <c r="B113">
        <f t="shared" si="1"/>
        <v>50.736316168088202</v>
      </c>
      <c r="C113" s="3">
        <f>'PIM(2002 = 100)'!B113</f>
        <v>63.5955896720167</v>
      </c>
    </row>
    <row r="114" spans="1:3" x14ac:dyDescent="0.2">
      <c r="A114" s="5">
        <v>30803</v>
      </c>
      <c r="B114">
        <f t="shared" si="1"/>
        <v>57.791220596499713</v>
      </c>
      <c r="C114" s="3">
        <f>'PIM(2002 = 100)'!B114</f>
        <v>72.438581065364005</v>
      </c>
    </row>
    <row r="115" spans="1:3" x14ac:dyDescent="0.2">
      <c r="A115" s="5">
        <v>30834</v>
      </c>
      <c r="B115">
        <f t="shared" si="1"/>
        <v>59.456620509478384</v>
      </c>
      <c r="C115" s="3">
        <f>'PIM(2002 = 100)'!B115</f>
        <v>74.526081646894596</v>
      </c>
    </row>
    <row r="116" spans="1:3" x14ac:dyDescent="0.2">
      <c r="A116" s="5">
        <v>30864</v>
      </c>
      <c r="B116">
        <f t="shared" si="1"/>
        <v>61.711977587202284</v>
      </c>
      <c r="C116" s="3">
        <f>'PIM(2002 = 100)'!B116</f>
        <v>77.353065829262604</v>
      </c>
    </row>
    <row r="117" spans="1:3" x14ac:dyDescent="0.2">
      <c r="A117" s="5">
        <v>30895</v>
      </c>
      <c r="B117">
        <f t="shared" si="1"/>
        <v>63.457267532906819</v>
      </c>
      <c r="C117" s="3">
        <f>'PIM(2002 = 100)'!B117</f>
        <v>79.540704815073198</v>
      </c>
    </row>
    <row r="118" spans="1:3" x14ac:dyDescent="0.2">
      <c r="A118" s="5">
        <v>30926</v>
      </c>
      <c r="B118">
        <f t="shared" si="1"/>
        <v>60.15719464261332</v>
      </c>
      <c r="C118" s="3">
        <f>'PIM(2002 = 100)'!B118</f>
        <v>75.404218422889002</v>
      </c>
    </row>
    <row r="119" spans="1:3" x14ac:dyDescent="0.2">
      <c r="A119" s="5">
        <v>30956</v>
      </c>
      <c r="B119">
        <f t="shared" si="1"/>
        <v>65.350046769797785</v>
      </c>
      <c r="C119" s="3">
        <f>'PIM(2002 = 100)'!B119</f>
        <v>81.913214701093295</v>
      </c>
    </row>
    <row r="120" spans="1:3" x14ac:dyDescent="0.2">
      <c r="A120" s="5">
        <v>30987</v>
      </c>
      <c r="B120">
        <f t="shared" si="1"/>
        <v>60.814751065818925</v>
      </c>
      <c r="C120" s="3">
        <f>'PIM(2002 = 100)'!B120</f>
        <v>76.228434519655707</v>
      </c>
    </row>
    <row r="121" spans="1:3" x14ac:dyDescent="0.2">
      <c r="A121" s="5">
        <v>31017</v>
      </c>
      <c r="B121">
        <f t="shared" si="1"/>
        <v>54.939760966897907</v>
      </c>
      <c r="C121" s="3">
        <f>'PIM(2002 = 100)'!B121</f>
        <v>68.864410327983293</v>
      </c>
    </row>
    <row r="122" spans="1:3" x14ac:dyDescent="0.2">
      <c r="A122" s="5">
        <v>31048</v>
      </c>
      <c r="B122">
        <f t="shared" si="1"/>
        <v>56.451526201557478</v>
      </c>
      <c r="C122" s="3">
        <f>'PIM(2002 = 100)'!B122</f>
        <v>70.759337055129095</v>
      </c>
    </row>
    <row r="123" spans="1:3" x14ac:dyDescent="0.2">
      <c r="A123" s="5">
        <v>31079</v>
      </c>
      <c r="B123">
        <f t="shared" si="1"/>
        <v>52.229645241349537</v>
      </c>
      <c r="C123" s="3">
        <f>'PIM(2002 = 100)'!B123</f>
        <v>65.467407536636401</v>
      </c>
    </row>
    <row r="124" spans="1:3" x14ac:dyDescent="0.2">
      <c r="A124" s="5">
        <v>31107</v>
      </c>
      <c r="B124">
        <f t="shared" si="1"/>
        <v>58.344305438448373</v>
      </c>
      <c r="C124" s="3">
        <f>'PIM(2002 = 100)'!B124</f>
        <v>73.131846941149107</v>
      </c>
    </row>
    <row r="125" spans="1:3" x14ac:dyDescent="0.2">
      <c r="A125" s="5">
        <v>31138</v>
      </c>
      <c r="B125">
        <f t="shared" si="1"/>
        <v>52.364843758270339</v>
      </c>
      <c r="C125" s="3">
        <f>'PIM(2002 = 100)'!B125</f>
        <v>65.636872528495005</v>
      </c>
    </row>
    <row r="126" spans="1:3" x14ac:dyDescent="0.2">
      <c r="A126" s="5">
        <v>31168</v>
      </c>
      <c r="B126">
        <f t="shared" si="1"/>
        <v>59.180078088504096</v>
      </c>
      <c r="C126" s="3">
        <f>'PIM(2002 = 100)'!B126</f>
        <v>74.179448709002102</v>
      </c>
    </row>
    <row r="127" spans="1:3" x14ac:dyDescent="0.2">
      <c r="A127" s="5">
        <v>31199</v>
      </c>
      <c r="B127">
        <f t="shared" si="1"/>
        <v>61.054421163996672</v>
      </c>
      <c r="C127" s="3">
        <f>'PIM(2002 = 100)'!B127</f>
        <v>76.5288497324959</v>
      </c>
    </row>
    <row r="128" spans="1:3" x14ac:dyDescent="0.2">
      <c r="A128" s="5">
        <v>31229</v>
      </c>
      <c r="B128">
        <f t="shared" si="1"/>
        <v>67.507077653397431</v>
      </c>
      <c r="C128" s="3">
        <f>'PIM(2002 = 100)'!B128</f>
        <v>84.616951616655001</v>
      </c>
    </row>
    <row r="129" spans="1:3" x14ac:dyDescent="0.2">
      <c r="A129" s="5">
        <v>31260</v>
      </c>
      <c r="B129">
        <f t="shared" si="1"/>
        <v>68.809899725543104</v>
      </c>
      <c r="C129" s="3">
        <f>'PIM(2002 = 100)'!B129</f>
        <v>86.249977901837596</v>
      </c>
    </row>
    <row r="130" spans="1:3" x14ac:dyDescent="0.2">
      <c r="A130" s="5">
        <v>31291</v>
      </c>
      <c r="B130">
        <f t="shared" si="1"/>
        <v>67.691439267380332</v>
      </c>
      <c r="C130" s="3">
        <f>'PIM(2002 = 100)'!B130</f>
        <v>84.848040241916706</v>
      </c>
    </row>
    <row r="131" spans="1:3" x14ac:dyDescent="0.2">
      <c r="A131" s="5">
        <v>31321</v>
      </c>
      <c r="B131">
        <f t="shared" ref="B131:B194" si="2">IF(ISBLANK(D131),B132/(C132/C131),D131)</f>
        <v>73.929007207134347</v>
      </c>
      <c r="C131" s="3">
        <f>'PIM(2002 = 100)'!B131</f>
        <v>92.666538729937102</v>
      </c>
    </row>
    <row r="132" spans="1:3" x14ac:dyDescent="0.2">
      <c r="A132" s="5">
        <v>31352</v>
      </c>
      <c r="B132">
        <f t="shared" si="2"/>
        <v>66.88024816585569</v>
      </c>
      <c r="C132" s="3">
        <f>'PIM(2002 = 100)'!B132</f>
        <v>83.831250290765297</v>
      </c>
    </row>
    <row r="133" spans="1:3" x14ac:dyDescent="0.2">
      <c r="A133" s="5">
        <v>31382</v>
      </c>
      <c r="B133">
        <f t="shared" si="2"/>
        <v>61.429289779095235</v>
      </c>
      <c r="C133" s="3">
        <f>'PIM(2002 = 100)'!B133</f>
        <v>76.998729937194696</v>
      </c>
    </row>
    <row r="134" spans="1:3" x14ac:dyDescent="0.2">
      <c r="A134" s="5">
        <v>31413</v>
      </c>
      <c r="B134">
        <f t="shared" si="2"/>
        <v>62.725966464108154</v>
      </c>
      <c r="C134" s="3">
        <f>'PIM(2002 = 100)'!B134</f>
        <v>78.624053268201905</v>
      </c>
    </row>
    <row r="135" spans="1:3" x14ac:dyDescent="0.2">
      <c r="A135" s="5">
        <v>31444</v>
      </c>
      <c r="B135">
        <f t="shared" si="2"/>
        <v>59.02644341018501</v>
      </c>
      <c r="C135" s="3">
        <f>'PIM(2002 = 100)'!B135</f>
        <v>73.986874854617298</v>
      </c>
    </row>
    <row r="136" spans="1:3" x14ac:dyDescent="0.2">
      <c r="A136" s="5">
        <v>31472</v>
      </c>
      <c r="B136">
        <f t="shared" si="2"/>
        <v>60.366137805127302</v>
      </c>
      <c r="C136" s="3">
        <f>'PIM(2002 = 100)'!B136</f>
        <v>75.666118864852294</v>
      </c>
    </row>
    <row r="137" spans="1:3" x14ac:dyDescent="0.2">
      <c r="A137" s="5">
        <v>31503</v>
      </c>
      <c r="B137">
        <f t="shared" si="2"/>
        <v>62.842728819630622</v>
      </c>
      <c r="C137" s="3">
        <f>'PIM(2002 = 100)'!B137</f>
        <v>78.770409397534294</v>
      </c>
    </row>
    <row r="138" spans="1:3" x14ac:dyDescent="0.2">
      <c r="A138" s="5">
        <v>31533</v>
      </c>
      <c r="B138">
        <f t="shared" si="2"/>
        <v>65.522117609515078</v>
      </c>
      <c r="C138" s="3">
        <f>'PIM(2002 = 100)'!B138</f>
        <v>82.128897418004101</v>
      </c>
    </row>
    <row r="139" spans="1:3" x14ac:dyDescent="0.2">
      <c r="A139" s="5">
        <v>31564</v>
      </c>
      <c r="B139">
        <f t="shared" si="2"/>
        <v>69.362984567491793</v>
      </c>
      <c r="C139" s="3">
        <f>'PIM(2002 = 100)'!B139</f>
        <v>86.943243777622698</v>
      </c>
    </row>
    <row r="140" spans="1:3" x14ac:dyDescent="0.2">
      <c r="A140" s="5">
        <v>31594</v>
      </c>
      <c r="B140">
        <f t="shared" si="2"/>
        <v>75.0597584395627</v>
      </c>
      <c r="C140" s="3">
        <f>'PIM(2002 = 100)'!B140</f>
        <v>94.083882298208806</v>
      </c>
    </row>
    <row r="141" spans="1:3" x14ac:dyDescent="0.2">
      <c r="A141" s="5">
        <v>31625</v>
      </c>
      <c r="B141">
        <f t="shared" si="2"/>
        <v>74.36532969356054</v>
      </c>
      <c r="C141" s="3">
        <f>'PIM(2002 = 100)'!B141</f>
        <v>93.2134484763898</v>
      </c>
    </row>
    <row r="142" spans="1:3" x14ac:dyDescent="0.2">
      <c r="A142" s="5">
        <v>31656</v>
      </c>
      <c r="B142">
        <f t="shared" si="2"/>
        <v>78.304522845661424</v>
      </c>
      <c r="C142" s="3">
        <f>'PIM(2002 = 100)'!B142</f>
        <v>98.1510421028146</v>
      </c>
    </row>
    <row r="143" spans="1:3" x14ac:dyDescent="0.2">
      <c r="A143" s="5">
        <v>31686</v>
      </c>
      <c r="B143">
        <f t="shared" si="2"/>
        <v>81.770521188539277</v>
      </c>
      <c r="C143" s="3">
        <f>'PIM(2002 = 100)'!B143</f>
        <v>102.495508257734</v>
      </c>
    </row>
    <row r="144" spans="1:3" x14ac:dyDescent="0.2">
      <c r="A144" s="5">
        <v>31717</v>
      </c>
      <c r="B144">
        <f t="shared" si="2"/>
        <v>72.49713200520074</v>
      </c>
      <c r="C144" s="3">
        <f>'PIM(2002 = 100)'!B144</f>
        <v>90.871750407071403</v>
      </c>
    </row>
    <row r="145" spans="1:3" x14ac:dyDescent="0.2">
      <c r="A145" s="5">
        <v>31747</v>
      </c>
      <c r="B145">
        <f t="shared" si="2"/>
        <v>65.595862255108258</v>
      </c>
      <c r="C145" s="3">
        <f>'PIM(2002 = 100)'!B145</f>
        <v>82.221332868108803</v>
      </c>
    </row>
    <row r="146" spans="1:3" x14ac:dyDescent="0.2">
      <c r="A146" s="5">
        <v>31778</v>
      </c>
      <c r="B146">
        <f t="shared" si="2"/>
        <v>66.720468100403821</v>
      </c>
      <c r="C146" s="3">
        <f>'PIM(2002 = 100)'!B146</f>
        <v>83.630973482205107</v>
      </c>
    </row>
    <row r="147" spans="1:3" x14ac:dyDescent="0.2">
      <c r="A147" s="5">
        <v>31809</v>
      </c>
      <c r="B147">
        <f t="shared" si="2"/>
        <v>66.284145613977714</v>
      </c>
      <c r="C147" s="3">
        <f>'PIM(2002 = 100)'!B147</f>
        <v>83.084063735752494</v>
      </c>
    </row>
    <row r="148" spans="1:3" x14ac:dyDescent="0.2">
      <c r="A148" s="5">
        <v>31837</v>
      </c>
      <c r="B148">
        <f t="shared" si="2"/>
        <v>68.828335886941446</v>
      </c>
      <c r="C148" s="3">
        <f>'PIM(2002 = 100)'!B148</f>
        <v>86.273086764363796</v>
      </c>
    </row>
    <row r="149" spans="1:3" x14ac:dyDescent="0.2">
      <c r="A149" s="5">
        <v>31868</v>
      </c>
      <c r="B149">
        <f t="shared" si="2"/>
        <v>68.152343302337528</v>
      </c>
      <c r="C149" s="3">
        <f>'PIM(2002 = 100)'!B149</f>
        <v>85.425761805070906</v>
      </c>
    </row>
    <row r="150" spans="1:3" x14ac:dyDescent="0.2">
      <c r="A150" s="5">
        <v>31898</v>
      </c>
      <c r="B150">
        <f t="shared" si="2"/>
        <v>68.975825178127707</v>
      </c>
      <c r="C150" s="3">
        <f>'PIM(2002 = 100)'!B150</f>
        <v>86.457957664573101</v>
      </c>
    </row>
    <row r="151" spans="1:3" x14ac:dyDescent="0.2">
      <c r="A151" s="5">
        <v>31929</v>
      </c>
      <c r="B151">
        <f t="shared" si="2"/>
        <v>70.524462735583896</v>
      </c>
      <c r="C151" s="3">
        <f>'PIM(2002 = 100)'!B151</f>
        <v>88.399102116771303</v>
      </c>
    </row>
    <row r="152" spans="1:3" x14ac:dyDescent="0.2">
      <c r="A152" s="5">
        <v>31959</v>
      </c>
      <c r="B152">
        <f t="shared" si="2"/>
        <v>70.321664960202767</v>
      </c>
      <c r="C152" s="3">
        <f>'PIM(2002 = 100)'!B152</f>
        <v>88.144904628983497</v>
      </c>
    </row>
    <row r="153" spans="1:3" x14ac:dyDescent="0.2">
      <c r="A153" s="5">
        <v>31990</v>
      </c>
      <c r="B153">
        <f t="shared" si="2"/>
        <v>70.856313640753044</v>
      </c>
      <c r="C153" s="3">
        <f>'PIM(2002 = 100)'!B153</f>
        <v>88.815061642242298</v>
      </c>
    </row>
    <row r="154" spans="1:3" x14ac:dyDescent="0.2">
      <c r="A154" s="5">
        <v>32021</v>
      </c>
      <c r="B154">
        <f t="shared" si="2"/>
        <v>74.113368821117234</v>
      </c>
      <c r="C154" s="3">
        <f>'PIM(2002 = 100)'!B154</f>
        <v>92.897627355198793</v>
      </c>
    </row>
    <row r="155" spans="1:3" x14ac:dyDescent="0.2">
      <c r="A155" s="5">
        <v>32051</v>
      </c>
      <c r="B155">
        <f t="shared" si="2"/>
        <v>75.901676476751177</v>
      </c>
      <c r="C155" s="3">
        <f>'PIM(2002 = 100)'!B155</f>
        <v>95.139187020237202</v>
      </c>
    </row>
    <row r="156" spans="1:3" x14ac:dyDescent="0.2">
      <c r="A156" s="5">
        <v>32082</v>
      </c>
      <c r="B156">
        <f t="shared" si="2"/>
        <v>70.807150543690952</v>
      </c>
      <c r="C156" s="3">
        <f>'PIM(2002 = 100)'!B156</f>
        <v>88.753438008839197</v>
      </c>
    </row>
    <row r="157" spans="1:3" x14ac:dyDescent="0.2">
      <c r="A157" s="5">
        <v>32112</v>
      </c>
      <c r="B157">
        <f t="shared" si="2"/>
        <v>63.15614356340155</v>
      </c>
      <c r="C157" s="3">
        <f>'PIM(2002 = 100)'!B157</f>
        <v>79.163260060479203</v>
      </c>
    </row>
    <row r="158" spans="1:3" x14ac:dyDescent="0.2">
      <c r="A158" s="5">
        <v>32143</v>
      </c>
      <c r="B158">
        <f t="shared" si="2"/>
        <v>60.802460291553409</v>
      </c>
      <c r="C158" s="3">
        <f>'PIM(2002 = 100)'!B158</f>
        <v>76.213028611304907</v>
      </c>
    </row>
    <row r="159" spans="1:3" x14ac:dyDescent="0.2">
      <c r="A159" s="5">
        <v>32174</v>
      </c>
      <c r="B159">
        <f t="shared" si="2"/>
        <v>60.575080967641199</v>
      </c>
      <c r="C159" s="3">
        <f>'PIM(2002 = 100)'!B159</f>
        <v>75.9280193068155</v>
      </c>
    </row>
    <row r="160" spans="1:3" x14ac:dyDescent="0.2">
      <c r="A160" s="5">
        <v>32203</v>
      </c>
      <c r="B160">
        <f t="shared" si="2"/>
        <v>68.895935145401836</v>
      </c>
      <c r="C160" s="3">
        <f>'PIM(2002 = 100)'!B160</f>
        <v>86.357819260293098</v>
      </c>
    </row>
    <row r="161" spans="1:3" x14ac:dyDescent="0.2">
      <c r="A161" s="5">
        <v>32234</v>
      </c>
      <c r="B161">
        <f t="shared" si="2"/>
        <v>62.842728819630622</v>
      </c>
      <c r="C161" s="3">
        <f>'PIM(2002 = 100)'!B161</f>
        <v>78.770409397534294</v>
      </c>
    </row>
    <row r="162" spans="1:3" x14ac:dyDescent="0.2">
      <c r="A162" s="5">
        <v>32264</v>
      </c>
      <c r="B162">
        <f t="shared" si="2"/>
        <v>65.036632026026894</v>
      </c>
      <c r="C162" s="3">
        <f>'PIM(2002 = 100)'!B162</f>
        <v>81.520364038148401</v>
      </c>
    </row>
    <row r="163" spans="1:3" x14ac:dyDescent="0.2">
      <c r="A163" s="5">
        <v>32295</v>
      </c>
      <c r="B163">
        <f t="shared" si="2"/>
        <v>71.716667839339848</v>
      </c>
      <c r="C163" s="3">
        <f>'PIM(2002 = 100)'!B163</f>
        <v>89.893475226796895</v>
      </c>
    </row>
    <row r="164" spans="1:3" x14ac:dyDescent="0.2">
      <c r="A164" s="5">
        <v>32325</v>
      </c>
      <c r="B164">
        <f t="shared" si="2"/>
        <v>71.741249387870937</v>
      </c>
      <c r="C164" s="3">
        <f>'PIM(2002 = 100)'!B164</f>
        <v>89.924287043498495</v>
      </c>
    </row>
    <row r="165" spans="1:3" x14ac:dyDescent="0.2">
      <c r="A165" s="5">
        <v>32356</v>
      </c>
      <c r="B165">
        <f t="shared" si="2"/>
        <v>76.092183477866826</v>
      </c>
      <c r="C165" s="3">
        <f>'PIM(2002 = 100)'!B165</f>
        <v>95.377978599674293</v>
      </c>
    </row>
    <row r="166" spans="1:3" x14ac:dyDescent="0.2">
      <c r="A166" s="5">
        <v>32387</v>
      </c>
      <c r="B166">
        <f t="shared" si="2"/>
        <v>73.148543041273555</v>
      </c>
      <c r="C166" s="3">
        <f>'PIM(2002 = 100)'!B166</f>
        <v>91.688263549662693</v>
      </c>
    </row>
    <row r="167" spans="1:3" x14ac:dyDescent="0.2">
      <c r="A167" s="5">
        <v>32417</v>
      </c>
      <c r="B167">
        <f t="shared" si="2"/>
        <v>69.860760925245515</v>
      </c>
      <c r="C167" s="3">
        <f>'PIM(2002 = 100)'!B167</f>
        <v>87.567183065829198</v>
      </c>
    </row>
    <row r="168" spans="1:3" x14ac:dyDescent="0.2">
      <c r="A168" s="5">
        <v>32448</v>
      </c>
      <c r="B168">
        <f t="shared" si="2"/>
        <v>65.829386966153308</v>
      </c>
      <c r="C168" s="3">
        <f>'PIM(2002 = 100)'!B168</f>
        <v>82.514045126773695</v>
      </c>
    </row>
    <row r="169" spans="1:3" x14ac:dyDescent="0.2">
      <c r="A169" s="5">
        <v>32478</v>
      </c>
      <c r="B169">
        <f t="shared" si="2"/>
        <v>61.023694228332921</v>
      </c>
      <c r="C169" s="3">
        <f>'PIM(2002 = 100)'!B169</f>
        <v>76.490334961618998</v>
      </c>
    </row>
    <row r="170" spans="1:3" x14ac:dyDescent="0.2">
      <c r="A170" s="5">
        <v>32509</v>
      </c>
      <c r="B170">
        <f t="shared" si="2"/>
        <v>59.573382865000902</v>
      </c>
      <c r="C170" s="3">
        <f>'PIM(2002 = 100)'!B170</f>
        <v>74.672437776227</v>
      </c>
    </row>
    <row r="171" spans="1:3" x14ac:dyDescent="0.2">
      <c r="A171" s="5">
        <v>32540</v>
      </c>
      <c r="B171">
        <f t="shared" si="2"/>
        <v>54.638636997392489</v>
      </c>
      <c r="C171" s="3">
        <f>'PIM(2002 = 100)'!B171</f>
        <v>68.486965573389099</v>
      </c>
    </row>
    <row r="172" spans="1:3" x14ac:dyDescent="0.2">
      <c r="A172" s="5">
        <v>32568</v>
      </c>
      <c r="B172">
        <f t="shared" si="2"/>
        <v>62.670657979913294</v>
      </c>
      <c r="C172" s="3">
        <f>'PIM(2002 = 100)'!B172</f>
        <v>78.554726680623403</v>
      </c>
    </row>
    <row r="173" spans="1:3" x14ac:dyDescent="0.2">
      <c r="A173" s="5">
        <v>32599</v>
      </c>
      <c r="B173">
        <f t="shared" si="2"/>
        <v>61.367835907767613</v>
      </c>
      <c r="C173" s="3">
        <f>'PIM(2002 = 100)'!B173</f>
        <v>76.921700395440794</v>
      </c>
    </row>
    <row r="174" spans="1:3" x14ac:dyDescent="0.2">
      <c r="A174" s="5">
        <v>32629</v>
      </c>
      <c r="B174">
        <f t="shared" si="2"/>
        <v>68.637828885825797</v>
      </c>
      <c r="C174" s="3">
        <f>'PIM(2002 = 100)'!B174</f>
        <v>86.034295184926705</v>
      </c>
    </row>
    <row r="175" spans="1:3" x14ac:dyDescent="0.2">
      <c r="A175" s="5">
        <v>32660</v>
      </c>
      <c r="B175">
        <f t="shared" si="2"/>
        <v>74.936850696907527</v>
      </c>
      <c r="C175" s="3">
        <f>'PIM(2002 = 100)'!B175</f>
        <v>93.929823214701102</v>
      </c>
    </row>
    <row r="176" spans="1:3" x14ac:dyDescent="0.2">
      <c r="A176" s="5">
        <v>32690</v>
      </c>
      <c r="B176">
        <f t="shared" si="2"/>
        <v>77.044718483445067</v>
      </c>
      <c r="C176" s="3">
        <f>'PIM(2002 = 100)'!B176</f>
        <v>96.571936496859706</v>
      </c>
    </row>
    <row r="177" spans="1:3" x14ac:dyDescent="0.2">
      <c r="A177" s="5">
        <v>32721</v>
      </c>
      <c r="B177">
        <f t="shared" si="2"/>
        <v>81.807393511336372</v>
      </c>
      <c r="C177" s="3">
        <f>'PIM(2002 = 100)'!B177</f>
        <v>102.541725982787</v>
      </c>
    </row>
    <row r="178" spans="1:3" x14ac:dyDescent="0.2">
      <c r="A178" s="5">
        <v>32752</v>
      </c>
      <c r="B178">
        <f t="shared" si="2"/>
        <v>76.424034383036073</v>
      </c>
      <c r="C178" s="3">
        <f>'PIM(2002 = 100)'!B178</f>
        <v>95.793938125145402</v>
      </c>
    </row>
    <row r="179" spans="1:3" x14ac:dyDescent="0.2">
      <c r="A179" s="5">
        <v>32782</v>
      </c>
      <c r="B179">
        <f t="shared" si="2"/>
        <v>78.697827622158187</v>
      </c>
      <c r="C179" s="3">
        <f>'PIM(2002 = 100)'!B179</f>
        <v>98.644031170039497</v>
      </c>
    </row>
    <row r="180" spans="1:3" x14ac:dyDescent="0.2">
      <c r="A180" s="5">
        <v>32813</v>
      </c>
      <c r="B180">
        <f t="shared" si="2"/>
        <v>72.527858940864505</v>
      </c>
      <c r="C180" s="3">
        <f>'PIM(2002 = 100)'!B180</f>
        <v>90.910265177948304</v>
      </c>
    </row>
    <row r="181" spans="1:3" x14ac:dyDescent="0.2">
      <c r="A181" s="5">
        <v>32843</v>
      </c>
      <c r="B181">
        <f t="shared" si="2"/>
        <v>62.867310368161718</v>
      </c>
      <c r="C181" s="3">
        <f>'PIM(2002 = 100)'!B181</f>
        <v>78.801221214235895</v>
      </c>
    </row>
    <row r="182" spans="1:3" x14ac:dyDescent="0.2">
      <c r="A182" s="5">
        <v>32874</v>
      </c>
      <c r="B182">
        <f t="shared" si="2"/>
        <v>62.566186398656342</v>
      </c>
      <c r="C182" s="3">
        <f>'PIM(2002 = 100)'!B182</f>
        <v>78.4237764596418</v>
      </c>
    </row>
    <row r="183" spans="1:3" x14ac:dyDescent="0.2">
      <c r="A183" s="5">
        <v>32905</v>
      </c>
      <c r="B183">
        <f t="shared" si="2"/>
        <v>59.302985831159383</v>
      </c>
      <c r="C183" s="3">
        <f>'PIM(2002 = 100)'!B183</f>
        <v>74.333507792509906</v>
      </c>
    </row>
    <row r="184" spans="1:3" x14ac:dyDescent="0.2">
      <c r="A184" s="5">
        <v>32933</v>
      </c>
      <c r="B184">
        <f t="shared" si="2"/>
        <v>60.54435403197742</v>
      </c>
      <c r="C184" s="3">
        <f>'PIM(2002 = 100)'!B184</f>
        <v>75.889504535938599</v>
      </c>
    </row>
    <row r="185" spans="1:3" x14ac:dyDescent="0.2">
      <c r="A185" s="5">
        <v>32964</v>
      </c>
      <c r="B185">
        <f t="shared" si="2"/>
        <v>44.37584048567895</v>
      </c>
      <c r="C185" s="3">
        <f>'PIM(2002 = 100)'!B185</f>
        <v>55.623032100488501</v>
      </c>
    </row>
    <row r="186" spans="1:3" x14ac:dyDescent="0.2">
      <c r="A186" s="5">
        <v>32994</v>
      </c>
      <c r="B186">
        <f t="shared" si="2"/>
        <v>61.220346616581345</v>
      </c>
      <c r="C186" s="3">
        <f>'PIM(2002 = 100)'!B186</f>
        <v>76.736829495231504</v>
      </c>
    </row>
    <row r="187" spans="1:3" x14ac:dyDescent="0.2">
      <c r="A187" s="5">
        <v>33025</v>
      </c>
      <c r="B187">
        <f t="shared" si="2"/>
        <v>62.603058721452882</v>
      </c>
      <c r="C187" s="3">
        <f>'PIM(2002 = 100)'!B187</f>
        <v>78.469994184694102</v>
      </c>
    </row>
    <row r="188" spans="1:3" x14ac:dyDescent="0.2">
      <c r="A188" s="5">
        <v>33055</v>
      </c>
      <c r="B188">
        <f t="shared" si="2"/>
        <v>70.659661252504691</v>
      </c>
      <c r="C188" s="3">
        <f>'PIM(2002 = 100)'!B188</f>
        <v>88.568567108629907</v>
      </c>
    </row>
    <row r="189" spans="1:3" x14ac:dyDescent="0.2">
      <c r="A189" s="5">
        <v>33086</v>
      </c>
      <c r="B189">
        <f t="shared" si="2"/>
        <v>75.004449955367903</v>
      </c>
      <c r="C189" s="3">
        <f>'PIM(2002 = 100)'!B189</f>
        <v>94.014555710630404</v>
      </c>
    </row>
    <row r="190" spans="1:3" x14ac:dyDescent="0.2">
      <c r="A190" s="5">
        <v>33117</v>
      </c>
      <c r="B190">
        <f t="shared" si="2"/>
        <v>70.573625832646059</v>
      </c>
      <c r="C190" s="3">
        <f>'PIM(2002 = 100)'!B190</f>
        <v>88.460725750174504</v>
      </c>
    </row>
    <row r="191" spans="1:3" x14ac:dyDescent="0.2">
      <c r="A191" s="5">
        <v>33147</v>
      </c>
      <c r="B191">
        <f t="shared" si="2"/>
        <v>72.773674426175006</v>
      </c>
      <c r="C191" s="3">
        <f>'PIM(2002 = 100)'!B191</f>
        <v>91.218383344963897</v>
      </c>
    </row>
    <row r="192" spans="1:3" x14ac:dyDescent="0.2">
      <c r="A192" s="5">
        <v>33178</v>
      </c>
      <c r="B192">
        <f t="shared" si="2"/>
        <v>65.546699158046152</v>
      </c>
      <c r="C192" s="3">
        <f>'PIM(2002 = 100)'!B192</f>
        <v>82.159709234705701</v>
      </c>
    </row>
    <row r="193" spans="1:3" x14ac:dyDescent="0.2">
      <c r="A193" s="5">
        <v>33208</v>
      </c>
      <c r="B193">
        <f t="shared" si="2"/>
        <v>52.039138240233974</v>
      </c>
      <c r="C193" s="3">
        <f>'PIM(2002 = 100)'!B193</f>
        <v>65.228615957199395</v>
      </c>
    </row>
    <row r="194" spans="1:3" x14ac:dyDescent="0.2">
      <c r="A194" s="5">
        <v>33239</v>
      </c>
      <c r="B194">
        <f t="shared" si="2"/>
        <v>52.838038567493086</v>
      </c>
      <c r="C194" s="3">
        <f>'PIM(2002 = 100)'!B194</f>
        <v>66.23</v>
      </c>
    </row>
    <row r="195" spans="1:3" x14ac:dyDescent="0.2">
      <c r="A195" s="5">
        <v>33270</v>
      </c>
      <c r="B195">
        <f t="shared" ref="B195:B258" si="3">IF(ISBLANK(D195),B196/(C196/C195),D195)</f>
        <v>48.466115702479307</v>
      </c>
      <c r="C195" s="3">
        <f>'PIM(2002 = 100)'!B195</f>
        <v>60.75</v>
      </c>
    </row>
    <row r="196" spans="1:3" x14ac:dyDescent="0.2">
      <c r="A196" s="5">
        <v>33298</v>
      </c>
      <c r="B196">
        <f t="shared" si="3"/>
        <v>53.428407713498586</v>
      </c>
      <c r="C196" s="3">
        <f>'PIM(2002 = 100)'!B196</f>
        <v>66.97</v>
      </c>
    </row>
    <row r="197" spans="1:3" x14ac:dyDescent="0.2">
      <c r="A197" s="5">
        <v>33329</v>
      </c>
      <c r="B197">
        <f t="shared" si="3"/>
        <v>60.88780165289252</v>
      </c>
      <c r="C197" s="3">
        <f>'PIM(2002 = 100)'!B197</f>
        <v>76.319999999999993</v>
      </c>
    </row>
    <row r="198" spans="1:3" x14ac:dyDescent="0.2">
      <c r="A198" s="5">
        <v>33359</v>
      </c>
      <c r="B198">
        <f t="shared" si="3"/>
        <v>64.461928374655614</v>
      </c>
      <c r="C198" s="3">
        <f>'PIM(2002 = 100)'!B198</f>
        <v>80.8</v>
      </c>
    </row>
    <row r="199" spans="1:3" x14ac:dyDescent="0.2">
      <c r="A199" s="5">
        <v>33390</v>
      </c>
      <c r="B199">
        <f t="shared" si="3"/>
        <v>65.028363636363608</v>
      </c>
      <c r="C199" s="3">
        <f>'PIM(2002 = 100)'!B199</f>
        <v>81.510000000000005</v>
      </c>
    </row>
    <row r="200" spans="1:3" x14ac:dyDescent="0.2">
      <c r="A200" s="5">
        <v>33420</v>
      </c>
      <c r="B200">
        <f t="shared" si="3"/>
        <v>71.55433608815423</v>
      </c>
      <c r="C200" s="3">
        <f>'PIM(2002 = 100)'!B200</f>
        <v>89.69</v>
      </c>
    </row>
    <row r="201" spans="1:3" x14ac:dyDescent="0.2">
      <c r="A201" s="5">
        <v>33451</v>
      </c>
      <c r="B201">
        <f t="shared" si="3"/>
        <v>72.136727272727242</v>
      </c>
      <c r="C201" s="3">
        <f>'PIM(2002 = 100)'!B201</f>
        <v>90.42</v>
      </c>
    </row>
    <row r="202" spans="1:3" x14ac:dyDescent="0.2">
      <c r="A202" s="5">
        <v>33482</v>
      </c>
      <c r="B202">
        <f t="shared" si="3"/>
        <v>65.7064903581267</v>
      </c>
      <c r="C202" s="3">
        <f>'PIM(2002 = 100)'!B202</f>
        <v>82.36</v>
      </c>
    </row>
    <row r="203" spans="1:3" x14ac:dyDescent="0.2">
      <c r="A203" s="5">
        <v>33512</v>
      </c>
      <c r="B203">
        <f t="shared" si="3"/>
        <v>69.990655647382908</v>
      </c>
      <c r="C203" s="3">
        <f>'PIM(2002 = 100)'!B203</f>
        <v>87.73</v>
      </c>
    </row>
    <row r="204" spans="1:3" x14ac:dyDescent="0.2">
      <c r="A204" s="5">
        <v>33543</v>
      </c>
      <c r="B204">
        <f t="shared" si="3"/>
        <v>61.853134986225882</v>
      </c>
      <c r="C204" s="3">
        <f>'PIM(2002 = 100)'!B204</f>
        <v>77.53</v>
      </c>
    </row>
    <row r="205" spans="1:3" x14ac:dyDescent="0.2">
      <c r="A205" s="5">
        <v>33573</v>
      </c>
      <c r="B205">
        <f t="shared" si="3"/>
        <v>51.074909090909081</v>
      </c>
      <c r="C205" s="3">
        <f>'PIM(2002 = 100)'!B205</f>
        <v>64.02</v>
      </c>
    </row>
    <row r="206" spans="1:3" x14ac:dyDescent="0.2">
      <c r="A206" s="5">
        <v>33604</v>
      </c>
      <c r="B206">
        <f t="shared" si="3"/>
        <v>51.872705234159767</v>
      </c>
      <c r="C206" s="3">
        <f>'PIM(2002 = 100)'!B206</f>
        <v>65.02</v>
      </c>
    </row>
    <row r="207" spans="1:3" x14ac:dyDescent="0.2">
      <c r="A207" s="5">
        <v>33635</v>
      </c>
      <c r="B207">
        <f t="shared" si="3"/>
        <v>54.601168044077127</v>
      </c>
      <c r="C207" s="3">
        <f>'PIM(2002 = 100)'!B207</f>
        <v>68.44</v>
      </c>
    </row>
    <row r="208" spans="1:3" x14ac:dyDescent="0.2">
      <c r="A208" s="5">
        <v>33664</v>
      </c>
      <c r="B208">
        <f t="shared" si="3"/>
        <v>56.858931129476574</v>
      </c>
      <c r="C208" s="3">
        <f>'PIM(2002 = 100)'!B208</f>
        <v>71.27</v>
      </c>
    </row>
    <row r="209" spans="1:3" x14ac:dyDescent="0.2">
      <c r="A209" s="5">
        <v>33695</v>
      </c>
      <c r="B209">
        <f t="shared" si="3"/>
        <v>56.045179063360877</v>
      </c>
      <c r="C209" s="3">
        <f>'PIM(2002 = 100)'!B209</f>
        <v>70.25</v>
      </c>
    </row>
    <row r="210" spans="1:3" x14ac:dyDescent="0.2">
      <c r="A210" s="5">
        <v>33725</v>
      </c>
      <c r="B210">
        <f t="shared" si="3"/>
        <v>58.294964187327814</v>
      </c>
      <c r="C210" s="3">
        <f>'PIM(2002 = 100)'!B210</f>
        <v>73.069999999999993</v>
      </c>
    </row>
    <row r="211" spans="1:3" x14ac:dyDescent="0.2">
      <c r="A211" s="5">
        <v>33756</v>
      </c>
      <c r="B211">
        <f t="shared" si="3"/>
        <v>61.318611570247924</v>
      </c>
      <c r="C211" s="3">
        <f>'PIM(2002 = 100)'!B211</f>
        <v>76.86</v>
      </c>
    </row>
    <row r="212" spans="1:3" x14ac:dyDescent="0.2">
      <c r="A212" s="5">
        <v>33786</v>
      </c>
      <c r="B212">
        <f t="shared" si="3"/>
        <v>64.270457300275481</v>
      </c>
      <c r="C212" s="3">
        <f>'PIM(2002 = 100)'!B212</f>
        <v>80.56</v>
      </c>
    </row>
    <row r="213" spans="1:3" x14ac:dyDescent="0.2">
      <c r="A213" s="5">
        <v>33817</v>
      </c>
      <c r="B213">
        <f t="shared" si="3"/>
        <v>62.978027548209361</v>
      </c>
      <c r="C213" s="3">
        <f>'PIM(2002 = 100)'!B213</f>
        <v>78.94</v>
      </c>
    </row>
    <row r="214" spans="1:3" x14ac:dyDescent="0.2">
      <c r="A214" s="5">
        <v>33848</v>
      </c>
      <c r="B214">
        <f t="shared" si="3"/>
        <v>62.754644628099172</v>
      </c>
      <c r="C214" s="3">
        <f>'PIM(2002 = 100)'!B214</f>
        <v>78.66</v>
      </c>
    </row>
    <row r="215" spans="1:3" x14ac:dyDescent="0.2">
      <c r="A215" s="5">
        <v>33878</v>
      </c>
      <c r="B215">
        <f t="shared" si="3"/>
        <v>63.959316804407706</v>
      </c>
      <c r="C215" s="3">
        <f>'PIM(2002 = 100)'!B215</f>
        <v>80.17</v>
      </c>
    </row>
    <row r="216" spans="1:3" x14ac:dyDescent="0.2">
      <c r="A216" s="5">
        <v>33909</v>
      </c>
      <c r="B216">
        <f t="shared" si="3"/>
        <v>61.924936639118449</v>
      </c>
      <c r="C216" s="3">
        <f>'PIM(2002 = 100)'!B216</f>
        <v>77.62</v>
      </c>
    </row>
    <row r="217" spans="1:3" x14ac:dyDescent="0.2">
      <c r="A217" s="5">
        <v>33939</v>
      </c>
      <c r="B217">
        <f t="shared" si="3"/>
        <v>55.008044077134983</v>
      </c>
      <c r="C217" s="3">
        <f>'PIM(2002 = 100)'!B217</f>
        <v>68.95</v>
      </c>
    </row>
    <row r="218" spans="1:3" x14ac:dyDescent="0.2">
      <c r="A218" s="5">
        <v>33970</v>
      </c>
      <c r="B218">
        <f t="shared" si="3"/>
        <v>54.018776859504122</v>
      </c>
      <c r="C218" s="3">
        <f>'PIM(2002 = 100)'!B218</f>
        <v>67.709999999999994</v>
      </c>
    </row>
    <row r="219" spans="1:3" x14ac:dyDescent="0.2">
      <c r="A219" s="5">
        <v>34001</v>
      </c>
      <c r="B219">
        <f t="shared" si="3"/>
        <v>53.907085399449024</v>
      </c>
      <c r="C219" s="3">
        <f>'PIM(2002 = 100)'!B219</f>
        <v>67.569999999999993</v>
      </c>
    </row>
    <row r="220" spans="1:3" x14ac:dyDescent="0.2">
      <c r="A220" s="5">
        <v>34029</v>
      </c>
      <c r="B220">
        <f t="shared" si="3"/>
        <v>64.262479338842965</v>
      </c>
      <c r="C220" s="3">
        <f>'PIM(2002 = 100)'!B220</f>
        <v>80.55</v>
      </c>
    </row>
    <row r="221" spans="1:3" x14ac:dyDescent="0.2">
      <c r="A221" s="5">
        <v>34060</v>
      </c>
      <c r="B221">
        <f t="shared" si="3"/>
        <v>60.728242424242424</v>
      </c>
      <c r="C221" s="3">
        <f>'PIM(2002 = 100)'!B221</f>
        <v>76.12</v>
      </c>
    </row>
    <row r="222" spans="1:3" x14ac:dyDescent="0.2">
      <c r="A222" s="5">
        <v>34090</v>
      </c>
      <c r="B222">
        <f t="shared" si="3"/>
        <v>65.594798898071616</v>
      </c>
      <c r="C222" s="3">
        <f>'PIM(2002 = 100)'!B222</f>
        <v>82.22</v>
      </c>
    </row>
    <row r="223" spans="1:3" x14ac:dyDescent="0.2">
      <c r="A223" s="5">
        <v>34121</v>
      </c>
      <c r="B223">
        <f t="shared" si="3"/>
        <v>66.073476584022032</v>
      </c>
      <c r="C223" s="3">
        <f>'PIM(2002 = 100)'!B223</f>
        <v>82.82</v>
      </c>
    </row>
    <row r="224" spans="1:3" x14ac:dyDescent="0.2">
      <c r="A224" s="5">
        <v>34151</v>
      </c>
      <c r="B224">
        <f t="shared" si="3"/>
        <v>69.105101928374651</v>
      </c>
      <c r="C224" s="3">
        <f>'PIM(2002 = 100)'!B224</f>
        <v>86.62</v>
      </c>
    </row>
    <row r="225" spans="1:3" x14ac:dyDescent="0.2">
      <c r="A225" s="5">
        <v>34182</v>
      </c>
      <c r="B225">
        <f t="shared" si="3"/>
        <v>69.496022038567475</v>
      </c>
      <c r="C225" s="3">
        <f>'PIM(2002 = 100)'!B225</f>
        <v>87.11</v>
      </c>
    </row>
    <row r="226" spans="1:3" x14ac:dyDescent="0.2">
      <c r="A226" s="5">
        <v>34213</v>
      </c>
      <c r="B226">
        <f t="shared" si="3"/>
        <v>66.887228650137729</v>
      </c>
      <c r="C226" s="3">
        <f>'PIM(2002 = 100)'!B226</f>
        <v>83.84</v>
      </c>
    </row>
    <row r="227" spans="1:3" x14ac:dyDescent="0.2">
      <c r="A227" s="5">
        <v>34243</v>
      </c>
      <c r="B227">
        <f t="shared" si="3"/>
        <v>67.206347107437992</v>
      </c>
      <c r="C227" s="3">
        <f>'PIM(2002 = 100)'!B227</f>
        <v>84.24</v>
      </c>
    </row>
    <row r="228" spans="1:3" x14ac:dyDescent="0.2">
      <c r="A228" s="5">
        <v>34274</v>
      </c>
      <c r="B228">
        <f t="shared" si="3"/>
        <v>66.233035812672156</v>
      </c>
      <c r="C228" s="3">
        <f>'PIM(2002 = 100)'!B228</f>
        <v>83.02</v>
      </c>
    </row>
    <row r="229" spans="1:3" x14ac:dyDescent="0.2">
      <c r="A229" s="5">
        <v>34304</v>
      </c>
      <c r="B229">
        <f t="shared" si="3"/>
        <v>59.691107438016509</v>
      </c>
      <c r="C229" s="3">
        <f>'PIM(2002 = 100)'!B229</f>
        <v>74.819999999999993</v>
      </c>
    </row>
    <row r="230" spans="1:3" x14ac:dyDescent="0.2">
      <c r="A230" s="5">
        <v>34335</v>
      </c>
      <c r="B230">
        <f t="shared" si="3"/>
        <v>58.701840220385655</v>
      </c>
      <c r="C230" s="3">
        <f>'PIM(2002 = 100)'!B230</f>
        <v>73.58</v>
      </c>
    </row>
    <row r="231" spans="1:3" x14ac:dyDescent="0.2">
      <c r="A231" s="5">
        <v>34366</v>
      </c>
      <c r="B231">
        <f t="shared" si="3"/>
        <v>55.89359779614324</v>
      </c>
      <c r="C231" s="3">
        <f>'PIM(2002 = 100)'!B231</f>
        <v>70.06</v>
      </c>
    </row>
    <row r="232" spans="1:3" x14ac:dyDescent="0.2">
      <c r="A232" s="5">
        <v>34394</v>
      </c>
      <c r="B232">
        <f t="shared" si="3"/>
        <v>67.421752066115687</v>
      </c>
      <c r="C232" s="3">
        <f>'PIM(2002 = 100)'!B232</f>
        <v>84.51</v>
      </c>
    </row>
    <row r="233" spans="1:3" x14ac:dyDescent="0.2">
      <c r="A233" s="5">
        <v>34425</v>
      </c>
      <c r="B233">
        <f t="shared" si="3"/>
        <v>61.390413223140477</v>
      </c>
      <c r="C233" s="3">
        <f>'PIM(2002 = 100)'!B233</f>
        <v>76.95</v>
      </c>
    </row>
    <row r="234" spans="1:3" x14ac:dyDescent="0.2">
      <c r="A234" s="5">
        <v>34455</v>
      </c>
      <c r="B234">
        <f t="shared" si="3"/>
        <v>68.865763085399422</v>
      </c>
      <c r="C234" s="3">
        <f>'PIM(2002 = 100)'!B234</f>
        <v>86.32</v>
      </c>
    </row>
    <row r="235" spans="1:3" x14ac:dyDescent="0.2">
      <c r="A235" s="5">
        <v>34486</v>
      </c>
      <c r="B235">
        <f t="shared" si="3"/>
        <v>68.754071625344338</v>
      </c>
      <c r="C235" s="3">
        <f>'PIM(2002 = 100)'!B235</f>
        <v>86.18</v>
      </c>
    </row>
    <row r="236" spans="1:3" x14ac:dyDescent="0.2">
      <c r="A236" s="5">
        <v>34516</v>
      </c>
      <c r="B236">
        <f t="shared" si="3"/>
        <v>70.222016528925593</v>
      </c>
      <c r="C236" s="3">
        <f>'PIM(2002 = 100)'!B236</f>
        <v>88.02</v>
      </c>
    </row>
    <row r="237" spans="1:3" x14ac:dyDescent="0.2">
      <c r="A237" s="5">
        <v>34547</v>
      </c>
      <c r="B237">
        <f t="shared" si="3"/>
        <v>76.636297520661131</v>
      </c>
      <c r="C237" s="3">
        <f>'PIM(2002 = 100)'!B237</f>
        <v>96.06</v>
      </c>
    </row>
    <row r="238" spans="1:3" x14ac:dyDescent="0.2">
      <c r="A238" s="5">
        <v>34578</v>
      </c>
      <c r="B238">
        <f t="shared" si="3"/>
        <v>74.522137741046805</v>
      </c>
      <c r="C238" s="3">
        <f>'PIM(2002 = 100)'!B238</f>
        <v>93.41</v>
      </c>
    </row>
    <row r="239" spans="1:3" x14ac:dyDescent="0.2">
      <c r="A239" s="5">
        <v>34608</v>
      </c>
      <c r="B239">
        <f t="shared" si="3"/>
        <v>74.266842975206586</v>
      </c>
      <c r="C239" s="3">
        <f>'PIM(2002 = 100)'!B239</f>
        <v>93.09</v>
      </c>
    </row>
    <row r="240" spans="1:3" x14ac:dyDescent="0.2">
      <c r="A240" s="5">
        <v>34639</v>
      </c>
      <c r="B240">
        <f t="shared" si="3"/>
        <v>74.306732782369124</v>
      </c>
      <c r="C240" s="3">
        <f>'PIM(2002 = 100)'!B240</f>
        <v>93.14</v>
      </c>
    </row>
    <row r="241" spans="1:3" x14ac:dyDescent="0.2">
      <c r="A241" s="5">
        <v>34669</v>
      </c>
      <c r="B241">
        <f t="shared" si="3"/>
        <v>70.253928374655629</v>
      </c>
      <c r="C241" s="3">
        <f>'PIM(2002 = 100)'!B241</f>
        <v>88.06</v>
      </c>
    </row>
    <row r="242" spans="1:3" x14ac:dyDescent="0.2">
      <c r="A242" s="5">
        <v>34700</v>
      </c>
      <c r="B242">
        <f t="shared" si="3"/>
        <v>68.650358126721741</v>
      </c>
      <c r="C242" s="3">
        <f>'PIM(2002 = 100)'!B242</f>
        <v>86.05</v>
      </c>
    </row>
    <row r="243" spans="1:3" x14ac:dyDescent="0.2">
      <c r="A243" s="5">
        <v>34731</v>
      </c>
      <c r="B243">
        <f t="shared" si="3"/>
        <v>65.435239669421463</v>
      </c>
      <c r="C243" s="3">
        <f>'PIM(2002 = 100)'!B243</f>
        <v>82.02</v>
      </c>
    </row>
    <row r="244" spans="1:3" x14ac:dyDescent="0.2">
      <c r="A244" s="5">
        <v>34759</v>
      </c>
      <c r="B244">
        <f t="shared" si="3"/>
        <v>76.34909090909089</v>
      </c>
      <c r="C244" s="3">
        <f>'PIM(2002 = 100)'!B244</f>
        <v>95.7</v>
      </c>
    </row>
    <row r="245" spans="1:3" x14ac:dyDescent="0.2">
      <c r="A245" s="5">
        <v>34790</v>
      </c>
      <c r="B245">
        <f t="shared" si="3"/>
        <v>68.546644628099159</v>
      </c>
      <c r="C245" s="3">
        <f>'PIM(2002 = 100)'!B245</f>
        <v>85.92</v>
      </c>
    </row>
    <row r="246" spans="1:3" x14ac:dyDescent="0.2">
      <c r="A246" s="5">
        <v>34820</v>
      </c>
      <c r="B246">
        <f t="shared" si="3"/>
        <v>67.956275482093659</v>
      </c>
      <c r="C246" s="3">
        <f>'PIM(2002 = 100)'!B246</f>
        <v>85.18</v>
      </c>
    </row>
    <row r="247" spans="1:3" x14ac:dyDescent="0.2">
      <c r="A247" s="5">
        <v>34851</v>
      </c>
      <c r="B247">
        <f t="shared" si="3"/>
        <v>71.322975206611559</v>
      </c>
      <c r="C247" s="3">
        <f>'PIM(2002 = 100)'!B247</f>
        <v>89.4</v>
      </c>
    </row>
    <row r="248" spans="1:3" x14ac:dyDescent="0.2">
      <c r="A248" s="5">
        <v>34881</v>
      </c>
      <c r="B248">
        <f t="shared" si="3"/>
        <v>70.604958677685943</v>
      </c>
      <c r="C248" s="3">
        <f>'PIM(2002 = 100)'!B248</f>
        <v>88.5</v>
      </c>
    </row>
    <row r="249" spans="1:3" x14ac:dyDescent="0.2">
      <c r="A249" s="5">
        <v>34912</v>
      </c>
      <c r="B249">
        <f t="shared" si="3"/>
        <v>72.647316804407708</v>
      </c>
      <c r="C249" s="3">
        <f>'PIM(2002 = 100)'!B249</f>
        <v>91.06</v>
      </c>
    </row>
    <row r="250" spans="1:3" x14ac:dyDescent="0.2">
      <c r="A250" s="5">
        <v>34943</v>
      </c>
      <c r="B250">
        <f t="shared" si="3"/>
        <v>69.527933884297511</v>
      </c>
      <c r="C250" s="3">
        <f>'PIM(2002 = 100)'!B250</f>
        <v>87.15</v>
      </c>
    </row>
    <row r="251" spans="1:3" x14ac:dyDescent="0.2">
      <c r="A251" s="5">
        <v>34973</v>
      </c>
      <c r="B251">
        <f t="shared" si="3"/>
        <v>72.447867768595032</v>
      </c>
      <c r="C251" s="3">
        <f>'PIM(2002 = 100)'!B251</f>
        <v>90.81</v>
      </c>
    </row>
    <row r="252" spans="1:3" x14ac:dyDescent="0.2">
      <c r="A252" s="5">
        <v>35004</v>
      </c>
      <c r="B252">
        <f t="shared" si="3"/>
        <v>70.9001432506887</v>
      </c>
      <c r="C252" s="3">
        <f>'PIM(2002 = 100)'!B252</f>
        <v>88.87</v>
      </c>
    </row>
    <row r="253" spans="1:3" x14ac:dyDescent="0.2">
      <c r="A253" s="5">
        <v>35034</v>
      </c>
      <c r="B253">
        <f t="shared" si="3"/>
        <v>61.885046831955904</v>
      </c>
      <c r="C253" s="3">
        <f>'PIM(2002 = 100)'!B253</f>
        <v>77.569999999999993</v>
      </c>
    </row>
    <row r="254" spans="1:3" x14ac:dyDescent="0.2">
      <c r="A254" s="5">
        <v>35065</v>
      </c>
      <c r="B254">
        <f t="shared" si="3"/>
        <v>62.587107438016524</v>
      </c>
      <c r="C254" s="3">
        <f>'PIM(2002 = 100)'!B254</f>
        <v>78.45</v>
      </c>
    </row>
    <row r="255" spans="1:3" x14ac:dyDescent="0.2">
      <c r="A255" s="5">
        <v>35096</v>
      </c>
      <c r="B255">
        <f t="shared" si="3"/>
        <v>61.334567493112935</v>
      </c>
      <c r="C255" s="3">
        <f>'PIM(2002 = 100)'!B255</f>
        <v>76.88</v>
      </c>
    </row>
    <row r="256" spans="1:3" x14ac:dyDescent="0.2">
      <c r="A256" s="5">
        <v>35125</v>
      </c>
      <c r="B256">
        <f t="shared" si="3"/>
        <v>67.429730027548203</v>
      </c>
      <c r="C256" s="3">
        <f>'PIM(2002 = 100)'!B256</f>
        <v>84.52</v>
      </c>
    </row>
    <row r="257" spans="1:3" x14ac:dyDescent="0.2">
      <c r="A257" s="5">
        <v>35156</v>
      </c>
      <c r="B257">
        <f t="shared" si="3"/>
        <v>66.919140495867765</v>
      </c>
      <c r="C257" s="3">
        <f>'PIM(2002 = 100)'!B257</f>
        <v>83.88</v>
      </c>
    </row>
    <row r="258" spans="1:3" x14ac:dyDescent="0.2">
      <c r="A258" s="5">
        <v>35186</v>
      </c>
      <c r="B258">
        <f t="shared" si="3"/>
        <v>72.407977961432508</v>
      </c>
      <c r="C258" s="3">
        <f>'PIM(2002 = 100)'!B258</f>
        <v>90.76</v>
      </c>
    </row>
    <row r="259" spans="1:3" x14ac:dyDescent="0.2">
      <c r="A259" s="5">
        <v>35217</v>
      </c>
      <c r="B259">
        <f t="shared" ref="B259:B322" si="4">IF(ISBLANK(D259),B260/(C260/C259),D259)</f>
        <v>68.74609366391185</v>
      </c>
      <c r="C259" s="3">
        <f>'PIM(2002 = 100)'!B259</f>
        <v>86.17</v>
      </c>
    </row>
    <row r="260" spans="1:3" x14ac:dyDescent="0.2">
      <c r="A260" s="5">
        <v>35247</v>
      </c>
      <c r="B260">
        <f t="shared" si="4"/>
        <v>77.697366391184573</v>
      </c>
      <c r="C260" s="3">
        <f>'PIM(2002 = 100)'!B260</f>
        <v>97.39</v>
      </c>
    </row>
    <row r="261" spans="1:3" x14ac:dyDescent="0.2">
      <c r="A261" s="5">
        <v>35278</v>
      </c>
      <c r="B261">
        <f t="shared" si="4"/>
        <v>77.186776859504135</v>
      </c>
      <c r="C261" s="3">
        <f>'PIM(2002 = 100)'!B261</f>
        <v>96.75</v>
      </c>
    </row>
    <row r="262" spans="1:3" x14ac:dyDescent="0.2">
      <c r="A262" s="5">
        <v>35309</v>
      </c>
      <c r="B262">
        <f t="shared" si="4"/>
        <v>75.431625344352625</v>
      </c>
      <c r="C262" s="3">
        <f>'PIM(2002 = 100)'!B262</f>
        <v>94.55</v>
      </c>
    </row>
    <row r="263" spans="1:3" x14ac:dyDescent="0.2">
      <c r="A263" s="5">
        <v>35339</v>
      </c>
      <c r="B263">
        <f t="shared" si="4"/>
        <v>78.838214876033064</v>
      </c>
      <c r="C263" s="3">
        <f>'PIM(2002 = 100)'!B263</f>
        <v>98.82</v>
      </c>
    </row>
    <row r="264" spans="1:3" x14ac:dyDescent="0.2">
      <c r="A264" s="5">
        <v>35370</v>
      </c>
      <c r="B264">
        <f t="shared" si="4"/>
        <v>75.256110192837468</v>
      </c>
      <c r="C264" s="3">
        <f>'PIM(2002 = 100)'!B264</f>
        <v>94.33</v>
      </c>
    </row>
    <row r="265" spans="1:3" x14ac:dyDescent="0.2">
      <c r="A265" s="5">
        <v>35400</v>
      </c>
      <c r="B265">
        <f t="shared" si="4"/>
        <v>66.911162534435277</v>
      </c>
      <c r="C265" s="3">
        <f>'PIM(2002 = 100)'!B265</f>
        <v>83.87</v>
      </c>
    </row>
    <row r="266" spans="1:3" x14ac:dyDescent="0.2">
      <c r="A266" s="5">
        <v>35431</v>
      </c>
      <c r="B266">
        <f t="shared" si="4"/>
        <v>66.919140495867765</v>
      </c>
      <c r="C266" s="3">
        <f>'PIM(2002 = 100)'!B266</f>
        <v>83.88</v>
      </c>
    </row>
    <row r="267" spans="1:3" x14ac:dyDescent="0.2">
      <c r="A267" s="5">
        <v>35462</v>
      </c>
      <c r="B267">
        <f t="shared" si="4"/>
        <v>63.424793388429755</v>
      </c>
      <c r="C267" s="3">
        <f>'PIM(2002 = 100)'!B267</f>
        <v>79.5</v>
      </c>
    </row>
    <row r="268" spans="1:3" x14ac:dyDescent="0.2">
      <c r="A268" s="5">
        <v>35490</v>
      </c>
      <c r="B268">
        <f t="shared" si="4"/>
        <v>70.876209366391194</v>
      </c>
      <c r="C268" s="3">
        <f>'PIM(2002 = 100)'!B268</f>
        <v>88.84</v>
      </c>
    </row>
    <row r="269" spans="1:3" x14ac:dyDescent="0.2">
      <c r="A269" s="5">
        <v>35521</v>
      </c>
      <c r="B269">
        <f t="shared" si="4"/>
        <v>72.607426997245184</v>
      </c>
      <c r="C269" s="3">
        <f>'PIM(2002 = 100)'!B269</f>
        <v>91.01</v>
      </c>
    </row>
    <row r="270" spans="1:3" x14ac:dyDescent="0.2">
      <c r="A270" s="5">
        <v>35551</v>
      </c>
      <c r="B270">
        <f t="shared" si="4"/>
        <v>74.53011570247935</v>
      </c>
      <c r="C270" s="3">
        <f>'PIM(2002 = 100)'!B270</f>
        <v>93.42</v>
      </c>
    </row>
    <row r="271" spans="1:3" x14ac:dyDescent="0.2">
      <c r="A271" s="5">
        <v>35582</v>
      </c>
      <c r="B271">
        <f t="shared" si="4"/>
        <v>75.631074380165302</v>
      </c>
      <c r="C271" s="3">
        <f>'PIM(2002 = 100)'!B271</f>
        <v>94.8</v>
      </c>
    </row>
    <row r="272" spans="1:3" x14ac:dyDescent="0.2">
      <c r="A272" s="5">
        <v>35612</v>
      </c>
      <c r="B272">
        <f t="shared" si="4"/>
        <v>78.806303030303056</v>
      </c>
      <c r="C272" s="3">
        <f>'PIM(2002 = 100)'!B272</f>
        <v>98.78</v>
      </c>
    </row>
    <row r="273" spans="1:3" x14ac:dyDescent="0.2">
      <c r="A273" s="5">
        <v>35643</v>
      </c>
      <c r="B273">
        <f t="shared" si="4"/>
        <v>78.886082644628118</v>
      </c>
      <c r="C273" s="3">
        <f>'PIM(2002 = 100)'!B273</f>
        <v>98.88</v>
      </c>
    </row>
    <row r="274" spans="1:3" x14ac:dyDescent="0.2">
      <c r="A274" s="5">
        <v>35674</v>
      </c>
      <c r="B274">
        <f t="shared" si="4"/>
        <v>80.609322314049621</v>
      </c>
      <c r="C274" s="3">
        <f>'PIM(2002 = 100)'!B274</f>
        <v>101.04</v>
      </c>
    </row>
    <row r="275" spans="1:3" x14ac:dyDescent="0.2">
      <c r="A275" s="5">
        <v>35704</v>
      </c>
      <c r="B275">
        <f t="shared" si="4"/>
        <v>82.675614325068892</v>
      </c>
      <c r="C275" s="3">
        <f>'PIM(2002 = 100)'!B275</f>
        <v>103.63</v>
      </c>
    </row>
    <row r="276" spans="1:3" x14ac:dyDescent="0.2">
      <c r="A276" s="5">
        <v>35735</v>
      </c>
      <c r="B276">
        <f t="shared" si="4"/>
        <v>74.107283746556504</v>
      </c>
      <c r="C276" s="3">
        <f>'PIM(2002 = 100)'!B276</f>
        <v>92.89</v>
      </c>
    </row>
    <row r="277" spans="1:3" x14ac:dyDescent="0.2">
      <c r="A277" s="5">
        <v>35765</v>
      </c>
      <c r="B277">
        <f t="shared" si="4"/>
        <v>64.749134986225911</v>
      </c>
      <c r="C277" s="3">
        <f>'PIM(2002 = 100)'!B277</f>
        <v>81.16</v>
      </c>
    </row>
    <row r="278" spans="1:3" x14ac:dyDescent="0.2">
      <c r="A278" s="5">
        <v>35796</v>
      </c>
      <c r="B278">
        <f t="shared" si="4"/>
        <v>64.477884297520674</v>
      </c>
      <c r="C278" s="3">
        <f>'PIM(2002 = 100)'!B278</f>
        <v>80.819999999999993</v>
      </c>
    </row>
    <row r="279" spans="1:3" x14ac:dyDescent="0.2">
      <c r="A279" s="5">
        <v>35827</v>
      </c>
      <c r="B279">
        <f t="shared" si="4"/>
        <v>62.818468319559244</v>
      </c>
      <c r="C279" s="3">
        <f>'PIM(2002 = 100)'!B279</f>
        <v>78.739999999999995</v>
      </c>
    </row>
    <row r="280" spans="1:3" x14ac:dyDescent="0.2">
      <c r="A280" s="5">
        <v>35855</v>
      </c>
      <c r="B280">
        <f t="shared" si="4"/>
        <v>73.133972451790655</v>
      </c>
      <c r="C280" s="3">
        <f>'PIM(2002 = 100)'!B280</f>
        <v>91.67</v>
      </c>
    </row>
    <row r="281" spans="1:3" x14ac:dyDescent="0.2">
      <c r="A281" s="5">
        <v>35886</v>
      </c>
      <c r="B281">
        <f t="shared" si="4"/>
        <v>70.357641873278254</v>
      </c>
      <c r="C281" s="3">
        <f>'PIM(2002 = 100)'!B281</f>
        <v>88.19</v>
      </c>
    </row>
    <row r="282" spans="1:3" x14ac:dyDescent="0.2">
      <c r="A282" s="5">
        <v>35916</v>
      </c>
      <c r="B282">
        <f t="shared" si="4"/>
        <v>75.519382920110203</v>
      </c>
      <c r="C282" s="3">
        <f>'PIM(2002 = 100)'!B282</f>
        <v>94.66</v>
      </c>
    </row>
    <row r="283" spans="1:3" x14ac:dyDescent="0.2">
      <c r="A283" s="5">
        <v>35947</v>
      </c>
      <c r="B283">
        <f t="shared" si="4"/>
        <v>75.511404958677701</v>
      </c>
      <c r="C283" s="3">
        <f>'PIM(2002 = 100)'!B283</f>
        <v>94.65</v>
      </c>
    </row>
    <row r="284" spans="1:3" x14ac:dyDescent="0.2">
      <c r="A284" s="5">
        <v>35977</v>
      </c>
      <c r="B284">
        <f t="shared" si="4"/>
        <v>78.8701267217631</v>
      </c>
      <c r="C284" s="3">
        <f>'PIM(2002 = 100)'!B284</f>
        <v>98.86</v>
      </c>
    </row>
    <row r="285" spans="1:3" x14ac:dyDescent="0.2">
      <c r="A285" s="5">
        <v>36008</v>
      </c>
      <c r="B285">
        <f t="shared" si="4"/>
        <v>77.338358126721772</v>
      </c>
      <c r="C285" s="3">
        <f>'PIM(2002 = 100)'!B285</f>
        <v>96.94</v>
      </c>
    </row>
    <row r="286" spans="1:3" x14ac:dyDescent="0.2">
      <c r="A286" s="5">
        <v>36039</v>
      </c>
      <c r="B286">
        <f t="shared" si="4"/>
        <v>76.301223140495878</v>
      </c>
      <c r="C286" s="3">
        <f>'PIM(2002 = 100)'!B286</f>
        <v>95.64</v>
      </c>
    </row>
    <row r="287" spans="1:3" x14ac:dyDescent="0.2">
      <c r="A287" s="5">
        <v>36069</v>
      </c>
      <c r="B287">
        <f t="shared" si="4"/>
        <v>75.670964187327826</v>
      </c>
      <c r="C287" s="3">
        <f>'PIM(2002 = 100)'!B287</f>
        <v>94.85</v>
      </c>
    </row>
    <row r="288" spans="1:3" x14ac:dyDescent="0.2">
      <c r="A288" s="5">
        <v>36100</v>
      </c>
      <c r="B288">
        <f t="shared" si="4"/>
        <v>72.679228650137745</v>
      </c>
      <c r="C288" s="3">
        <f>'PIM(2002 = 100)'!B288</f>
        <v>91.1</v>
      </c>
    </row>
    <row r="289" spans="1:3" x14ac:dyDescent="0.2">
      <c r="A289" s="5">
        <v>36130</v>
      </c>
      <c r="B289">
        <f t="shared" si="4"/>
        <v>63.233322314049602</v>
      </c>
      <c r="C289" s="3">
        <f>'PIM(2002 = 100)'!B289</f>
        <v>79.260000000000005</v>
      </c>
    </row>
    <row r="290" spans="1:3" x14ac:dyDescent="0.2">
      <c r="A290" s="5">
        <v>36161</v>
      </c>
      <c r="B290">
        <f t="shared" si="4"/>
        <v>62.283944903581272</v>
      </c>
      <c r="C290" s="3">
        <f>'PIM(2002 = 100)'!B290</f>
        <v>78.069999999999993</v>
      </c>
    </row>
    <row r="291" spans="1:3" x14ac:dyDescent="0.2">
      <c r="A291" s="5">
        <v>36192</v>
      </c>
      <c r="B291">
        <f t="shared" si="4"/>
        <v>59.730997245179076</v>
      </c>
      <c r="C291" s="3">
        <f>'PIM(2002 = 100)'!B291</f>
        <v>74.87</v>
      </c>
    </row>
    <row r="292" spans="1:3" x14ac:dyDescent="0.2">
      <c r="A292" s="5">
        <v>36220</v>
      </c>
      <c r="B292">
        <f t="shared" si="4"/>
        <v>71.147460055096431</v>
      </c>
      <c r="C292" s="3">
        <f>'PIM(2002 = 100)'!B292</f>
        <v>89.18</v>
      </c>
    </row>
    <row r="293" spans="1:3" x14ac:dyDescent="0.2">
      <c r="A293" s="5">
        <v>36251</v>
      </c>
      <c r="B293">
        <f t="shared" si="4"/>
        <v>68.570578512396693</v>
      </c>
      <c r="C293" s="3">
        <f>'PIM(2002 = 100)'!B293</f>
        <v>85.95</v>
      </c>
    </row>
    <row r="294" spans="1:3" x14ac:dyDescent="0.2">
      <c r="A294" s="5">
        <v>36281</v>
      </c>
      <c r="B294">
        <f t="shared" si="4"/>
        <v>73.237685950413223</v>
      </c>
      <c r="C294" s="3">
        <f>'PIM(2002 = 100)'!B294</f>
        <v>91.8</v>
      </c>
    </row>
    <row r="295" spans="1:3" x14ac:dyDescent="0.2">
      <c r="A295" s="5">
        <v>36312</v>
      </c>
      <c r="B295">
        <f t="shared" si="4"/>
        <v>73.221730027548219</v>
      </c>
      <c r="C295" s="3">
        <f>'PIM(2002 = 100)'!B295</f>
        <v>91.78</v>
      </c>
    </row>
    <row r="296" spans="1:3" x14ac:dyDescent="0.2">
      <c r="A296" s="5">
        <v>36342</v>
      </c>
      <c r="B296">
        <f t="shared" si="4"/>
        <v>74.857212121212115</v>
      </c>
      <c r="C296" s="3">
        <f>'PIM(2002 = 100)'!B296</f>
        <v>93.83</v>
      </c>
    </row>
    <row r="297" spans="1:3" x14ac:dyDescent="0.2">
      <c r="A297" s="5">
        <v>36373</v>
      </c>
      <c r="B297">
        <f t="shared" si="4"/>
        <v>77.529829201101933</v>
      </c>
      <c r="C297" s="3">
        <f>'PIM(2002 = 100)'!B297</f>
        <v>97.18</v>
      </c>
    </row>
    <row r="298" spans="1:3" x14ac:dyDescent="0.2">
      <c r="A298" s="5">
        <v>36404</v>
      </c>
      <c r="B298">
        <f t="shared" si="4"/>
        <v>76.6841652892562</v>
      </c>
      <c r="C298" s="3">
        <f>'PIM(2002 = 100)'!B298</f>
        <v>96.12</v>
      </c>
    </row>
    <row r="299" spans="1:3" x14ac:dyDescent="0.2">
      <c r="A299" s="5">
        <v>36434</v>
      </c>
      <c r="B299">
        <f t="shared" si="4"/>
        <v>78.088286501377411</v>
      </c>
      <c r="C299" s="3">
        <f>'PIM(2002 = 100)'!B299</f>
        <v>97.88</v>
      </c>
    </row>
    <row r="300" spans="1:3" x14ac:dyDescent="0.2">
      <c r="A300" s="5">
        <v>36465</v>
      </c>
      <c r="B300">
        <f t="shared" si="4"/>
        <v>76.245377410468322</v>
      </c>
      <c r="C300" s="3">
        <f>'PIM(2002 = 100)'!B300</f>
        <v>95.57</v>
      </c>
    </row>
    <row r="301" spans="1:3" x14ac:dyDescent="0.2">
      <c r="A301" s="5">
        <v>36495</v>
      </c>
      <c r="B301">
        <f t="shared" si="4"/>
        <v>68.658336088154272</v>
      </c>
      <c r="C301" s="3">
        <f>'PIM(2002 = 100)'!B301</f>
        <v>86.06</v>
      </c>
    </row>
    <row r="302" spans="1:3" x14ac:dyDescent="0.2">
      <c r="A302" s="5">
        <v>36526</v>
      </c>
      <c r="B302">
        <f t="shared" si="4"/>
        <v>65.331526170798895</v>
      </c>
      <c r="C302" s="3">
        <f>'PIM(2002 = 100)'!B302</f>
        <v>81.89</v>
      </c>
    </row>
    <row r="303" spans="1:3" x14ac:dyDescent="0.2">
      <c r="A303" s="5">
        <v>36557</v>
      </c>
      <c r="B303">
        <f t="shared" si="4"/>
        <v>69.248705234159772</v>
      </c>
      <c r="C303" s="3">
        <f>'PIM(2002 = 100)'!B303</f>
        <v>86.8</v>
      </c>
    </row>
    <row r="304" spans="1:3" x14ac:dyDescent="0.2">
      <c r="A304" s="5">
        <v>36586</v>
      </c>
      <c r="B304">
        <f t="shared" si="4"/>
        <v>73.987614325068861</v>
      </c>
      <c r="C304" s="3">
        <f>'PIM(2002 = 100)'!B304</f>
        <v>92.74</v>
      </c>
    </row>
    <row r="305" spans="1:3" x14ac:dyDescent="0.2">
      <c r="A305" s="5">
        <v>36617</v>
      </c>
      <c r="B305">
        <f t="shared" si="4"/>
        <v>70.932055096418722</v>
      </c>
      <c r="C305" s="3">
        <f>'PIM(2002 = 100)'!B305</f>
        <v>88.91</v>
      </c>
    </row>
    <row r="306" spans="1:3" x14ac:dyDescent="0.2">
      <c r="A306" s="5">
        <v>36647</v>
      </c>
      <c r="B306">
        <f t="shared" si="4"/>
        <v>77.952661157024778</v>
      </c>
      <c r="C306" s="3">
        <f>'PIM(2002 = 100)'!B306</f>
        <v>97.71</v>
      </c>
    </row>
    <row r="307" spans="1:3" x14ac:dyDescent="0.2">
      <c r="A307" s="5">
        <v>36678</v>
      </c>
      <c r="B307">
        <f t="shared" si="4"/>
        <v>78.686633608815413</v>
      </c>
      <c r="C307" s="3">
        <f>'PIM(2002 = 100)'!B307</f>
        <v>98.63</v>
      </c>
    </row>
    <row r="308" spans="1:3" x14ac:dyDescent="0.2">
      <c r="A308" s="5">
        <v>36708</v>
      </c>
      <c r="B308">
        <f t="shared" si="4"/>
        <v>80.114688705234144</v>
      </c>
      <c r="C308" s="3">
        <f>'PIM(2002 = 100)'!B308</f>
        <v>100.42</v>
      </c>
    </row>
    <row r="309" spans="1:3" x14ac:dyDescent="0.2">
      <c r="A309" s="5">
        <v>36739</v>
      </c>
      <c r="B309">
        <f t="shared" si="4"/>
        <v>83.752639118457296</v>
      </c>
      <c r="C309" s="3">
        <f>'PIM(2002 = 100)'!B309</f>
        <v>104.98</v>
      </c>
    </row>
    <row r="310" spans="1:3" x14ac:dyDescent="0.2">
      <c r="A310" s="5">
        <v>36770</v>
      </c>
      <c r="B310">
        <f t="shared" si="4"/>
        <v>79.41262809917356</v>
      </c>
      <c r="C310" s="3">
        <f>'PIM(2002 = 100)'!B310</f>
        <v>99.54</v>
      </c>
    </row>
    <row r="311" spans="1:3" x14ac:dyDescent="0.2">
      <c r="A311" s="5">
        <v>36800</v>
      </c>
      <c r="B311">
        <f t="shared" si="4"/>
        <v>83.768595041322314</v>
      </c>
      <c r="C311" s="3">
        <f>'PIM(2002 = 100)'!B311</f>
        <v>105</v>
      </c>
    </row>
    <row r="312" spans="1:3" x14ac:dyDescent="0.2">
      <c r="A312" s="5">
        <v>36831</v>
      </c>
      <c r="B312">
        <f t="shared" si="4"/>
        <v>80.266269972451781</v>
      </c>
      <c r="C312" s="3">
        <f>'PIM(2002 = 100)'!B312</f>
        <v>100.61</v>
      </c>
    </row>
    <row r="313" spans="1:3" x14ac:dyDescent="0.2">
      <c r="A313" s="5">
        <v>36861</v>
      </c>
      <c r="B313">
        <f t="shared" si="4"/>
        <v>73.923790633608803</v>
      </c>
      <c r="C313" s="3">
        <f>'PIM(2002 = 100)'!B313</f>
        <v>92.66</v>
      </c>
    </row>
    <row r="314" spans="1:3" x14ac:dyDescent="0.2">
      <c r="A314" s="5">
        <v>36892</v>
      </c>
      <c r="B314">
        <f t="shared" si="4"/>
        <v>73.261619834710729</v>
      </c>
      <c r="C314" s="3">
        <f>'PIM(2002 = 100)'!B314</f>
        <v>91.83</v>
      </c>
    </row>
    <row r="315" spans="1:3" x14ac:dyDescent="0.2">
      <c r="A315" s="5">
        <v>36923</v>
      </c>
      <c r="B315">
        <f t="shared" si="4"/>
        <v>70.684738292011005</v>
      </c>
      <c r="C315" s="3">
        <f>'PIM(2002 = 100)'!B315</f>
        <v>88.6</v>
      </c>
    </row>
    <row r="316" spans="1:3" x14ac:dyDescent="0.2">
      <c r="A316" s="5">
        <v>36951</v>
      </c>
      <c r="B316">
        <f t="shared" si="4"/>
        <v>80.186490358126719</v>
      </c>
      <c r="C316" s="3">
        <f>'PIM(2002 = 100)'!B316</f>
        <v>100.51</v>
      </c>
    </row>
    <row r="317" spans="1:3" x14ac:dyDescent="0.2">
      <c r="A317" s="5">
        <v>36982</v>
      </c>
      <c r="B317">
        <f t="shared" si="4"/>
        <v>75.33588980716253</v>
      </c>
      <c r="C317" s="3">
        <f>'PIM(2002 = 100)'!B317</f>
        <v>94.43</v>
      </c>
    </row>
    <row r="318" spans="1:3" x14ac:dyDescent="0.2">
      <c r="A318" s="5">
        <v>37012</v>
      </c>
      <c r="B318">
        <f t="shared" si="4"/>
        <v>81.726236914600548</v>
      </c>
      <c r="C318" s="3">
        <f>'PIM(2002 = 100)'!B318</f>
        <v>102.44</v>
      </c>
    </row>
    <row r="319" spans="1:3" x14ac:dyDescent="0.2">
      <c r="A319" s="5">
        <v>37043</v>
      </c>
      <c r="B319">
        <f t="shared" si="4"/>
        <v>77.96861707988981</v>
      </c>
      <c r="C319" s="3">
        <f>'PIM(2002 = 100)'!B319</f>
        <v>97.73</v>
      </c>
    </row>
    <row r="320" spans="1:3" x14ac:dyDescent="0.2">
      <c r="A320" s="5">
        <v>37073</v>
      </c>
      <c r="B320">
        <f t="shared" si="4"/>
        <v>81.351272727272729</v>
      </c>
      <c r="C320" s="3">
        <f>'PIM(2002 = 100)'!B320</f>
        <v>101.97</v>
      </c>
    </row>
    <row r="321" spans="1:4" x14ac:dyDescent="0.2">
      <c r="A321" s="5">
        <v>37104</v>
      </c>
      <c r="B321">
        <f t="shared" si="4"/>
        <v>83.712749311294772</v>
      </c>
      <c r="C321" s="3">
        <f>'PIM(2002 = 100)'!B321</f>
        <v>104.93</v>
      </c>
    </row>
    <row r="322" spans="1:4" x14ac:dyDescent="0.2">
      <c r="A322" s="5">
        <v>37135</v>
      </c>
      <c r="B322">
        <f t="shared" si="4"/>
        <v>78.279757575757586</v>
      </c>
      <c r="C322" s="3">
        <f>'PIM(2002 = 100)'!B322</f>
        <v>98.12</v>
      </c>
    </row>
    <row r="323" spans="1:4" x14ac:dyDescent="0.2">
      <c r="A323" s="5">
        <v>37165</v>
      </c>
      <c r="B323">
        <f t="shared" ref="B323:B386" si="5">IF(ISBLANK(D323),B324/(C324/C323),D323)</f>
        <v>81.255537190082649</v>
      </c>
      <c r="C323" s="3">
        <f>'PIM(2002 = 100)'!B323</f>
        <v>101.85</v>
      </c>
    </row>
    <row r="324" spans="1:4" x14ac:dyDescent="0.2">
      <c r="A324" s="5">
        <v>37196</v>
      </c>
      <c r="B324">
        <f t="shared" si="5"/>
        <v>78.925972451790642</v>
      </c>
      <c r="C324" s="3">
        <f>'PIM(2002 = 100)'!B324</f>
        <v>98.93</v>
      </c>
    </row>
    <row r="325" spans="1:4" x14ac:dyDescent="0.2">
      <c r="A325" s="5">
        <v>37226</v>
      </c>
      <c r="B325">
        <f t="shared" si="5"/>
        <v>69.160947658402208</v>
      </c>
      <c r="C325" s="3">
        <f>'PIM(2002 = 100)'!B325</f>
        <v>86.69</v>
      </c>
    </row>
    <row r="326" spans="1:4" x14ac:dyDescent="0.2">
      <c r="A326" s="5">
        <v>37257</v>
      </c>
      <c r="B326">
        <f t="shared" si="5"/>
        <v>72.400000000000006</v>
      </c>
      <c r="C326" s="3">
        <f>'PIM(2002 = 100)'!B326</f>
        <v>90.75</v>
      </c>
      <c r="D326" s="3">
        <f>'PIM(2012 = 100)'!B2</f>
        <v>72.400000000000006</v>
      </c>
    </row>
    <row r="327" spans="1:4" x14ac:dyDescent="0.2">
      <c r="A327" s="5">
        <v>37288</v>
      </c>
      <c r="B327">
        <f t="shared" si="5"/>
        <v>69.7</v>
      </c>
      <c r="C327" s="3">
        <f>'PIM(2002 = 100)'!B327</f>
        <v>87.85</v>
      </c>
      <c r="D327" s="3">
        <f>'PIM(2012 = 100)'!B3</f>
        <v>69.7</v>
      </c>
    </row>
    <row r="328" spans="1:4" x14ac:dyDescent="0.2">
      <c r="A328" s="5">
        <v>37316</v>
      </c>
      <c r="B328">
        <f t="shared" si="5"/>
        <v>77.400000000000006</v>
      </c>
      <c r="C328" s="3">
        <f>'PIM(2002 = 100)'!B328</f>
        <v>97.04</v>
      </c>
      <c r="D328" s="3">
        <f>'PIM(2012 = 100)'!B4</f>
        <v>77.400000000000006</v>
      </c>
    </row>
    <row r="329" spans="1:4" x14ac:dyDescent="0.2">
      <c r="A329" s="5">
        <v>37347</v>
      </c>
      <c r="B329">
        <f t="shared" si="5"/>
        <v>79.599999999999994</v>
      </c>
      <c r="C329" s="3">
        <f>'PIM(2002 = 100)'!B329</f>
        <v>100.11</v>
      </c>
      <c r="D329" s="3">
        <f>'PIM(2012 = 100)'!B5</f>
        <v>79.599999999999994</v>
      </c>
    </row>
    <row r="330" spans="1:4" x14ac:dyDescent="0.2">
      <c r="A330" s="5">
        <v>37377</v>
      </c>
      <c r="B330">
        <f t="shared" si="5"/>
        <v>80.400000000000006</v>
      </c>
      <c r="C330" s="3">
        <f>'PIM(2002 = 100)'!B330</f>
        <v>100.48</v>
      </c>
      <c r="D330" s="3">
        <f>'PIM(2012 = 100)'!B6</f>
        <v>80.400000000000006</v>
      </c>
    </row>
    <row r="331" spans="1:4" x14ac:dyDescent="0.2">
      <c r="A331" s="5">
        <v>37408</v>
      </c>
      <c r="B331">
        <f t="shared" si="5"/>
        <v>77.5</v>
      </c>
      <c r="C331" s="3">
        <f>'PIM(2002 = 100)'!B331</f>
        <v>96.8</v>
      </c>
      <c r="D331" s="3">
        <f>'PIM(2012 = 100)'!B7</f>
        <v>77.5</v>
      </c>
    </row>
    <row r="332" spans="1:4" x14ac:dyDescent="0.2">
      <c r="A332" s="5">
        <v>37438</v>
      </c>
      <c r="B332">
        <f t="shared" si="5"/>
        <v>83.3</v>
      </c>
      <c r="C332" s="3">
        <f>'PIM(2002 = 100)'!B332</f>
        <v>104.53</v>
      </c>
      <c r="D332" s="3">
        <f>'PIM(2012 = 100)'!B8</f>
        <v>83.3</v>
      </c>
    </row>
    <row r="333" spans="1:4" x14ac:dyDescent="0.2">
      <c r="A333" s="5">
        <v>37469</v>
      </c>
      <c r="B333">
        <f t="shared" si="5"/>
        <v>83.6</v>
      </c>
      <c r="C333" s="3">
        <f>'PIM(2002 = 100)'!B333</f>
        <v>105.34</v>
      </c>
      <c r="D333" s="3">
        <f>'PIM(2012 = 100)'!B9</f>
        <v>83.6</v>
      </c>
    </row>
    <row r="334" spans="1:4" x14ac:dyDescent="0.2">
      <c r="A334" s="5">
        <v>37500</v>
      </c>
      <c r="B334">
        <f t="shared" si="5"/>
        <v>82.1</v>
      </c>
      <c r="C334" s="3">
        <f>'PIM(2002 = 100)'!B334</f>
        <v>103.82</v>
      </c>
      <c r="D334" s="3">
        <f>'PIM(2012 = 100)'!B10</f>
        <v>82.1</v>
      </c>
    </row>
    <row r="335" spans="1:4" x14ac:dyDescent="0.2">
      <c r="A335" s="5">
        <v>37530</v>
      </c>
      <c r="B335">
        <f t="shared" si="5"/>
        <v>89.2</v>
      </c>
      <c r="C335" s="3">
        <f>'PIM(2002 = 100)'!B335</f>
        <v>113.18</v>
      </c>
      <c r="D335" s="3">
        <f>'PIM(2012 = 100)'!B11</f>
        <v>89.2</v>
      </c>
    </row>
    <row r="336" spans="1:4" x14ac:dyDescent="0.2">
      <c r="A336" s="5">
        <v>37561</v>
      </c>
      <c r="B336">
        <f t="shared" si="5"/>
        <v>83.9</v>
      </c>
      <c r="C336" s="3">
        <f>'PIM(2002 = 100)'!B336</f>
        <v>106.3</v>
      </c>
      <c r="D336" s="3">
        <f>'PIM(2012 = 100)'!B12</f>
        <v>83.9</v>
      </c>
    </row>
    <row r="337" spans="1:8" x14ac:dyDescent="0.2">
      <c r="A337" s="5">
        <v>37591</v>
      </c>
      <c r="B337">
        <f t="shared" si="5"/>
        <v>74.599999999999994</v>
      </c>
      <c r="C337" s="3">
        <f>'PIM(2002 = 100)'!B337</f>
        <v>93.75</v>
      </c>
      <c r="D337" s="3">
        <f>'PIM(2012 = 100)'!B13</f>
        <v>74.599999999999994</v>
      </c>
    </row>
    <row r="338" spans="1:8" x14ac:dyDescent="0.2">
      <c r="A338" s="5">
        <v>37622</v>
      </c>
      <c r="B338">
        <f t="shared" si="5"/>
        <v>74</v>
      </c>
      <c r="C338" s="3">
        <f>'PIM(2002 = 100)'!B338</f>
        <v>92.22</v>
      </c>
      <c r="D338" s="3">
        <f>'PIM(2012 = 100)'!B14</f>
        <v>74</v>
      </c>
    </row>
    <row r="339" spans="1:8" x14ac:dyDescent="0.2">
      <c r="A339" s="5">
        <v>37653</v>
      </c>
      <c r="B339">
        <f t="shared" si="5"/>
        <v>71.8</v>
      </c>
      <c r="C339" s="3">
        <f>'PIM(2002 = 100)'!B339</f>
        <v>90.26</v>
      </c>
      <c r="D339" s="3">
        <f>'PIM(2012 = 100)'!B15</f>
        <v>71.8</v>
      </c>
    </row>
    <row r="340" spans="1:8" x14ac:dyDescent="0.2">
      <c r="A340" s="5">
        <v>37681</v>
      </c>
      <c r="B340">
        <f t="shared" si="5"/>
        <v>77.400000000000006</v>
      </c>
      <c r="C340" s="3">
        <f>'PIM(2002 = 100)'!B340</f>
        <v>96.04</v>
      </c>
      <c r="D340" s="3">
        <f>'PIM(2012 = 100)'!B16</f>
        <v>77.400000000000006</v>
      </c>
    </row>
    <row r="341" spans="1:8" x14ac:dyDescent="0.2">
      <c r="A341" s="5">
        <v>37712</v>
      </c>
      <c r="B341">
        <f t="shared" si="5"/>
        <v>76.5</v>
      </c>
      <c r="C341" s="3">
        <f>'PIM(2002 = 100)'!B341</f>
        <v>95.38</v>
      </c>
      <c r="D341" s="3">
        <f>'PIM(2012 = 100)'!B17</f>
        <v>76.5</v>
      </c>
    </row>
    <row r="342" spans="1:8" x14ac:dyDescent="0.2">
      <c r="A342" s="5">
        <v>37742</v>
      </c>
      <c r="B342">
        <f t="shared" si="5"/>
        <v>79.7</v>
      </c>
      <c r="C342" s="3">
        <f>'PIM(2002 = 100)'!B342</f>
        <v>99.26</v>
      </c>
      <c r="D342" s="3">
        <f>'PIM(2012 = 100)'!B18</f>
        <v>79.7</v>
      </c>
    </row>
    <row r="343" spans="1:8" x14ac:dyDescent="0.2">
      <c r="A343" s="5">
        <v>37773</v>
      </c>
      <c r="B343">
        <f t="shared" si="5"/>
        <v>76.3</v>
      </c>
      <c r="C343" s="3">
        <f>'PIM(2002 = 100)'!B343</f>
        <v>95.02</v>
      </c>
      <c r="D343" s="3">
        <f>'PIM(2012 = 100)'!B19</f>
        <v>76.3</v>
      </c>
    </row>
    <row r="344" spans="1:8" x14ac:dyDescent="0.2">
      <c r="A344" s="5">
        <v>37803</v>
      </c>
      <c r="B344">
        <f t="shared" si="5"/>
        <v>81.3</v>
      </c>
      <c r="C344" s="3">
        <f>'PIM(2002 = 100)'!B344</f>
        <v>101.9</v>
      </c>
      <c r="D344" s="3">
        <f>'PIM(2012 = 100)'!B20</f>
        <v>81.3</v>
      </c>
    </row>
    <row r="345" spans="1:8" x14ac:dyDescent="0.2">
      <c r="A345" s="5">
        <v>37834</v>
      </c>
      <c r="B345">
        <f t="shared" si="5"/>
        <v>81.599999999999994</v>
      </c>
      <c r="C345" s="3">
        <f>'PIM(2002 = 100)'!B345</f>
        <v>102.44</v>
      </c>
      <c r="D345" s="3">
        <f>'PIM(2012 = 100)'!B21</f>
        <v>81.599999999999994</v>
      </c>
    </row>
    <row r="346" spans="1:8" x14ac:dyDescent="0.2">
      <c r="A346" s="5">
        <v>37865</v>
      </c>
      <c r="B346">
        <f t="shared" si="5"/>
        <v>85.7</v>
      </c>
      <c r="C346" s="3">
        <f>'PIM(2002 = 100)'!B346</f>
        <v>107.97</v>
      </c>
      <c r="D346" s="3">
        <f>'PIM(2012 = 100)'!B22</f>
        <v>85.7</v>
      </c>
    </row>
    <row r="347" spans="1:8" x14ac:dyDescent="0.2">
      <c r="A347" s="5">
        <v>37895</v>
      </c>
      <c r="B347">
        <f t="shared" si="5"/>
        <v>90</v>
      </c>
      <c r="C347" s="3">
        <f>'PIM(2002 = 100)'!B347</f>
        <v>113.92</v>
      </c>
      <c r="D347" s="3">
        <f>'PIM(2012 = 100)'!B23</f>
        <v>90</v>
      </c>
    </row>
    <row r="348" spans="1:8" x14ac:dyDescent="0.2">
      <c r="A348" s="5">
        <v>37926</v>
      </c>
      <c r="B348">
        <f t="shared" si="5"/>
        <v>84.6</v>
      </c>
      <c r="C348" s="3">
        <f>'PIM(2002 = 100)'!B348</f>
        <v>107.92</v>
      </c>
      <c r="D348" s="3">
        <f>'PIM(2012 = 100)'!B24</f>
        <v>84.6</v>
      </c>
    </row>
    <row r="349" spans="1:8" x14ac:dyDescent="0.2">
      <c r="A349" s="5">
        <v>37956</v>
      </c>
      <c r="B349">
        <f t="shared" si="5"/>
        <v>77.900000000000006</v>
      </c>
      <c r="C349" s="3">
        <f>'PIM(2002 = 100)'!B349</f>
        <v>98.23</v>
      </c>
      <c r="D349" s="3">
        <f>'PIM(2012 = 100)'!B25</f>
        <v>77.900000000000006</v>
      </c>
    </row>
    <row r="350" spans="1:8" ht="15" x14ac:dyDescent="0.25">
      <c r="A350" s="5">
        <v>37987</v>
      </c>
      <c r="B350">
        <f t="shared" si="5"/>
        <v>76.8</v>
      </c>
      <c r="C350" s="3">
        <f>'PIM(2002 = 100)'!B350</f>
        <v>95.73</v>
      </c>
      <c r="D350" s="3">
        <f>'PIM(2012 = 100)'!B26</f>
        <v>76.8</v>
      </c>
      <c r="H350" s="7"/>
    </row>
    <row r="351" spans="1:8" ht="15" x14ac:dyDescent="0.25">
      <c r="A351" s="5">
        <v>38018</v>
      </c>
      <c r="B351">
        <f t="shared" si="5"/>
        <v>74</v>
      </c>
      <c r="C351" s="3">
        <f>'PIM(2002 = 100)'!B351</f>
        <v>92.09</v>
      </c>
      <c r="D351" s="3">
        <f>'PIM(2012 = 100)'!B27</f>
        <v>74</v>
      </c>
      <c r="H351" s="7"/>
    </row>
    <row r="352" spans="1:8" ht="15" x14ac:dyDescent="0.25">
      <c r="A352" s="5">
        <v>38047</v>
      </c>
      <c r="B352">
        <f t="shared" si="5"/>
        <v>86.9</v>
      </c>
      <c r="C352" s="3">
        <f>'PIM(2002 = 100)'!B352</f>
        <v>108.9</v>
      </c>
      <c r="D352" s="3">
        <f>'PIM(2012 = 100)'!B28</f>
        <v>86.9</v>
      </c>
      <c r="H352" s="7"/>
    </row>
    <row r="353" spans="1:8" ht="15" x14ac:dyDescent="0.25">
      <c r="A353" s="5">
        <v>38078</v>
      </c>
      <c r="B353">
        <f t="shared" si="5"/>
        <v>82.2</v>
      </c>
      <c r="C353" s="3">
        <f>'PIM(2002 = 100)'!B353</f>
        <v>102.59</v>
      </c>
      <c r="D353" s="3">
        <f>'PIM(2012 = 100)'!B29</f>
        <v>82.2</v>
      </c>
      <c r="H353" s="7"/>
    </row>
    <row r="354" spans="1:8" ht="15" x14ac:dyDescent="0.25">
      <c r="A354" s="5">
        <v>38108</v>
      </c>
      <c r="B354">
        <f t="shared" si="5"/>
        <v>86.3</v>
      </c>
      <c r="C354" s="3">
        <f>'PIM(2002 = 100)'!B354</f>
        <v>108.03</v>
      </c>
      <c r="D354" s="3">
        <f>'PIM(2012 = 100)'!B30</f>
        <v>86.3</v>
      </c>
      <c r="H354" s="7"/>
    </row>
    <row r="355" spans="1:8" ht="15" x14ac:dyDescent="0.25">
      <c r="A355" s="5">
        <v>38139</v>
      </c>
      <c r="B355">
        <f t="shared" si="5"/>
        <v>86.1</v>
      </c>
      <c r="C355" s="3">
        <f>'PIM(2002 = 100)'!B355</f>
        <v>107.86</v>
      </c>
      <c r="D355" s="3">
        <f>'PIM(2012 = 100)'!B31</f>
        <v>86.1</v>
      </c>
      <c r="H355" s="7"/>
    </row>
    <row r="356" spans="1:8" ht="15" x14ac:dyDescent="0.25">
      <c r="A356" s="5">
        <v>38169</v>
      </c>
      <c r="B356">
        <f t="shared" si="5"/>
        <v>90.1</v>
      </c>
      <c r="C356" s="3">
        <f>'PIM(2002 = 100)'!B356</f>
        <v>112.58</v>
      </c>
      <c r="D356" s="3">
        <f>'PIM(2012 = 100)'!B32</f>
        <v>90.1</v>
      </c>
      <c r="H356" s="7"/>
    </row>
    <row r="357" spans="1:8" ht="15" x14ac:dyDescent="0.25">
      <c r="A357" s="5">
        <v>38200</v>
      </c>
      <c r="B357">
        <f t="shared" si="5"/>
        <v>92.1</v>
      </c>
      <c r="C357" s="3">
        <f>'PIM(2002 = 100)'!B357</f>
        <v>116.11</v>
      </c>
      <c r="D357" s="3">
        <f>'PIM(2012 = 100)'!B33</f>
        <v>92.1</v>
      </c>
      <c r="H357" s="7"/>
    </row>
    <row r="358" spans="1:8" ht="15" x14ac:dyDescent="0.25">
      <c r="A358" s="5">
        <v>38231</v>
      </c>
      <c r="B358">
        <f t="shared" si="5"/>
        <v>92.1</v>
      </c>
      <c r="C358" s="3">
        <f>'PIM(2002 = 100)'!B358</f>
        <v>116.05</v>
      </c>
      <c r="D358" s="3">
        <f>'PIM(2012 = 100)'!B34</f>
        <v>92.1</v>
      </c>
      <c r="H358" s="7"/>
    </row>
    <row r="359" spans="1:8" ht="15" x14ac:dyDescent="0.25">
      <c r="A359" s="5">
        <v>38261</v>
      </c>
      <c r="B359">
        <f t="shared" si="5"/>
        <v>93.5</v>
      </c>
      <c r="C359" s="3">
        <f>'PIM(2002 = 100)'!B359</f>
        <v>117.62</v>
      </c>
      <c r="D359" s="3">
        <f>'PIM(2012 = 100)'!B35</f>
        <v>93.5</v>
      </c>
      <c r="H359" s="7"/>
    </row>
    <row r="360" spans="1:8" ht="15" x14ac:dyDescent="0.25">
      <c r="A360" s="5">
        <v>38292</v>
      </c>
      <c r="B360">
        <f t="shared" si="5"/>
        <v>91.8</v>
      </c>
      <c r="C360" s="3">
        <f>'PIM(2002 = 100)'!B360</f>
        <v>116.29</v>
      </c>
      <c r="D360" s="3">
        <f>'PIM(2012 = 100)'!B36</f>
        <v>91.8</v>
      </c>
      <c r="H360" s="7"/>
    </row>
    <row r="361" spans="1:8" ht="15" x14ac:dyDescent="0.25">
      <c r="A361" s="5">
        <v>38322</v>
      </c>
      <c r="B361">
        <f t="shared" si="5"/>
        <v>84.7</v>
      </c>
      <c r="C361" s="3">
        <f>'PIM(2002 = 100)'!B361</f>
        <v>106.41</v>
      </c>
      <c r="D361" s="3">
        <f>'PIM(2012 = 100)'!B37</f>
        <v>84.7</v>
      </c>
      <c r="H361" s="7"/>
    </row>
    <row r="362" spans="1:8" ht="15" x14ac:dyDescent="0.25">
      <c r="A362" s="5">
        <v>38353</v>
      </c>
      <c r="B362">
        <f t="shared" si="5"/>
        <v>81</v>
      </c>
      <c r="C362" s="3">
        <f>'PIM(2002 = 100)'!B362</f>
        <v>101.45</v>
      </c>
      <c r="D362" s="3">
        <f>'PIM(2012 = 100)'!B38</f>
        <v>81</v>
      </c>
      <c r="H362" s="7"/>
    </row>
    <row r="363" spans="1:8" ht="15" x14ac:dyDescent="0.25">
      <c r="A363" s="5">
        <v>38384</v>
      </c>
      <c r="B363">
        <f t="shared" si="5"/>
        <v>76.400000000000006</v>
      </c>
      <c r="C363" s="3">
        <f>'PIM(2002 = 100)'!B363</f>
        <v>95.89</v>
      </c>
      <c r="D363" s="3">
        <f>'PIM(2012 = 100)'!B39</f>
        <v>76.400000000000006</v>
      </c>
      <c r="H363" s="7"/>
    </row>
    <row r="364" spans="1:8" ht="15" x14ac:dyDescent="0.25">
      <c r="A364" s="5">
        <v>38412</v>
      </c>
      <c r="B364">
        <f t="shared" si="5"/>
        <v>88</v>
      </c>
      <c r="C364" s="3">
        <f>'PIM(2002 = 100)'!B364</f>
        <v>110.81</v>
      </c>
      <c r="D364" s="3">
        <f>'PIM(2012 = 100)'!B40</f>
        <v>88</v>
      </c>
      <c r="H364" s="7"/>
    </row>
    <row r="365" spans="1:8" ht="15" x14ac:dyDescent="0.25">
      <c r="A365" s="5">
        <v>38443</v>
      </c>
      <c r="B365">
        <f t="shared" si="5"/>
        <v>87</v>
      </c>
      <c r="C365" s="3">
        <f>'PIM(2002 = 100)'!B365</f>
        <v>109.12</v>
      </c>
      <c r="D365" s="3">
        <f>'PIM(2012 = 100)'!B41</f>
        <v>87</v>
      </c>
      <c r="H365" s="7"/>
    </row>
    <row r="366" spans="1:8" ht="15" x14ac:dyDescent="0.25">
      <c r="A366" s="5">
        <v>38473</v>
      </c>
      <c r="B366">
        <f t="shared" si="5"/>
        <v>91.1</v>
      </c>
      <c r="C366" s="3">
        <f>'PIM(2002 = 100)'!B366</f>
        <v>114.06</v>
      </c>
      <c r="D366" s="3">
        <f>'PIM(2012 = 100)'!B42</f>
        <v>91.1</v>
      </c>
      <c r="H366" s="7"/>
    </row>
    <row r="367" spans="1:8" ht="15" x14ac:dyDescent="0.25">
      <c r="A367" s="5">
        <v>38504</v>
      </c>
      <c r="B367">
        <f t="shared" si="5"/>
        <v>91.4</v>
      </c>
      <c r="C367" s="3">
        <f>'PIM(2002 = 100)'!B367</f>
        <v>114.77</v>
      </c>
      <c r="D367" s="3">
        <f>'PIM(2012 = 100)'!B43</f>
        <v>91.4</v>
      </c>
      <c r="H367" s="7"/>
    </row>
    <row r="368" spans="1:8" ht="15" x14ac:dyDescent="0.25">
      <c r="A368" s="5">
        <v>38534</v>
      </c>
      <c r="B368">
        <f t="shared" si="5"/>
        <v>90.5</v>
      </c>
      <c r="C368" s="3">
        <f>'PIM(2002 = 100)'!B368</f>
        <v>113.32</v>
      </c>
      <c r="D368" s="3">
        <f>'PIM(2012 = 100)'!B44</f>
        <v>90.5</v>
      </c>
      <c r="H368" s="7"/>
    </row>
    <row r="369" spans="1:8" ht="15" x14ac:dyDescent="0.25">
      <c r="A369" s="5">
        <v>38565</v>
      </c>
      <c r="B369">
        <f t="shared" si="5"/>
        <v>95.6</v>
      </c>
      <c r="C369" s="3">
        <f>'PIM(2002 = 100)'!B369</f>
        <v>120.39</v>
      </c>
      <c r="D369" s="3">
        <f>'PIM(2012 = 100)'!B45</f>
        <v>95.6</v>
      </c>
      <c r="H369" s="7"/>
    </row>
    <row r="370" spans="1:8" ht="15" x14ac:dyDescent="0.25">
      <c r="A370" s="5">
        <v>38596</v>
      </c>
      <c r="B370">
        <f t="shared" si="5"/>
        <v>92</v>
      </c>
      <c r="C370" s="3">
        <f>'PIM(2002 = 100)'!B370</f>
        <v>115.99</v>
      </c>
      <c r="D370" s="3">
        <f>'PIM(2012 = 100)'!B46</f>
        <v>92</v>
      </c>
      <c r="H370" s="7"/>
    </row>
    <row r="371" spans="1:8" ht="15" x14ac:dyDescent="0.25">
      <c r="A371" s="5">
        <v>38626</v>
      </c>
      <c r="B371">
        <f t="shared" si="5"/>
        <v>93.7</v>
      </c>
      <c r="C371" s="3">
        <f>'PIM(2002 = 100)'!B371</f>
        <v>117.94</v>
      </c>
      <c r="D371" s="3">
        <f>'PIM(2012 = 100)'!B47</f>
        <v>93.7</v>
      </c>
      <c r="H371" s="7"/>
    </row>
    <row r="372" spans="1:8" ht="15" x14ac:dyDescent="0.25">
      <c r="A372" s="5">
        <v>38657</v>
      </c>
      <c r="B372">
        <f t="shared" si="5"/>
        <v>92.4</v>
      </c>
      <c r="C372" s="3">
        <f>'PIM(2002 = 100)'!B372</f>
        <v>117.4</v>
      </c>
      <c r="D372" s="3">
        <f>'PIM(2012 = 100)'!B48</f>
        <v>92.4</v>
      </c>
      <c r="H372" s="7"/>
    </row>
    <row r="373" spans="1:8" ht="15" x14ac:dyDescent="0.25">
      <c r="A373" s="5">
        <v>38687</v>
      </c>
      <c r="B373">
        <f t="shared" si="5"/>
        <v>86.6</v>
      </c>
      <c r="C373" s="3">
        <f>'PIM(2002 = 100)'!B373</f>
        <v>109.34</v>
      </c>
      <c r="D373" s="3">
        <f>'PIM(2012 = 100)'!B49</f>
        <v>86.6</v>
      </c>
      <c r="H373" s="7"/>
    </row>
    <row r="374" spans="1:8" ht="15" x14ac:dyDescent="0.25">
      <c r="A374" s="5">
        <v>38718</v>
      </c>
      <c r="B374">
        <f t="shared" si="5"/>
        <v>83.7</v>
      </c>
      <c r="C374" s="3">
        <f>'PIM(2002 = 100)'!B374</f>
        <v>104.58</v>
      </c>
      <c r="D374" s="3">
        <f>'PIM(2012 = 100)'!B50</f>
        <v>83.7</v>
      </c>
      <c r="H374" s="7"/>
    </row>
    <row r="375" spans="1:8" ht="15" x14ac:dyDescent="0.25">
      <c r="A375" s="5">
        <v>38749</v>
      </c>
      <c r="B375">
        <f t="shared" si="5"/>
        <v>80.2</v>
      </c>
      <c r="C375" s="3">
        <f>'PIM(2002 = 100)'!B375</f>
        <v>101.07</v>
      </c>
      <c r="D375" s="3">
        <f>'PIM(2012 = 100)'!B51</f>
        <v>80.2</v>
      </c>
      <c r="H375" s="7"/>
    </row>
    <row r="376" spans="1:8" ht="15" x14ac:dyDescent="0.25">
      <c r="A376" s="5">
        <v>38777</v>
      </c>
      <c r="B376">
        <f t="shared" si="5"/>
        <v>92.4</v>
      </c>
      <c r="C376" s="3">
        <f>'PIM(2002 = 100)'!B376</f>
        <v>116.68</v>
      </c>
      <c r="D376" s="3">
        <f>'PIM(2012 = 100)'!B52</f>
        <v>92.4</v>
      </c>
      <c r="H376" s="7"/>
    </row>
    <row r="377" spans="1:8" ht="15" x14ac:dyDescent="0.25">
      <c r="A377" s="5">
        <v>38808</v>
      </c>
      <c r="B377">
        <f t="shared" si="5"/>
        <v>85.7</v>
      </c>
      <c r="C377" s="3">
        <f>'PIM(2002 = 100)'!B377</f>
        <v>107.21</v>
      </c>
      <c r="D377" s="3">
        <f>'PIM(2012 = 100)'!B53</f>
        <v>85.7</v>
      </c>
      <c r="H377" s="7"/>
    </row>
    <row r="378" spans="1:8" ht="15" x14ac:dyDescent="0.25">
      <c r="A378" s="5">
        <v>38838</v>
      </c>
      <c r="B378">
        <f t="shared" si="5"/>
        <v>95.4</v>
      </c>
      <c r="C378" s="3">
        <f>'PIM(2002 = 100)'!B378</f>
        <v>119.55</v>
      </c>
      <c r="D378" s="3">
        <f>'PIM(2012 = 100)'!B54</f>
        <v>95.4</v>
      </c>
      <c r="H378" s="7"/>
    </row>
    <row r="379" spans="1:8" ht="15" x14ac:dyDescent="0.25">
      <c r="A379" s="5">
        <v>38869</v>
      </c>
      <c r="B379">
        <f t="shared" si="5"/>
        <v>91.1</v>
      </c>
      <c r="C379" s="3">
        <f>'PIM(2002 = 100)'!B379</f>
        <v>114.13</v>
      </c>
      <c r="D379" s="3">
        <f>'PIM(2012 = 100)'!B55</f>
        <v>91.1</v>
      </c>
      <c r="H379" s="7"/>
    </row>
    <row r="380" spans="1:8" ht="15" x14ac:dyDescent="0.25">
      <c r="A380" s="5">
        <v>38899</v>
      </c>
      <c r="B380">
        <f t="shared" si="5"/>
        <v>93.8</v>
      </c>
      <c r="C380" s="3">
        <f>'PIM(2002 = 100)'!B380</f>
        <v>117.27</v>
      </c>
      <c r="D380" s="3">
        <f>'PIM(2012 = 100)'!B56</f>
        <v>93.8</v>
      </c>
      <c r="H380" s="7"/>
    </row>
    <row r="381" spans="1:8" ht="15" x14ac:dyDescent="0.25">
      <c r="A381" s="5">
        <v>38930</v>
      </c>
      <c r="B381">
        <f t="shared" si="5"/>
        <v>98.6</v>
      </c>
      <c r="C381" s="3">
        <f>'PIM(2002 = 100)'!B381</f>
        <v>124.3</v>
      </c>
      <c r="D381" s="3">
        <f>'PIM(2012 = 100)'!B57</f>
        <v>98.6</v>
      </c>
      <c r="H381" s="7"/>
    </row>
    <row r="382" spans="1:8" ht="15" x14ac:dyDescent="0.25">
      <c r="A382" s="5">
        <v>38961</v>
      </c>
      <c r="B382">
        <f t="shared" si="5"/>
        <v>93.2</v>
      </c>
      <c r="C382" s="3">
        <f>'PIM(2002 = 100)'!B382</f>
        <v>117.86</v>
      </c>
      <c r="D382" s="3">
        <f>'PIM(2012 = 100)'!B58</f>
        <v>93.2</v>
      </c>
      <c r="H382" s="7"/>
    </row>
    <row r="383" spans="1:8" ht="15" x14ac:dyDescent="0.25">
      <c r="A383" s="5">
        <v>38991</v>
      </c>
      <c r="B383">
        <f t="shared" si="5"/>
        <v>97.5</v>
      </c>
      <c r="C383" s="3">
        <f>'PIM(2002 = 100)'!B383</f>
        <v>123.78</v>
      </c>
      <c r="D383" s="3">
        <f>'PIM(2012 = 100)'!B59</f>
        <v>97.5</v>
      </c>
      <c r="H383" s="7"/>
    </row>
    <row r="384" spans="1:8" ht="15" x14ac:dyDescent="0.25">
      <c r="A384" s="5">
        <v>39022</v>
      </c>
      <c r="B384">
        <f t="shared" si="5"/>
        <v>95.9</v>
      </c>
      <c r="C384" s="3">
        <f>'PIM(2002 = 100)'!B384</f>
        <v>122.25</v>
      </c>
      <c r="D384" s="3">
        <f>'PIM(2012 = 100)'!B60</f>
        <v>95.9</v>
      </c>
      <c r="H384" s="7"/>
    </row>
    <row r="385" spans="1:8" ht="15" x14ac:dyDescent="0.25">
      <c r="A385" s="5">
        <v>39052</v>
      </c>
      <c r="B385">
        <f t="shared" si="5"/>
        <v>87</v>
      </c>
      <c r="C385" s="3">
        <f>'PIM(2002 = 100)'!B385</f>
        <v>109.65</v>
      </c>
      <c r="D385" s="3">
        <f>'PIM(2012 = 100)'!B61</f>
        <v>87</v>
      </c>
      <c r="H385" s="7"/>
    </row>
    <row r="386" spans="1:8" ht="15" x14ac:dyDescent="0.25">
      <c r="A386" s="5">
        <v>39083</v>
      </c>
      <c r="B386">
        <f t="shared" si="5"/>
        <v>87</v>
      </c>
      <c r="C386" s="3">
        <f>'PIM(2002 = 100)'!B386</f>
        <v>109.22</v>
      </c>
      <c r="D386" s="3">
        <f>'PIM(2012 = 100)'!B62</f>
        <v>87</v>
      </c>
      <c r="H386" s="7"/>
    </row>
    <row r="387" spans="1:8" ht="15" x14ac:dyDescent="0.25">
      <c r="A387" s="5">
        <v>39114</v>
      </c>
      <c r="B387">
        <f t="shared" ref="B387:B450" si="6">IF(ISBLANK(D387),B388/(C388/C387),D387)</f>
        <v>82.6</v>
      </c>
      <c r="C387" s="3">
        <f>'PIM(2002 = 100)'!B387</f>
        <v>104.07</v>
      </c>
      <c r="D387" s="3">
        <f>'PIM(2012 = 100)'!B63</f>
        <v>82.6</v>
      </c>
      <c r="H387" s="7"/>
    </row>
    <row r="388" spans="1:8" ht="15" x14ac:dyDescent="0.25">
      <c r="A388" s="5">
        <v>39142</v>
      </c>
      <c r="B388">
        <f t="shared" si="6"/>
        <v>96.4</v>
      </c>
      <c r="C388" s="3">
        <f>'PIM(2002 = 100)'!B388</f>
        <v>121.21</v>
      </c>
      <c r="D388" s="3">
        <f>'PIM(2012 = 100)'!B64</f>
        <v>96.4</v>
      </c>
      <c r="H388" s="7"/>
    </row>
    <row r="389" spans="1:8" ht="15" x14ac:dyDescent="0.25">
      <c r="A389" s="5">
        <v>39173</v>
      </c>
      <c r="B389">
        <f t="shared" si="6"/>
        <v>90.6</v>
      </c>
      <c r="C389" s="3">
        <f>'PIM(2002 = 100)'!B389</f>
        <v>113.58</v>
      </c>
      <c r="D389" s="3">
        <f>'PIM(2012 = 100)'!B65</f>
        <v>90.6</v>
      </c>
      <c r="H389" s="7"/>
    </row>
    <row r="390" spans="1:8" ht="15" x14ac:dyDescent="0.25">
      <c r="A390" s="5">
        <v>39203</v>
      </c>
      <c r="B390">
        <f t="shared" si="6"/>
        <v>99.9</v>
      </c>
      <c r="C390" s="3">
        <f>'PIM(2002 = 100)'!B390</f>
        <v>125.48</v>
      </c>
      <c r="D390" s="3">
        <f>'PIM(2012 = 100)'!B66</f>
        <v>99.9</v>
      </c>
      <c r="H390" s="7"/>
    </row>
    <row r="391" spans="1:8" ht="15" x14ac:dyDescent="0.25">
      <c r="A391" s="5">
        <v>39234</v>
      </c>
      <c r="B391">
        <f t="shared" si="6"/>
        <v>96.9</v>
      </c>
      <c r="C391" s="3">
        <f>'PIM(2002 = 100)'!B391</f>
        <v>121.61</v>
      </c>
      <c r="D391" s="3">
        <f>'PIM(2012 = 100)'!B67</f>
        <v>96.9</v>
      </c>
      <c r="H391" s="7"/>
    </row>
    <row r="392" spans="1:8" ht="15" x14ac:dyDescent="0.25">
      <c r="A392" s="5">
        <v>39264</v>
      </c>
      <c r="B392">
        <f t="shared" si="6"/>
        <v>99.8</v>
      </c>
      <c r="C392" s="3">
        <f>'PIM(2002 = 100)'!B392</f>
        <v>125.5</v>
      </c>
      <c r="D392" s="3">
        <f>'PIM(2012 = 100)'!B68</f>
        <v>99.8</v>
      </c>
      <c r="H392" s="7"/>
    </row>
    <row r="393" spans="1:8" ht="15" x14ac:dyDescent="0.25">
      <c r="A393" s="5">
        <v>39295</v>
      </c>
      <c r="B393">
        <f t="shared" si="6"/>
        <v>104.9</v>
      </c>
      <c r="C393" s="3">
        <f>'PIM(2002 = 100)'!B393</f>
        <v>132.52000000000001</v>
      </c>
      <c r="D393" s="3">
        <f>'PIM(2012 = 100)'!B69</f>
        <v>104.9</v>
      </c>
      <c r="H393" s="7"/>
    </row>
    <row r="394" spans="1:8" ht="15" x14ac:dyDescent="0.25">
      <c r="A394" s="5">
        <v>39326</v>
      </c>
      <c r="B394">
        <f t="shared" si="6"/>
        <v>98.4</v>
      </c>
      <c r="C394" s="3">
        <f>'PIM(2002 = 100)'!B394</f>
        <v>124.19</v>
      </c>
      <c r="D394" s="3">
        <f>'PIM(2012 = 100)'!B70</f>
        <v>98.4</v>
      </c>
      <c r="H394" s="7"/>
    </row>
    <row r="395" spans="1:8" ht="15" x14ac:dyDescent="0.25">
      <c r="A395" s="5">
        <v>39356</v>
      </c>
      <c r="B395">
        <f t="shared" si="6"/>
        <v>107.8</v>
      </c>
      <c r="C395" s="3">
        <f>'PIM(2002 = 100)'!B395</f>
        <v>136.83000000000001</v>
      </c>
      <c r="D395" s="3">
        <f>'PIM(2012 = 100)'!B71</f>
        <v>107.8</v>
      </c>
      <c r="H395" s="7"/>
    </row>
    <row r="396" spans="1:8" ht="15" x14ac:dyDescent="0.25">
      <c r="A396" s="5">
        <v>39387</v>
      </c>
      <c r="B396">
        <f t="shared" si="6"/>
        <v>102.4</v>
      </c>
      <c r="C396" s="3">
        <f>'PIM(2002 = 100)'!B396</f>
        <v>130.47</v>
      </c>
      <c r="D396" s="3">
        <f>'PIM(2012 = 100)'!B72</f>
        <v>102.4</v>
      </c>
      <c r="H396" s="7"/>
    </row>
    <row r="397" spans="1:8" ht="15" x14ac:dyDescent="0.25">
      <c r="A397" s="5">
        <v>39417</v>
      </c>
      <c r="B397">
        <f t="shared" si="6"/>
        <v>92.6</v>
      </c>
      <c r="C397" s="3">
        <f>'PIM(2002 = 100)'!B397</f>
        <v>116.58</v>
      </c>
      <c r="D397" s="3">
        <f>'PIM(2012 = 100)'!B73</f>
        <v>92.6</v>
      </c>
      <c r="H397" s="7"/>
    </row>
    <row r="398" spans="1:8" ht="15" x14ac:dyDescent="0.25">
      <c r="A398" s="5">
        <v>39448</v>
      </c>
      <c r="B398">
        <f t="shared" si="6"/>
        <v>94.8</v>
      </c>
      <c r="C398" s="3">
        <f>'PIM(2002 = 100)'!B398</f>
        <v>118.75</v>
      </c>
      <c r="D398" s="3">
        <f>'PIM(2012 = 100)'!B74</f>
        <v>94.8</v>
      </c>
      <c r="H398" s="7"/>
    </row>
    <row r="399" spans="1:8" ht="15" x14ac:dyDescent="0.25">
      <c r="A399" s="5">
        <v>39479</v>
      </c>
      <c r="B399">
        <f t="shared" si="6"/>
        <v>91.1</v>
      </c>
      <c r="C399" s="3">
        <f>'PIM(2002 = 100)'!B399</f>
        <v>114.18</v>
      </c>
      <c r="D399" s="3">
        <f>'PIM(2012 = 100)'!B75</f>
        <v>91.1</v>
      </c>
      <c r="H399" s="7"/>
    </row>
    <row r="400" spans="1:8" ht="15" x14ac:dyDescent="0.25">
      <c r="A400" s="5">
        <v>39508</v>
      </c>
      <c r="B400">
        <f t="shared" si="6"/>
        <v>97.7</v>
      </c>
      <c r="C400" s="3">
        <f>'PIM(2002 = 100)'!B400</f>
        <v>123.05</v>
      </c>
      <c r="D400" s="3">
        <f>'PIM(2012 = 100)'!B76</f>
        <v>97.7</v>
      </c>
      <c r="H400" s="7"/>
    </row>
    <row r="401" spans="1:8" ht="15" x14ac:dyDescent="0.25">
      <c r="A401" s="5">
        <v>39539</v>
      </c>
      <c r="B401">
        <f t="shared" si="6"/>
        <v>99.2</v>
      </c>
      <c r="C401" s="3">
        <f>'PIM(2002 = 100)'!B401</f>
        <v>124.96</v>
      </c>
      <c r="D401" s="3">
        <f>'PIM(2012 = 100)'!B77</f>
        <v>99.2</v>
      </c>
      <c r="H401" s="7"/>
    </row>
    <row r="402" spans="1:8" ht="15" x14ac:dyDescent="0.25">
      <c r="A402" s="5">
        <v>39569</v>
      </c>
      <c r="B402">
        <f t="shared" si="6"/>
        <v>102.5</v>
      </c>
      <c r="C402" s="3">
        <f>'PIM(2002 = 100)'!B402</f>
        <v>128.54</v>
      </c>
      <c r="D402" s="3">
        <f>'PIM(2012 = 100)'!B78</f>
        <v>102.5</v>
      </c>
      <c r="H402" s="7"/>
    </row>
    <row r="403" spans="1:8" ht="15" x14ac:dyDescent="0.25">
      <c r="A403" s="5">
        <v>39600</v>
      </c>
      <c r="B403">
        <f t="shared" si="6"/>
        <v>103.3</v>
      </c>
      <c r="C403" s="3">
        <f>'PIM(2002 = 100)'!B403</f>
        <v>129.52000000000001</v>
      </c>
      <c r="D403" s="3">
        <f>'PIM(2012 = 100)'!B79</f>
        <v>103.3</v>
      </c>
      <c r="H403" s="7"/>
    </row>
    <row r="404" spans="1:8" ht="15" x14ac:dyDescent="0.25">
      <c r="A404" s="5">
        <v>39630</v>
      </c>
      <c r="B404">
        <f t="shared" si="6"/>
        <v>108.5</v>
      </c>
      <c r="C404" s="3">
        <f>'PIM(2002 = 100)'!B404</f>
        <v>136.51</v>
      </c>
      <c r="D404" s="3">
        <f>'PIM(2012 = 100)'!B80</f>
        <v>108.5</v>
      </c>
      <c r="H404" s="7"/>
    </row>
    <row r="405" spans="1:8" ht="15" x14ac:dyDescent="0.25">
      <c r="A405" s="5">
        <v>39661</v>
      </c>
      <c r="B405">
        <f t="shared" si="6"/>
        <v>106.9</v>
      </c>
      <c r="C405" s="3">
        <f>'PIM(2002 = 100)'!B405</f>
        <v>135.1</v>
      </c>
      <c r="D405" s="3">
        <f>'PIM(2012 = 100)'!B81</f>
        <v>106.9</v>
      </c>
      <c r="H405" s="7"/>
    </row>
    <row r="406" spans="1:8" ht="15" x14ac:dyDescent="0.25">
      <c r="A406" s="5">
        <v>39692</v>
      </c>
      <c r="B406">
        <f t="shared" si="6"/>
        <v>107.3</v>
      </c>
      <c r="C406" s="3">
        <f>'PIM(2002 = 100)'!B406</f>
        <v>136.18</v>
      </c>
      <c r="D406" s="3">
        <f>'PIM(2012 = 100)'!B82</f>
        <v>107.3</v>
      </c>
      <c r="H406" s="7"/>
    </row>
    <row r="407" spans="1:8" ht="15" x14ac:dyDescent="0.25">
      <c r="A407" s="5">
        <v>39722</v>
      </c>
      <c r="B407">
        <f t="shared" si="6"/>
        <v>108.4</v>
      </c>
      <c r="C407" s="3">
        <f>'PIM(2002 = 100)'!B407</f>
        <v>138.29</v>
      </c>
      <c r="D407" s="3">
        <f>'PIM(2012 = 100)'!B83</f>
        <v>108.4</v>
      </c>
      <c r="H407" s="7"/>
    </row>
    <row r="408" spans="1:8" ht="15" x14ac:dyDescent="0.25">
      <c r="A408" s="5">
        <v>39753</v>
      </c>
      <c r="B408">
        <f t="shared" si="6"/>
        <v>96.2</v>
      </c>
      <c r="C408" s="3">
        <f>'PIM(2002 = 100)'!B408</f>
        <v>122.11</v>
      </c>
      <c r="D408" s="3">
        <f>'PIM(2012 = 100)'!B84</f>
        <v>96.2</v>
      </c>
      <c r="H408" s="7"/>
    </row>
    <row r="409" spans="1:8" ht="15" x14ac:dyDescent="0.25">
      <c r="A409" s="5">
        <v>39783</v>
      </c>
      <c r="B409">
        <f t="shared" si="6"/>
        <v>79.099999999999994</v>
      </c>
      <c r="C409" s="3">
        <f>'PIM(2002 = 100)'!B409</f>
        <v>99.4</v>
      </c>
      <c r="D409" s="3">
        <f>'PIM(2012 = 100)'!B85</f>
        <v>79.099999999999994</v>
      </c>
      <c r="H409" s="7"/>
    </row>
    <row r="410" spans="1:8" ht="15" x14ac:dyDescent="0.25">
      <c r="A410" s="5">
        <v>39814</v>
      </c>
      <c r="B410">
        <f t="shared" si="6"/>
        <v>78.7</v>
      </c>
      <c r="C410" s="3">
        <f>'PIM(2002 = 100)'!B410</f>
        <v>98.01</v>
      </c>
      <c r="D410" s="3">
        <f>'PIM(2012 = 100)'!B86</f>
        <v>78.7</v>
      </c>
      <c r="H410" s="7"/>
    </row>
    <row r="411" spans="1:8" ht="15" x14ac:dyDescent="0.25">
      <c r="A411" s="5">
        <v>39845</v>
      </c>
      <c r="B411">
        <f t="shared" si="6"/>
        <v>76.099999999999994</v>
      </c>
      <c r="C411" s="3">
        <f>'PIM(2002 = 100)'!B411</f>
        <v>94.98</v>
      </c>
      <c r="D411" s="3">
        <f>'PIM(2012 = 100)'!B87</f>
        <v>76.099999999999994</v>
      </c>
      <c r="H411" s="7"/>
    </row>
    <row r="412" spans="1:8" ht="15" x14ac:dyDescent="0.25">
      <c r="A412" s="5">
        <v>39873</v>
      </c>
      <c r="B412">
        <f t="shared" si="6"/>
        <v>88.6</v>
      </c>
      <c r="C412" s="3">
        <f>'PIM(2002 = 100)'!B412</f>
        <v>111.07</v>
      </c>
      <c r="D412" s="3">
        <f>'PIM(2012 = 100)'!B88</f>
        <v>88.6</v>
      </c>
      <c r="H412" s="7"/>
    </row>
    <row r="413" spans="1:8" ht="15" x14ac:dyDescent="0.25">
      <c r="A413" s="5">
        <v>39904</v>
      </c>
      <c r="B413">
        <f t="shared" si="6"/>
        <v>85.2</v>
      </c>
      <c r="C413" s="3">
        <f>'PIM(2002 = 100)'!B413</f>
        <v>106.45</v>
      </c>
      <c r="D413" s="3">
        <f>'PIM(2012 = 100)'!B89</f>
        <v>85.2</v>
      </c>
      <c r="H413" s="7"/>
    </row>
    <row r="414" spans="1:8" ht="15" x14ac:dyDescent="0.25">
      <c r="A414" s="5">
        <v>39934</v>
      </c>
      <c r="B414">
        <f t="shared" si="6"/>
        <v>91.3</v>
      </c>
      <c r="C414" s="3">
        <f>'PIM(2002 = 100)'!B414</f>
        <v>114.15</v>
      </c>
      <c r="D414" s="3">
        <f>'PIM(2012 = 100)'!B90</f>
        <v>91.3</v>
      </c>
      <c r="H414" s="7"/>
    </row>
    <row r="415" spans="1:8" ht="15" x14ac:dyDescent="0.25">
      <c r="A415" s="5">
        <v>39965</v>
      </c>
      <c r="B415">
        <f t="shared" si="6"/>
        <v>92.2</v>
      </c>
      <c r="C415" s="3">
        <f>'PIM(2002 = 100)'!B415</f>
        <v>115.42</v>
      </c>
      <c r="D415" s="3">
        <f>'PIM(2012 = 100)'!B91</f>
        <v>92.2</v>
      </c>
      <c r="H415" s="7"/>
    </row>
    <row r="416" spans="1:8" ht="15" x14ac:dyDescent="0.25">
      <c r="A416" s="5">
        <v>39995</v>
      </c>
      <c r="B416">
        <f t="shared" si="6"/>
        <v>97.7</v>
      </c>
      <c r="C416" s="3">
        <f>'PIM(2002 = 100)'!B416</f>
        <v>122.93</v>
      </c>
      <c r="D416" s="3">
        <f>'PIM(2012 = 100)'!B92</f>
        <v>97.7</v>
      </c>
      <c r="H416" s="7"/>
    </row>
    <row r="417" spans="1:8" ht="15" x14ac:dyDescent="0.25">
      <c r="A417" s="5">
        <v>40026</v>
      </c>
      <c r="B417">
        <f t="shared" si="6"/>
        <v>99.6</v>
      </c>
      <c r="C417" s="3">
        <f>'PIM(2002 = 100)'!B417</f>
        <v>125.56</v>
      </c>
      <c r="D417" s="3">
        <f>'PIM(2012 = 100)'!B93</f>
        <v>99.6</v>
      </c>
      <c r="H417" s="7"/>
    </row>
    <row r="418" spans="1:8" ht="15" x14ac:dyDescent="0.25">
      <c r="A418" s="5">
        <v>40057</v>
      </c>
      <c r="B418">
        <f t="shared" si="6"/>
        <v>99.4</v>
      </c>
      <c r="C418" s="3">
        <f>'PIM(2002 = 100)'!B418</f>
        <v>125.89</v>
      </c>
      <c r="D418" s="3">
        <f>'PIM(2012 = 100)'!B94</f>
        <v>99.4</v>
      </c>
      <c r="H418" s="7"/>
    </row>
    <row r="419" spans="1:8" ht="15" x14ac:dyDescent="0.25">
      <c r="A419" s="5">
        <v>40087</v>
      </c>
      <c r="B419">
        <f t="shared" si="6"/>
        <v>105.6</v>
      </c>
      <c r="C419" s="3">
        <f>'PIM(2002 = 100)'!B419</f>
        <v>134.02000000000001</v>
      </c>
      <c r="D419" s="3">
        <f>'PIM(2012 = 100)'!B95</f>
        <v>105.6</v>
      </c>
      <c r="H419" s="7"/>
    </row>
    <row r="420" spans="1:8" ht="15" x14ac:dyDescent="0.25">
      <c r="A420" s="5">
        <v>40118</v>
      </c>
      <c r="B420">
        <f t="shared" si="6"/>
        <v>101.4</v>
      </c>
      <c r="C420" s="3">
        <f>'PIM(2002 = 100)'!B420</f>
        <v>128.6</v>
      </c>
      <c r="D420" s="3">
        <f>'PIM(2012 = 100)'!B96</f>
        <v>101.4</v>
      </c>
      <c r="H420" s="7"/>
    </row>
    <row r="421" spans="1:8" ht="15" x14ac:dyDescent="0.25">
      <c r="A421" s="5">
        <v>40148</v>
      </c>
      <c r="B421">
        <f t="shared" si="6"/>
        <v>94.1</v>
      </c>
      <c r="C421" s="3">
        <f>'PIM(2002 = 100)'!B421</f>
        <v>118.28</v>
      </c>
      <c r="D421" s="3">
        <f>'PIM(2012 = 100)'!B97</f>
        <v>94.1</v>
      </c>
      <c r="H421" s="7"/>
    </row>
    <row r="422" spans="1:8" ht="15" x14ac:dyDescent="0.25">
      <c r="A422" s="5">
        <v>40179</v>
      </c>
      <c r="B422">
        <f t="shared" si="6"/>
        <v>91.2</v>
      </c>
      <c r="C422" s="3">
        <f>'PIM(2002 = 100)'!B422</f>
        <v>113.77</v>
      </c>
      <c r="D422" s="3">
        <f>'PIM(2012 = 100)'!B98</f>
        <v>91.2</v>
      </c>
      <c r="H422" s="7"/>
    </row>
    <row r="423" spans="1:8" ht="15" x14ac:dyDescent="0.25">
      <c r="A423" s="5">
        <v>40210</v>
      </c>
      <c r="B423">
        <f t="shared" si="6"/>
        <v>89</v>
      </c>
      <c r="C423" s="3">
        <f>'PIM(2002 = 100)'!B423</f>
        <v>112.24</v>
      </c>
      <c r="D423" s="3">
        <f>'PIM(2012 = 100)'!B99</f>
        <v>89</v>
      </c>
      <c r="H423" s="7"/>
    </row>
    <row r="424" spans="1:8" ht="15" x14ac:dyDescent="0.25">
      <c r="A424" s="5">
        <v>40238</v>
      </c>
      <c r="B424">
        <f t="shared" si="6"/>
        <v>105.1</v>
      </c>
      <c r="C424" s="3">
        <f>'PIM(2002 = 100)'!B424</f>
        <v>133.46</v>
      </c>
      <c r="D424" s="3">
        <f>'PIM(2012 = 100)'!B100</f>
        <v>105.1</v>
      </c>
      <c r="H424" s="7"/>
    </row>
    <row r="425" spans="1:8" ht="15" x14ac:dyDescent="0.25">
      <c r="A425" s="5">
        <v>40269</v>
      </c>
      <c r="B425">
        <f t="shared" si="6"/>
        <v>99.3</v>
      </c>
      <c r="C425" s="3">
        <f>'PIM(2002 = 100)'!B425</f>
        <v>124.88</v>
      </c>
      <c r="D425" s="3">
        <f>'PIM(2012 = 100)'!B101</f>
        <v>99.3</v>
      </c>
      <c r="H425" s="7"/>
    </row>
    <row r="426" spans="1:8" ht="15" x14ac:dyDescent="0.25">
      <c r="A426" s="5">
        <v>40299</v>
      </c>
      <c r="B426">
        <f t="shared" si="6"/>
        <v>104.3</v>
      </c>
      <c r="C426" s="3">
        <f>'PIM(2002 = 100)'!B426</f>
        <v>131.05000000000001</v>
      </c>
      <c r="D426" s="3">
        <f>'PIM(2012 = 100)'!B102</f>
        <v>104.3</v>
      </c>
      <c r="H426" s="7"/>
    </row>
    <row r="427" spans="1:8" ht="15" x14ac:dyDescent="0.25">
      <c r="A427" s="5">
        <v>40330</v>
      </c>
      <c r="B427">
        <f t="shared" si="6"/>
        <v>102.5</v>
      </c>
      <c r="C427" s="3">
        <f>'PIM(2002 = 100)'!B427</f>
        <v>128.16</v>
      </c>
      <c r="D427" s="3">
        <f>'PIM(2012 = 100)'!B103</f>
        <v>102.5</v>
      </c>
      <c r="H427" s="7"/>
    </row>
    <row r="428" spans="1:8" ht="15" x14ac:dyDescent="0.25">
      <c r="A428" s="5">
        <v>40360</v>
      </c>
      <c r="B428">
        <f t="shared" si="6"/>
        <v>106.9</v>
      </c>
      <c r="C428" s="3">
        <f>'PIM(2002 = 100)'!B428</f>
        <v>133.66999999999999</v>
      </c>
      <c r="D428" s="3">
        <f>'PIM(2012 = 100)'!B104</f>
        <v>106.9</v>
      </c>
      <c r="H428" s="7"/>
    </row>
    <row r="429" spans="1:8" ht="15" x14ac:dyDescent="0.25">
      <c r="A429" s="5">
        <v>40391</v>
      </c>
      <c r="B429">
        <f t="shared" si="6"/>
        <v>108.1</v>
      </c>
      <c r="C429" s="3">
        <f>'PIM(2002 = 100)'!B429</f>
        <v>136.41</v>
      </c>
      <c r="D429" s="3">
        <f>'PIM(2012 = 100)'!B105</f>
        <v>108.1</v>
      </c>
      <c r="H429" s="7"/>
    </row>
    <row r="430" spans="1:8" ht="15" x14ac:dyDescent="0.25">
      <c r="A430" s="5">
        <v>40422</v>
      </c>
      <c r="B430">
        <f t="shared" si="6"/>
        <v>105.8</v>
      </c>
      <c r="C430" s="3">
        <f>'PIM(2002 = 100)'!B430</f>
        <v>134.31</v>
      </c>
      <c r="D430" s="3">
        <f>'PIM(2012 = 100)'!B106</f>
        <v>105.8</v>
      </c>
      <c r="H430" s="7"/>
    </row>
    <row r="431" spans="1:8" ht="15" x14ac:dyDescent="0.25">
      <c r="A431" s="5">
        <v>40452</v>
      </c>
      <c r="B431">
        <f t="shared" si="6"/>
        <v>107.7</v>
      </c>
      <c r="C431" s="3">
        <f>'PIM(2002 = 100)'!B431</f>
        <v>136.6</v>
      </c>
      <c r="D431" s="3">
        <f>'PIM(2012 = 100)'!B107</f>
        <v>107.7</v>
      </c>
      <c r="H431" s="7"/>
    </row>
    <row r="432" spans="1:8" ht="15" x14ac:dyDescent="0.25">
      <c r="A432" s="5">
        <v>40483</v>
      </c>
      <c r="B432">
        <f t="shared" si="6"/>
        <v>106.8</v>
      </c>
      <c r="C432" s="3">
        <f>'PIM(2002 = 100)'!B432</f>
        <v>135.56</v>
      </c>
      <c r="D432" s="3">
        <f>'PIM(2012 = 100)'!B108</f>
        <v>106.8</v>
      </c>
      <c r="H432" s="7"/>
    </row>
    <row r="433" spans="1:8" ht="15" x14ac:dyDescent="0.25">
      <c r="A433" s="5">
        <v>40513</v>
      </c>
      <c r="B433">
        <f t="shared" si="6"/>
        <v>96.6</v>
      </c>
      <c r="C433" s="3">
        <f>'PIM(2002 = 100)'!B433</f>
        <v>121.28</v>
      </c>
      <c r="D433" s="3">
        <f>'PIM(2012 = 100)'!B109</f>
        <v>96.6</v>
      </c>
      <c r="H433" s="7"/>
    </row>
    <row r="434" spans="1:8" ht="15" x14ac:dyDescent="0.25">
      <c r="A434" s="5">
        <v>40544</v>
      </c>
      <c r="B434">
        <f t="shared" si="6"/>
        <v>93.2</v>
      </c>
      <c r="C434" s="3">
        <f>'PIM(2002 = 100)'!B434</f>
        <v>116.72</v>
      </c>
      <c r="D434" s="3">
        <f>'PIM(2012 = 100)'!B110</f>
        <v>93.2</v>
      </c>
      <c r="H434" s="7"/>
    </row>
    <row r="435" spans="1:8" ht="15" x14ac:dyDescent="0.25">
      <c r="A435" s="5">
        <v>40575</v>
      </c>
      <c r="B435">
        <f t="shared" si="6"/>
        <v>95.4</v>
      </c>
      <c r="C435" s="3">
        <f>'PIM(2002 = 100)'!B435</f>
        <v>120.64</v>
      </c>
      <c r="D435" s="3">
        <f>'PIM(2012 = 100)'!B111</f>
        <v>95.4</v>
      </c>
      <c r="H435" s="7"/>
    </row>
    <row r="436" spans="1:8" ht="15" x14ac:dyDescent="0.25">
      <c r="A436" s="5">
        <v>40603</v>
      </c>
      <c r="B436">
        <f t="shared" si="6"/>
        <v>104.4</v>
      </c>
      <c r="C436" s="3">
        <f>'PIM(2002 = 100)'!B436</f>
        <v>132.07</v>
      </c>
      <c r="D436" s="3">
        <f>'PIM(2012 = 100)'!B112</f>
        <v>104.4</v>
      </c>
      <c r="H436" s="7"/>
    </row>
    <row r="437" spans="1:8" ht="15" x14ac:dyDescent="0.25">
      <c r="A437" s="5">
        <v>40634</v>
      </c>
      <c r="B437">
        <f t="shared" si="6"/>
        <v>97.5</v>
      </c>
      <c r="C437" s="3">
        <f>'PIM(2002 = 100)'!B437</f>
        <v>122.74</v>
      </c>
      <c r="D437" s="3">
        <f>'PIM(2012 = 100)'!B113</f>
        <v>97.5</v>
      </c>
      <c r="H437" s="7"/>
    </row>
    <row r="438" spans="1:8" ht="15" x14ac:dyDescent="0.25">
      <c r="A438" s="5">
        <v>40664</v>
      </c>
      <c r="B438">
        <f t="shared" si="6"/>
        <v>107.1</v>
      </c>
      <c r="C438" s="3">
        <f>'PIM(2002 = 100)'!B438</f>
        <v>134.31</v>
      </c>
      <c r="D438" s="3">
        <f>'PIM(2012 = 100)'!B114</f>
        <v>107.1</v>
      </c>
      <c r="H438" s="7"/>
    </row>
    <row r="439" spans="1:8" ht="15" x14ac:dyDescent="0.25">
      <c r="A439" s="5">
        <v>40695</v>
      </c>
      <c r="B439">
        <f t="shared" si="6"/>
        <v>102.8</v>
      </c>
      <c r="C439" s="3">
        <f>'PIM(2002 = 100)'!B439</f>
        <v>129.34</v>
      </c>
      <c r="D439" s="3">
        <f>'PIM(2012 = 100)'!B115</f>
        <v>102.8</v>
      </c>
      <c r="H439" s="7"/>
    </row>
    <row r="440" spans="1:8" ht="15" x14ac:dyDescent="0.25">
      <c r="A440" s="5">
        <v>40725</v>
      </c>
      <c r="B440">
        <f t="shared" si="6"/>
        <v>106.1</v>
      </c>
      <c r="C440" s="3">
        <f>'PIM(2002 = 100)'!B440</f>
        <v>133.13</v>
      </c>
      <c r="D440" s="3">
        <f>'PIM(2012 = 100)'!B116</f>
        <v>106.1</v>
      </c>
      <c r="H440" s="7"/>
    </row>
    <row r="441" spans="1:8" ht="15" x14ac:dyDescent="0.25">
      <c r="A441" s="5">
        <v>40756</v>
      </c>
      <c r="B441">
        <f t="shared" si="6"/>
        <v>110.8</v>
      </c>
      <c r="C441" s="3">
        <f>'PIM(2002 = 100)'!B441</f>
        <v>139.61000000000001</v>
      </c>
      <c r="D441" s="3">
        <f>'PIM(2012 = 100)'!B117</f>
        <v>110.8</v>
      </c>
      <c r="H441" s="7"/>
    </row>
    <row r="442" spans="1:8" ht="15" x14ac:dyDescent="0.25">
      <c r="A442" s="5">
        <v>40787</v>
      </c>
      <c r="B442">
        <f t="shared" si="6"/>
        <v>104.8</v>
      </c>
      <c r="C442" s="3">
        <f>'PIM(2002 = 100)'!B442</f>
        <v>132.37</v>
      </c>
      <c r="D442" s="3">
        <f>'PIM(2012 = 100)'!B118</f>
        <v>104.8</v>
      </c>
      <c r="H442" s="7"/>
    </row>
    <row r="443" spans="1:8" ht="15" x14ac:dyDescent="0.25">
      <c r="A443" s="5">
        <v>40817</v>
      </c>
      <c r="B443">
        <f t="shared" si="6"/>
        <v>106.3</v>
      </c>
      <c r="C443" s="3">
        <f>'PIM(2002 = 100)'!B443</f>
        <v>134.28</v>
      </c>
      <c r="D443" s="3">
        <f>'PIM(2012 = 100)'!B119</f>
        <v>106.3</v>
      </c>
      <c r="H443" s="7"/>
    </row>
    <row r="444" spans="1:8" ht="15" x14ac:dyDescent="0.25">
      <c r="A444" s="5">
        <v>40848</v>
      </c>
      <c r="B444">
        <f t="shared" si="6"/>
        <v>104.2</v>
      </c>
      <c r="C444" s="3">
        <f>'PIM(2002 = 100)'!B444</f>
        <v>132.09</v>
      </c>
      <c r="D444" s="3">
        <f>'PIM(2012 = 100)'!B120</f>
        <v>104.2</v>
      </c>
      <c r="H444" s="7"/>
    </row>
    <row r="445" spans="1:8" ht="15" x14ac:dyDescent="0.25">
      <c r="A445" s="5">
        <v>40878</v>
      </c>
      <c r="B445">
        <f t="shared" si="6"/>
        <v>95.7</v>
      </c>
      <c r="C445" s="3">
        <f>'PIM(2002 = 100)'!B445</f>
        <v>119.76</v>
      </c>
      <c r="D445" s="3">
        <f>'PIM(2012 = 100)'!B121</f>
        <v>95.7</v>
      </c>
      <c r="H445" s="7"/>
    </row>
    <row r="446" spans="1:8" ht="15" x14ac:dyDescent="0.25">
      <c r="A446" s="5">
        <v>40909</v>
      </c>
      <c r="B446">
        <f t="shared" si="6"/>
        <v>88.7</v>
      </c>
      <c r="C446" s="3">
        <f>'PIM(2002 = 100)'!B446</f>
        <v>113.31</v>
      </c>
      <c r="D446" s="3">
        <f>'PIM(2012 = 100)'!B122</f>
        <v>88.7</v>
      </c>
      <c r="H446" s="7"/>
    </row>
    <row r="447" spans="1:8" ht="15" x14ac:dyDescent="0.25">
      <c r="A447" s="5">
        <v>40940</v>
      </c>
      <c r="B447">
        <f t="shared" si="6"/>
        <v>89.8</v>
      </c>
      <c r="C447" s="3">
        <f>'PIM(2002 = 100)'!B447</f>
        <v>115.25</v>
      </c>
      <c r="D447" s="3">
        <f>'PIM(2012 = 100)'!B123</f>
        <v>89.8</v>
      </c>
      <c r="H447" s="7"/>
    </row>
    <row r="448" spans="1:8" ht="15" x14ac:dyDescent="0.25">
      <c r="A448" s="5">
        <v>40969</v>
      </c>
      <c r="B448">
        <f t="shared" si="6"/>
        <v>99.7</v>
      </c>
      <c r="C448" s="3">
        <f>'PIM(2002 = 100)'!B448</f>
        <v>129.12</v>
      </c>
      <c r="D448" s="3">
        <f>'PIM(2012 = 100)'!B124</f>
        <v>99.7</v>
      </c>
      <c r="H448" s="7"/>
    </row>
    <row r="449" spans="1:8" ht="15" x14ac:dyDescent="0.25">
      <c r="A449" s="5">
        <v>41000</v>
      </c>
      <c r="B449">
        <f t="shared" si="6"/>
        <v>92.8</v>
      </c>
      <c r="C449" s="3">
        <f>'PIM(2002 = 100)'!B449</f>
        <v>118.64</v>
      </c>
      <c r="D449" s="3">
        <f>'PIM(2012 = 100)'!B125</f>
        <v>92.8</v>
      </c>
      <c r="H449" s="7"/>
    </row>
    <row r="450" spans="1:8" ht="15" x14ac:dyDescent="0.25">
      <c r="A450" s="5">
        <v>41030</v>
      </c>
      <c r="B450">
        <f t="shared" si="6"/>
        <v>102.5</v>
      </c>
      <c r="C450" s="3">
        <f>'PIM(2002 = 100)'!B450</f>
        <v>128.72</v>
      </c>
      <c r="D450" s="3">
        <f>'PIM(2012 = 100)'!B126</f>
        <v>102.5</v>
      </c>
      <c r="H450" s="7"/>
    </row>
    <row r="451" spans="1:8" ht="15" x14ac:dyDescent="0.25">
      <c r="A451" s="5">
        <v>41061</v>
      </c>
      <c r="B451">
        <f t="shared" ref="B451:B505" si="7">IF(ISBLANK(D451),B452/(C452/C451),D451)</f>
        <v>98.3</v>
      </c>
      <c r="C451" s="3">
        <f>'PIM(2002 = 100)'!B451</f>
        <v>122.65</v>
      </c>
      <c r="D451" s="3">
        <f>'PIM(2012 = 100)'!B127</f>
        <v>98.3</v>
      </c>
      <c r="H451" s="7"/>
    </row>
    <row r="452" spans="1:8" ht="15" x14ac:dyDescent="0.25">
      <c r="A452" s="5">
        <v>41091</v>
      </c>
      <c r="B452">
        <f t="shared" si="7"/>
        <v>104.5</v>
      </c>
      <c r="C452" s="3">
        <f>'PIM(2002 = 100)'!B452</f>
        <v>129.91999999999999</v>
      </c>
      <c r="D452" s="3">
        <f>'PIM(2012 = 100)'!B128</f>
        <v>104.5</v>
      </c>
      <c r="H452" s="7"/>
    </row>
    <row r="453" spans="1:8" ht="15" x14ac:dyDescent="0.25">
      <c r="A453" s="5">
        <v>41122</v>
      </c>
      <c r="B453">
        <f t="shared" si="7"/>
        <v>111.5</v>
      </c>
      <c r="C453" s="3">
        <f>'PIM(2002 = 100)'!B453</f>
        <v>137.54</v>
      </c>
      <c r="D453" s="3">
        <f>'PIM(2012 = 100)'!B129</f>
        <v>111.5</v>
      </c>
      <c r="H453" s="7"/>
    </row>
    <row r="454" spans="1:8" ht="15" x14ac:dyDescent="0.25">
      <c r="A454" s="5">
        <v>41153</v>
      </c>
      <c r="B454">
        <f t="shared" si="7"/>
        <v>103.4</v>
      </c>
      <c r="C454" s="3">
        <f>'PIM(2002 = 100)'!B454</f>
        <v>128.38999999999999</v>
      </c>
      <c r="D454" s="3">
        <f>'PIM(2012 = 100)'!B130</f>
        <v>103.4</v>
      </c>
      <c r="H454" s="7"/>
    </row>
    <row r="455" spans="1:8" ht="15" x14ac:dyDescent="0.25">
      <c r="A455" s="5">
        <v>41183</v>
      </c>
      <c r="B455">
        <f t="shared" si="7"/>
        <v>111.8</v>
      </c>
      <c r="C455" s="3">
        <f>'PIM(2002 = 100)'!B455</f>
        <v>138.32</v>
      </c>
      <c r="D455" s="3">
        <f>'PIM(2012 = 100)'!B131</f>
        <v>111.8</v>
      </c>
      <c r="H455" s="7"/>
    </row>
    <row r="456" spans="1:8" ht="15" x14ac:dyDescent="0.25">
      <c r="A456" s="5">
        <v>41214</v>
      </c>
      <c r="B456">
        <f t="shared" si="7"/>
        <v>104.8</v>
      </c>
      <c r="C456" s="3">
        <f>'PIM(2002 = 100)'!B456</f>
        <v>131.1</v>
      </c>
      <c r="D456" s="3">
        <f>'PIM(2012 = 100)'!B132</f>
        <v>104.8</v>
      </c>
      <c r="H456" s="7"/>
    </row>
    <row r="457" spans="1:8" ht="15" x14ac:dyDescent="0.25">
      <c r="A457" s="5">
        <v>41244</v>
      </c>
      <c r="B457">
        <f t="shared" si="7"/>
        <v>92.2</v>
      </c>
      <c r="C457" s="3">
        <f>'PIM(2002 = 100)'!B457</f>
        <v>115.7</v>
      </c>
      <c r="D457" s="3">
        <f>'PIM(2012 = 100)'!B133</f>
        <v>92.2</v>
      </c>
      <c r="H457" s="7"/>
    </row>
    <row r="458" spans="1:8" ht="15" x14ac:dyDescent="0.25">
      <c r="A458" s="5">
        <v>41275</v>
      </c>
      <c r="B458">
        <f t="shared" si="7"/>
        <v>94.5</v>
      </c>
      <c r="C458" s="3">
        <f>'PIM(2002 = 100)'!B458</f>
        <v>120.04</v>
      </c>
      <c r="D458" s="3">
        <f>'PIM(2012 = 100)'!B134</f>
        <v>94.5</v>
      </c>
      <c r="H458" s="7"/>
    </row>
    <row r="459" spans="1:8" ht="15" x14ac:dyDescent="0.25">
      <c r="A459" s="5">
        <v>41306</v>
      </c>
      <c r="B459">
        <f t="shared" si="7"/>
        <v>88.1</v>
      </c>
      <c r="C459" s="3">
        <f>'PIM(2002 = 100)'!B459</f>
        <v>112.26</v>
      </c>
      <c r="D459" s="3">
        <f>'PIM(2012 = 100)'!B135</f>
        <v>88.1</v>
      </c>
      <c r="H459" s="7"/>
    </row>
    <row r="460" spans="1:8" ht="15" x14ac:dyDescent="0.25">
      <c r="A460" s="5">
        <v>41334</v>
      </c>
      <c r="B460">
        <f t="shared" si="7"/>
        <v>97.7</v>
      </c>
      <c r="C460" s="3">
        <f>'PIM(2002 = 100)'!B460</f>
        <v>124.92</v>
      </c>
      <c r="D460" s="3">
        <f>'PIM(2012 = 100)'!B136</f>
        <v>97.7</v>
      </c>
      <c r="H460" s="7"/>
    </row>
    <row r="461" spans="1:8" ht="15" x14ac:dyDescent="0.25">
      <c r="A461" s="5">
        <v>41365</v>
      </c>
      <c r="B461">
        <f t="shared" si="7"/>
        <v>101.8</v>
      </c>
      <c r="C461" s="3">
        <f>'PIM(2002 = 100)'!B461</f>
        <v>128.84</v>
      </c>
      <c r="D461" s="3">
        <f>'PIM(2012 = 100)'!B137</f>
        <v>101.8</v>
      </c>
      <c r="H461" s="7"/>
    </row>
    <row r="462" spans="1:8" ht="15" x14ac:dyDescent="0.25">
      <c r="A462" s="5">
        <v>41395</v>
      </c>
      <c r="B462">
        <f t="shared" si="7"/>
        <v>105</v>
      </c>
      <c r="C462" s="3">
        <f>'PIM(2002 = 100)'!B462</f>
        <v>130.51</v>
      </c>
      <c r="D462" s="3">
        <f>'PIM(2012 = 100)'!B138</f>
        <v>105</v>
      </c>
      <c r="H462" s="7"/>
    </row>
    <row r="463" spans="1:8" ht="15" x14ac:dyDescent="0.25">
      <c r="A463" s="5">
        <v>41426</v>
      </c>
      <c r="B463">
        <f t="shared" si="7"/>
        <v>101.7</v>
      </c>
      <c r="C463" s="3">
        <f>'PIM(2002 = 100)'!B463</f>
        <v>126.2</v>
      </c>
      <c r="D463" s="3">
        <f>'PIM(2012 = 100)'!B139</f>
        <v>101.7</v>
      </c>
      <c r="H463" s="7"/>
    </row>
    <row r="464" spans="1:8" ht="15" x14ac:dyDescent="0.25">
      <c r="A464" s="5">
        <v>41456</v>
      </c>
      <c r="B464">
        <f t="shared" si="7"/>
        <v>108</v>
      </c>
      <c r="C464" s="3">
        <f>'PIM(2002 = 100)'!B464</f>
        <v>132.32</v>
      </c>
      <c r="D464" s="3">
        <f>'PIM(2012 = 100)'!B140</f>
        <v>108</v>
      </c>
      <c r="H464" s="7"/>
    </row>
    <row r="465" spans="1:8" ht="15" x14ac:dyDescent="0.25">
      <c r="A465" s="5">
        <v>41487</v>
      </c>
      <c r="B465">
        <f t="shared" si="7"/>
        <v>112</v>
      </c>
      <c r="C465" s="3">
        <f>'PIM(2002 = 100)'!B465</f>
        <v>136.13999999999999</v>
      </c>
      <c r="D465" s="3">
        <f>'PIM(2012 = 100)'!B141</f>
        <v>112</v>
      </c>
      <c r="H465" s="7"/>
    </row>
    <row r="466" spans="1:8" ht="15" x14ac:dyDescent="0.25">
      <c r="A466" s="5">
        <v>41518</v>
      </c>
      <c r="B466">
        <f t="shared" si="7"/>
        <v>107.3</v>
      </c>
      <c r="C466" s="3">
        <f>'PIM(2002 = 100)'!B466</f>
        <v>130.99</v>
      </c>
      <c r="D466" s="3">
        <f>'PIM(2012 = 100)'!B142</f>
        <v>107.3</v>
      </c>
      <c r="H466" s="7"/>
    </row>
    <row r="467" spans="1:8" ht="15" x14ac:dyDescent="0.25">
      <c r="A467" s="5">
        <v>41548</v>
      </c>
      <c r="B467">
        <f t="shared" si="7"/>
        <v>112.6</v>
      </c>
      <c r="C467" s="3">
        <f>'PIM(2002 = 100)'!B467</f>
        <v>139.75</v>
      </c>
      <c r="D467" s="3">
        <f>'PIM(2012 = 100)'!B143</f>
        <v>112.6</v>
      </c>
      <c r="H467" s="7"/>
    </row>
    <row r="468" spans="1:8" ht="15" x14ac:dyDescent="0.25">
      <c r="A468" s="5">
        <v>41579</v>
      </c>
      <c r="B468">
        <f t="shared" si="7"/>
        <v>106.1</v>
      </c>
      <c r="C468" s="3">
        <f>'PIM(2002 = 100)'!B468</f>
        <v>131.5</v>
      </c>
      <c r="D468" s="3">
        <f>'PIM(2012 = 100)'!B144</f>
        <v>106.1</v>
      </c>
      <c r="H468" s="7"/>
    </row>
    <row r="469" spans="1:8" ht="15" x14ac:dyDescent="0.25">
      <c r="A469" s="5">
        <v>41609</v>
      </c>
      <c r="B469">
        <f t="shared" si="7"/>
        <v>90.1</v>
      </c>
      <c r="C469" s="3">
        <f>'PIM(2002 = 100)'!B469</f>
        <v>112.75</v>
      </c>
      <c r="D469" s="3">
        <f>'PIM(2012 = 100)'!B145</f>
        <v>90.1</v>
      </c>
      <c r="H469" s="7"/>
    </row>
    <row r="470" spans="1:8" ht="15" x14ac:dyDescent="0.25">
      <c r="A470" s="5">
        <v>41640</v>
      </c>
      <c r="B470">
        <f t="shared" si="7"/>
        <v>92.6</v>
      </c>
      <c r="C470" s="3">
        <f>'PIM(2002 = 100)'!B470</f>
        <v>117.35</v>
      </c>
      <c r="D470" s="3">
        <f>'PIM(2012 = 100)'!B146</f>
        <v>92.6</v>
      </c>
      <c r="H470" s="7"/>
    </row>
    <row r="471" spans="1:8" ht="15" x14ac:dyDescent="0.25">
      <c r="A471" s="5">
        <v>41671</v>
      </c>
      <c r="B471">
        <f t="shared" si="7"/>
        <v>92.3</v>
      </c>
      <c r="C471" s="3">
        <f>'PIM(2002 = 100)'!B471</f>
        <v>117.91</v>
      </c>
      <c r="D471" s="3">
        <f>'PIM(2012 = 100)'!B147</f>
        <v>92.3</v>
      </c>
      <c r="H471" s="7"/>
    </row>
    <row r="472" spans="1:8" ht="15" x14ac:dyDescent="0.25">
      <c r="A472" s="5">
        <f>EOMONTH(A471,0)+1</f>
        <v>41699</v>
      </c>
      <c r="B472">
        <f t="shared" si="7"/>
        <v>97.3</v>
      </c>
      <c r="C472" s="3"/>
      <c r="D472" s="3">
        <f>'PIM(2012 = 100)'!B148</f>
        <v>97.3</v>
      </c>
      <c r="H472" s="7"/>
    </row>
    <row r="473" spans="1:8" ht="15" x14ac:dyDescent="0.25">
      <c r="A473" s="5">
        <f t="shared" ref="A473:A505" si="8">EOMONTH(A472,0)+1</f>
        <v>41730</v>
      </c>
      <c r="B473">
        <f t="shared" si="7"/>
        <v>96</v>
      </c>
      <c r="C473" s="3"/>
      <c r="D473" s="3">
        <f>'PIM(2012 = 100)'!B149</f>
        <v>96</v>
      </c>
      <c r="H473" s="7"/>
    </row>
    <row r="474" spans="1:8" ht="15" x14ac:dyDescent="0.25">
      <c r="A474" s="5">
        <f t="shared" si="8"/>
        <v>41760</v>
      </c>
      <c r="B474">
        <f t="shared" si="7"/>
        <v>101.7</v>
      </c>
      <c r="C474" s="3"/>
      <c r="D474" s="3">
        <f>'PIM(2012 = 100)'!B150</f>
        <v>101.7</v>
      </c>
      <c r="H474" s="7"/>
    </row>
    <row r="475" spans="1:8" ht="15" x14ac:dyDescent="0.25">
      <c r="A475" s="5">
        <f t="shared" si="8"/>
        <v>41791</v>
      </c>
      <c r="B475">
        <f t="shared" si="7"/>
        <v>94.9</v>
      </c>
      <c r="C475" s="3"/>
      <c r="D475" s="3">
        <f>'PIM(2012 = 100)'!B151</f>
        <v>94.9</v>
      </c>
      <c r="H475" s="7"/>
    </row>
    <row r="476" spans="1:8" ht="15" x14ac:dyDescent="0.25">
      <c r="A476" s="5">
        <f t="shared" si="8"/>
        <v>41821</v>
      </c>
      <c r="B476">
        <f t="shared" si="7"/>
        <v>104.4</v>
      </c>
      <c r="C476" s="3"/>
      <c r="D476" s="3">
        <f>'PIM(2012 = 100)'!B152</f>
        <v>104.4</v>
      </c>
      <c r="H476" s="7"/>
    </row>
    <row r="477" spans="1:8" ht="15" x14ac:dyDescent="0.25">
      <c r="A477" s="5">
        <f t="shared" si="8"/>
        <v>41852</v>
      </c>
      <c r="B477">
        <f t="shared" si="7"/>
        <v>106.3</v>
      </c>
      <c r="C477" s="3"/>
      <c r="D477" s="3">
        <f>'PIM(2012 = 100)'!B153</f>
        <v>106.3</v>
      </c>
      <c r="H477" s="7"/>
    </row>
    <row r="478" spans="1:8" ht="15" x14ac:dyDescent="0.25">
      <c r="A478" s="5">
        <f t="shared" si="8"/>
        <v>41883</v>
      </c>
      <c r="B478">
        <f t="shared" si="7"/>
        <v>105.6</v>
      </c>
      <c r="C478" s="3"/>
      <c r="D478" s="3">
        <f>'PIM(2012 = 100)'!B154</f>
        <v>105.6</v>
      </c>
      <c r="H478" s="7"/>
    </row>
    <row r="479" spans="1:8" ht="15" x14ac:dyDescent="0.25">
      <c r="A479" s="5">
        <f t="shared" si="8"/>
        <v>41913</v>
      </c>
      <c r="B479">
        <f t="shared" si="7"/>
        <v>109.3</v>
      </c>
      <c r="C479" s="3"/>
      <c r="D479" s="3">
        <f>'PIM(2012 = 100)'!B155</f>
        <v>109.3</v>
      </c>
      <c r="H479" s="7"/>
    </row>
    <row r="480" spans="1:8" ht="15" x14ac:dyDescent="0.25">
      <c r="A480" s="5">
        <f t="shared" si="8"/>
        <v>41944</v>
      </c>
      <c r="B480">
        <f t="shared" si="7"/>
        <v>99.8</v>
      </c>
      <c r="C480" s="3"/>
      <c r="D480" s="3">
        <f>'PIM(2012 = 100)'!B156</f>
        <v>99.8</v>
      </c>
      <c r="H480" s="7"/>
    </row>
    <row r="481" spans="1:8" ht="15" x14ac:dyDescent="0.25">
      <c r="A481" s="5">
        <f t="shared" si="8"/>
        <v>41974</v>
      </c>
      <c r="B481">
        <f t="shared" si="7"/>
        <v>87.7</v>
      </c>
      <c r="C481" s="3"/>
      <c r="D481" s="3">
        <f>'PIM(2012 = 100)'!B157</f>
        <v>87.7</v>
      </c>
      <c r="H481" s="7"/>
    </row>
    <row r="482" spans="1:8" ht="15" x14ac:dyDescent="0.25">
      <c r="A482" s="5">
        <f t="shared" si="8"/>
        <v>42005</v>
      </c>
      <c r="B482">
        <f t="shared" si="7"/>
        <v>88.1</v>
      </c>
      <c r="C482" s="3"/>
      <c r="D482" s="3">
        <f>'PIM(2012 = 100)'!B158</f>
        <v>88.1</v>
      </c>
      <c r="H482" s="7"/>
    </row>
    <row r="483" spans="1:8" ht="15" x14ac:dyDescent="0.25">
      <c r="A483" s="5">
        <f t="shared" si="8"/>
        <v>42036</v>
      </c>
      <c r="B483">
        <f t="shared" si="7"/>
        <v>83.7</v>
      </c>
      <c r="C483" s="3"/>
      <c r="D483" s="3">
        <f>'PIM(2012 = 100)'!B159</f>
        <v>83.7</v>
      </c>
      <c r="H483" s="7"/>
    </row>
    <row r="484" spans="1:8" ht="15" x14ac:dyDescent="0.25">
      <c r="A484" s="5">
        <f t="shared" si="8"/>
        <v>42064</v>
      </c>
      <c r="B484">
        <f t="shared" si="7"/>
        <v>94.3</v>
      </c>
      <c r="C484" s="3"/>
      <c r="D484" s="3">
        <f>'PIM(2012 = 100)'!B160</f>
        <v>94.3</v>
      </c>
      <c r="H484" s="7"/>
    </row>
    <row r="485" spans="1:8" ht="15" x14ac:dyDescent="0.25">
      <c r="A485" s="5">
        <f t="shared" si="8"/>
        <v>42095</v>
      </c>
      <c r="B485">
        <f t="shared" si="7"/>
        <v>88.8</v>
      </c>
      <c r="C485" s="3"/>
      <c r="D485" s="3">
        <f>'PIM(2012 = 100)'!B161</f>
        <v>88.8</v>
      </c>
      <c r="H485" s="7"/>
    </row>
    <row r="486" spans="1:8" ht="15" x14ac:dyDescent="0.25">
      <c r="A486" s="5">
        <f t="shared" si="8"/>
        <v>42125</v>
      </c>
      <c r="B486">
        <f t="shared" si="7"/>
        <v>93.1</v>
      </c>
      <c r="C486" s="3"/>
      <c r="D486" s="3">
        <f>'PIM(2012 = 100)'!B162</f>
        <v>93.1</v>
      </c>
      <c r="H486" s="7"/>
    </row>
    <row r="487" spans="1:8" ht="15" x14ac:dyDescent="0.25">
      <c r="A487" s="5">
        <f t="shared" si="8"/>
        <v>42156</v>
      </c>
      <c r="B487">
        <f t="shared" si="7"/>
        <v>92.5</v>
      </c>
      <c r="C487" s="3"/>
      <c r="D487" s="3">
        <f>'PIM(2012 = 100)'!B163</f>
        <v>92.5</v>
      </c>
      <c r="H487" s="7"/>
    </row>
    <row r="488" spans="1:8" ht="15" x14ac:dyDescent="0.25">
      <c r="A488" s="5">
        <f t="shared" si="8"/>
        <v>42186</v>
      </c>
      <c r="B488">
        <f t="shared" si="7"/>
        <v>95.5</v>
      </c>
      <c r="C488" s="3"/>
      <c r="D488" s="3">
        <f>'PIM(2012 = 100)'!B164</f>
        <v>95.5</v>
      </c>
      <c r="H488" s="7"/>
    </row>
    <row r="489" spans="1:8" ht="15" x14ac:dyDescent="0.25">
      <c r="A489" s="5">
        <f t="shared" si="8"/>
        <v>42217</v>
      </c>
      <c r="B489">
        <f t="shared" si="7"/>
        <v>97.6</v>
      </c>
      <c r="C489" s="3"/>
      <c r="D489" s="3">
        <f>'PIM(2012 = 100)'!B165</f>
        <v>97.6</v>
      </c>
      <c r="H489" s="7"/>
    </row>
    <row r="490" spans="1:8" ht="15" x14ac:dyDescent="0.25">
      <c r="A490" s="5">
        <f t="shared" si="8"/>
        <v>42248</v>
      </c>
      <c r="B490">
        <f t="shared" si="7"/>
        <v>94.3</v>
      </c>
      <c r="C490" s="3"/>
      <c r="D490" s="3">
        <f>'PIM(2012 = 100)'!B166</f>
        <v>94.3</v>
      </c>
      <c r="H490" s="7"/>
    </row>
    <row r="491" spans="1:8" ht="15" x14ac:dyDescent="0.25">
      <c r="A491" s="5">
        <f t="shared" si="8"/>
        <v>42278</v>
      </c>
      <c r="B491">
        <f t="shared" si="7"/>
        <v>97.2</v>
      </c>
      <c r="C491" s="3"/>
      <c r="D491" s="3">
        <f>'PIM(2012 = 100)'!B167</f>
        <v>97.2</v>
      </c>
      <c r="H491" s="7"/>
    </row>
    <row r="492" spans="1:8" ht="15" x14ac:dyDescent="0.25">
      <c r="A492" s="5">
        <f t="shared" si="8"/>
        <v>42309</v>
      </c>
      <c r="B492">
        <f t="shared" si="7"/>
        <v>87.6</v>
      </c>
      <c r="C492" s="3"/>
      <c r="D492" s="3">
        <f>'PIM(2012 = 100)'!B168</f>
        <v>87.6</v>
      </c>
      <c r="H492" s="7"/>
    </row>
    <row r="493" spans="1:8" ht="15" x14ac:dyDescent="0.25">
      <c r="A493" s="5">
        <f t="shared" si="8"/>
        <v>42339</v>
      </c>
      <c r="B493">
        <f t="shared" si="7"/>
        <v>77.2</v>
      </c>
      <c r="C493" s="3"/>
      <c r="D493" s="3">
        <f>'PIM(2012 = 100)'!B169</f>
        <v>77.2</v>
      </c>
      <c r="H493" s="7"/>
    </row>
    <row r="494" spans="1:8" ht="15" x14ac:dyDescent="0.25">
      <c r="A494" s="5">
        <f t="shared" si="8"/>
        <v>42370</v>
      </c>
      <c r="B494">
        <f t="shared" si="7"/>
        <v>76.3</v>
      </c>
      <c r="C494" s="3"/>
      <c r="D494" s="3">
        <f>'PIM(2012 = 100)'!B170</f>
        <v>76.3</v>
      </c>
      <c r="H494" s="7"/>
    </row>
    <row r="495" spans="1:8" ht="15" x14ac:dyDescent="0.25">
      <c r="A495" s="5">
        <f t="shared" si="8"/>
        <v>42401</v>
      </c>
      <c r="B495">
        <f t="shared" si="7"/>
        <v>75.8</v>
      </c>
      <c r="C495" s="3"/>
      <c r="D495" s="3">
        <f>'PIM(2012 = 100)'!B171</f>
        <v>75.8</v>
      </c>
      <c r="H495" s="7"/>
    </row>
    <row r="496" spans="1:8" ht="15" x14ac:dyDescent="0.25">
      <c r="A496" s="5">
        <f t="shared" si="8"/>
        <v>42430</v>
      </c>
      <c r="B496">
        <f t="shared" si="7"/>
        <v>83.6</v>
      </c>
      <c r="C496" s="3"/>
      <c r="D496" s="3">
        <f>'PIM(2012 = 100)'!B172</f>
        <v>83.6</v>
      </c>
      <c r="H496" s="7"/>
    </row>
    <row r="497" spans="1:8" ht="15" x14ac:dyDescent="0.25">
      <c r="A497" s="5">
        <f t="shared" si="8"/>
        <v>42461</v>
      </c>
      <c r="B497">
        <f t="shared" si="7"/>
        <v>82.9</v>
      </c>
      <c r="C497" s="3"/>
      <c r="D497" s="3">
        <f>'PIM(2012 = 100)'!B173</f>
        <v>82.9</v>
      </c>
      <c r="H497" s="7"/>
    </row>
    <row r="498" spans="1:8" ht="15" x14ac:dyDescent="0.25">
      <c r="A498" s="5">
        <f t="shared" si="8"/>
        <v>42491</v>
      </c>
      <c r="B498">
        <f t="shared" si="7"/>
        <v>86.2</v>
      </c>
      <c r="C498" s="3"/>
      <c r="D498" s="3">
        <f>'PIM(2012 = 100)'!B174</f>
        <v>86.2</v>
      </c>
      <c r="H498" s="7"/>
    </row>
    <row r="499" spans="1:8" ht="15" x14ac:dyDescent="0.25">
      <c r="A499" s="5">
        <f t="shared" si="8"/>
        <v>42522</v>
      </c>
      <c r="B499">
        <f t="shared" si="7"/>
        <v>87.4</v>
      </c>
      <c r="C499" s="3"/>
      <c r="D499" s="3">
        <f>'PIM(2012 = 100)'!B175</f>
        <v>87.4</v>
      </c>
      <c r="H499" s="7"/>
    </row>
    <row r="500" spans="1:8" ht="15" x14ac:dyDescent="0.25">
      <c r="A500" s="5">
        <f t="shared" si="8"/>
        <v>42552</v>
      </c>
      <c r="B500">
        <f t="shared" si="7"/>
        <v>89.5</v>
      </c>
      <c r="C500" s="3"/>
      <c r="D500" s="3">
        <f>'PIM(2012 = 100)'!B176</f>
        <v>89.5</v>
      </c>
      <c r="H500" s="7"/>
    </row>
    <row r="501" spans="1:8" ht="15" x14ac:dyDescent="0.25">
      <c r="A501" s="5">
        <f t="shared" si="8"/>
        <v>42583</v>
      </c>
      <c r="B501">
        <f t="shared" si="7"/>
        <v>92.8</v>
      </c>
      <c r="C501" s="3"/>
      <c r="D501" s="3">
        <f>'PIM(2012 = 100)'!B177</f>
        <v>92.8</v>
      </c>
      <c r="H501" s="7"/>
    </row>
    <row r="502" spans="1:8" x14ac:dyDescent="0.2">
      <c r="A502" s="5">
        <f t="shared" si="8"/>
        <v>42614</v>
      </c>
      <c r="B502">
        <f t="shared" si="7"/>
        <v>90</v>
      </c>
      <c r="C502" s="3"/>
      <c r="D502" s="3">
        <f>'PIM(2012 = 100)'!B178</f>
        <v>90</v>
      </c>
    </row>
    <row r="503" spans="1:8" x14ac:dyDescent="0.2">
      <c r="A503" s="5">
        <f t="shared" si="8"/>
        <v>42644</v>
      </c>
      <c r="B503">
        <f t="shared" si="7"/>
        <v>90.2</v>
      </c>
      <c r="C503" s="3"/>
      <c r="D503" s="3">
        <f>'PIM(2012 = 100)'!B179</f>
        <v>90.2</v>
      </c>
    </row>
    <row r="504" spans="1:8" x14ac:dyDescent="0.2">
      <c r="A504" s="5">
        <f t="shared" si="8"/>
        <v>42675</v>
      </c>
      <c r="B504">
        <f t="shared" si="7"/>
        <v>86.5</v>
      </c>
      <c r="C504" s="3"/>
      <c r="D504" s="3">
        <f>'PIM(2012 = 100)'!B180</f>
        <v>86.5</v>
      </c>
    </row>
    <row r="505" spans="1:8" x14ac:dyDescent="0.2">
      <c r="A505" s="5">
        <f t="shared" si="8"/>
        <v>42705</v>
      </c>
      <c r="B505">
        <f t="shared" si="7"/>
        <v>77.2</v>
      </c>
      <c r="C505" s="3"/>
      <c r="D505" s="3">
        <f>'PIM(2012 = 100)'!B181</f>
        <v>77.2</v>
      </c>
    </row>
    <row r="506" spans="1:8" x14ac:dyDescent="0.2">
      <c r="A506" s="5"/>
    </row>
  </sheetData>
  <pageMargins left="0.511811024" right="0.511811024" top="0.78740157499999996" bottom="0.78740157499999996" header="0.31496062000000002" footer="0.31496062000000002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516"/>
  <sheetViews>
    <sheetView workbookViewId="0">
      <selection activeCell="M15" sqref="M15"/>
    </sheetView>
  </sheetViews>
  <sheetFormatPr defaultRowHeight="12.75" x14ac:dyDescent="0.2"/>
  <cols>
    <col min="1" max="98" width="12.42578125" style="2" customWidth="1"/>
    <col min="99" max="16384" width="9.140625" style="2"/>
  </cols>
  <sheetData>
    <row r="1" spans="1:98" x14ac:dyDescent="0.2">
      <c r="B1" s="2" t="s">
        <v>183</v>
      </c>
      <c r="C1" s="2" t="s">
        <v>184</v>
      </c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  <c r="J1" s="2" t="s">
        <v>191</v>
      </c>
      <c r="K1" s="2" t="s">
        <v>192</v>
      </c>
      <c r="L1" s="2" t="s">
        <v>193</v>
      </c>
      <c r="M1" s="2" t="s">
        <v>194</v>
      </c>
      <c r="N1" s="2" t="s">
        <v>195</v>
      </c>
      <c r="O1" s="2" t="s">
        <v>196</v>
      </c>
      <c r="P1" s="2" t="s">
        <v>197</v>
      </c>
      <c r="Q1" s="2" t="s">
        <v>198</v>
      </c>
      <c r="R1" s="2" t="s">
        <v>199</v>
      </c>
      <c r="S1" s="2" t="s">
        <v>200</v>
      </c>
      <c r="T1" s="2" t="s">
        <v>201</v>
      </c>
      <c r="U1" s="2" t="s">
        <v>202</v>
      </c>
      <c r="V1" s="2" t="s">
        <v>203</v>
      </c>
      <c r="W1" s="2" t="s">
        <v>204</v>
      </c>
      <c r="X1" s="2" t="s">
        <v>205</v>
      </c>
      <c r="Y1" s="2" t="s">
        <v>206</v>
      </c>
      <c r="Z1" s="2" t="s">
        <v>207</v>
      </c>
      <c r="AA1" s="2" t="s">
        <v>208</v>
      </c>
      <c r="AB1" s="2" t="s">
        <v>209</v>
      </c>
      <c r="AC1" s="2" t="s">
        <v>210</v>
      </c>
      <c r="AD1" s="2" t="s">
        <v>211</v>
      </c>
      <c r="AE1" s="2" t="s">
        <v>212</v>
      </c>
      <c r="AF1" s="2" t="s">
        <v>213</v>
      </c>
      <c r="AG1" s="2" t="s">
        <v>214</v>
      </c>
      <c r="AH1" s="2" t="s">
        <v>215</v>
      </c>
      <c r="AI1" s="2" t="s">
        <v>216</v>
      </c>
      <c r="AJ1" s="2" t="s">
        <v>217</v>
      </c>
      <c r="AK1" s="2" t="s">
        <v>218</v>
      </c>
      <c r="AL1" s="2" t="s">
        <v>219</v>
      </c>
      <c r="AM1" s="2" t="s">
        <v>220</v>
      </c>
      <c r="AN1" s="2" t="s">
        <v>221</v>
      </c>
      <c r="AO1" s="2" t="s">
        <v>222</v>
      </c>
      <c r="AP1" s="2" t="s">
        <v>223</v>
      </c>
      <c r="AQ1" s="2" t="s">
        <v>224</v>
      </c>
      <c r="AR1" s="2" t="s">
        <v>225</v>
      </c>
      <c r="AS1" s="2" t="s">
        <v>226</v>
      </c>
      <c r="AT1" s="2" t="s">
        <v>227</v>
      </c>
      <c r="AU1" s="2" t="s">
        <v>228</v>
      </c>
      <c r="AV1" s="2" t="s">
        <v>229</v>
      </c>
      <c r="AW1" s="2" t="s">
        <v>230</v>
      </c>
      <c r="AX1" s="2" t="s">
        <v>231</v>
      </c>
      <c r="AY1" s="2" t="s">
        <v>232</v>
      </c>
      <c r="AZ1" s="2" t="s">
        <v>233</v>
      </c>
      <c r="BA1" s="2" t="s">
        <v>234</v>
      </c>
      <c r="BB1" s="2" t="s">
        <v>235</v>
      </c>
      <c r="BC1" s="2" t="s">
        <v>236</v>
      </c>
      <c r="BD1" s="2" t="s">
        <v>237</v>
      </c>
      <c r="BE1" s="2" t="s">
        <v>238</v>
      </c>
      <c r="BF1" s="2" t="s">
        <v>239</v>
      </c>
      <c r="BG1" s="2" t="s">
        <v>240</v>
      </c>
      <c r="BH1" s="2" t="s">
        <v>241</v>
      </c>
      <c r="BI1" s="2" t="s">
        <v>242</v>
      </c>
      <c r="BJ1" s="2" t="s">
        <v>243</v>
      </c>
      <c r="BK1" s="2" t="s">
        <v>244</v>
      </c>
      <c r="BL1" s="2" t="s">
        <v>245</v>
      </c>
      <c r="BM1" s="2" t="s">
        <v>246</v>
      </c>
      <c r="BN1" s="2" t="s">
        <v>247</v>
      </c>
      <c r="BO1" s="2" t="s">
        <v>248</v>
      </c>
      <c r="BP1" s="2" t="s">
        <v>249</v>
      </c>
      <c r="BQ1" s="2" t="s">
        <v>250</v>
      </c>
      <c r="BR1" s="2" t="s">
        <v>251</v>
      </c>
      <c r="BS1" s="2" t="s">
        <v>252</v>
      </c>
      <c r="BT1" s="2" t="s">
        <v>253</v>
      </c>
      <c r="BU1" s="2" t="s">
        <v>254</v>
      </c>
      <c r="BV1" s="2" t="s">
        <v>255</v>
      </c>
      <c r="BW1" s="2" t="s">
        <v>256</v>
      </c>
      <c r="BX1" s="2" t="s">
        <v>257</v>
      </c>
      <c r="BY1" s="2" t="s">
        <v>258</v>
      </c>
      <c r="BZ1" s="2" t="s">
        <v>259</v>
      </c>
      <c r="CA1" s="2" t="s">
        <v>260</v>
      </c>
      <c r="CB1" s="2" t="s">
        <v>261</v>
      </c>
      <c r="CC1" s="2" t="s">
        <v>262</v>
      </c>
      <c r="CD1" s="2" t="s">
        <v>263</v>
      </c>
      <c r="CE1" s="2" t="s">
        <v>264</v>
      </c>
      <c r="CF1" s="2" t="s">
        <v>265</v>
      </c>
      <c r="CG1" s="2" t="s">
        <v>266</v>
      </c>
      <c r="CH1" s="2" t="s">
        <v>267</v>
      </c>
      <c r="CI1" s="2" t="s">
        <v>268</v>
      </c>
      <c r="CJ1" s="2" t="s">
        <v>269</v>
      </c>
      <c r="CK1" s="2" t="s">
        <v>270</v>
      </c>
      <c r="CL1" s="2" t="s">
        <v>271</v>
      </c>
      <c r="CM1" s="2" t="s">
        <v>272</v>
      </c>
      <c r="CN1" s="2" t="s">
        <v>273</v>
      </c>
      <c r="CO1" s="2" t="s">
        <v>274</v>
      </c>
      <c r="CP1" s="2" t="s">
        <v>275</v>
      </c>
      <c r="CQ1" s="2" t="s">
        <v>276</v>
      </c>
      <c r="CR1" s="2" t="s">
        <v>277</v>
      </c>
      <c r="CS1" s="2" t="s">
        <v>278</v>
      </c>
      <c r="CT1" s="2" t="s">
        <v>279</v>
      </c>
    </row>
    <row r="2" spans="1:98" x14ac:dyDescent="0.2">
      <c r="A2" s="2" t="s">
        <v>280</v>
      </c>
      <c r="B2" s="2" t="s">
        <v>281</v>
      </c>
      <c r="C2" s="2" t="s">
        <v>281</v>
      </c>
      <c r="D2" s="2" t="s">
        <v>281</v>
      </c>
      <c r="E2" s="2" t="s">
        <v>281</v>
      </c>
      <c r="F2" s="2" t="s">
        <v>281</v>
      </c>
      <c r="G2" s="2" t="s">
        <v>281</v>
      </c>
      <c r="H2" s="2">
        <v>1.46</v>
      </c>
      <c r="I2" s="2" t="s">
        <v>281</v>
      </c>
      <c r="J2" s="2" t="s">
        <v>281</v>
      </c>
      <c r="K2" s="2" t="s">
        <v>281</v>
      </c>
      <c r="L2" s="2">
        <v>47.328200000000002</v>
      </c>
      <c r="M2" s="2">
        <v>46.274500000000003</v>
      </c>
      <c r="N2" s="2" t="s">
        <v>281</v>
      </c>
      <c r="O2" s="2" t="s">
        <v>281</v>
      </c>
      <c r="P2" s="2" t="s">
        <v>281</v>
      </c>
      <c r="Q2" s="2" t="s">
        <v>281</v>
      </c>
      <c r="R2" s="2" t="s">
        <v>281</v>
      </c>
      <c r="S2" s="2" t="s">
        <v>281</v>
      </c>
      <c r="T2" s="2">
        <v>0</v>
      </c>
      <c r="U2" s="2">
        <v>0</v>
      </c>
      <c r="V2" s="2">
        <v>0</v>
      </c>
      <c r="W2" s="2">
        <v>0</v>
      </c>
      <c r="X2" s="2" t="s">
        <v>281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1</v>
      </c>
      <c r="CR2" s="2">
        <v>1</v>
      </c>
      <c r="CS2" s="2">
        <v>1</v>
      </c>
      <c r="CT2" s="2">
        <v>0</v>
      </c>
    </row>
    <row r="3" spans="1:98" x14ac:dyDescent="0.2">
      <c r="A3" s="2" t="s">
        <v>282</v>
      </c>
      <c r="B3" s="2" t="s">
        <v>281</v>
      </c>
      <c r="C3" s="2" t="s">
        <v>281</v>
      </c>
      <c r="D3" s="2" t="s">
        <v>281</v>
      </c>
      <c r="E3" s="2" t="s">
        <v>281</v>
      </c>
      <c r="F3" s="2" t="s">
        <v>281</v>
      </c>
      <c r="G3" s="2" t="s">
        <v>281</v>
      </c>
      <c r="H3" s="2">
        <v>1.1499999999999999</v>
      </c>
      <c r="I3" s="2" t="s">
        <v>281</v>
      </c>
      <c r="J3" s="2" t="s">
        <v>281</v>
      </c>
      <c r="K3" s="2" t="s">
        <v>281</v>
      </c>
      <c r="L3" s="2">
        <v>47.185299999999998</v>
      </c>
      <c r="M3" s="2">
        <v>47.020400000000002</v>
      </c>
      <c r="N3" s="2">
        <v>-3.0239089418988563E-3</v>
      </c>
      <c r="O3" s="2">
        <v>1.5990496663128351E-2</v>
      </c>
      <c r="P3" s="2" t="s">
        <v>281</v>
      </c>
      <c r="Q3" s="2" t="s">
        <v>281</v>
      </c>
      <c r="R3" s="2" t="s">
        <v>281</v>
      </c>
      <c r="S3" s="2" t="s">
        <v>281</v>
      </c>
      <c r="T3" s="2">
        <v>0</v>
      </c>
      <c r="U3" s="2">
        <v>0</v>
      </c>
      <c r="V3" s="2">
        <v>0</v>
      </c>
      <c r="W3" s="2">
        <v>0</v>
      </c>
      <c r="X3" s="2" t="s">
        <v>281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1</v>
      </c>
      <c r="CR3" s="2">
        <v>1</v>
      </c>
      <c r="CS3" s="2">
        <v>1</v>
      </c>
      <c r="CT3" s="2">
        <v>0</v>
      </c>
    </row>
    <row r="4" spans="1:98" x14ac:dyDescent="0.2">
      <c r="A4" s="2" t="s">
        <v>283</v>
      </c>
      <c r="B4" s="2" t="s">
        <v>281</v>
      </c>
      <c r="C4" s="2" t="s">
        <v>281</v>
      </c>
      <c r="D4" s="2" t="s">
        <v>281</v>
      </c>
      <c r="E4" s="2" t="s">
        <v>281</v>
      </c>
      <c r="F4" s="2" t="s">
        <v>281</v>
      </c>
      <c r="G4" s="2" t="s">
        <v>281</v>
      </c>
      <c r="H4" s="2">
        <v>1.1599999999999999</v>
      </c>
      <c r="I4" s="2" t="s">
        <v>281</v>
      </c>
      <c r="J4" s="2" t="s">
        <v>281</v>
      </c>
      <c r="K4" s="2" t="s">
        <v>281</v>
      </c>
      <c r="L4" s="2">
        <v>47.196300000000001</v>
      </c>
      <c r="M4" s="2">
        <v>47.263599999999997</v>
      </c>
      <c r="N4" s="2">
        <v>2.3309628253409542E-4</v>
      </c>
      <c r="O4" s="2">
        <v>5.1588931182475761E-3</v>
      </c>
      <c r="P4" s="2" t="s">
        <v>281</v>
      </c>
      <c r="Q4" s="2" t="s">
        <v>281</v>
      </c>
      <c r="R4" s="2" t="s">
        <v>281</v>
      </c>
      <c r="S4" s="2" t="s">
        <v>281</v>
      </c>
      <c r="T4" s="2">
        <v>0</v>
      </c>
      <c r="U4" s="2">
        <v>0</v>
      </c>
      <c r="V4" s="2">
        <v>0</v>
      </c>
      <c r="W4" s="2">
        <v>0</v>
      </c>
      <c r="X4" s="2" t="s">
        <v>281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1</v>
      </c>
      <c r="CR4" s="2">
        <v>1</v>
      </c>
      <c r="CS4" s="2">
        <v>1</v>
      </c>
      <c r="CT4" s="2">
        <v>0</v>
      </c>
    </row>
    <row r="5" spans="1:98" x14ac:dyDescent="0.2">
      <c r="A5" s="2" t="s">
        <v>284</v>
      </c>
      <c r="B5" s="2" t="s">
        <v>281</v>
      </c>
      <c r="C5" s="2" t="s">
        <v>281</v>
      </c>
      <c r="D5" s="2" t="s">
        <v>281</v>
      </c>
      <c r="E5" s="2" t="s">
        <v>281</v>
      </c>
      <c r="F5" s="2" t="s">
        <v>281</v>
      </c>
      <c r="G5" s="2" t="s">
        <v>281</v>
      </c>
      <c r="H5" s="2">
        <v>1.21</v>
      </c>
      <c r="I5" s="2" t="s">
        <v>281</v>
      </c>
      <c r="J5" s="2" t="s">
        <v>281</v>
      </c>
      <c r="K5" s="2" t="s">
        <v>281</v>
      </c>
      <c r="L5" s="2">
        <v>47.051400000000001</v>
      </c>
      <c r="M5" s="2">
        <v>46.653100000000002</v>
      </c>
      <c r="N5" s="2">
        <v>-3.0748785204868234E-3</v>
      </c>
      <c r="O5" s="2">
        <v>-1.3001065822385804E-2</v>
      </c>
      <c r="P5" s="2" t="s">
        <v>281</v>
      </c>
      <c r="Q5" s="2" t="s">
        <v>281</v>
      </c>
      <c r="R5" s="2" t="s">
        <v>281</v>
      </c>
      <c r="S5" s="2" t="s">
        <v>281</v>
      </c>
      <c r="T5" s="2">
        <v>0</v>
      </c>
      <c r="U5" s="2">
        <v>0</v>
      </c>
      <c r="V5" s="2">
        <v>0</v>
      </c>
      <c r="W5" s="2">
        <v>0</v>
      </c>
      <c r="X5" s="2" t="s">
        <v>281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1</v>
      </c>
      <c r="CR5" s="2">
        <v>1</v>
      </c>
      <c r="CS5" s="2">
        <v>1</v>
      </c>
      <c r="CT5" s="2">
        <v>0</v>
      </c>
    </row>
    <row r="6" spans="1:98" x14ac:dyDescent="0.2">
      <c r="A6" s="2" t="s">
        <v>285</v>
      </c>
      <c r="B6" s="2" t="s">
        <v>281</v>
      </c>
      <c r="C6" s="2" t="s">
        <v>281</v>
      </c>
      <c r="D6" s="2" t="s">
        <v>281</v>
      </c>
      <c r="E6" s="2" t="s">
        <v>281</v>
      </c>
      <c r="F6" s="2" t="s">
        <v>281</v>
      </c>
      <c r="G6" s="2" t="s">
        <v>281</v>
      </c>
      <c r="H6" s="2">
        <v>1.24</v>
      </c>
      <c r="I6" s="2" t="s">
        <v>281</v>
      </c>
      <c r="J6" s="2" t="s">
        <v>281</v>
      </c>
      <c r="K6" s="2" t="s">
        <v>281</v>
      </c>
      <c r="L6" s="2">
        <v>47.407800000000002</v>
      </c>
      <c r="M6" s="2">
        <v>47.516500000000001</v>
      </c>
      <c r="N6" s="2">
        <v>7.5461509571734808E-3</v>
      </c>
      <c r="O6" s="2">
        <v>1.8337641753315648E-2</v>
      </c>
      <c r="P6" s="2" t="s">
        <v>281</v>
      </c>
      <c r="Q6" s="2" t="s">
        <v>281</v>
      </c>
      <c r="R6" s="2" t="s">
        <v>281</v>
      </c>
      <c r="S6" s="2" t="s">
        <v>281</v>
      </c>
      <c r="T6" s="2">
        <v>0</v>
      </c>
      <c r="U6" s="2">
        <v>0</v>
      </c>
      <c r="V6" s="2">
        <v>0</v>
      </c>
      <c r="W6" s="2">
        <v>0</v>
      </c>
      <c r="X6" s="2" t="s">
        <v>281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1</v>
      </c>
      <c r="CR6" s="2">
        <v>1</v>
      </c>
      <c r="CS6" s="2">
        <v>1</v>
      </c>
      <c r="CT6" s="2">
        <v>0</v>
      </c>
    </row>
    <row r="7" spans="1:98" x14ac:dyDescent="0.2">
      <c r="A7" s="2" t="s">
        <v>286</v>
      </c>
      <c r="B7" s="2" t="s">
        <v>281</v>
      </c>
      <c r="C7" s="2" t="s">
        <v>281</v>
      </c>
      <c r="D7" s="2" t="s">
        <v>281</v>
      </c>
      <c r="E7" s="2" t="s">
        <v>281</v>
      </c>
      <c r="F7" s="2" t="s">
        <v>281</v>
      </c>
      <c r="G7" s="2" t="s">
        <v>281</v>
      </c>
      <c r="H7" s="2">
        <v>1.51</v>
      </c>
      <c r="I7" s="2" t="s">
        <v>281</v>
      </c>
      <c r="J7" s="2" t="s">
        <v>281</v>
      </c>
      <c r="K7" s="2" t="s">
        <v>281</v>
      </c>
      <c r="L7" s="2">
        <v>47.355899999999998</v>
      </c>
      <c r="M7" s="2">
        <v>48.454999999999998</v>
      </c>
      <c r="N7" s="2">
        <v>-1.0953562427209462E-3</v>
      </c>
      <c r="O7" s="2">
        <v>1.9558513043306913E-2</v>
      </c>
      <c r="P7" s="2" t="s">
        <v>281</v>
      </c>
      <c r="Q7" s="2" t="s">
        <v>281</v>
      </c>
      <c r="R7" s="2" t="s">
        <v>281</v>
      </c>
      <c r="S7" s="2" t="s">
        <v>281</v>
      </c>
      <c r="T7" s="2">
        <v>0</v>
      </c>
      <c r="U7" s="2">
        <v>0</v>
      </c>
      <c r="V7" s="2">
        <v>0</v>
      </c>
      <c r="W7" s="2">
        <v>0</v>
      </c>
      <c r="X7" s="2" t="s">
        <v>281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1</v>
      </c>
      <c r="CR7" s="2">
        <v>1</v>
      </c>
      <c r="CS7" s="2">
        <v>1</v>
      </c>
      <c r="CT7" s="2">
        <v>0</v>
      </c>
    </row>
    <row r="8" spans="1:98" x14ac:dyDescent="0.2">
      <c r="A8" s="2" t="s">
        <v>287</v>
      </c>
      <c r="B8" s="2" t="s">
        <v>281</v>
      </c>
      <c r="C8" s="2" t="s">
        <v>281</v>
      </c>
      <c r="D8" s="2" t="s">
        <v>281</v>
      </c>
      <c r="E8" s="2" t="s">
        <v>281</v>
      </c>
      <c r="F8" s="2" t="s">
        <v>281</v>
      </c>
      <c r="G8" s="2" t="s">
        <v>281</v>
      </c>
      <c r="H8" s="2">
        <v>1.62</v>
      </c>
      <c r="I8" s="2" t="s">
        <v>281</v>
      </c>
      <c r="J8" s="2" t="s">
        <v>281</v>
      </c>
      <c r="K8" s="2" t="s">
        <v>281</v>
      </c>
      <c r="L8" s="2">
        <v>47.376800000000003</v>
      </c>
      <c r="M8" s="2">
        <v>46.1372</v>
      </c>
      <c r="N8" s="2">
        <v>4.4124152144053852E-4</v>
      </c>
      <c r="O8" s="2">
        <v>-4.9015966154435375E-2</v>
      </c>
      <c r="P8" s="2" t="s">
        <v>281</v>
      </c>
      <c r="Q8" s="2" t="s">
        <v>281</v>
      </c>
      <c r="R8" s="2" t="s">
        <v>281</v>
      </c>
      <c r="S8" s="2" t="s">
        <v>281</v>
      </c>
      <c r="T8" s="2">
        <v>0</v>
      </c>
      <c r="U8" s="2">
        <v>0</v>
      </c>
      <c r="V8" s="2">
        <v>0</v>
      </c>
      <c r="W8" s="2">
        <v>0</v>
      </c>
      <c r="X8" s="2" t="s">
        <v>281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1</v>
      </c>
      <c r="CR8" s="2">
        <v>1</v>
      </c>
      <c r="CS8" s="2">
        <v>1</v>
      </c>
      <c r="CT8" s="2">
        <v>0</v>
      </c>
    </row>
    <row r="9" spans="1:98" x14ac:dyDescent="0.2">
      <c r="A9" s="2" t="s">
        <v>288</v>
      </c>
      <c r="B9" s="2" t="s">
        <v>281</v>
      </c>
      <c r="C9" s="2" t="s">
        <v>281</v>
      </c>
      <c r="D9" s="2" t="s">
        <v>281</v>
      </c>
      <c r="E9" s="2" t="s">
        <v>281</v>
      </c>
      <c r="F9" s="2" t="s">
        <v>281</v>
      </c>
      <c r="G9" s="2" t="s">
        <v>281</v>
      </c>
      <c r="H9" s="2">
        <v>1</v>
      </c>
      <c r="I9" s="2" t="s">
        <v>281</v>
      </c>
      <c r="J9" s="2" t="s">
        <v>281</v>
      </c>
      <c r="K9" s="2" t="s">
        <v>281</v>
      </c>
      <c r="L9" s="2">
        <v>46.912999999999997</v>
      </c>
      <c r="M9" s="2">
        <v>46.670900000000003</v>
      </c>
      <c r="N9" s="2">
        <v>-9.8378348592680354E-3</v>
      </c>
      <c r="O9" s="2">
        <v>1.1501278080539024E-2</v>
      </c>
      <c r="P9" s="2" t="s">
        <v>281</v>
      </c>
      <c r="Q9" s="2" t="s">
        <v>281</v>
      </c>
      <c r="R9" s="2" t="s">
        <v>281</v>
      </c>
      <c r="S9" s="2" t="s">
        <v>281</v>
      </c>
      <c r="T9" s="2">
        <v>0</v>
      </c>
      <c r="U9" s="2">
        <v>0</v>
      </c>
      <c r="V9" s="2">
        <v>0</v>
      </c>
      <c r="W9" s="2">
        <v>0</v>
      </c>
      <c r="X9" s="2" t="s">
        <v>281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1</v>
      </c>
      <c r="CR9" s="2">
        <v>1</v>
      </c>
      <c r="CS9" s="2">
        <v>1</v>
      </c>
      <c r="CT9" s="2">
        <v>0</v>
      </c>
    </row>
    <row r="10" spans="1:98" x14ac:dyDescent="0.2">
      <c r="A10" s="2" t="s">
        <v>289</v>
      </c>
      <c r="B10" s="2" t="s">
        <v>281</v>
      </c>
      <c r="C10" s="2" t="s">
        <v>281</v>
      </c>
      <c r="D10" s="2" t="s">
        <v>281</v>
      </c>
      <c r="E10" s="2" t="s">
        <v>281</v>
      </c>
      <c r="F10" s="2" t="s">
        <v>281</v>
      </c>
      <c r="G10" s="2" t="s">
        <v>281</v>
      </c>
      <c r="H10" s="2">
        <v>1.38</v>
      </c>
      <c r="I10" s="2" t="s">
        <v>281</v>
      </c>
      <c r="J10" s="2" t="s">
        <v>281</v>
      </c>
      <c r="K10" s="2" t="s">
        <v>281</v>
      </c>
      <c r="L10" s="2">
        <v>46.940600000000003</v>
      </c>
      <c r="M10" s="2">
        <v>47.822099999999999</v>
      </c>
      <c r="N10" s="2">
        <v>5.8815007193357971E-4</v>
      </c>
      <c r="O10" s="2">
        <v>2.4367031633390379E-2</v>
      </c>
      <c r="P10" s="2" t="s">
        <v>281</v>
      </c>
      <c r="Q10" s="2" t="s">
        <v>281</v>
      </c>
      <c r="R10" s="2" t="s">
        <v>281</v>
      </c>
      <c r="S10" s="2" t="s">
        <v>281</v>
      </c>
      <c r="T10" s="2">
        <v>0</v>
      </c>
      <c r="U10" s="2">
        <v>0</v>
      </c>
      <c r="V10" s="2">
        <v>0</v>
      </c>
      <c r="W10" s="2">
        <v>0</v>
      </c>
      <c r="X10" s="2" t="s">
        <v>281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1</v>
      </c>
      <c r="CR10" s="2">
        <v>1</v>
      </c>
      <c r="CS10" s="2">
        <v>1</v>
      </c>
      <c r="CT10" s="2">
        <v>0</v>
      </c>
    </row>
    <row r="11" spans="1:98" x14ac:dyDescent="0.2">
      <c r="A11" s="2" t="s">
        <v>290</v>
      </c>
      <c r="B11" s="2" t="s">
        <v>281</v>
      </c>
      <c r="C11" s="2" t="s">
        <v>281</v>
      </c>
      <c r="D11" s="2" t="s">
        <v>281</v>
      </c>
      <c r="E11" s="2" t="s">
        <v>281</v>
      </c>
      <c r="F11" s="2" t="s">
        <v>281</v>
      </c>
      <c r="G11" s="2" t="s">
        <v>281</v>
      </c>
      <c r="H11" s="2">
        <v>1.1200000000000001</v>
      </c>
      <c r="I11" s="2" t="s">
        <v>281</v>
      </c>
      <c r="J11" s="2" t="s">
        <v>281</v>
      </c>
      <c r="K11" s="2" t="s">
        <v>281</v>
      </c>
      <c r="L11" s="2">
        <v>46.758099999999999</v>
      </c>
      <c r="M11" s="2">
        <v>47.799399999999999</v>
      </c>
      <c r="N11" s="2">
        <v>-3.8954698577806646E-3</v>
      </c>
      <c r="O11" s="2">
        <v>-4.747886286331493E-4</v>
      </c>
      <c r="P11" s="2" t="s">
        <v>281</v>
      </c>
      <c r="Q11" s="2" t="s">
        <v>281</v>
      </c>
      <c r="R11" s="2" t="s">
        <v>281</v>
      </c>
      <c r="S11" s="2" t="s">
        <v>281</v>
      </c>
      <c r="T11" s="2">
        <v>0</v>
      </c>
      <c r="U11" s="2">
        <v>0</v>
      </c>
      <c r="V11" s="2">
        <v>0</v>
      </c>
      <c r="W11" s="2">
        <v>0</v>
      </c>
      <c r="X11" s="2" t="s">
        <v>281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1</v>
      </c>
      <c r="CR11" s="2">
        <v>1</v>
      </c>
      <c r="CS11" s="2">
        <v>1</v>
      </c>
      <c r="CT11" s="2">
        <v>0</v>
      </c>
    </row>
    <row r="12" spans="1:98" x14ac:dyDescent="0.2">
      <c r="A12" s="2" t="s">
        <v>291</v>
      </c>
      <c r="B12" s="2" t="s">
        <v>281</v>
      </c>
      <c r="C12" s="2" t="s">
        <v>281</v>
      </c>
      <c r="D12" s="2" t="s">
        <v>281</v>
      </c>
      <c r="E12" s="2" t="s">
        <v>281</v>
      </c>
      <c r="F12" s="2" t="s">
        <v>281</v>
      </c>
      <c r="G12" s="2" t="s">
        <v>281</v>
      </c>
      <c r="H12" s="2">
        <v>1.46</v>
      </c>
      <c r="I12" s="2" t="s">
        <v>281</v>
      </c>
      <c r="J12" s="2" t="s">
        <v>281</v>
      </c>
      <c r="K12" s="2" t="s">
        <v>281</v>
      </c>
      <c r="L12" s="2">
        <v>45.220799999999997</v>
      </c>
      <c r="M12" s="2">
        <v>45.579599999999999</v>
      </c>
      <c r="N12" s="2">
        <v>-3.3430344778273113E-2</v>
      </c>
      <c r="O12" s="2">
        <v>-4.755283911719399E-2</v>
      </c>
      <c r="P12" s="2" t="s">
        <v>281</v>
      </c>
      <c r="Q12" s="2" t="s">
        <v>281</v>
      </c>
      <c r="R12" s="2" t="s">
        <v>281</v>
      </c>
      <c r="S12" s="2" t="s">
        <v>281</v>
      </c>
      <c r="T12" s="2">
        <v>0</v>
      </c>
      <c r="U12" s="2">
        <v>0</v>
      </c>
      <c r="V12" s="2">
        <v>0</v>
      </c>
      <c r="W12" s="2">
        <v>0</v>
      </c>
      <c r="X12" s="2" t="s">
        <v>281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1</v>
      </c>
      <c r="CR12" s="2">
        <v>1</v>
      </c>
      <c r="CS12" s="2">
        <v>1</v>
      </c>
      <c r="CT12" s="2">
        <v>0</v>
      </c>
    </row>
    <row r="13" spans="1:98" x14ac:dyDescent="0.2">
      <c r="A13" s="2" t="s">
        <v>292</v>
      </c>
      <c r="B13" s="2" t="s">
        <v>281</v>
      </c>
      <c r="C13" s="2" t="s">
        <v>281</v>
      </c>
      <c r="D13" s="2" t="s">
        <v>281</v>
      </c>
      <c r="E13" s="2" t="s">
        <v>281</v>
      </c>
      <c r="F13" s="2" t="s">
        <v>281</v>
      </c>
      <c r="G13" s="2" t="s">
        <v>281</v>
      </c>
      <c r="H13" s="2">
        <v>1.73</v>
      </c>
      <c r="I13" s="2" t="s">
        <v>281</v>
      </c>
      <c r="J13" s="2" t="s">
        <v>281</v>
      </c>
      <c r="K13" s="2" t="s">
        <v>281</v>
      </c>
      <c r="L13" s="2">
        <v>43.626800000000003</v>
      </c>
      <c r="M13" s="2">
        <v>43.168799999999997</v>
      </c>
      <c r="N13" s="2">
        <v>-3.5885517564000047E-2</v>
      </c>
      <c r="O13" s="2">
        <v>-5.4342235900446845E-2</v>
      </c>
      <c r="P13" s="2" t="s">
        <v>281</v>
      </c>
      <c r="Q13" s="2" t="s">
        <v>281</v>
      </c>
      <c r="R13" s="2" t="s">
        <v>281</v>
      </c>
      <c r="S13" s="2" t="s">
        <v>281</v>
      </c>
      <c r="T13" s="2">
        <v>0</v>
      </c>
      <c r="U13" s="2">
        <v>0</v>
      </c>
      <c r="V13" s="2">
        <v>0</v>
      </c>
      <c r="W13" s="2">
        <v>0</v>
      </c>
      <c r="X13" s="2" t="s">
        <v>281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1</v>
      </c>
      <c r="CR13" s="2">
        <v>1</v>
      </c>
      <c r="CS13" s="2">
        <v>1</v>
      </c>
      <c r="CT13" s="2">
        <v>0</v>
      </c>
    </row>
    <row r="14" spans="1:98" x14ac:dyDescent="0.2">
      <c r="A14" s="2" t="s">
        <v>293</v>
      </c>
      <c r="B14" s="2" t="s">
        <v>281</v>
      </c>
      <c r="C14" s="2" t="s">
        <v>281</v>
      </c>
      <c r="D14" s="2" t="s">
        <v>281</v>
      </c>
      <c r="E14" s="2" t="s">
        <v>281</v>
      </c>
      <c r="F14" s="2" t="s">
        <v>281</v>
      </c>
      <c r="G14" s="2">
        <v>51.008962549430102</v>
      </c>
      <c r="H14" s="2">
        <v>1.79</v>
      </c>
      <c r="I14" s="2" t="s">
        <v>281</v>
      </c>
      <c r="J14" s="2" t="s">
        <v>281</v>
      </c>
      <c r="K14" s="2" t="s">
        <v>281</v>
      </c>
      <c r="L14" s="2">
        <v>43.023000000000003</v>
      </c>
      <c r="M14" s="2">
        <v>42.203499999999998</v>
      </c>
      <c r="N14" s="2">
        <v>-1.3936784001190805E-2</v>
      </c>
      <c r="O14" s="2">
        <v>-2.2614856108339687E-2</v>
      </c>
      <c r="P14" s="2">
        <v>40.694753593154104</v>
      </c>
      <c r="Q14" s="2" t="s">
        <v>281</v>
      </c>
      <c r="R14" s="2" t="s">
        <v>281</v>
      </c>
      <c r="S14" s="2">
        <v>1.7741681476157126E-2</v>
      </c>
      <c r="T14" s="2">
        <v>0</v>
      </c>
      <c r="U14" s="2">
        <v>0</v>
      </c>
      <c r="V14" s="2">
        <v>0</v>
      </c>
      <c r="W14" s="2">
        <v>0</v>
      </c>
      <c r="X14" s="2" t="s">
        <v>281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1</v>
      </c>
      <c r="CR14" s="2">
        <v>1</v>
      </c>
      <c r="CS14" s="2">
        <v>1</v>
      </c>
      <c r="CT14" s="2">
        <v>0</v>
      </c>
    </row>
    <row r="15" spans="1:98" x14ac:dyDescent="0.2">
      <c r="A15" s="2" t="s">
        <v>294</v>
      </c>
      <c r="B15" s="2" t="s">
        <v>281</v>
      </c>
      <c r="C15" s="2" t="s">
        <v>281</v>
      </c>
      <c r="D15" s="2" t="s">
        <v>281</v>
      </c>
      <c r="E15" s="2" t="s">
        <v>281</v>
      </c>
      <c r="F15" s="2" t="s">
        <v>281</v>
      </c>
      <c r="G15" s="2">
        <v>47.8584542916958</v>
      </c>
      <c r="H15" s="2">
        <v>1.6</v>
      </c>
      <c r="I15" s="2" t="s">
        <v>281</v>
      </c>
      <c r="J15" s="2" t="s">
        <v>281</v>
      </c>
      <c r="K15" s="2" t="s">
        <v>281</v>
      </c>
      <c r="L15" s="2">
        <v>42.025399999999998</v>
      </c>
      <c r="M15" s="2">
        <v>42.02</v>
      </c>
      <c r="N15" s="2">
        <v>-2.3460659021841135E-2</v>
      </c>
      <c r="O15" s="2">
        <v>-4.3574605745391182E-3</v>
      </c>
      <c r="P15" s="2">
        <v>38.181290255854236</v>
      </c>
      <c r="Q15" s="2">
        <v>-6.3753568043496855E-2</v>
      </c>
      <c r="R15" s="2" t="s">
        <v>281</v>
      </c>
      <c r="S15" s="2">
        <v>1.5873349156290163E-2</v>
      </c>
      <c r="T15" s="2">
        <v>0</v>
      </c>
      <c r="U15" s="2">
        <v>0</v>
      </c>
      <c r="V15" s="2">
        <v>0</v>
      </c>
      <c r="W15" s="2">
        <v>0</v>
      </c>
      <c r="X15" s="2">
        <v>-1.8683323198669631E-3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1</v>
      </c>
      <c r="CR15" s="2">
        <v>1</v>
      </c>
      <c r="CS15" s="2">
        <v>1</v>
      </c>
      <c r="CT15" s="2">
        <v>0</v>
      </c>
    </row>
    <row r="16" spans="1:98" x14ac:dyDescent="0.2">
      <c r="A16" s="2" t="s">
        <v>295</v>
      </c>
      <c r="B16" s="2" t="s">
        <v>281</v>
      </c>
      <c r="C16" s="2" t="s">
        <v>281</v>
      </c>
      <c r="D16" s="2" t="s">
        <v>281</v>
      </c>
      <c r="E16" s="2" t="s">
        <v>281</v>
      </c>
      <c r="F16" s="2" t="s">
        <v>281</v>
      </c>
      <c r="G16" s="2">
        <v>51.833178646196799</v>
      </c>
      <c r="H16" s="2">
        <v>1.03</v>
      </c>
      <c r="I16" s="2" t="s">
        <v>281</v>
      </c>
      <c r="J16" s="2" t="s">
        <v>281</v>
      </c>
      <c r="K16" s="2" t="s">
        <v>281</v>
      </c>
      <c r="L16" s="2">
        <v>41.577800000000003</v>
      </c>
      <c r="M16" s="2">
        <v>41.602200000000003</v>
      </c>
      <c r="N16" s="2">
        <v>-1.0707826416173294E-2</v>
      </c>
      <c r="O16" s="2">
        <v>-9.9926449325944411E-3</v>
      </c>
      <c r="P16" s="2">
        <v>41.352310016359716</v>
      </c>
      <c r="Q16" s="2">
        <v>7.9782673124623393E-2</v>
      </c>
      <c r="R16" s="2" t="s">
        <v>281</v>
      </c>
      <c r="S16" s="2">
        <v>1.0247316451549499E-2</v>
      </c>
      <c r="T16" s="2">
        <v>0</v>
      </c>
      <c r="U16" s="2">
        <v>0</v>
      </c>
      <c r="V16" s="2">
        <v>0</v>
      </c>
      <c r="W16" s="2">
        <v>0</v>
      </c>
      <c r="X16" s="2">
        <v>-5.6260327047406647E-3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1</v>
      </c>
      <c r="CR16" s="2">
        <v>1</v>
      </c>
      <c r="CS16" s="2">
        <v>1</v>
      </c>
      <c r="CT16" s="2">
        <v>0</v>
      </c>
    </row>
    <row r="17" spans="1:98" x14ac:dyDescent="0.2">
      <c r="A17" s="2" t="s">
        <v>296</v>
      </c>
      <c r="B17" s="2" t="s">
        <v>281</v>
      </c>
      <c r="C17" s="2" t="s">
        <v>281</v>
      </c>
      <c r="D17" s="2" t="s">
        <v>281</v>
      </c>
      <c r="E17" s="2" t="s">
        <v>281</v>
      </c>
      <c r="F17" s="2" t="s">
        <v>281</v>
      </c>
      <c r="G17" s="2">
        <v>54.613945103512499</v>
      </c>
      <c r="H17" s="2">
        <v>1.19</v>
      </c>
      <c r="I17" s="2" t="s">
        <v>281</v>
      </c>
      <c r="J17" s="2" t="s">
        <v>281</v>
      </c>
      <c r="K17" s="2" t="s">
        <v>281</v>
      </c>
      <c r="L17" s="2">
        <v>41.624699999999997</v>
      </c>
      <c r="M17" s="2">
        <v>41.706600000000002</v>
      </c>
      <c r="N17" s="2">
        <v>1.1273700902578732E-3</v>
      </c>
      <c r="O17" s="2">
        <v>2.5063391778803457E-3</v>
      </c>
      <c r="P17" s="2">
        <v>43.570794771287062</v>
      </c>
      <c r="Q17" s="2">
        <v>5.2258796337855795E-2</v>
      </c>
      <c r="R17" s="2" t="s">
        <v>281</v>
      </c>
      <c r="S17" s="2">
        <v>1.1829751753577221E-2</v>
      </c>
      <c r="T17" s="2">
        <v>0</v>
      </c>
      <c r="U17" s="2">
        <v>0</v>
      </c>
      <c r="V17" s="2">
        <v>0</v>
      </c>
      <c r="W17" s="2">
        <v>0</v>
      </c>
      <c r="X17" s="2">
        <v>1.5824353020277224E-3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1</v>
      </c>
      <c r="CR17" s="2">
        <v>1</v>
      </c>
      <c r="CS17" s="2">
        <v>1</v>
      </c>
      <c r="CT17" s="2">
        <v>0</v>
      </c>
    </row>
    <row r="18" spans="1:98" x14ac:dyDescent="0.2">
      <c r="A18" s="2" t="s">
        <v>297</v>
      </c>
      <c r="B18" s="2" t="s">
        <v>281</v>
      </c>
      <c r="C18" s="2" t="s">
        <v>281</v>
      </c>
      <c r="D18" s="2" t="s">
        <v>281</v>
      </c>
      <c r="E18" s="2" t="s">
        <v>281</v>
      </c>
      <c r="F18" s="2" t="s">
        <v>281</v>
      </c>
      <c r="G18" s="2">
        <v>54.806518957897197</v>
      </c>
      <c r="H18" s="2">
        <v>1.46</v>
      </c>
      <c r="I18" s="2" t="s">
        <v>281</v>
      </c>
      <c r="J18" s="2" t="s">
        <v>281</v>
      </c>
      <c r="K18" s="2" t="s">
        <v>281</v>
      </c>
      <c r="L18" s="2">
        <v>41.525199999999998</v>
      </c>
      <c r="M18" s="2">
        <v>41.499899999999997</v>
      </c>
      <c r="N18" s="2">
        <v>-2.3932692039916326E-3</v>
      </c>
      <c r="O18" s="2">
        <v>-4.9683720669455589E-3</v>
      </c>
      <c r="P18" s="2">
        <v>43.724429449606092</v>
      </c>
      <c r="Q18" s="2">
        <v>3.5198909977789405E-3</v>
      </c>
      <c r="R18" s="2" t="s">
        <v>281</v>
      </c>
      <c r="S18" s="2">
        <v>1.4494446150452511E-2</v>
      </c>
      <c r="T18" s="2">
        <v>0</v>
      </c>
      <c r="U18" s="2">
        <v>0</v>
      </c>
      <c r="V18" s="2">
        <v>0</v>
      </c>
      <c r="W18" s="2">
        <v>0</v>
      </c>
      <c r="X18" s="2">
        <v>2.66469439687529E-3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1</v>
      </c>
      <c r="CR18" s="2">
        <v>1</v>
      </c>
      <c r="CS18" s="2">
        <v>1</v>
      </c>
      <c r="CT18" s="2">
        <v>0</v>
      </c>
    </row>
    <row r="19" spans="1:98" x14ac:dyDescent="0.2">
      <c r="A19" s="2" t="s">
        <v>298</v>
      </c>
      <c r="B19" s="2" t="s">
        <v>281</v>
      </c>
      <c r="C19" s="2" t="s">
        <v>281</v>
      </c>
      <c r="D19" s="2" t="s">
        <v>281</v>
      </c>
      <c r="E19" s="2" t="s">
        <v>281</v>
      </c>
      <c r="F19" s="2" t="s">
        <v>281</v>
      </c>
      <c r="G19" s="2">
        <v>56.624416143289103</v>
      </c>
      <c r="H19" s="2">
        <v>1.76</v>
      </c>
      <c r="I19" s="2" t="s">
        <v>281</v>
      </c>
      <c r="J19" s="2" t="s">
        <v>281</v>
      </c>
      <c r="K19" s="2" t="s">
        <v>281</v>
      </c>
      <c r="L19" s="2">
        <v>41.8018</v>
      </c>
      <c r="M19" s="2">
        <v>42.703600000000002</v>
      </c>
      <c r="N19" s="2">
        <v>6.6389289410806462E-3</v>
      </c>
      <c r="O19" s="2">
        <v>2.8592208219058168E-2</v>
      </c>
      <c r="P19" s="2">
        <v>45.174740812938033</v>
      </c>
      <c r="Q19" s="2">
        <v>3.2631126850133807E-2</v>
      </c>
      <c r="R19" s="2" t="s">
        <v>281</v>
      </c>
      <c r="S19" s="2">
        <v>1.7446913603720703E-2</v>
      </c>
      <c r="T19" s="2">
        <v>0</v>
      </c>
      <c r="U19" s="2">
        <v>0</v>
      </c>
      <c r="V19" s="2">
        <v>0</v>
      </c>
      <c r="W19" s="2">
        <v>0</v>
      </c>
      <c r="X19" s="2">
        <v>2.9524674532681924E-3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1</v>
      </c>
      <c r="CR19" s="2">
        <v>1</v>
      </c>
      <c r="CS19" s="2">
        <v>1</v>
      </c>
      <c r="CT19" s="2">
        <v>0</v>
      </c>
    </row>
    <row r="20" spans="1:98" x14ac:dyDescent="0.2">
      <c r="A20" s="2" t="s">
        <v>299</v>
      </c>
      <c r="B20" s="2" t="s">
        <v>281</v>
      </c>
      <c r="C20" s="2" t="s">
        <v>281</v>
      </c>
      <c r="D20" s="2" t="s">
        <v>281</v>
      </c>
      <c r="E20" s="2" t="s">
        <v>281</v>
      </c>
      <c r="F20" s="2" t="s">
        <v>281</v>
      </c>
      <c r="G20" s="2">
        <v>58.758134449872102</v>
      </c>
      <c r="H20" s="2">
        <v>1.65</v>
      </c>
      <c r="I20" s="2" t="s">
        <v>281</v>
      </c>
      <c r="J20" s="2" t="s">
        <v>281</v>
      </c>
      <c r="K20" s="2" t="s">
        <v>281</v>
      </c>
      <c r="L20" s="2">
        <v>42.196199999999997</v>
      </c>
      <c r="M20" s="2">
        <v>40.905500000000004</v>
      </c>
      <c r="N20" s="2">
        <v>9.390768789573567E-3</v>
      </c>
      <c r="O20" s="2">
        <v>-4.3018697478730328E-2</v>
      </c>
      <c r="P20" s="2">
        <v>46.877013048713337</v>
      </c>
      <c r="Q20" s="2">
        <v>3.6989329346223343E-2</v>
      </c>
      <c r="R20" s="2" t="s">
        <v>281</v>
      </c>
      <c r="S20" s="2">
        <v>1.636535408626423E-2</v>
      </c>
      <c r="T20" s="2">
        <v>0</v>
      </c>
      <c r="U20" s="2">
        <v>0</v>
      </c>
      <c r="V20" s="2">
        <v>0</v>
      </c>
      <c r="W20" s="2">
        <v>0</v>
      </c>
      <c r="X20" s="2">
        <v>-1.0815595174564728E-3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1</v>
      </c>
      <c r="CR20" s="2">
        <v>1</v>
      </c>
      <c r="CS20" s="2">
        <v>1</v>
      </c>
      <c r="CT20" s="2">
        <v>0</v>
      </c>
    </row>
    <row r="21" spans="1:98" x14ac:dyDescent="0.2">
      <c r="A21" s="2" t="s">
        <v>300</v>
      </c>
      <c r="B21" s="2" t="s">
        <v>281</v>
      </c>
      <c r="C21" s="2" t="s">
        <v>281</v>
      </c>
      <c r="D21" s="2" t="s">
        <v>281</v>
      </c>
      <c r="E21" s="2" t="s">
        <v>281</v>
      </c>
      <c r="F21" s="2" t="s">
        <v>281</v>
      </c>
      <c r="G21" s="2">
        <v>57.687423819492899</v>
      </c>
      <c r="H21" s="2">
        <v>1.6</v>
      </c>
      <c r="I21" s="2" t="s">
        <v>281</v>
      </c>
      <c r="J21" s="2" t="s">
        <v>281</v>
      </c>
      <c r="K21" s="2" t="s">
        <v>281</v>
      </c>
      <c r="L21" s="2">
        <v>42.646900000000002</v>
      </c>
      <c r="M21" s="2">
        <v>42.557699999999997</v>
      </c>
      <c r="N21" s="2">
        <v>1.0624417059502012E-2</v>
      </c>
      <c r="O21" s="2">
        <v>3.9596273884196176E-2</v>
      </c>
      <c r="P21" s="2">
        <v>46.022804237259294</v>
      </c>
      <c r="Q21" s="2">
        <v>-1.8390410470943142E-2</v>
      </c>
      <c r="R21" s="2" t="s">
        <v>281</v>
      </c>
      <c r="S21" s="2">
        <v>1.5873349156290163E-2</v>
      </c>
      <c r="T21" s="2">
        <v>0</v>
      </c>
      <c r="U21" s="2">
        <v>0</v>
      </c>
      <c r="V21" s="2">
        <v>0</v>
      </c>
      <c r="W21" s="2">
        <v>0</v>
      </c>
      <c r="X21" s="2">
        <v>-4.9200492997406725E-4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1</v>
      </c>
      <c r="CR21" s="2">
        <v>1</v>
      </c>
      <c r="CS21" s="2">
        <v>1</v>
      </c>
      <c r="CT21" s="2">
        <v>0</v>
      </c>
    </row>
    <row r="22" spans="1:98" x14ac:dyDescent="0.2">
      <c r="A22" s="2" t="s">
        <v>301</v>
      </c>
      <c r="B22" s="2" t="s">
        <v>281</v>
      </c>
      <c r="C22" s="2" t="s">
        <v>281</v>
      </c>
      <c r="D22" s="2" t="s">
        <v>281</v>
      </c>
      <c r="E22" s="2" t="s">
        <v>281</v>
      </c>
      <c r="F22" s="2" t="s">
        <v>281</v>
      </c>
      <c r="G22" s="2">
        <v>59.135579204466097</v>
      </c>
      <c r="H22" s="2">
        <v>1.57</v>
      </c>
      <c r="I22" s="2" t="s">
        <v>281</v>
      </c>
      <c r="J22" s="2" t="s">
        <v>281</v>
      </c>
      <c r="K22" s="2" t="s">
        <v>281</v>
      </c>
      <c r="L22" s="2">
        <v>43.174999999999997</v>
      </c>
      <c r="M22" s="2">
        <v>43.923200000000001</v>
      </c>
      <c r="N22" s="2">
        <v>1.2307037379148955E-2</v>
      </c>
      <c r="O22" s="2">
        <v>3.1581852072404715E-2</v>
      </c>
      <c r="P22" s="2">
        <v>47.178137018218628</v>
      </c>
      <c r="Q22" s="2">
        <v>2.4793568578530323E-2</v>
      </c>
      <c r="R22" s="2" t="s">
        <v>281</v>
      </c>
      <c r="S22" s="2">
        <v>1.5578029963318462E-2</v>
      </c>
      <c r="T22" s="2">
        <v>0</v>
      </c>
      <c r="U22" s="2">
        <v>0</v>
      </c>
      <c r="V22" s="2">
        <v>0</v>
      </c>
      <c r="W22" s="2">
        <v>0</v>
      </c>
      <c r="X22" s="2">
        <v>-2.953191929717016E-4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1</v>
      </c>
      <c r="CR22" s="2">
        <v>1</v>
      </c>
      <c r="CS22" s="2">
        <v>1</v>
      </c>
      <c r="CT22" s="2">
        <v>0</v>
      </c>
    </row>
    <row r="23" spans="1:98" x14ac:dyDescent="0.2">
      <c r="A23" s="2" t="s">
        <v>302</v>
      </c>
      <c r="B23" s="2" t="s">
        <v>281</v>
      </c>
      <c r="C23" s="2" t="s">
        <v>281</v>
      </c>
      <c r="D23" s="2" t="s">
        <v>281</v>
      </c>
      <c r="E23" s="2" t="s">
        <v>281</v>
      </c>
      <c r="F23" s="2" t="s">
        <v>281</v>
      </c>
      <c r="G23" s="2">
        <v>61.184565015119802</v>
      </c>
      <c r="H23" s="2">
        <v>1.95</v>
      </c>
      <c r="I23" s="2" t="s">
        <v>281</v>
      </c>
      <c r="J23" s="2" t="s">
        <v>281</v>
      </c>
      <c r="K23" s="2" t="s">
        <v>281</v>
      </c>
      <c r="L23" s="2">
        <v>43.362499999999997</v>
      </c>
      <c r="M23" s="2">
        <v>44.157899999999998</v>
      </c>
      <c r="N23" s="2">
        <v>4.3333882631260146E-3</v>
      </c>
      <c r="O23" s="2">
        <v>5.3291921981464263E-3</v>
      </c>
      <c r="P23" s="2">
        <v>48.812809995533541</v>
      </c>
      <c r="Q23" s="2">
        <v>3.4062191805234843E-2</v>
      </c>
      <c r="R23" s="2" t="s">
        <v>281</v>
      </c>
      <c r="S23" s="2">
        <v>1.9312311032372884E-2</v>
      </c>
      <c r="T23" s="2">
        <v>0</v>
      </c>
      <c r="U23" s="2">
        <v>0</v>
      </c>
      <c r="V23" s="2">
        <v>0</v>
      </c>
      <c r="W23" s="2">
        <v>0</v>
      </c>
      <c r="X23" s="2">
        <v>3.7342810690544227E-3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1</v>
      </c>
      <c r="CR23" s="2">
        <v>1</v>
      </c>
      <c r="CS23" s="2">
        <v>1</v>
      </c>
      <c r="CT23" s="2">
        <v>0</v>
      </c>
    </row>
    <row r="24" spans="1:98" x14ac:dyDescent="0.2">
      <c r="A24" s="2" t="s">
        <v>303</v>
      </c>
      <c r="B24" s="2" t="s">
        <v>281</v>
      </c>
      <c r="C24" s="2" t="s">
        <v>281</v>
      </c>
      <c r="D24" s="2" t="s">
        <v>281</v>
      </c>
      <c r="E24" s="2" t="s">
        <v>281</v>
      </c>
      <c r="F24" s="2" t="s">
        <v>281</v>
      </c>
      <c r="G24" s="2">
        <v>57.348493835775798</v>
      </c>
      <c r="H24" s="2">
        <v>2.35</v>
      </c>
      <c r="I24" s="2" t="s">
        <v>281</v>
      </c>
      <c r="J24" s="2" t="s">
        <v>281</v>
      </c>
      <c r="K24" s="2" t="s">
        <v>281</v>
      </c>
      <c r="L24" s="2">
        <v>43.459099999999999</v>
      </c>
      <c r="M24" s="2">
        <v>43.698799999999999</v>
      </c>
      <c r="N24" s="2">
        <v>2.225253620334211E-3</v>
      </c>
      <c r="O24" s="2">
        <v>-1.0451204719990503E-2</v>
      </c>
      <c r="P24" s="2">
        <v>45.752407203417782</v>
      </c>
      <c r="Q24" s="2">
        <v>-6.4748371515022107E-2</v>
      </c>
      <c r="R24" s="2" t="s">
        <v>281</v>
      </c>
      <c r="S24" s="2">
        <v>2.3228126119207243E-2</v>
      </c>
      <c r="T24" s="2">
        <v>0</v>
      </c>
      <c r="U24" s="2">
        <v>0</v>
      </c>
      <c r="V24" s="2">
        <v>0</v>
      </c>
      <c r="W24" s="2">
        <v>0</v>
      </c>
      <c r="X24" s="2">
        <v>3.9158150868343587E-3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1</v>
      </c>
      <c r="CR24" s="2">
        <v>1</v>
      </c>
      <c r="CS24" s="2">
        <v>1</v>
      </c>
      <c r="CT24" s="2">
        <v>0</v>
      </c>
    </row>
    <row r="25" spans="1:98" x14ac:dyDescent="0.2">
      <c r="A25" s="2" t="s">
        <v>304</v>
      </c>
      <c r="B25" s="2" t="s">
        <v>281</v>
      </c>
      <c r="C25" s="2" t="s">
        <v>281</v>
      </c>
      <c r="D25" s="2" t="s">
        <v>281</v>
      </c>
      <c r="E25" s="2" t="s">
        <v>281</v>
      </c>
      <c r="F25" s="2" t="s">
        <v>281</v>
      </c>
      <c r="G25" s="2">
        <v>55.646140963014602</v>
      </c>
      <c r="H25" s="2">
        <v>1.99</v>
      </c>
      <c r="I25" s="2" t="s">
        <v>281</v>
      </c>
      <c r="J25" s="2" t="s">
        <v>281</v>
      </c>
      <c r="K25" s="2" t="s">
        <v>281</v>
      </c>
      <c r="L25" s="2">
        <v>44.003700000000002</v>
      </c>
      <c r="M25" s="2">
        <v>43.442300000000003</v>
      </c>
      <c r="N25" s="2">
        <v>1.2453455375707634E-2</v>
      </c>
      <c r="O25" s="2">
        <v>-5.8870209532191353E-3</v>
      </c>
      <c r="P25" s="2">
        <v>44.39427664707717</v>
      </c>
      <c r="Q25" s="2">
        <v>-3.0133850021289543E-2</v>
      </c>
      <c r="R25" s="2" t="s">
        <v>281</v>
      </c>
      <c r="S25" s="2">
        <v>1.9704583274335431E-2</v>
      </c>
      <c r="T25" s="2">
        <v>0</v>
      </c>
      <c r="U25" s="2">
        <v>0</v>
      </c>
      <c r="V25" s="2">
        <v>0</v>
      </c>
      <c r="W25" s="2">
        <v>0</v>
      </c>
      <c r="X25" s="2">
        <v>-3.5235428448718124E-3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1</v>
      </c>
      <c r="CR25" s="2">
        <v>1</v>
      </c>
      <c r="CS25" s="2">
        <v>1</v>
      </c>
      <c r="CT25" s="2">
        <v>0</v>
      </c>
    </row>
    <row r="26" spans="1:98" x14ac:dyDescent="0.2">
      <c r="A26" s="2" t="s">
        <v>305</v>
      </c>
      <c r="B26" s="2" t="s">
        <v>281</v>
      </c>
      <c r="C26" s="2" t="s">
        <v>281</v>
      </c>
      <c r="D26" s="2" t="s">
        <v>281</v>
      </c>
      <c r="E26" s="2" t="s">
        <v>281</v>
      </c>
      <c r="F26" s="2" t="s">
        <v>281</v>
      </c>
      <c r="G26" s="2">
        <v>55.091528262386603</v>
      </c>
      <c r="H26" s="2">
        <v>2.36</v>
      </c>
      <c r="I26" s="2" t="s">
        <v>281</v>
      </c>
      <c r="J26" s="2" t="s">
        <v>281</v>
      </c>
      <c r="K26" s="2" t="s">
        <v>281</v>
      </c>
      <c r="L26" s="2">
        <v>44.640700000000002</v>
      </c>
      <c r="M26" s="2">
        <v>43.846499999999999</v>
      </c>
      <c r="N26" s="2">
        <v>1.4372277661784061E-2</v>
      </c>
      <c r="O26" s="2">
        <v>9.2612772556774914E-3</v>
      </c>
      <c r="P26" s="2">
        <v>43.951808773518302</v>
      </c>
      <c r="Q26" s="2">
        <v>-1.0016778243470359E-2</v>
      </c>
      <c r="R26" s="2" t="s">
        <v>281</v>
      </c>
      <c r="S26" s="2">
        <v>2.3325825303496757E-2</v>
      </c>
      <c r="T26" s="2">
        <v>0</v>
      </c>
      <c r="U26" s="2">
        <v>0</v>
      </c>
      <c r="V26" s="2">
        <v>0</v>
      </c>
      <c r="W26" s="2">
        <v>0</v>
      </c>
      <c r="X26" s="2">
        <v>3.6212420291613263E-3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1</v>
      </c>
      <c r="CR26" s="2">
        <v>1</v>
      </c>
      <c r="CS26" s="2">
        <v>1</v>
      </c>
      <c r="CT26" s="2">
        <v>0</v>
      </c>
    </row>
    <row r="27" spans="1:98" x14ac:dyDescent="0.2">
      <c r="A27" s="2" t="s">
        <v>306</v>
      </c>
      <c r="B27" s="2" t="s">
        <v>281</v>
      </c>
      <c r="C27" s="2" t="s">
        <v>281</v>
      </c>
      <c r="D27" s="2" t="s">
        <v>281</v>
      </c>
      <c r="E27" s="2" t="s">
        <v>281</v>
      </c>
      <c r="F27" s="2" t="s">
        <v>281</v>
      </c>
      <c r="G27" s="2">
        <v>56.5011688764829</v>
      </c>
      <c r="H27" s="2">
        <v>2.58</v>
      </c>
      <c r="I27" s="2" t="s">
        <v>281</v>
      </c>
      <c r="J27" s="2" t="s">
        <v>281</v>
      </c>
      <c r="K27" s="2" t="s">
        <v>281</v>
      </c>
      <c r="L27" s="2">
        <v>45.0747</v>
      </c>
      <c r="M27" s="2">
        <v>45.151000000000003</v>
      </c>
      <c r="N27" s="2">
        <v>9.675114539495322E-3</v>
      </c>
      <c r="O27" s="2">
        <v>2.9317529939226095E-2</v>
      </c>
      <c r="P27" s="2">
        <v>45.076414618813857</v>
      </c>
      <c r="Q27" s="2">
        <v>2.5265373723732054E-2</v>
      </c>
      <c r="R27" s="2" t="s">
        <v>281</v>
      </c>
      <c r="S27" s="2">
        <v>2.5472795973031068E-2</v>
      </c>
      <c r="T27" s="2">
        <v>0</v>
      </c>
      <c r="U27" s="2">
        <v>0</v>
      </c>
      <c r="V27" s="2">
        <v>0</v>
      </c>
      <c r="W27" s="2">
        <v>0</v>
      </c>
      <c r="X27" s="2">
        <v>2.1469706695343115E-3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1</v>
      </c>
      <c r="CR27" s="2">
        <v>1</v>
      </c>
      <c r="CS27" s="2">
        <v>1</v>
      </c>
      <c r="CT27" s="2">
        <v>0</v>
      </c>
    </row>
    <row r="28" spans="1:98" x14ac:dyDescent="0.2">
      <c r="A28" s="2" t="s">
        <v>307</v>
      </c>
      <c r="B28" s="2" t="s">
        <v>281</v>
      </c>
      <c r="C28" s="2" t="s">
        <v>281</v>
      </c>
      <c r="D28" s="2" t="s">
        <v>281</v>
      </c>
      <c r="E28" s="2" t="s">
        <v>281</v>
      </c>
      <c r="F28" s="2" t="s">
        <v>281</v>
      </c>
      <c r="G28" s="2">
        <v>60.360348918353097</v>
      </c>
      <c r="H28" s="2">
        <v>2.5299999999999998</v>
      </c>
      <c r="I28" s="2" t="s">
        <v>281</v>
      </c>
      <c r="J28" s="2" t="s">
        <v>281</v>
      </c>
      <c r="K28" s="2" t="s">
        <v>281</v>
      </c>
      <c r="L28" s="2">
        <v>45.130499999999998</v>
      </c>
      <c r="M28" s="2">
        <v>45.440199999999997</v>
      </c>
      <c r="N28" s="2">
        <v>1.2371793891561289E-3</v>
      </c>
      <c r="O28" s="2">
        <v>6.3847477996965551E-3</v>
      </c>
      <c r="P28" s="2">
        <v>48.155253572327929</v>
      </c>
      <c r="Q28" s="2">
        <v>6.6071088487348995E-2</v>
      </c>
      <c r="R28" s="2" t="s">
        <v>281</v>
      </c>
      <c r="S28" s="2">
        <v>2.49852526939086E-2</v>
      </c>
      <c r="T28" s="2">
        <v>0</v>
      </c>
      <c r="U28" s="2">
        <v>0</v>
      </c>
      <c r="V28" s="2">
        <v>0</v>
      </c>
      <c r="W28" s="2">
        <v>0</v>
      </c>
      <c r="X28" s="2">
        <v>-4.875432791224682E-4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1</v>
      </c>
      <c r="CR28" s="2">
        <v>1</v>
      </c>
      <c r="CS28" s="2">
        <v>1</v>
      </c>
      <c r="CT28" s="2">
        <v>0</v>
      </c>
    </row>
    <row r="29" spans="1:98" x14ac:dyDescent="0.2">
      <c r="A29" s="2" t="s">
        <v>308</v>
      </c>
      <c r="B29" s="2" t="s">
        <v>281</v>
      </c>
      <c r="C29" s="2" t="s">
        <v>281</v>
      </c>
      <c r="D29" s="2" t="s">
        <v>281</v>
      </c>
      <c r="E29" s="2" t="s">
        <v>281</v>
      </c>
      <c r="F29" s="2" t="s">
        <v>281</v>
      </c>
      <c r="G29" s="2">
        <v>59.027737846010702</v>
      </c>
      <c r="H29" s="2">
        <v>3.02</v>
      </c>
      <c r="I29" s="2" t="s">
        <v>281</v>
      </c>
      <c r="J29" s="2" t="s">
        <v>281</v>
      </c>
      <c r="K29" s="2" t="s">
        <v>281</v>
      </c>
      <c r="L29" s="2">
        <v>45.387999999999998</v>
      </c>
      <c r="M29" s="2">
        <v>45.061700000000002</v>
      </c>
      <c r="N29" s="2">
        <v>5.6894600463972544E-3</v>
      </c>
      <c r="O29" s="2">
        <v>-8.364514044747029E-3</v>
      </c>
      <c r="P29" s="2">
        <v>47.092101598360003</v>
      </c>
      <c r="Q29" s="2">
        <v>-2.2324948094026631E-2</v>
      </c>
      <c r="R29" s="2" t="s">
        <v>281</v>
      </c>
      <c r="S29" s="2">
        <v>2.9752958149347801E-2</v>
      </c>
      <c r="T29" s="2">
        <v>0</v>
      </c>
      <c r="U29" s="2">
        <v>0</v>
      </c>
      <c r="V29" s="2">
        <v>0</v>
      </c>
      <c r="W29" s="2">
        <v>0</v>
      </c>
      <c r="X29" s="2">
        <v>4.7677054554392008E-3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1</v>
      </c>
      <c r="CR29" s="2">
        <v>1</v>
      </c>
      <c r="CS29" s="2">
        <v>1</v>
      </c>
      <c r="CT29" s="2">
        <v>0</v>
      </c>
    </row>
    <row r="30" spans="1:98" x14ac:dyDescent="0.2">
      <c r="A30" s="2" t="s">
        <v>309</v>
      </c>
      <c r="B30" s="2" t="s">
        <v>281</v>
      </c>
      <c r="C30" s="2" t="s">
        <v>281</v>
      </c>
      <c r="D30" s="2" t="s">
        <v>281</v>
      </c>
      <c r="E30" s="2" t="s">
        <v>281</v>
      </c>
      <c r="F30" s="2" t="s">
        <v>281</v>
      </c>
      <c r="G30" s="2">
        <v>62.3323051872528</v>
      </c>
      <c r="H30" s="2">
        <v>2.59</v>
      </c>
      <c r="I30" s="2" t="s">
        <v>281</v>
      </c>
      <c r="J30" s="2" t="s">
        <v>281</v>
      </c>
      <c r="K30" s="2" t="s">
        <v>281</v>
      </c>
      <c r="L30" s="2">
        <v>45.589399999999998</v>
      </c>
      <c r="M30" s="2">
        <v>45.791699999999999</v>
      </c>
      <c r="N30" s="2">
        <v>4.427480429130437E-3</v>
      </c>
      <c r="O30" s="2">
        <v>1.6070190222983172E-2</v>
      </c>
      <c r="P30" s="2">
        <v>49.728472678315129</v>
      </c>
      <c r="Q30" s="2">
        <v>5.447236731723093E-2</v>
      </c>
      <c r="R30" s="2" t="s">
        <v>281</v>
      </c>
      <c r="S30" s="2">
        <v>2.5570276111530045E-2</v>
      </c>
      <c r="T30" s="2">
        <v>0</v>
      </c>
      <c r="U30" s="2">
        <v>0</v>
      </c>
      <c r="V30" s="2">
        <v>0</v>
      </c>
      <c r="W30" s="2">
        <v>0</v>
      </c>
      <c r="X30" s="2">
        <v>-4.1826820378177559E-3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1</v>
      </c>
      <c r="CR30" s="2">
        <v>1</v>
      </c>
      <c r="CS30" s="2">
        <v>1</v>
      </c>
      <c r="CT30" s="2">
        <v>0</v>
      </c>
    </row>
    <row r="31" spans="1:98" x14ac:dyDescent="0.2">
      <c r="A31" s="2" t="s">
        <v>310</v>
      </c>
      <c r="B31" s="2" t="s">
        <v>281</v>
      </c>
      <c r="C31" s="2" t="s">
        <v>281</v>
      </c>
      <c r="D31" s="2" t="s">
        <v>281</v>
      </c>
      <c r="E31" s="2" t="s">
        <v>281</v>
      </c>
      <c r="F31" s="2" t="s">
        <v>281</v>
      </c>
      <c r="G31" s="2">
        <v>64.258043731100301</v>
      </c>
      <c r="H31" s="2">
        <v>2.62</v>
      </c>
      <c r="I31" s="2" t="s">
        <v>281</v>
      </c>
      <c r="J31" s="2" t="s">
        <v>281</v>
      </c>
      <c r="K31" s="2" t="s">
        <v>281</v>
      </c>
      <c r="L31" s="2">
        <v>45.604300000000002</v>
      </c>
      <c r="M31" s="2">
        <v>46.774299999999997</v>
      </c>
      <c r="N31" s="2">
        <v>3.2677696228100572E-4</v>
      </c>
      <c r="O31" s="2">
        <v>2.1231054799056182E-2</v>
      </c>
      <c r="P31" s="2">
        <v>51.264819461505859</v>
      </c>
      <c r="Q31" s="2">
        <v>3.0427076469255798E-2</v>
      </c>
      <c r="R31" s="2" t="s">
        <v>281</v>
      </c>
      <c r="S31" s="2">
        <v>2.5862659525727371E-2</v>
      </c>
      <c r="T31" s="2">
        <v>0</v>
      </c>
      <c r="U31" s="2">
        <v>0</v>
      </c>
      <c r="V31" s="2">
        <v>0</v>
      </c>
      <c r="W31" s="2">
        <v>0</v>
      </c>
      <c r="X31" s="2">
        <v>2.9238341419732597E-4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1</v>
      </c>
      <c r="CR31" s="2">
        <v>1</v>
      </c>
      <c r="CS31" s="2">
        <v>1</v>
      </c>
      <c r="CT31" s="2">
        <v>0</v>
      </c>
    </row>
    <row r="32" spans="1:98" x14ac:dyDescent="0.2">
      <c r="A32" s="2" t="s">
        <v>311</v>
      </c>
      <c r="B32" s="2" t="s">
        <v>281</v>
      </c>
      <c r="C32" s="2" t="s">
        <v>281</v>
      </c>
      <c r="D32" s="2" t="s">
        <v>281</v>
      </c>
      <c r="E32" s="2" t="s">
        <v>281</v>
      </c>
      <c r="F32" s="2" t="s">
        <v>281</v>
      </c>
      <c r="G32" s="2">
        <v>65.467407536636401</v>
      </c>
      <c r="H32" s="2">
        <v>3.36</v>
      </c>
      <c r="I32" s="2" t="s">
        <v>281</v>
      </c>
      <c r="J32" s="2" t="s">
        <v>281</v>
      </c>
      <c r="K32" s="2" t="s">
        <v>281</v>
      </c>
      <c r="L32" s="2">
        <v>45.866700000000002</v>
      </c>
      <c r="M32" s="2">
        <v>44.566400000000002</v>
      </c>
      <c r="N32" s="2">
        <v>5.7373532549012118E-3</v>
      </c>
      <c r="O32" s="2">
        <v>-4.8353694912317113E-2</v>
      </c>
      <c r="P32" s="2">
        <v>52.229645241349537</v>
      </c>
      <c r="Q32" s="2">
        <v>1.8645513741734732E-2</v>
      </c>
      <c r="R32" s="2" t="s">
        <v>281</v>
      </c>
      <c r="S32" s="2">
        <v>3.304785404620042E-2</v>
      </c>
      <c r="T32" s="2">
        <v>0</v>
      </c>
      <c r="U32" s="2">
        <v>0</v>
      </c>
      <c r="V32" s="2">
        <v>0</v>
      </c>
      <c r="W32" s="2">
        <v>0</v>
      </c>
      <c r="X32" s="2">
        <v>7.185194520473049E-3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1</v>
      </c>
      <c r="CR32" s="2">
        <v>1</v>
      </c>
      <c r="CS32" s="2">
        <v>1</v>
      </c>
      <c r="CT32" s="2">
        <v>0</v>
      </c>
    </row>
    <row r="33" spans="1:98" x14ac:dyDescent="0.2">
      <c r="A33" s="2" t="s">
        <v>312</v>
      </c>
      <c r="B33" s="2" t="s">
        <v>281</v>
      </c>
      <c r="C33" s="2" t="s">
        <v>281</v>
      </c>
      <c r="D33" s="2" t="s">
        <v>281</v>
      </c>
      <c r="E33" s="2" t="s">
        <v>281</v>
      </c>
      <c r="F33" s="2" t="s">
        <v>281</v>
      </c>
      <c r="G33" s="2">
        <v>66.122158641544502</v>
      </c>
      <c r="H33" s="2">
        <v>2.8</v>
      </c>
      <c r="I33" s="2" t="s">
        <v>281</v>
      </c>
      <c r="J33" s="2" t="s">
        <v>281</v>
      </c>
      <c r="K33" s="2" t="s">
        <v>281</v>
      </c>
      <c r="L33" s="2">
        <v>46.186399999999999</v>
      </c>
      <c r="M33" s="2">
        <v>45.85</v>
      </c>
      <c r="N33" s="2">
        <v>6.9460188822367819E-3</v>
      </c>
      <c r="O33" s="2">
        <v>2.8394986825837965E-2</v>
      </c>
      <c r="P33" s="2">
        <v>52.752003147634355</v>
      </c>
      <c r="Q33" s="2">
        <v>9.9514958119080177E-3</v>
      </c>
      <c r="R33" s="2" t="s">
        <v>281</v>
      </c>
      <c r="S33" s="2">
        <v>2.7615167032973391E-2</v>
      </c>
      <c r="T33" s="2">
        <v>0</v>
      </c>
      <c r="U33" s="2">
        <v>0</v>
      </c>
      <c r="V33" s="2">
        <v>0</v>
      </c>
      <c r="W33" s="2">
        <v>0</v>
      </c>
      <c r="X33" s="2">
        <v>-5.4326870132270291E-3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1</v>
      </c>
      <c r="CR33" s="2">
        <v>1</v>
      </c>
      <c r="CS33" s="2">
        <v>1</v>
      </c>
      <c r="CT33" s="2">
        <v>0</v>
      </c>
    </row>
    <row r="34" spans="1:98" x14ac:dyDescent="0.2">
      <c r="A34" s="2" t="s">
        <v>313</v>
      </c>
      <c r="B34" s="2" t="s">
        <v>281</v>
      </c>
      <c r="C34" s="2" t="s">
        <v>281</v>
      </c>
      <c r="D34" s="2" t="s">
        <v>281</v>
      </c>
      <c r="E34" s="2" t="s">
        <v>281</v>
      </c>
      <c r="F34" s="2" t="s">
        <v>281</v>
      </c>
      <c r="G34" s="2">
        <v>65.051448011165405</v>
      </c>
      <c r="H34" s="2">
        <v>3.33</v>
      </c>
      <c r="I34" s="2" t="s">
        <v>281</v>
      </c>
      <c r="J34" s="2" t="s">
        <v>281</v>
      </c>
      <c r="K34" s="2" t="s">
        <v>281</v>
      </c>
      <c r="L34" s="2">
        <v>46.320999999999998</v>
      </c>
      <c r="M34" s="2">
        <v>46.877600000000001</v>
      </c>
      <c r="N34" s="2">
        <v>2.910039520869212E-3</v>
      </c>
      <c r="O34" s="2">
        <v>2.2164750716548998E-2</v>
      </c>
      <c r="P34" s="2">
        <v>51.897794336180397</v>
      </c>
      <c r="Q34" s="2">
        <v>-1.6325455068633143E-2</v>
      </c>
      <c r="R34" s="2" t="s">
        <v>281</v>
      </c>
      <c r="S34" s="2">
        <v>3.275756423817229E-2</v>
      </c>
      <c r="T34" s="2">
        <v>0</v>
      </c>
      <c r="U34" s="2">
        <v>0</v>
      </c>
      <c r="V34" s="2">
        <v>0</v>
      </c>
      <c r="W34" s="2">
        <v>0</v>
      </c>
      <c r="X34" s="2">
        <v>5.1423972051988995E-3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1</v>
      </c>
      <c r="CR34" s="2">
        <v>1</v>
      </c>
      <c r="CS34" s="2">
        <v>1</v>
      </c>
      <c r="CT34" s="2">
        <v>0</v>
      </c>
    </row>
    <row r="35" spans="1:98" x14ac:dyDescent="0.2">
      <c r="A35" s="2" t="s">
        <v>314</v>
      </c>
      <c r="B35" s="2" t="s">
        <v>281</v>
      </c>
      <c r="C35" s="2" t="s">
        <v>281</v>
      </c>
      <c r="D35" s="2" t="s">
        <v>281</v>
      </c>
      <c r="E35" s="2" t="s">
        <v>281</v>
      </c>
      <c r="F35" s="2" t="s">
        <v>281</v>
      </c>
      <c r="G35" s="2">
        <v>67.131245638520596</v>
      </c>
      <c r="H35" s="2">
        <v>3.19</v>
      </c>
      <c r="I35" s="2" t="s">
        <v>281</v>
      </c>
      <c r="J35" s="2" t="s">
        <v>281</v>
      </c>
      <c r="K35" s="2" t="s">
        <v>281</v>
      </c>
      <c r="L35" s="2">
        <v>46.337699999999998</v>
      </c>
      <c r="M35" s="2">
        <v>47.1648</v>
      </c>
      <c r="N35" s="2">
        <v>3.6046264799338701E-4</v>
      </c>
      <c r="O35" s="2">
        <v>6.1079022412791062E-3</v>
      </c>
      <c r="P35" s="2">
        <v>53.557048862026299</v>
      </c>
      <c r="Q35" s="2">
        <v>3.1471128712220686E-2</v>
      </c>
      <c r="R35" s="2" t="s">
        <v>281</v>
      </c>
      <c r="S35" s="2">
        <v>3.1401763139531642E-2</v>
      </c>
      <c r="T35" s="2">
        <v>0</v>
      </c>
      <c r="U35" s="2">
        <v>0</v>
      </c>
      <c r="V35" s="2">
        <v>0</v>
      </c>
      <c r="W35" s="2">
        <v>0</v>
      </c>
      <c r="X35" s="2">
        <v>-1.355801098640648E-3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1</v>
      </c>
      <c r="CR35" s="2">
        <v>1</v>
      </c>
      <c r="CS35" s="2">
        <v>1</v>
      </c>
      <c r="CT35" s="2">
        <v>0</v>
      </c>
    </row>
    <row r="36" spans="1:98" x14ac:dyDescent="0.2">
      <c r="A36" s="2" t="s">
        <v>315</v>
      </c>
      <c r="B36" s="2" t="s">
        <v>281</v>
      </c>
      <c r="C36" s="2" t="s">
        <v>281</v>
      </c>
      <c r="D36" s="2" t="s">
        <v>281</v>
      </c>
      <c r="E36" s="2" t="s">
        <v>281</v>
      </c>
      <c r="F36" s="2" t="s">
        <v>281</v>
      </c>
      <c r="G36" s="2">
        <v>63.156521284019497</v>
      </c>
      <c r="H36" s="2">
        <v>2.97</v>
      </c>
      <c r="I36" s="2" t="s">
        <v>281</v>
      </c>
      <c r="J36" s="2" t="s">
        <v>281</v>
      </c>
      <c r="K36" s="2" t="s">
        <v>281</v>
      </c>
      <c r="L36" s="2">
        <v>47.014699999999998</v>
      </c>
      <c r="M36" s="2">
        <v>47.2136</v>
      </c>
      <c r="N36" s="2">
        <v>1.4504434140274469E-2</v>
      </c>
      <c r="O36" s="2">
        <v>1.0341350213400879E-3</v>
      </c>
      <c r="P36" s="2">
        <v>50.386029101520741</v>
      </c>
      <c r="Q36" s="2">
        <v>-6.1033483357944451E-2</v>
      </c>
      <c r="R36" s="2" t="s">
        <v>281</v>
      </c>
      <c r="S36" s="2">
        <v>2.9267497680568143E-2</v>
      </c>
      <c r="T36" s="2">
        <v>0</v>
      </c>
      <c r="U36" s="2">
        <v>0</v>
      </c>
      <c r="V36" s="2">
        <v>0</v>
      </c>
      <c r="W36" s="2">
        <v>0</v>
      </c>
      <c r="X36" s="2">
        <v>-2.1342654589634989E-3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1</v>
      </c>
      <c r="CR36" s="2">
        <v>1</v>
      </c>
      <c r="CS36" s="2">
        <v>1</v>
      </c>
      <c r="CT36" s="2">
        <v>0</v>
      </c>
    </row>
    <row r="37" spans="1:98" x14ac:dyDescent="0.2">
      <c r="A37" s="2" t="s">
        <v>316</v>
      </c>
      <c r="B37" s="2" t="s">
        <v>281</v>
      </c>
      <c r="C37" s="2" t="s">
        <v>281</v>
      </c>
      <c r="D37" s="2" t="s">
        <v>281</v>
      </c>
      <c r="E37" s="2" t="s">
        <v>281</v>
      </c>
      <c r="F37" s="2" t="s">
        <v>281</v>
      </c>
      <c r="G37" s="2">
        <v>61.338624098627598</v>
      </c>
      <c r="H37" s="2">
        <v>3.62</v>
      </c>
      <c r="I37" s="2" t="s">
        <v>281</v>
      </c>
      <c r="J37" s="2" t="s">
        <v>281</v>
      </c>
      <c r="K37" s="2" t="s">
        <v>281</v>
      </c>
      <c r="L37" s="2">
        <v>47.500300000000003</v>
      </c>
      <c r="M37" s="2">
        <v>46.916699999999999</v>
      </c>
      <c r="N37" s="2">
        <v>1.0275708043695708E-2</v>
      </c>
      <c r="O37" s="2">
        <v>-6.3082978506305842E-3</v>
      </c>
      <c r="P37" s="2">
        <v>48.935717738188799</v>
      </c>
      <c r="Q37" s="2">
        <v>-2.9206382338732073E-2</v>
      </c>
      <c r="R37" s="2" t="s">
        <v>281</v>
      </c>
      <c r="S37" s="2">
        <v>3.5560175398550879E-2</v>
      </c>
      <c r="T37" s="2">
        <v>0</v>
      </c>
      <c r="U37" s="2">
        <v>0</v>
      </c>
      <c r="V37" s="2">
        <v>0</v>
      </c>
      <c r="W37" s="2">
        <v>0</v>
      </c>
      <c r="X37" s="2">
        <v>6.2926777179827358E-3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1</v>
      </c>
      <c r="CR37" s="2">
        <v>1</v>
      </c>
      <c r="CS37" s="2">
        <v>1</v>
      </c>
      <c r="CT37" s="2">
        <v>0</v>
      </c>
    </row>
    <row r="38" spans="1:98" x14ac:dyDescent="0.2">
      <c r="A38" s="2" t="s">
        <v>317</v>
      </c>
      <c r="B38" s="2" t="s">
        <v>281</v>
      </c>
      <c r="C38" s="2" t="s">
        <v>281</v>
      </c>
      <c r="D38" s="2" t="s">
        <v>281</v>
      </c>
      <c r="E38" s="2" t="s">
        <v>281</v>
      </c>
      <c r="F38" s="2" t="s">
        <v>281</v>
      </c>
      <c r="G38" s="2">
        <v>56.739960455919999</v>
      </c>
      <c r="H38" s="2">
        <v>3.45</v>
      </c>
      <c r="I38" s="2" t="s">
        <v>281</v>
      </c>
      <c r="J38" s="2" t="s">
        <v>281</v>
      </c>
      <c r="K38" s="2" t="s">
        <v>281</v>
      </c>
      <c r="L38" s="2">
        <v>47.246600000000001</v>
      </c>
      <c r="M38" s="2">
        <v>46.460599999999999</v>
      </c>
      <c r="N38" s="2">
        <v>-5.3553331314084573E-3</v>
      </c>
      <c r="O38" s="2">
        <v>-9.7690472372260473E-3</v>
      </c>
      <c r="P38" s="2">
        <v>45.266921619929519</v>
      </c>
      <c r="Q38" s="2">
        <v>-7.7930995252434077E-2</v>
      </c>
      <c r="R38" s="2" t="s">
        <v>281</v>
      </c>
      <c r="S38" s="2">
        <v>3.3918218203460644E-2</v>
      </c>
      <c r="T38" s="2">
        <v>0</v>
      </c>
      <c r="U38" s="2">
        <v>0</v>
      </c>
      <c r="V38" s="2">
        <v>0</v>
      </c>
      <c r="W38" s="2">
        <v>0</v>
      </c>
      <c r="X38" s="2">
        <v>-1.6419571950902351E-3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1</v>
      </c>
      <c r="CR38" s="2">
        <v>1</v>
      </c>
      <c r="CS38" s="2">
        <v>1</v>
      </c>
      <c r="CT38" s="2">
        <v>0</v>
      </c>
    </row>
    <row r="39" spans="1:98" x14ac:dyDescent="0.2">
      <c r="A39" s="2" t="s">
        <v>318</v>
      </c>
      <c r="B39" s="2" t="s">
        <v>281</v>
      </c>
      <c r="C39" s="2" t="s">
        <v>281</v>
      </c>
      <c r="D39" s="2" t="s">
        <v>281</v>
      </c>
      <c r="E39" s="2" t="s">
        <v>281</v>
      </c>
      <c r="F39" s="2" t="s">
        <v>281</v>
      </c>
      <c r="G39" s="2">
        <v>54.9374691788788</v>
      </c>
      <c r="H39" s="2">
        <v>3.27</v>
      </c>
      <c r="I39" s="2" t="s">
        <v>281</v>
      </c>
      <c r="J39" s="2" t="s">
        <v>281</v>
      </c>
      <c r="K39" s="2" t="s">
        <v>281</v>
      </c>
      <c r="L39" s="2">
        <v>47.958599999999997</v>
      </c>
      <c r="M39" s="2">
        <v>48.1051</v>
      </c>
      <c r="N39" s="2">
        <v>1.4957445062037777E-2</v>
      </c>
      <c r="O39" s="2">
        <v>3.4783559003270792E-2</v>
      </c>
      <c r="P39" s="2">
        <v>43.828901030863044</v>
      </c>
      <c r="Q39" s="2">
        <v>-3.228311802198025E-2</v>
      </c>
      <c r="R39" s="2" t="s">
        <v>281</v>
      </c>
      <c r="S39" s="2">
        <v>3.21767316952212E-2</v>
      </c>
      <c r="T39" s="2">
        <v>0</v>
      </c>
      <c r="U39" s="2">
        <v>0</v>
      </c>
      <c r="V39" s="2">
        <v>0</v>
      </c>
      <c r="W39" s="2">
        <v>0</v>
      </c>
      <c r="X39" s="2">
        <v>-1.741486508239444E-3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1</v>
      </c>
      <c r="CR39" s="2">
        <v>1</v>
      </c>
      <c r="CS39" s="2">
        <v>1</v>
      </c>
      <c r="CT39" s="2">
        <v>0</v>
      </c>
    </row>
    <row r="40" spans="1:98" x14ac:dyDescent="0.2">
      <c r="A40" s="2" t="s">
        <v>319</v>
      </c>
      <c r="B40" s="2" t="s">
        <v>281</v>
      </c>
      <c r="C40" s="2" t="s">
        <v>281</v>
      </c>
      <c r="D40" s="2" t="s">
        <v>281</v>
      </c>
      <c r="E40" s="2" t="s">
        <v>281</v>
      </c>
      <c r="F40" s="2" t="s">
        <v>281</v>
      </c>
      <c r="G40" s="2">
        <v>64.396696906257304</v>
      </c>
      <c r="H40" s="2">
        <v>3.14</v>
      </c>
      <c r="I40" s="2" t="s">
        <v>281</v>
      </c>
      <c r="J40" s="2" t="s">
        <v>281</v>
      </c>
      <c r="K40" s="2" t="s">
        <v>281</v>
      </c>
      <c r="L40" s="2">
        <v>48.572200000000002</v>
      </c>
      <c r="M40" s="2">
        <v>49.024700000000003</v>
      </c>
      <c r="N40" s="2">
        <v>1.2713212040957433E-2</v>
      </c>
      <c r="O40" s="2">
        <v>1.8936052139756576E-2</v>
      </c>
      <c r="P40" s="2">
        <v>51.375436429895579</v>
      </c>
      <c r="Q40" s="2">
        <v>0.15886672709571714</v>
      </c>
      <c r="R40" s="2" t="s">
        <v>281</v>
      </c>
      <c r="S40" s="2">
        <v>3.091710263472161E-2</v>
      </c>
      <c r="T40" s="2">
        <v>0</v>
      </c>
      <c r="U40" s="2">
        <v>0</v>
      </c>
      <c r="V40" s="2">
        <v>0</v>
      </c>
      <c r="W40" s="2">
        <v>0</v>
      </c>
      <c r="X40" s="2">
        <v>-1.2596290604995897E-3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1</v>
      </c>
      <c r="CR40" s="2">
        <v>1</v>
      </c>
      <c r="CS40" s="2">
        <v>1</v>
      </c>
      <c r="CT40" s="2">
        <v>0</v>
      </c>
    </row>
    <row r="41" spans="1:98" x14ac:dyDescent="0.2">
      <c r="A41" s="2" t="s">
        <v>320</v>
      </c>
      <c r="B41" s="2" t="s">
        <v>281</v>
      </c>
      <c r="C41" s="2" t="s">
        <v>281</v>
      </c>
      <c r="D41" s="2" t="s">
        <v>281</v>
      </c>
      <c r="E41" s="2" t="s">
        <v>281</v>
      </c>
      <c r="F41" s="2" t="s">
        <v>281</v>
      </c>
      <c r="G41" s="2">
        <v>59.790330309374298</v>
      </c>
      <c r="H41" s="2">
        <v>2.64</v>
      </c>
      <c r="I41" s="2" t="s">
        <v>281</v>
      </c>
      <c r="J41" s="2" t="s">
        <v>281</v>
      </c>
      <c r="K41" s="2" t="s">
        <v>281</v>
      </c>
      <c r="L41" s="2">
        <v>49.008499999999998</v>
      </c>
      <c r="M41" s="2">
        <v>49.0105</v>
      </c>
      <c r="N41" s="2">
        <v>8.9424016725954125E-3</v>
      </c>
      <c r="O41" s="2">
        <v>-2.8969186780480882E-4</v>
      </c>
      <c r="P41" s="2">
        <v>47.700494924503523</v>
      </c>
      <c r="Q41" s="2">
        <v>-7.421839414989595E-2</v>
      </c>
      <c r="R41" s="2" t="s">
        <v>281</v>
      </c>
      <c r="S41" s="2">
        <v>2.6057534319289598E-2</v>
      </c>
      <c r="T41" s="2">
        <v>0</v>
      </c>
      <c r="U41" s="2">
        <v>0</v>
      </c>
      <c r="V41" s="2">
        <v>0</v>
      </c>
      <c r="W41" s="2">
        <v>0</v>
      </c>
      <c r="X41" s="2">
        <v>-4.859568315432012E-3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1</v>
      </c>
      <c r="CR41" s="2">
        <v>1</v>
      </c>
      <c r="CS41" s="2">
        <v>1</v>
      </c>
      <c r="CT41" s="2">
        <v>0</v>
      </c>
    </row>
    <row r="42" spans="1:98" x14ac:dyDescent="0.2">
      <c r="A42" s="2" t="s">
        <v>321</v>
      </c>
      <c r="B42" s="2" t="s">
        <v>281</v>
      </c>
      <c r="C42" s="2" t="s">
        <v>281</v>
      </c>
      <c r="D42" s="2" t="s">
        <v>281</v>
      </c>
      <c r="E42" s="2" t="s">
        <v>281</v>
      </c>
      <c r="F42" s="2" t="s">
        <v>281</v>
      </c>
      <c r="G42" s="2">
        <v>65.844852291230495</v>
      </c>
      <c r="H42" s="2">
        <v>2.21</v>
      </c>
      <c r="I42" s="2" t="s">
        <v>281</v>
      </c>
      <c r="J42" s="2" t="s">
        <v>281</v>
      </c>
      <c r="K42" s="2" t="s">
        <v>281</v>
      </c>
      <c r="L42" s="2">
        <v>49.438099999999999</v>
      </c>
      <c r="M42" s="2">
        <v>49.581000000000003</v>
      </c>
      <c r="N42" s="2">
        <v>8.7276295359486333E-3</v>
      </c>
      <c r="O42" s="2">
        <v>1.1573134957790998E-2</v>
      </c>
      <c r="P42" s="2">
        <v>52.530769210854913</v>
      </c>
      <c r="Q42" s="2">
        <v>9.6457304510185971E-2</v>
      </c>
      <c r="R42" s="2" t="s">
        <v>281</v>
      </c>
      <c r="S42" s="2">
        <v>2.1859334352893528E-2</v>
      </c>
      <c r="T42" s="2">
        <v>0</v>
      </c>
      <c r="U42" s="2">
        <v>0</v>
      </c>
      <c r="V42" s="2">
        <v>0</v>
      </c>
      <c r="W42" s="2">
        <v>0</v>
      </c>
      <c r="X42" s="2">
        <v>-4.1981999663960705E-3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1</v>
      </c>
      <c r="CR42" s="2">
        <v>1</v>
      </c>
      <c r="CS42" s="2">
        <v>1</v>
      </c>
      <c r="CT42" s="2">
        <v>0</v>
      </c>
    </row>
    <row r="43" spans="1:98" x14ac:dyDescent="0.2">
      <c r="A43" s="2" t="s">
        <v>322</v>
      </c>
      <c r="B43" s="2" t="s">
        <v>281</v>
      </c>
      <c r="C43" s="2" t="s">
        <v>281</v>
      </c>
      <c r="D43" s="2" t="s">
        <v>281</v>
      </c>
      <c r="E43" s="2" t="s">
        <v>281</v>
      </c>
      <c r="F43" s="2" t="s">
        <v>281</v>
      </c>
      <c r="G43" s="2">
        <v>65.798634566178194</v>
      </c>
      <c r="H43" s="2">
        <v>3.09</v>
      </c>
      <c r="I43" s="2" t="s">
        <v>281</v>
      </c>
      <c r="J43" s="2" t="s">
        <v>281</v>
      </c>
      <c r="K43" s="2" t="s">
        <v>281</v>
      </c>
      <c r="L43" s="2">
        <v>49.795900000000003</v>
      </c>
      <c r="M43" s="2">
        <v>51.018000000000001</v>
      </c>
      <c r="N43" s="2">
        <v>7.2112693338381995E-3</v>
      </c>
      <c r="O43" s="2">
        <v>2.8570815804911387E-2</v>
      </c>
      <c r="P43" s="2">
        <v>52.493896888058366</v>
      </c>
      <c r="Q43" s="2">
        <v>-7.0216503762576821E-4</v>
      </c>
      <c r="R43" s="2" t="s">
        <v>281</v>
      </c>
      <c r="S43" s="2">
        <v>3.0432207120201914E-2</v>
      </c>
      <c r="T43" s="2">
        <v>0</v>
      </c>
      <c r="U43" s="2">
        <v>0</v>
      </c>
      <c r="V43" s="2">
        <v>0</v>
      </c>
      <c r="W43" s="2">
        <v>0</v>
      </c>
      <c r="X43" s="2">
        <v>8.5728727673083857E-3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1</v>
      </c>
      <c r="CR43" s="2">
        <v>1</v>
      </c>
      <c r="CS43" s="2">
        <v>1</v>
      </c>
      <c r="CT43" s="2">
        <v>0</v>
      </c>
    </row>
    <row r="44" spans="1:98" x14ac:dyDescent="0.2">
      <c r="A44" s="2" t="s">
        <v>323</v>
      </c>
      <c r="B44" s="2" t="s">
        <v>281</v>
      </c>
      <c r="C44" s="2" t="s">
        <v>281</v>
      </c>
      <c r="D44" s="2" t="s">
        <v>281</v>
      </c>
      <c r="E44" s="2" t="s">
        <v>281</v>
      </c>
      <c r="F44" s="2" t="s">
        <v>281</v>
      </c>
      <c r="G44" s="2">
        <v>65.536734124214902</v>
      </c>
      <c r="H44" s="2">
        <v>3.29</v>
      </c>
      <c r="I44" s="2" t="s">
        <v>281</v>
      </c>
      <c r="J44" s="2" t="s">
        <v>281</v>
      </c>
      <c r="K44" s="2" t="s">
        <v>281</v>
      </c>
      <c r="L44" s="2">
        <v>49.879600000000003</v>
      </c>
      <c r="M44" s="2">
        <v>48.5381</v>
      </c>
      <c r="N44" s="2">
        <v>1.6794502093966379E-3</v>
      </c>
      <c r="O44" s="2">
        <v>-4.9829455074227091E-2</v>
      </c>
      <c r="P44" s="2">
        <v>52.284953725544405</v>
      </c>
      <c r="Q44" s="2">
        <v>-3.9882750812845202E-3</v>
      </c>
      <c r="R44" s="2" t="s">
        <v>281</v>
      </c>
      <c r="S44" s="2">
        <v>3.2370380030450646E-2</v>
      </c>
      <c r="T44" s="2">
        <v>0</v>
      </c>
      <c r="U44" s="2">
        <v>0</v>
      </c>
      <c r="V44" s="2">
        <v>0</v>
      </c>
      <c r="W44" s="2">
        <v>0</v>
      </c>
      <c r="X44" s="2">
        <v>1.9381729102487325E-3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1</v>
      </c>
      <c r="CR44" s="2">
        <v>1</v>
      </c>
      <c r="CS44" s="2">
        <v>1</v>
      </c>
      <c r="CT44" s="2">
        <v>0</v>
      </c>
    </row>
    <row r="45" spans="1:98" x14ac:dyDescent="0.2">
      <c r="A45" s="2" t="s">
        <v>324</v>
      </c>
      <c r="B45" s="2" t="s">
        <v>281</v>
      </c>
      <c r="C45" s="2" t="s">
        <v>281</v>
      </c>
      <c r="D45" s="2" t="s">
        <v>281</v>
      </c>
      <c r="E45" s="2" t="s">
        <v>281</v>
      </c>
      <c r="F45" s="2" t="s">
        <v>281</v>
      </c>
      <c r="G45" s="2">
        <v>68.140332635496605</v>
      </c>
      <c r="H45" s="2">
        <v>2.67</v>
      </c>
      <c r="I45" s="2" t="s">
        <v>281</v>
      </c>
      <c r="J45" s="2" t="s">
        <v>281</v>
      </c>
      <c r="K45" s="2" t="s">
        <v>281</v>
      </c>
      <c r="L45" s="2">
        <v>49.884399999999999</v>
      </c>
      <c r="M45" s="2">
        <v>49.317999999999998</v>
      </c>
      <c r="N45" s="2">
        <v>9.6227096020751191E-5</v>
      </c>
      <c r="O45" s="2">
        <v>1.5940069416020552E-2</v>
      </c>
      <c r="P45" s="2">
        <v>54.362094576418187</v>
      </c>
      <c r="Q45" s="2">
        <v>3.8958482108144565E-2</v>
      </c>
      <c r="R45" s="2" t="s">
        <v>281</v>
      </c>
      <c r="S45" s="2">
        <v>2.6349775322781963E-2</v>
      </c>
      <c r="T45" s="2">
        <v>0</v>
      </c>
      <c r="U45" s="2">
        <v>0</v>
      </c>
      <c r="V45" s="2">
        <v>0</v>
      </c>
      <c r="W45" s="2">
        <v>0</v>
      </c>
      <c r="X45" s="2">
        <v>-6.0206047076686829E-3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1</v>
      </c>
      <c r="CR45" s="2">
        <v>1</v>
      </c>
      <c r="CS45" s="2">
        <v>1</v>
      </c>
      <c r="CT45" s="2">
        <v>0</v>
      </c>
    </row>
    <row r="46" spans="1:98" x14ac:dyDescent="0.2">
      <c r="A46" s="2" t="s">
        <v>325</v>
      </c>
      <c r="B46" s="2" t="s">
        <v>281</v>
      </c>
      <c r="C46" s="2" t="s">
        <v>281</v>
      </c>
      <c r="D46" s="2" t="s">
        <v>281</v>
      </c>
      <c r="E46" s="2" t="s">
        <v>281</v>
      </c>
      <c r="F46" s="2" t="s">
        <v>281</v>
      </c>
      <c r="G46" s="2">
        <v>65.4365957199349</v>
      </c>
      <c r="H46" s="2">
        <v>3.49</v>
      </c>
      <c r="I46" s="2" t="s">
        <v>281</v>
      </c>
      <c r="J46" s="2" t="s">
        <v>281</v>
      </c>
      <c r="K46" s="2" t="s">
        <v>281</v>
      </c>
      <c r="L46" s="2">
        <v>50.122900000000001</v>
      </c>
      <c r="M46" s="2">
        <v>50.667999999999999</v>
      </c>
      <c r="N46" s="2">
        <v>4.7696608577454391E-3</v>
      </c>
      <c r="O46" s="2">
        <v>2.7005421647882333E-2</v>
      </c>
      <c r="P46" s="2">
        <v>52.205063692818548</v>
      </c>
      <c r="Q46" s="2">
        <v>-4.0487624322238958E-2</v>
      </c>
      <c r="R46" s="2" t="s">
        <v>281</v>
      </c>
      <c r="S46" s="2">
        <v>3.4304803691990238E-2</v>
      </c>
      <c r="T46" s="2">
        <v>0</v>
      </c>
      <c r="U46" s="2">
        <v>0</v>
      </c>
      <c r="V46" s="2">
        <v>0</v>
      </c>
      <c r="W46" s="2">
        <v>0</v>
      </c>
      <c r="X46" s="2">
        <v>7.9550283692082745E-3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1</v>
      </c>
      <c r="CR46" s="2">
        <v>1</v>
      </c>
      <c r="CS46" s="2">
        <v>1</v>
      </c>
      <c r="CT46" s="2">
        <v>0</v>
      </c>
    </row>
    <row r="47" spans="1:98" x14ac:dyDescent="0.2">
      <c r="A47" s="2" t="s">
        <v>326</v>
      </c>
      <c r="B47" s="2" t="s">
        <v>281</v>
      </c>
      <c r="C47" s="2" t="s">
        <v>281</v>
      </c>
      <c r="D47" s="2" t="s">
        <v>281</v>
      </c>
      <c r="E47" s="2" t="s">
        <v>281</v>
      </c>
      <c r="F47" s="2" t="s">
        <v>281</v>
      </c>
      <c r="G47" s="2">
        <v>67.477878576413104</v>
      </c>
      <c r="H47" s="2">
        <v>2.02</v>
      </c>
      <c r="I47" s="2" t="s">
        <v>281</v>
      </c>
      <c r="J47" s="2" t="s">
        <v>281</v>
      </c>
      <c r="K47" s="2" t="s">
        <v>281</v>
      </c>
      <c r="L47" s="2">
        <v>50.223700000000001</v>
      </c>
      <c r="M47" s="2">
        <v>51.005800000000001</v>
      </c>
      <c r="N47" s="2">
        <v>2.0090373546159945E-3</v>
      </c>
      <c r="O47" s="2">
        <v>6.6448041268825087E-3</v>
      </c>
      <c r="P47" s="2">
        <v>53.833591283000615</v>
      </c>
      <c r="Q47" s="2">
        <v>3.0718149824404239E-2</v>
      </c>
      <c r="R47" s="2" t="s">
        <v>281</v>
      </c>
      <c r="S47" s="2">
        <v>1.9998686506689123E-2</v>
      </c>
      <c r="T47" s="2">
        <v>0</v>
      </c>
      <c r="U47" s="2">
        <v>0</v>
      </c>
      <c r="V47" s="2">
        <v>0</v>
      </c>
      <c r="W47" s="2">
        <v>0</v>
      </c>
      <c r="X47" s="2">
        <v>-1.4306117185301115E-2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1</v>
      </c>
      <c r="CR47" s="2">
        <v>1</v>
      </c>
      <c r="CS47" s="2">
        <v>1</v>
      </c>
      <c r="CT47" s="2">
        <v>0</v>
      </c>
    </row>
    <row r="48" spans="1:98" x14ac:dyDescent="0.2">
      <c r="A48" s="2" t="s">
        <v>327</v>
      </c>
      <c r="B48" s="2" t="s">
        <v>281</v>
      </c>
      <c r="C48" s="2" t="s">
        <v>281</v>
      </c>
      <c r="D48" s="2" t="s">
        <v>281</v>
      </c>
      <c r="E48" s="2" t="s">
        <v>281</v>
      </c>
      <c r="F48" s="2" t="s">
        <v>281</v>
      </c>
      <c r="G48" s="2">
        <v>65.374972086531798</v>
      </c>
      <c r="H48" s="2">
        <v>2.09</v>
      </c>
      <c r="I48" s="2" t="s">
        <v>281</v>
      </c>
      <c r="J48" s="2" t="s">
        <v>281</v>
      </c>
      <c r="K48" s="2" t="s">
        <v>281</v>
      </c>
      <c r="L48" s="2">
        <v>50.270099999999999</v>
      </c>
      <c r="M48" s="2">
        <v>50.331200000000003</v>
      </c>
      <c r="N48" s="2">
        <v>9.2344011863909614E-4</v>
      </c>
      <c r="O48" s="2">
        <v>-1.3314188605645594E-2</v>
      </c>
      <c r="P48" s="2">
        <v>52.155900595756464</v>
      </c>
      <c r="Q48" s="2">
        <v>-3.1660323960759573E-2</v>
      </c>
      <c r="R48" s="2" t="s">
        <v>281</v>
      </c>
      <c r="S48" s="2">
        <v>2.0684591192832603E-2</v>
      </c>
      <c r="T48" s="2">
        <v>0</v>
      </c>
      <c r="U48" s="2">
        <v>0</v>
      </c>
      <c r="V48" s="2">
        <v>0</v>
      </c>
      <c r="W48" s="2">
        <v>0</v>
      </c>
      <c r="X48" s="2">
        <v>6.8590468614347991E-4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1</v>
      </c>
      <c r="CR48" s="2">
        <v>1</v>
      </c>
      <c r="CS48" s="2">
        <v>1</v>
      </c>
      <c r="CT48" s="2">
        <v>0</v>
      </c>
    </row>
    <row r="49" spans="1:98" x14ac:dyDescent="0.2">
      <c r="A49" s="2" t="s">
        <v>328</v>
      </c>
      <c r="B49" s="2" t="s">
        <v>281</v>
      </c>
      <c r="C49" s="2" t="s">
        <v>281</v>
      </c>
      <c r="D49" s="2" t="s">
        <v>281</v>
      </c>
      <c r="E49" s="2" t="s">
        <v>281</v>
      </c>
      <c r="F49" s="2" t="s">
        <v>281</v>
      </c>
      <c r="G49" s="2">
        <v>62.124325424517401</v>
      </c>
      <c r="H49" s="2">
        <v>4.2</v>
      </c>
      <c r="I49" s="2" t="s">
        <v>281</v>
      </c>
      <c r="J49" s="2" t="s">
        <v>281</v>
      </c>
      <c r="K49" s="2" t="s">
        <v>281</v>
      </c>
      <c r="L49" s="2">
        <v>50.345500000000001</v>
      </c>
      <c r="M49" s="2">
        <v>49.685200000000002</v>
      </c>
      <c r="N49" s="2">
        <v>1.4987738305869414E-3</v>
      </c>
      <c r="O49" s="2">
        <v>-1.2918061107631384E-2</v>
      </c>
      <c r="P49" s="2">
        <v>49.562547225730654</v>
      </c>
      <c r="Q49" s="2">
        <v>-5.1001869410367107E-2</v>
      </c>
      <c r="R49" s="2" t="s">
        <v>281</v>
      </c>
      <c r="S49" s="2">
        <v>4.1141943331175213E-2</v>
      </c>
      <c r="T49" s="2">
        <v>0</v>
      </c>
      <c r="U49" s="2">
        <v>0</v>
      </c>
      <c r="V49" s="2">
        <v>0</v>
      </c>
      <c r="W49" s="2">
        <v>0</v>
      </c>
      <c r="X49" s="2">
        <v>2.045735213834261E-2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1</v>
      </c>
      <c r="CR49" s="2">
        <v>1</v>
      </c>
      <c r="CS49" s="2">
        <v>1</v>
      </c>
      <c r="CT49" s="2">
        <v>0</v>
      </c>
    </row>
    <row r="50" spans="1:98" x14ac:dyDescent="0.2">
      <c r="A50" s="2" t="s">
        <v>329</v>
      </c>
      <c r="B50" s="2" t="s">
        <v>281</v>
      </c>
      <c r="C50" s="2" t="s">
        <v>281</v>
      </c>
      <c r="D50" s="2" t="s">
        <v>281</v>
      </c>
      <c r="E50" s="2" t="s">
        <v>281</v>
      </c>
      <c r="F50" s="2" t="s">
        <v>281</v>
      </c>
      <c r="G50" s="2">
        <v>60.660764131193297</v>
      </c>
      <c r="H50" s="2">
        <v>3.6</v>
      </c>
      <c r="I50" s="2" t="s">
        <v>281</v>
      </c>
      <c r="J50" s="2" t="s">
        <v>281</v>
      </c>
      <c r="K50" s="2" t="s">
        <v>281</v>
      </c>
      <c r="L50" s="2">
        <v>49.654899999999998</v>
      </c>
      <c r="M50" s="2">
        <v>48.846800000000002</v>
      </c>
      <c r="N50" s="2">
        <v>-1.3812164333686372E-2</v>
      </c>
      <c r="O50" s="2">
        <v>-1.7018232344873763E-2</v>
      </c>
      <c r="P50" s="2">
        <v>48.39492367050569</v>
      </c>
      <c r="Q50" s="2">
        <v>-2.3840526865476885E-2</v>
      </c>
      <c r="R50" s="2" t="s">
        <v>281</v>
      </c>
      <c r="S50" s="2">
        <v>3.5367143837291344E-2</v>
      </c>
      <c r="T50" s="2">
        <v>0</v>
      </c>
      <c r="U50" s="2">
        <v>0</v>
      </c>
      <c r="V50" s="2">
        <v>0</v>
      </c>
      <c r="W50" s="2">
        <v>0</v>
      </c>
      <c r="X50" s="2">
        <v>-5.7747994938838684E-3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1</v>
      </c>
      <c r="CR50" s="2">
        <v>1</v>
      </c>
      <c r="CS50" s="2">
        <v>1</v>
      </c>
      <c r="CT50" s="2">
        <v>0</v>
      </c>
    </row>
    <row r="51" spans="1:98" x14ac:dyDescent="0.2">
      <c r="A51" s="2" t="s">
        <v>330</v>
      </c>
      <c r="B51" s="2" t="s">
        <v>281</v>
      </c>
      <c r="C51" s="2" t="s">
        <v>281</v>
      </c>
      <c r="D51" s="2" t="s">
        <v>281</v>
      </c>
      <c r="E51" s="2" t="s">
        <v>281</v>
      </c>
      <c r="F51" s="2" t="s">
        <v>281</v>
      </c>
      <c r="G51" s="2">
        <v>57.587285415212897</v>
      </c>
      <c r="H51" s="2">
        <v>2.93</v>
      </c>
      <c r="I51" s="2" t="s">
        <v>281</v>
      </c>
      <c r="J51" s="2" t="s">
        <v>281</v>
      </c>
      <c r="K51" s="2" t="s">
        <v>281</v>
      </c>
      <c r="L51" s="2">
        <v>49.8992</v>
      </c>
      <c r="M51" s="2">
        <v>50.154699999999998</v>
      </c>
      <c r="N51" s="2">
        <v>4.90789410741721E-3</v>
      </c>
      <c r="O51" s="2">
        <v>2.6423359169959859E-2</v>
      </c>
      <c r="P51" s="2">
        <v>45.942914204533452</v>
      </c>
      <c r="Q51" s="2">
        <v>-5.1995295118379303E-2</v>
      </c>
      <c r="R51" s="2" t="s">
        <v>281</v>
      </c>
      <c r="S51" s="2">
        <v>2.8878959550376771E-2</v>
      </c>
      <c r="T51" s="2">
        <v>0</v>
      </c>
      <c r="U51" s="2">
        <v>0</v>
      </c>
      <c r="V51" s="2">
        <v>0</v>
      </c>
      <c r="W51" s="2">
        <v>0</v>
      </c>
      <c r="X51" s="2">
        <v>-6.488184286914573E-3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1</v>
      </c>
      <c r="CR51" s="2">
        <v>1</v>
      </c>
      <c r="CS51" s="2">
        <v>1</v>
      </c>
      <c r="CT51" s="2">
        <v>0</v>
      </c>
    </row>
    <row r="52" spans="1:98" x14ac:dyDescent="0.2">
      <c r="A52" s="2" t="s">
        <v>331</v>
      </c>
      <c r="B52" s="2" t="s">
        <v>281</v>
      </c>
      <c r="C52" s="2" t="s">
        <v>281</v>
      </c>
      <c r="D52" s="2" t="s">
        <v>281</v>
      </c>
      <c r="E52" s="2" t="s">
        <v>281</v>
      </c>
      <c r="F52" s="2" t="s">
        <v>281</v>
      </c>
      <c r="G52" s="2">
        <v>66.168376366596902</v>
      </c>
      <c r="H52" s="2">
        <v>2.98</v>
      </c>
      <c r="I52" s="2" t="s">
        <v>281</v>
      </c>
      <c r="J52" s="2" t="s">
        <v>281</v>
      </c>
      <c r="K52" s="2" t="s">
        <v>281</v>
      </c>
      <c r="L52" s="2">
        <v>50.843499999999999</v>
      </c>
      <c r="M52" s="2">
        <v>51.241700000000002</v>
      </c>
      <c r="N52" s="2">
        <v>1.8747316817193216E-2</v>
      </c>
      <c r="O52" s="2">
        <v>2.1441424823412714E-2</v>
      </c>
      <c r="P52" s="2">
        <v>52.788875470430987</v>
      </c>
      <c r="Q52" s="2">
        <v>0.13890084640284694</v>
      </c>
      <c r="R52" s="2" t="s">
        <v>281</v>
      </c>
      <c r="S52" s="2">
        <v>2.936460862990398E-2</v>
      </c>
      <c r="T52" s="2">
        <v>0</v>
      </c>
      <c r="U52" s="2">
        <v>0</v>
      </c>
      <c r="V52" s="2">
        <v>0</v>
      </c>
      <c r="W52" s="2">
        <v>0</v>
      </c>
      <c r="X52" s="2">
        <v>4.8564907952720893E-4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1</v>
      </c>
      <c r="CR52" s="2">
        <v>1</v>
      </c>
      <c r="CS52" s="2">
        <v>1</v>
      </c>
      <c r="CT52" s="2">
        <v>0</v>
      </c>
    </row>
    <row r="53" spans="1:98" x14ac:dyDescent="0.2">
      <c r="A53" s="2" t="s">
        <v>332</v>
      </c>
      <c r="B53" s="2" t="s">
        <v>281</v>
      </c>
      <c r="C53" s="2" t="s">
        <v>281</v>
      </c>
      <c r="D53" s="2" t="s">
        <v>281</v>
      </c>
      <c r="E53" s="2" t="s">
        <v>281</v>
      </c>
      <c r="F53" s="2" t="s">
        <v>281</v>
      </c>
      <c r="G53" s="2">
        <v>63.934519655733901</v>
      </c>
      <c r="H53" s="2">
        <v>3.21</v>
      </c>
      <c r="I53" s="2" t="s">
        <v>281</v>
      </c>
      <c r="J53" s="2" t="s">
        <v>281</v>
      </c>
      <c r="K53" s="2" t="s">
        <v>281</v>
      </c>
      <c r="L53" s="2">
        <v>51.908999999999999</v>
      </c>
      <c r="M53" s="2">
        <v>52.292499999999997</v>
      </c>
      <c r="N53" s="2">
        <v>2.073989816059818E-2</v>
      </c>
      <c r="O53" s="2">
        <v>2.0299303662447699E-2</v>
      </c>
      <c r="P53" s="2">
        <v>51.00671320192982</v>
      </c>
      <c r="Q53" s="2">
        <v>-3.4343221193611662E-2</v>
      </c>
      <c r="R53" s="2" t="s">
        <v>281</v>
      </c>
      <c r="S53" s="2">
        <v>3.1595561589750583E-2</v>
      </c>
      <c r="T53" s="2">
        <v>0</v>
      </c>
      <c r="U53" s="2">
        <v>0</v>
      </c>
      <c r="V53" s="2">
        <v>0</v>
      </c>
      <c r="W53" s="2">
        <v>0</v>
      </c>
      <c r="X53" s="2">
        <v>2.2309529598466028E-3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1</v>
      </c>
      <c r="CR53" s="2">
        <v>1</v>
      </c>
      <c r="CS53" s="2">
        <v>1</v>
      </c>
      <c r="CT53" s="2">
        <v>0</v>
      </c>
    </row>
    <row r="54" spans="1:98" x14ac:dyDescent="0.2">
      <c r="A54" s="2" t="s">
        <v>333</v>
      </c>
      <c r="B54" s="2" t="s">
        <v>281</v>
      </c>
      <c r="C54" s="2" t="s">
        <v>281</v>
      </c>
      <c r="D54" s="2" t="s">
        <v>281</v>
      </c>
      <c r="E54" s="2" t="s">
        <v>281</v>
      </c>
      <c r="F54" s="2" t="s">
        <v>281</v>
      </c>
      <c r="G54" s="2">
        <v>67.578016980693207</v>
      </c>
      <c r="H54" s="2">
        <v>2.5099999999999998</v>
      </c>
      <c r="I54" s="2" t="s">
        <v>281</v>
      </c>
      <c r="J54" s="2" t="s">
        <v>281</v>
      </c>
      <c r="K54" s="2" t="s">
        <v>281</v>
      </c>
      <c r="L54" s="2">
        <v>52.093400000000003</v>
      </c>
      <c r="M54" s="2">
        <v>52.164200000000001</v>
      </c>
      <c r="N54" s="2">
        <v>3.5460757296075229E-3</v>
      </c>
      <c r="O54" s="2">
        <v>-2.4565214968275129E-3</v>
      </c>
      <c r="P54" s="2">
        <v>53.913481315726557</v>
      </c>
      <c r="Q54" s="2">
        <v>5.5423308343694799E-2</v>
      </c>
      <c r="R54" s="2" t="s">
        <v>281</v>
      </c>
      <c r="S54" s="2">
        <v>2.4790168807218689E-2</v>
      </c>
      <c r="T54" s="2">
        <v>0</v>
      </c>
      <c r="U54" s="2">
        <v>0</v>
      </c>
      <c r="V54" s="2">
        <v>0</v>
      </c>
      <c r="W54" s="2">
        <v>0</v>
      </c>
      <c r="X54" s="2">
        <v>-6.8053927825318938E-3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1</v>
      </c>
      <c r="CR54" s="2">
        <v>1</v>
      </c>
      <c r="CS54" s="2">
        <v>1</v>
      </c>
      <c r="CT54" s="2">
        <v>0</v>
      </c>
    </row>
    <row r="55" spans="1:98" x14ac:dyDescent="0.2">
      <c r="A55" s="2" t="s">
        <v>334</v>
      </c>
      <c r="B55" s="2" t="s">
        <v>281</v>
      </c>
      <c r="C55" s="2" t="s">
        <v>281</v>
      </c>
      <c r="D55" s="2" t="s">
        <v>281</v>
      </c>
      <c r="E55" s="2" t="s">
        <v>281</v>
      </c>
      <c r="F55" s="2" t="s">
        <v>281</v>
      </c>
      <c r="G55" s="2">
        <v>68.063303093742803</v>
      </c>
      <c r="H55" s="2">
        <v>2.91</v>
      </c>
      <c r="I55" s="2" t="s">
        <v>281</v>
      </c>
      <c r="J55" s="2" t="s">
        <v>281</v>
      </c>
      <c r="K55" s="2" t="s">
        <v>281</v>
      </c>
      <c r="L55" s="2">
        <v>52.451599999999999</v>
      </c>
      <c r="M55" s="2">
        <v>53.552399999999999</v>
      </c>
      <c r="N55" s="2">
        <v>6.8525783478907698E-3</v>
      </c>
      <c r="O55" s="2">
        <v>2.626417796752456E-2</v>
      </c>
      <c r="P55" s="2">
        <v>54.300640705090636</v>
      </c>
      <c r="Q55" s="2">
        <v>7.1554624116245691E-3</v>
      </c>
      <c r="R55" s="2" t="s">
        <v>281</v>
      </c>
      <c r="S55" s="2">
        <v>2.868463385990886E-2</v>
      </c>
      <c r="T55" s="2">
        <v>0</v>
      </c>
      <c r="U55" s="2">
        <v>0</v>
      </c>
      <c r="V55" s="2">
        <v>0</v>
      </c>
      <c r="W55" s="2">
        <v>0</v>
      </c>
      <c r="X55" s="2">
        <v>3.8944650526901714E-3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1</v>
      </c>
      <c r="CR55" s="2">
        <v>1</v>
      </c>
      <c r="CS55" s="2">
        <v>1</v>
      </c>
      <c r="CT55" s="2">
        <v>0</v>
      </c>
    </row>
    <row r="56" spans="1:98" x14ac:dyDescent="0.2">
      <c r="A56" s="2" t="s">
        <v>335</v>
      </c>
      <c r="B56" s="2" t="s">
        <v>281</v>
      </c>
      <c r="C56" s="2" t="s">
        <v>281</v>
      </c>
      <c r="D56" s="2" t="s">
        <v>281</v>
      </c>
      <c r="E56" s="2" t="s">
        <v>281</v>
      </c>
      <c r="F56" s="2" t="s">
        <v>281</v>
      </c>
      <c r="G56" s="2">
        <v>69.1340137241219</v>
      </c>
      <c r="H56" s="2">
        <v>3.7</v>
      </c>
      <c r="I56" s="2" t="s">
        <v>281</v>
      </c>
      <c r="J56" s="2" t="s">
        <v>281</v>
      </c>
      <c r="K56" s="2" t="s">
        <v>281</v>
      </c>
      <c r="L56" s="2">
        <v>52.435699999999997</v>
      </c>
      <c r="M56" s="2">
        <v>50.840800000000002</v>
      </c>
      <c r="N56" s="2">
        <v>-3.0318256112593645E-4</v>
      </c>
      <c r="O56" s="2">
        <v>-5.1961431977958217E-2</v>
      </c>
      <c r="P56" s="2">
        <v>55.154849516544594</v>
      </c>
      <c r="Q56" s="2">
        <v>1.5608648816470616E-2</v>
      </c>
      <c r="R56" s="2" t="s">
        <v>281</v>
      </c>
      <c r="S56" s="2">
        <v>3.6331929247390204E-2</v>
      </c>
      <c r="T56" s="2">
        <v>0</v>
      </c>
      <c r="U56" s="2">
        <v>0</v>
      </c>
      <c r="V56" s="2">
        <v>0</v>
      </c>
      <c r="W56" s="2">
        <v>0</v>
      </c>
      <c r="X56" s="2">
        <v>7.647295387481344E-3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1</v>
      </c>
      <c r="CR56" s="2">
        <v>1</v>
      </c>
      <c r="CS56" s="2">
        <v>1</v>
      </c>
      <c r="CT56" s="2">
        <v>0</v>
      </c>
    </row>
    <row r="57" spans="1:98" x14ac:dyDescent="0.2">
      <c r="A57" s="2" t="s">
        <v>336</v>
      </c>
      <c r="B57" s="2" t="s">
        <v>281</v>
      </c>
      <c r="C57" s="2" t="s">
        <v>281</v>
      </c>
      <c r="D57" s="2" t="s">
        <v>281</v>
      </c>
      <c r="E57" s="2" t="s">
        <v>281</v>
      </c>
      <c r="F57" s="2" t="s">
        <v>281</v>
      </c>
      <c r="G57" s="2">
        <v>74.133230983949801</v>
      </c>
      <c r="H57" s="2">
        <v>2.2799999999999998</v>
      </c>
      <c r="I57" s="2" t="s">
        <v>281</v>
      </c>
      <c r="J57" s="2" t="s">
        <v>281</v>
      </c>
      <c r="K57" s="2" t="s">
        <v>281</v>
      </c>
      <c r="L57" s="2">
        <v>52.6267</v>
      </c>
      <c r="M57" s="2">
        <v>52.027500000000003</v>
      </c>
      <c r="N57" s="2">
        <v>3.6359384597925981E-3</v>
      </c>
      <c r="O57" s="2">
        <v>2.3073243106752184E-2</v>
      </c>
      <c r="P57" s="2">
        <v>59.143205765707563</v>
      </c>
      <c r="Q57" s="2">
        <v>6.9817044298035924E-2</v>
      </c>
      <c r="R57" s="2" t="s">
        <v>281</v>
      </c>
      <c r="S57" s="2">
        <v>2.2543964434894436E-2</v>
      </c>
      <c r="T57" s="2">
        <v>0</v>
      </c>
      <c r="U57" s="2">
        <v>0</v>
      </c>
      <c r="V57" s="2">
        <v>0</v>
      </c>
      <c r="W57" s="2">
        <v>0</v>
      </c>
      <c r="X57" s="2">
        <v>-1.3787964812495768E-2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1</v>
      </c>
      <c r="CR57" s="2">
        <v>1</v>
      </c>
      <c r="CS57" s="2">
        <v>1</v>
      </c>
      <c r="CT57" s="2">
        <v>0</v>
      </c>
    </row>
    <row r="58" spans="1:98" x14ac:dyDescent="0.2">
      <c r="A58" s="2" t="s">
        <v>337</v>
      </c>
      <c r="B58" s="2" t="s">
        <v>281</v>
      </c>
      <c r="C58" s="2" t="s">
        <v>281</v>
      </c>
      <c r="D58" s="2" t="s">
        <v>281</v>
      </c>
      <c r="E58" s="2" t="s">
        <v>281</v>
      </c>
      <c r="F58" s="2" t="s">
        <v>281</v>
      </c>
      <c r="G58" s="2">
        <v>70.250942079553397</v>
      </c>
      <c r="H58" s="2">
        <v>3.6</v>
      </c>
      <c r="I58" s="2" t="s">
        <v>281</v>
      </c>
      <c r="J58" s="2" t="s">
        <v>281</v>
      </c>
      <c r="K58" s="2" t="s">
        <v>281</v>
      </c>
      <c r="L58" s="2">
        <v>52.7607</v>
      </c>
      <c r="M58" s="2">
        <v>53.371099999999998</v>
      </c>
      <c r="N58" s="2">
        <v>2.5429998693038414E-3</v>
      </c>
      <c r="O58" s="2">
        <v>2.5496976018078321E-2</v>
      </c>
      <c r="P58" s="2">
        <v>56.045930650795171</v>
      </c>
      <c r="Q58" s="2">
        <v>-5.3790174586138662E-2</v>
      </c>
      <c r="R58" s="2" t="s">
        <v>281</v>
      </c>
      <c r="S58" s="2">
        <v>3.5367143837291344E-2</v>
      </c>
      <c r="T58" s="2">
        <v>0</v>
      </c>
      <c r="U58" s="2">
        <v>0</v>
      </c>
      <c r="V58" s="2">
        <v>0</v>
      </c>
      <c r="W58" s="2">
        <v>0</v>
      </c>
      <c r="X58" s="2">
        <v>1.2823179402396908E-2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1</v>
      </c>
      <c r="CR58" s="2">
        <v>1</v>
      </c>
      <c r="CS58" s="2">
        <v>1</v>
      </c>
      <c r="CT58" s="2">
        <v>0</v>
      </c>
    </row>
    <row r="59" spans="1:98" x14ac:dyDescent="0.2">
      <c r="A59" s="2" t="s">
        <v>338</v>
      </c>
      <c r="B59" s="2" t="s">
        <v>281</v>
      </c>
      <c r="C59" s="2" t="s">
        <v>281</v>
      </c>
      <c r="D59" s="2" t="s">
        <v>281</v>
      </c>
      <c r="E59" s="2" t="s">
        <v>281</v>
      </c>
      <c r="F59" s="2" t="s">
        <v>281</v>
      </c>
      <c r="G59" s="2">
        <v>74.7186555012794</v>
      </c>
      <c r="H59" s="2">
        <v>3.05</v>
      </c>
      <c r="I59" s="2" t="s">
        <v>281</v>
      </c>
      <c r="J59" s="2" t="s">
        <v>281</v>
      </c>
      <c r="K59" s="2" t="s">
        <v>281</v>
      </c>
      <c r="L59" s="2">
        <v>53.190100000000001</v>
      </c>
      <c r="M59" s="2">
        <v>54.019799999999996</v>
      </c>
      <c r="N59" s="2">
        <v>8.1056934170105066E-3</v>
      </c>
      <c r="O59" s="2">
        <v>1.2081245061638768E-2</v>
      </c>
      <c r="P59" s="2">
        <v>59.610255187797506</v>
      </c>
      <c r="Q59" s="2">
        <v>6.1656081423097753E-2</v>
      </c>
      <c r="R59" s="2" t="s">
        <v>281</v>
      </c>
      <c r="S59" s="2">
        <v>3.0044121348376644E-2</v>
      </c>
      <c r="T59" s="2">
        <v>0</v>
      </c>
      <c r="U59" s="2">
        <v>0</v>
      </c>
      <c r="V59" s="2">
        <v>0</v>
      </c>
      <c r="W59" s="2">
        <v>0</v>
      </c>
      <c r="X59" s="2">
        <v>-5.3230224889147006E-3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1</v>
      </c>
      <c r="CR59" s="2">
        <v>1</v>
      </c>
      <c r="CS59" s="2">
        <v>1</v>
      </c>
      <c r="CT59" s="2">
        <v>0</v>
      </c>
    </row>
    <row r="60" spans="1:98" x14ac:dyDescent="0.2">
      <c r="A60" s="2" t="s">
        <v>339</v>
      </c>
      <c r="B60" s="2" t="s">
        <v>281</v>
      </c>
      <c r="C60" s="2" t="s">
        <v>281</v>
      </c>
      <c r="D60" s="2" t="s">
        <v>281</v>
      </c>
      <c r="E60" s="2" t="s">
        <v>281</v>
      </c>
      <c r="F60" s="2" t="s">
        <v>281</v>
      </c>
      <c r="G60" s="2">
        <v>70.119991858571794</v>
      </c>
      <c r="H60" s="2">
        <v>3.4</v>
      </c>
      <c r="I60" s="2" t="s">
        <v>281</v>
      </c>
      <c r="J60" s="2" t="s">
        <v>281</v>
      </c>
      <c r="K60" s="2" t="s">
        <v>281</v>
      </c>
      <c r="L60" s="2">
        <v>53.5886</v>
      </c>
      <c r="M60" s="2">
        <v>53.6175</v>
      </c>
      <c r="N60" s="2">
        <v>7.4640700834964768E-3</v>
      </c>
      <c r="O60" s="2">
        <v>-7.4751386981666279E-3</v>
      </c>
      <c r="P60" s="2">
        <v>55.941459069538219</v>
      </c>
      <c r="Q60" s="2">
        <v>-6.3521855986185649E-2</v>
      </c>
      <c r="R60" s="2" t="s">
        <v>281</v>
      </c>
      <c r="S60" s="2">
        <v>3.3434776086237419E-2</v>
      </c>
      <c r="T60" s="2">
        <v>0</v>
      </c>
      <c r="U60" s="2">
        <v>0</v>
      </c>
      <c r="V60" s="2">
        <v>0</v>
      </c>
      <c r="W60" s="2">
        <v>0</v>
      </c>
      <c r="X60" s="2">
        <v>3.3906547378607758E-3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1</v>
      </c>
      <c r="CR60" s="2">
        <v>1</v>
      </c>
      <c r="CS60" s="2">
        <v>1</v>
      </c>
      <c r="CT60" s="2">
        <v>0</v>
      </c>
    </row>
    <row r="61" spans="1:98" x14ac:dyDescent="0.2">
      <c r="A61" s="2" t="s">
        <v>340</v>
      </c>
      <c r="B61" s="2" t="s">
        <v>281</v>
      </c>
      <c r="C61" s="2" t="s">
        <v>281</v>
      </c>
      <c r="D61" s="2" t="s">
        <v>281</v>
      </c>
      <c r="E61" s="2" t="s">
        <v>281</v>
      </c>
      <c r="F61" s="2" t="s">
        <v>281</v>
      </c>
      <c r="G61" s="2">
        <v>66.268514770877005</v>
      </c>
      <c r="H61" s="2">
        <v>4.58</v>
      </c>
      <c r="I61" s="2" t="s">
        <v>281</v>
      </c>
      <c r="J61" s="2" t="s">
        <v>281</v>
      </c>
      <c r="K61" s="2" t="s">
        <v>281</v>
      </c>
      <c r="L61" s="2">
        <v>53.885899999999999</v>
      </c>
      <c r="M61" s="2">
        <v>53.2104</v>
      </c>
      <c r="N61" s="2">
        <v>5.5324892569612594E-3</v>
      </c>
      <c r="O61" s="2">
        <v>-7.6216413630065816E-3</v>
      </c>
      <c r="P61" s="2">
        <v>52.868765503156922</v>
      </c>
      <c r="Q61" s="2">
        <v>-5.6493049883940216E-2</v>
      </c>
      <c r="R61" s="2" t="s">
        <v>281</v>
      </c>
      <c r="S61" s="2">
        <v>4.4782142771893248E-2</v>
      </c>
      <c r="T61" s="2">
        <v>0</v>
      </c>
      <c r="U61" s="2">
        <v>0</v>
      </c>
      <c r="V61" s="2">
        <v>0</v>
      </c>
      <c r="W61" s="2">
        <v>0</v>
      </c>
      <c r="X61" s="2">
        <v>1.1347366685655828E-2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1</v>
      </c>
      <c r="CR61" s="2">
        <v>1</v>
      </c>
      <c r="CS61" s="2">
        <v>1</v>
      </c>
      <c r="CT61" s="2">
        <v>0</v>
      </c>
    </row>
    <row r="62" spans="1:98" x14ac:dyDescent="0.2">
      <c r="A62" s="2" t="s">
        <v>341</v>
      </c>
      <c r="B62" s="2" t="s">
        <v>281</v>
      </c>
      <c r="C62" s="2" t="s">
        <v>281</v>
      </c>
      <c r="D62" s="2" t="s">
        <v>281</v>
      </c>
      <c r="E62" s="2" t="s">
        <v>281</v>
      </c>
      <c r="F62" s="2" t="s">
        <v>281</v>
      </c>
      <c r="G62" s="2">
        <v>67.146651546871396</v>
      </c>
      <c r="H62" s="2">
        <v>3.66</v>
      </c>
      <c r="I62" s="2" t="s">
        <v>281</v>
      </c>
      <c r="J62" s="2" t="s">
        <v>281</v>
      </c>
      <c r="K62" s="2" t="s">
        <v>281</v>
      </c>
      <c r="L62" s="2">
        <v>53.537799999999997</v>
      </c>
      <c r="M62" s="2">
        <v>52.588500000000003</v>
      </c>
      <c r="N62" s="2">
        <v>-6.4809016708542444E-3</v>
      </c>
      <c r="O62" s="2">
        <v>-1.1756401302296382E-2</v>
      </c>
      <c r="P62" s="2">
        <v>53.569339636291836</v>
      </c>
      <c r="Q62" s="2">
        <v>1.3164162390227663E-2</v>
      </c>
      <c r="R62" s="2" t="s">
        <v>281</v>
      </c>
      <c r="S62" s="2">
        <v>3.5946126773469089E-2</v>
      </c>
      <c r="T62" s="2">
        <v>0</v>
      </c>
      <c r="U62" s="2">
        <v>0</v>
      </c>
      <c r="V62" s="2">
        <v>0</v>
      </c>
      <c r="W62" s="2">
        <v>0</v>
      </c>
      <c r="X62" s="2">
        <v>-8.8360159984241585E-3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1</v>
      </c>
      <c r="CR62" s="2">
        <v>1</v>
      </c>
      <c r="CS62" s="2">
        <v>1</v>
      </c>
      <c r="CT62" s="2">
        <v>0</v>
      </c>
    </row>
    <row r="63" spans="1:98" x14ac:dyDescent="0.2">
      <c r="A63" s="2" t="s">
        <v>342</v>
      </c>
      <c r="B63" s="2" t="s">
        <v>281</v>
      </c>
      <c r="C63" s="2" t="s">
        <v>281</v>
      </c>
      <c r="D63" s="2" t="s">
        <v>281</v>
      </c>
      <c r="E63" s="2" t="s">
        <v>281</v>
      </c>
      <c r="F63" s="2" t="s">
        <v>281</v>
      </c>
      <c r="G63" s="2">
        <v>62.6481263084438</v>
      </c>
      <c r="H63" s="2">
        <v>3.43</v>
      </c>
      <c r="I63" s="2" t="s">
        <v>281</v>
      </c>
      <c r="J63" s="2" t="s">
        <v>281</v>
      </c>
      <c r="K63" s="2" t="s">
        <v>281</v>
      </c>
      <c r="L63" s="2">
        <v>53.822400000000002</v>
      </c>
      <c r="M63" s="2">
        <v>54.075899999999997</v>
      </c>
      <c r="N63" s="2">
        <v>5.3017909178851852E-3</v>
      </c>
      <c r="O63" s="2">
        <v>2.7891150589567371E-2</v>
      </c>
      <c r="P63" s="2">
        <v>49.980433550758413</v>
      </c>
      <c r="Q63" s="2">
        <v>-6.9345282844802014E-2</v>
      </c>
      <c r="R63" s="2" t="s">
        <v>281</v>
      </c>
      <c r="S63" s="2">
        <v>3.3724869401620894E-2</v>
      </c>
      <c r="T63" s="2">
        <v>0</v>
      </c>
      <c r="U63" s="2">
        <v>0</v>
      </c>
      <c r="V63" s="2">
        <v>0</v>
      </c>
      <c r="W63" s="2">
        <v>0</v>
      </c>
      <c r="X63" s="2">
        <v>-2.2212573718481954E-3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1</v>
      </c>
      <c r="CR63" s="2">
        <v>1</v>
      </c>
      <c r="CS63" s="2">
        <v>1</v>
      </c>
      <c r="CT63" s="2">
        <v>0</v>
      </c>
    </row>
    <row r="64" spans="1:98" x14ac:dyDescent="0.2">
      <c r="A64" s="2" t="s">
        <v>343</v>
      </c>
      <c r="B64" s="2" t="s">
        <v>281</v>
      </c>
      <c r="C64" s="2" t="s">
        <v>281</v>
      </c>
      <c r="D64" s="2" t="s">
        <v>281</v>
      </c>
      <c r="E64" s="2" t="s">
        <v>281</v>
      </c>
      <c r="F64" s="2" t="s">
        <v>281</v>
      </c>
      <c r="G64" s="2">
        <v>69.850388462433102</v>
      </c>
      <c r="H64" s="2">
        <v>3.91</v>
      </c>
      <c r="I64" s="2" t="s">
        <v>281</v>
      </c>
      <c r="J64" s="2" t="s">
        <v>281</v>
      </c>
      <c r="K64" s="2" t="s">
        <v>281</v>
      </c>
      <c r="L64" s="2">
        <v>53.990400000000001</v>
      </c>
      <c r="M64" s="2">
        <v>54.734000000000002</v>
      </c>
      <c r="N64" s="2">
        <v>3.1165155895651608E-3</v>
      </c>
      <c r="O64" s="2">
        <v>1.209647329276109E-2</v>
      </c>
      <c r="P64" s="2">
        <v>55.726370519891468</v>
      </c>
      <c r="Q64" s="2">
        <v>0.10882187346064454</v>
      </c>
      <c r="R64" s="2" t="s">
        <v>281</v>
      </c>
      <c r="S64" s="2">
        <v>3.8354953876463906E-2</v>
      </c>
      <c r="T64" s="2">
        <v>0</v>
      </c>
      <c r="U64" s="2">
        <v>0</v>
      </c>
      <c r="V64" s="2">
        <v>0</v>
      </c>
      <c r="W64" s="2">
        <v>0</v>
      </c>
      <c r="X64" s="2">
        <v>4.6300844748430117E-3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1</v>
      </c>
      <c r="CR64" s="2">
        <v>1</v>
      </c>
      <c r="CS64" s="2">
        <v>1</v>
      </c>
      <c r="CT64" s="2">
        <v>0</v>
      </c>
    </row>
    <row r="65" spans="1:98" x14ac:dyDescent="0.2">
      <c r="A65" s="2" t="s">
        <v>344</v>
      </c>
      <c r="B65" s="2" t="s">
        <v>281</v>
      </c>
      <c r="C65" s="2" t="s">
        <v>281</v>
      </c>
      <c r="D65" s="2" t="s">
        <v>281</v>
      </c>
      <c r="E65" s="2" t="s">
        <v>281</v>
      </c>
      <c r="F65" s="2" t="s">
        <v>281</v>
      </c>
      <c r="G65" s="2">
        <v>67.346928355431501</v>
      </c>
      <c r="H65" s="2">
        <v>3.63</v>
      </c>
      <c r="I65" s="2" t="s">
        <v>281</v>
      </c>
      <c r="J65" s="2" t="s">
        <v>281</v>
      </c>
      <c r="K65" s="2" t="s">
        <v>281</v>
      </c>
      <c r="L65" s="2">
        <v>53.405200000000001</v>
      </c>
      <c r="M65" s="2">
        <v>53.040799999999997</v>
      </c>
      <c r="N65" s="2">
        <v>-1.089813347980817E-2</v>
      </c>
      <c r="O65" s="2">
        <v>-3.1423659823885064E-2</v>
      </c>
      <c r="P65" s="2">
        <v>53.729119701743635</v>
      </c>
      <c r="Q65" s="2">
        <v>-3.6498352446528326E-2</v>
      </c>
      <c r="R65" s="2" t="s">
        <v>281</v>
      </c>
      <c r="S65" s="2">
        <v>3.5656677208034684E-2</v>
      </c>
      <c r="T65" s="2">
        <v>0</v>
      </c>
      <c r="U65" s="2">
        <v>0</v>
      </c>
      <c r="V65" s="2">
        <v>0</v>
      </c>
      <c r="W65" s="2">
        <v>0</v>
      </c>
      <c r="X65" s="2">
        <v>-2.6982766684292211E-3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1</v>
      </c>
      <c r="CR65" s="2">
        <v>1</v>
      </c>
      <c r="CS65" s="2">
        <v>1</v>
      </c>
      <c r="CT65" s="2">
        <v>0</v>
      </c>
    </row>
    <row r="66" spans="1:98" x14ac:dyDescent="0.2">
      <c r="A66" s="2" t="s">
        <v>345</v>
      </c>
      <c r="B66" s="2" t="s">
        <v>281</v>
      </c>
      <c r="C66" s="2" t="s">
        <v>281</v>
      </c>
      <c r="D66" s="2" t="s">
        <v>281</v>
      </c>
      <c r="E66" s="2" t="s">
        <v>281</v>
      </c>
      <c r="F66" s="2" t="s">
        <v>281</v>
      </c>
      <c r="G66" s="2">
        <v>73.231985345429194</v>
      </c>
      <c r="H66" s="2">
        <v>2.86</v>
      </c>
      <c r="I66" s="2" t="s">
        <v>281</v>
      </c>
      <c r="J66" s="2" t="s">
        <v>281</v>
      </c>
      <c r="K66" s="2" t="s">
        <v>281</v>
      </c>
      <c r="L66" s="2">
        <v>53.811</v>
      </c>
      <c r="M66" s="2">
        <v>53.898600000000002</v>
      </c>
      <c r="N66" s="2">
        <v>7.5697877326406093E-3</v>
      </c>
      <c r="O66" s="2">
        <v>1.604307483152656E-2</v>
      </c>
      <c r="P66" s="2">
        <v>58.424195471174293</v>
      </c>
      <c r="Q66" s="2">
        <v>8.3774989178139858E-2</v>
      </c>
      <c r="R66" s="2" t="s">
        <v>281</v>
      </c>
      <c r="S66" s="2">
        <v>2.8198654358678736E-2</v>
      </c>
      <c r="T66" s="2">
        <v>0</v>
      </c>
      <c r="U66" s="2">
        <v>0</v>
      </c>
      <c r="V66" s="2">
        <v>0</v>
      </c>
      <c r="W66" s="2">
        <v>0</v>
      </c>
      <c r="X66" s="2">
        <v>-7.4580228493559483E-3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1</v>
      </c>
      <c r="CR66" s="2">
        <v>1</v>
      </c>
      <c r="CS66" s="2">
        <v>1</v>
      </c>
      <c r="CT66" s="2">
        <v>0</v>
      </c>
    </row>
    <row r="67" spans="1:98" x14ac:dyDescent="0.2">
      <c r="A67" s="2" t="s">
        <v>346</v>
      </c>
      <c r="B67" s="2" t="s">
        <v>281</v>
      </c>
      <c r="C67" s="2" t="s">
        <v>281</v>
      </c>
      <c r="D67" s="2" t="s">
        <v>281</v>
      </c>
      <c r="E67" s="2" t="s">
        <v>281</v>
      </c>
      <c r="F67" s="2" t="s">
        <v>281</v>
      </c>
      <c r="G67" s="2">
        <v>73.231985345429194</v>
      </c>
      <c r="H67" s="2">
        <v>2.77</v>
      </c>
      <c r="I67" s="2" t="s">
        <v>281</v>
      </c>
      <c r="J67" s="2" t="s">
        <v>281</v>
      </c>
      <c r="K67" s="2" t="s">
        <v>281</v>
      </c>
      <c r="L67" s="2">
        <v>53.804000000000002</v>
      </c>
      <c r="M67" s="2">
        <v>54.911299999999997</v>
      </c>
      <c r="N67" s="2">
        <v>-1.3009338865144215E-4</v>
      </c>
      <c r="O67" s="2">
        <v>1.8614652563600398E-2</v>
      </c>
      <c r="P67" s="2">
        <v>58.424195471174293</v>
      </c>
      <c r="Q67" s="2">
        <v>0</v>
      </c>
      <c r="R67" s="2" t="s">
        <v>281</v>
      </c>
      <c r="S67" s="2">
        <v>2.7323295648890411E-2</v>
      </c>
      <c r="T67" s="2">
        <v>0</v>
      </c>
      <c r="U67" s="2">
        <v>0</v>
      </c>
      <c r="V67" s="2">
        <v>0</v>
      </c>
      <c r="W67" s="2">
        <v>0</v>
      </c>
      <c r="X67" s="2">
        <v>-8.7535870978832503E-4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1</v>
      </c>
      <c r="CR67" s="2">
        <v>1</v>
      </c>
      <c r="CS67" s="2">
        <v>1</v>
      </c>
      <c r="CT67" s="2">
        <v>0</v>
      </c>
    </row>
    <row r="68" spans="1:98" x14ac:dyDescent="0.2">
      <c r="A68" s="2" t="s">
        <v>347</v>
      </c>
      <c r="B68" s="2" t="s">
        <v>281</v>
      </c>
      <c r="C68" s="2" t="s">
        <v>281</v>
      </c>
      <c r="D68" s="2" t="s">
        <v>281</v>
      </c>
      <c r="E68" s="2" t="s">
        <v>281</v>
      </c>
      <c r="F68" s="2" t="s">
        <v>281</v>
      </c>
      <c r="G68" s="2">
        <v>74.364319609211407</v>
      </c>
      <c r="H68" s="2">
        <v>1.89</v>
      </c>
      <c r="I68" s="2" t="s">
        <v>281</v>
      </c>
      <c r="J68" s="2" t="s">
        <v>281</v>
      </c>
      <c r="K68" s="2" t="s">
        <v>281</v>
      </c>
      <c r="L68" s="2">
        <v>53.738100000000003</v>
      </c>
      <c r="M68" s="2">
        <v>52.276200000000003</v>
      </c>
      <c r="N68" s="2">
        <v>-1.2255666989684499E-3</v>
      </c>
      <c r="O68" s="2">
        <v>-4.9177955540350649E-2</v>
      </c>
      <c r="P68" s="2">
        <v>59.32756737969035</v>
      </c>
      <c r="Q68" s="2">
        <v>1.5343967861406682E-2</v>
      </c>
      <c r="R68" s="2" t="s">
        <v>281</v>
      </c>
      <c r="S68" s="2">
        <v>1.872361399810251E-2</v>
      </c>
      <c r="T68" s="2">
        <v>0</v>
      </c>
      <c r="U68" s="2">
        <v>0</v>
      </c>
      <c r="V68" s="2">
        <v>0</v>
      </c>
      <c r="W68" s="2">
        <v>0</v>
      </c>
      <c r="X68" s="2">
        <v>-8.5996816507879006E-3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1</v>
      </c>
      <c r="CR68" s="2">
        <v>1</v>
      </c>
      <c r="CS68" s="2">
        <v>1</v>
      </c>
      <c r="CT68" s="2">
        <v>0</v>
      </c>
    </row>
    <row r="69" spans="1:98" x14ac:dyDescent="0.2">
      <c r="A69" s="2" t="s">
        <v>348</v>
      </c>
      <c r="B69" s="2" t="s">
        <v>281</v>
      </c>
      <c r="C69" s="2" t="s">
        <v>281</v>
      </c>
      <c r="D69" s="2" t="s">
        <v>281</v>
      </c>
      <c r="E69" s="2" t="s">
        <v>281</v>
      </c>
      <c r="F69" s="2" t="s">
        <v>281</v>
      </c>
      <c r="G69" s="2">
        <v>78.970686206094399</v>
      </c>
      <c r="H69" s="2">
        <v>2.5</v>
      </c>
      <c r="I69" s="2" t="s">
        <v>281</v>
      </c>
      <c r="J69" s="2" t="s">
        <v>281</v>
      </c>
      <c r="K69" s="2" t="s">
        <v>281</v>
      </c>
      <c r="L69" s="2">
        <v>53.373100000000001</v>
      </c>
      <c r="M69" s="2">
        <v>53.045400000000001</v>
      </c>
      <c r="N69" s="2">
        <v>-6.8153734218685535E-3</v>
      </c>
      <c r="O69" s="2">
        <v>1.4606950075179981E-2</v>
      </c>
      <c r="P69" s="2">
        <v>63.002508885082392</v>
      </c>
      <c r="Q69" s="2">
        <v>6.010047126352358E-2</v>
      </c>
      <c r="R69" s="2" t="s">
        <v>281</v>
      </c>
      <c r="S69" s="2">
        <v>2.4692612590371414E-2</v>
      </c>
      <c r="T69" s="2">
        <v>0</v>
      </c>
      <c r="U69" s="2">
        <v>0</v>
      </c>
      <c r="V69" s="2">
        <v>0</v>
      </c>
      <c r="W69" s="2">
        <v>0</v>
      </c>
      <c r="X69" s="2">
        <v>5.9689985922689037E-3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1</v>
      </c>
      <c r="CR69" s="2">
        <v>1</v>
      </c>
      <c r="CS69" s="2">
        <v>1</v>
      </c>
      <c r="CT69" s="2">
        <v>0</v>
      </c>
    </row>
    <row r="70" spans="1:98" x14ac:dyDescent="0.2">
      <c r="A70" s="2" t="s">
        <v>349</v>
      </c>
      <c r="B70" s="2" t="s">
        <v>281</v>
      </c>
      <c r="C70" s="2" t="s">
        <v>281</v>
      </c>
      <c r="D70" s="2" t="s">
        <v>281</v>
      </c>
      <c r="E70" s="2" t="s">
        <v>281</v>
      </c>
      <c r="F70" s="2" t="s">
        <v>281</v>
      </c>
      <c r="G70" s="2">
        <v>72.677372644801096</v>
      </c>
      <c r="H70" s="2">
        <v>3.51</v>
      </c>
      <c r="I70" s="2" t="s">
        <v>281</v>
      </c>
      <c r="J70" s="2" t="s">
        <v>281</v>
      </c>
      <c r="K70" s="2" t="s">
        <v>281</v>
      </c>
      <c r="L70" s="2">
        <v>53.430999999999997</v>
      </c>
      <c r="M70" s="2">
        <v>54.078899999999997</v>
      </c>
      <c r="N70" s="2">
        <v>1.0842281461482806E-3</v>
      </c>
      <c r="O70" s="2">
        <v>1.9295940641080644E-2</v>
      </c>
      <c r="P70" s="2">
        <v>57.98172759761534</v>
      </c>
      <c r="Q70" s="2">
        <v>-8.3046629681311046E-2</v>
      </c>
      <c r="R70" s="2" t="s">
        <v>281</v>
      </c>
      <c r="S70" s="2">
        <v>3.4498040407567356E-2</v>
      </c>
      <c r="T70" s="2">
        <v>0</v>
      </c>
      <c r="U70" s="2">
        <v>0</v>
      </c>
      <c r="V70" s="2">
        <v>0</v>
      </c>
      <c r="W70" s="2">
        <v>0</v>
      </c>
      <c r="X70" s="2">
        <v>9.8054278171959414E-3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1</v>
      </c>
      <c r="CR70" s="2">
        <v>1</v>
      </c>
      <c r="CS70" s="2">
        <v>1</v>
      </c>
      <c r="CT70" s="2">
        <v>0</v>
      </c>
    </row>
    <row r="71" spans="1:98" x14ac:dyDescent="0.2">
      <c r="A71" s="2" t="s">
        <v>350</v>
      </c>
      <c r="B71" s="2" t="s">
        <v>281</v>
      </c>
      <c r="C71" s="2" t="s">
        <v>281</v>
      </c>
      <c r="D71" s="2" t="s">
        <v>281</v>
      </c>
      <c r="E71" s="2" t="s">
        <v>281</v>
      </c>
      <c r="F71" s="2" t="s">
        <v>281</v>
      </c>
      <c r="G71" s="2">
        <v>81.320087229588196</v>
      </c>
      <c r="H71" s="2">
        <v>2.21</v>
      </c>
      <c r="I71" s="2" t="s">
        <v>281</v>
      </c>
      <c r="J71" s="2" t="s">
        <v>281</v>
      </c>
      <c r="K71" s="2" t="s">
        <v>281</v>
      </c>
      <c r="L71" s="2">
        <v>53.7136</v>
      </c>
      <c r="M71" s="2">
        <v>54.450899999999997</v>
      </c>
      <c r="N71" s="2">
        <v>5.2751264240025186E-3</v>
      </c>
      <c r="O71" s="2">
        <v>6.8552868768310127E-3</v>
      </c>
      <c r="P71" s="2">
        <v>64.876851960574953</v>
      </c>
      <c r="Q71" s="2">
        <v>0.1123629681870435</v>
      </c>
      <c r="R71" s="2" t="s">
        <v>281</v>
      </c>
      <c r="S71" s="2">
        <v>2.1859334352893528E-2</v>
      </c>
      <c r="T71" s="2">
        <v>0</v>
      </c>
      <c r="U71" s="2">
        <v>0</v>
      </c>
      <c r="V71" s="2">
        <v>0</v>
      </c>
      <c r="W71" s="2">
        <v>0</v>
      </c>
      <c r="X71" s="2">
        <v>-1.2638706054673828E-2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1</v>
      </c>
      <c r="CR71" s="2">
        <v>1</v>
      </c>
      <c r="CS71" s="2">
        <v>1</v>
      </c>
      <c r="CT71" s="2">
        <v>0</v>
      </c>
    </row>
    <row r="72" spans="1:98" x14ac:dyDescent="0.2">
      <c r="A72" s="2" t="s">
        <v>351</v>
      </c>
      <c r="B72" s="2" t="s">
        <v>281</v>
      </c>
      <c r="C72" s="2" t="s">
        <v>281</v>
      </c>
      <c r="D72" s="2" t="s">
        <v>281</v>
      </c>
      <c r="E72" s="2" t="s">
        <v>281</v>
      </c>
      <c r="F72" s="2" t="s">
        <v>281</v>
      </c>
      <c r="G72" s="2">
        <v>74.849605722261003</v>
      </c>
      <c r="H72" s="2">
        <v>2.08</v>
      </c>
      <c r="I72" s="2" t="s">
        <v>281</v>
      </c>
      <c r="J72" s="2" t="s">
        <v>281</v>
      </c>
      <c r="K72" s="2" t="s">
        <v>281</v>
      </c>
      <c r="L72" s="2">
        <v>53.659700000000001</v>
      </c>
      <c r="M72" s="2">
        <v>53.691600000000001</v>
      </c>
      <c r="N72" s="2">
        <v>-1.0039740704148592E-3</v>
      </c>
      <c r="O72" s="2">
        <v>-1.4042813469775428E-2</v>
      </c>
      <c r="P72" s="2">
        <v>59.714726769054415</v>
      </c>
      <c r="Q72" s="2">
        <v>-8.2912218150254624E-2</v>
      </c>
      <c r="R72" s="2" t="s">
        <v>281</v>
      </c>
      <c r="S72" s="2">
        <v>2.0586633608388312E-2</v>
      </c>
      <c r="T72" s="2">
        <v>0</v>
      </c>
      <c r="U72" s="2">
        <v>0</v>
      </c>
      <c r="V72" s="2">
        <v>0</v>
      </c>
      <c r="W72" s="2">
        <v>0</v>
      </c>
      <c r="X72" s="2">
        <v>-1.272700744505216E-3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1</v>
      </c>
      <c r="CR72" s="2">
        <v>1</v>
      </c>
      <c r="CS72" s="2">
        <v>1</v>
      </c>
      <c r="CT72" s="2">
        <v>0</v>
      </c>
    </row>
    <row r="73" spans="1:98" x14ac:dyDescent="0.2">
      <c r="A73" s="2" t="s">
        <v>352</v>
      </c>
      <c r="B73" s="2" t="s">
        <v>281</v>
      </c>
      <c r="C73" s="2" t="s">
        <v>281</v>
      </c>
      <c r="D73" s="2" t="s">
        <v>281</v>
      </c>
      <c r="E73" s="2" t="s">
        <v>281</v>
      </c>
      <c r="F73" s="2" t="s">
        <v>281</v>
      </c>
      <c r="G73" s="2">
        <v>69.311181670155804</v>
      </c>
      <c r="H73" s="2">
        <v>3.57</v>
      </c>
      <c r="I73" s="2" t="s">
        <v>281</v>
      </c>
      <c r="J73" s="2" t="s">
        <v>281</v>
      </c>
      <c r="K73" s="2" t="s">
        <v>281</v>
      </c>
      <c r="L73" s="2">
        <v>53.7087</v>
      </c>
      <c r="M73" s="2">
        <v>53.203000000000003</v>
      </c>
      <c r="N73" s="2">
        <v>9.1274534037655286E-4</v>
      </c>
      <c r="O73" s="2">
        <v>-9.1417789630816593E-3</v>
      </c>
      <c r="P73" s="2">
        <v>55.296193420598044</v>
      </c>
      <c r="Q73" s="2">
        <v>-7.6874598438322117E-2</v>
      </c>
      <c r="R73" s="2" t="s">
        <v>281</v>
      </c>
      <c r="S73" s="2">
        <v>3.5077526612696162E-2</v>
      </c>
      <c r="T73" s="2">
        <v>0</v>
      </c>
      <c r="U73" s="2">
        <v>0</v>
      </c>
      <c r="V73" s="2">
        <v>0</v>
      </c>
      <c r="W73" s="2">
        <v>0</v>
      </c>
      <c r="X73" s="2">
        <v>1.449089300430785E-2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1</v>
      </c>
      <c r="CR73" s="2">
        <v>1</v>
      </c>
      <c r="CS73" s="2">
        <v>1</v>
      </c>
      <c r="CT73" s="2">
        <v>0</v>
      </c>
    </row>
    <row r="74" spans="1:98" x14ac:dyDescent="0.2">
      <c r="A74" s="2" t="s">
        <v>353</v>
      </c>
      <c r="B74" s="2" t="s">
        <v>281</v>
      </c>
      <c r="C74" s="2" t="s">
        <v>281</v>
      </c>
      <c r="D74" s="2" t="s">
        <v>281</v>
      </c>
      <c r="E74" s="2" t="s">
        <v>281</v>
      </c>
      <c r="F74" s="2" t="s">
        <v>281</v>
      </c>
      <c r="G74" s="2">
        <v>71.568147243544999</v>
      </c>
      <c r="H74" s="2">
        <v>2.95</v>
      </c>
      <c r="I74" s="2">
        <v>6.6156491605738701</v>
      </c>
      <c r="J74" s="2">
        <v>-3.4986870115518723E-2</v>
      </c>
      <c r="K74" s="2" t="s">
        <v>281</v>
      </c>
      <c r="L74" s="2">
        <v>53.962800000000001</v>
      </c>
      <c r="M74" s="2">
        <v>53.202300000000001</v>
      </c>
      <c r="N74" s="2">
        <v>4.7199207167931689E-3</v>
      </c>
      <c r="O74" s="2">
        <v>-1.3157239348249306E-5</v>
      </c>
      <c r="P74" s="2">
        <v>57.096791850497517</v>
      </c>
      <c r="Q74" s="2">
        <v>3.204385924019526E-2</v>
      </c>
      <c r="R74" s="2">
        <v>6.4060117601225888E-2</v>
      </c>
      <c r="S74" s="2">
        <v>2.9073247485707165E-2</v>
      </c>
      <c r="T74" s="2">
        <v>0</v>
      </c>
      <c r="U74" s="2">
        <v>0</v>
      </c>
      <c r="V74" s="2">
        <v>0</v>
      </c>
      <c r="W74" s="2">
        <v>0</v>
      </c>
      <c r="X74" s="2">
        <v>-6.004279126988997E-3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1</v>
      </c>
      <c r="CR74" s="2">
        <v>1</v>
      </c>
      <c r="CS74" s="2">
        <v>1</v>
      </c>
      <c r="CT74" s="2">
        <v>0</v>
      </c>
    </row>
    <row r="75" spans="1:98" x14ac:dyDescent="0.2">
      <c r="A75" s="2" t="s">
        <v>354</v>
      </c>
      <c r="B75" s="2" t="s">
        <v>281</v>
      </c>
      <c r="C75" s="2" t="s">
        <v>281</v>
      </c>
      <c r="D75" s="2" t="s">
        <v>281</v>
      </c>
      <c r="E75" s="2" t="s">
        <v>281</v>
      </c>
      <c r="F75" s="2" t="s">
        <v>281</v>
      </c>
      <c r="G75" s="2">
        <v>70.150803675273295</v>
      </c>
      <c r="H75" s="2">
        <v>2.4700000000000002</v>
      </c>
      <c r="I75" s="2">
        <v>4.6169188530342398</v>
      </c>
      <c r="J75" s="2">
        <v>-2.0735213856341871E-2</v>
      </c>
      <c r="K75" s="2" t="s">
        <v>281</v>
      </c>
      <c r="L75" s="2">
        <v>53.981499999999997</v>
      </c>
      <c r="M75" s="2">
        <v>54.2363</v>
      </c>
      <c r="N75" s="2">
        <v>3.4647499102868906E-4</v>
      </c>
      <c r="O75" s="2">
        <v>1.9248797470352574E-2</v>
      </c>
      <c r="P75" s="2">
        <v>55.966040618069187</v>
      </c>
      <c r="Q75" s="2">
        <v>-2.000284107349426E-2</v>
      </c>
      <c r="R75" s="2">
        <v>4.5135100679876992E-2</v>
      </c>
      <c r="S75" s="2">
        <v>2.4399886823535121E-2</v>
      </c>
      <c r="T75" s="2">
        <v>0</v>
      </c>
      <c r="U75" s="2">
        <v>0</v>
      </c>
      <c r="V75" s="2">
        <v>0</v>
      </c>
      <c r="W75" s="2">
        <v>0</v>
      </c>
      <c r="X75" s="2">
        <v>-4.6733606621720443E-3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1</v>
      </c>
      <c r="CR75" s="2">
        <v>1</v>
      </c>
      <c r="CS75" s="2">
        <v>1</v>
      </c>
      <c r="CT75" s="2">
        <v>0</v>
      </c>
    </row>
    <row r="76" spans="1:98" x14ac:dyDescent="0.2">
      <c r="A76" s="2" t="s">
        <v>355</v>
      </c>
      <c r="B76" s="2" t="s">
        <v>281</v>
      </c>
      <c r="C76" s="2" t="s">
        <v>281</v>
      </c>
      <c r="D76" s="2" t="s">
        <v>281</v>
      </c>
      <c r="E76" s="2" t="s">
        <v>281</v>
      </c>
      <c r="F76" s="2" t="s">
        <v>281</v>
      </c>
      <c r="G76" s="2">
        <v>77.460907187718107</v>
      </c>
      <c r="H76" s="2">
        <v>3.57</v>
      </c>
      <c r="I76" s="2">
        <v>6.0383886646346401</v>
      </c>
      <c r="J76" s="2">
        <v>-2.3553473161719268E-2</v>
      </c>
      <c r="K76" s="2" t="s">
        <v>281</v>
      </c>
      <c r="L76" s="2">
        <v>53.800600000000003</v>
      </c>
      <c r="M76" s="2">
        <v>54.461799999999997</v>
      </c>
      <c r="N76" s="2">
        <v>-3.3567757515244878E-3</v>
      </c>
      <c r="O76" s="2">
        <v>4.1491125144039742E-3</v>
      </c>
      <c r="P76" s="2">
        <v>61.798013007060959</v>
      </c>
      <c r="Q76" s="2">
        <v>9.9126122702265285E-2</v>
      </c>
      <c r="R76" s="2">
        <v>5.8630999774415431E-2</v>
      </c>
      <c r="S76" s="2">
        <v>3.5077526612696162E-2</v>
      </c>
      <c r="T76" s="2">
        <v>0</v>
      </c>
      <c r="U76" s="2">
        <v>0</v>
      </c>
      <c r="V76" s="2">
        <v>0</v>
      </c>
      <c r="W76" s="2">
        <v>0</v>
      </c>
      <c r="X76" s="2">
        <v>1.0677639789161041E-2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1</v>
      </c>
      <c r="CR76" s="2">
        <v>1</v>
      </c>
      <c r="CS76" s="2">
        <v>1</v>
      </c>
      <c r="CT76" s="2">
        <v>0</v>
      </c>
    </row>
    <row r="77" spans="1:98" x14ac:dyDescent="0.2">
      <c r="A77" s="2" t="s">
        <v>356</v>
      </c>
      <c r="B77" s="2" t="s">
        <v>281</v>
      </c>
      <c r="C77" s="2" t="s">
        <v>281</v>
      </c>
      <c r="D77" s="2" t="s">
        <v>281</v>
      </c>
      <c r="E77" s="2" t="s">
        <v>281</v>
      </c>
      <c r="F77" s="2" t="s">
        <v>281</v>
      </c>
      <c r="G77" s="2">
        <v>72.061136310769896</v>
      </c>
      <c r="H77" s="2">
        <v>1.95</v>
      </c>
      <c r="I77" s="2">
        <v>5.2861138240255698</v>
      </c>
      <c r="J77" s="2">
        <v>-3.2199040907144441E-2</v>
      </c>
      <c r="K77" s="2" t="s">
        <v>281</v>
      </c>
      <c r="L77" s="2">
        <v>52.703099999999999</v>
      </c>
      <c r="M77" s="2">
        <v>52.591700000000003</v>
      </c>
      <c r="N77" s="2">
        <v>-2.0610342175215735E-2</v>
      </c>
      <c r="O77" s="2">
        <v>-3.4941225864570935E-2</v>
      </c>
      <c r="P77" s="2">
        <v>57.490096626994294</v>
      </c>
      <c r="Q77" s="2">
        <v>-7.225851156189389E-2</v>
      </c>
      <c r="R77" s="2">
        <v>5.1511351939517329E-2</v>
      </c>
      <c r="S77" s="2">
        <v>1.9312311032372884E-2</v>
      </c>
      <c r="T77" s="2">
        <v>0</v>
      </c>
      <c r="U77" s="2">
        <v>0</v>
      </c>
      <c r="V77" s="2">
        <v>0</v>
      </c>
      <c r="W77" s="2">
        <v>0</v>
      </c>
      <c r="X77" s="2">
        <v>-1.5765215580323278E-2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1</v>
      </c>
      <c r="CR77" s="2">
        <v>1</v>
      </c>
      <c r="CS77" s="2">
        <v>1</v>
      </c>
      <c r="CT77" s="2">
        <v>0</v>
      </c>
    </row>
    <row r="78" spans="1:98" x14ac:dyDescent="0.2">
      <c r="A78" s="2" t="s">
        <v>357</v>
      </c>
      <c r="B78" s="2" t="s">
        <v>281</v>
      </c>
      <c r="C78" s="2" t="s">
        <v>281</v>
      </c>
      <c r="D78" s="2" t="s">
        <v>281</v>
      </c>
      <c r="E78" s="2" t="s">
        <v>281</v>
      </c>
      <c r="F78" s="2" t="s">
        <v>281</v>
      </c>
      <c r="G78" s="2">
        <v>79.201774831356104</v>
      </c>
      <c r="H78" s="2">
        <v>2.0299999999999998</v>
      </c>
      <c r="I78" s="2">
        <v>5.7027206510166897</v>
      </c>
      <c r="J78" s="2">
        <v>-3.5363744224014837E-2</v>
      </c>
      <c r="K78" s="2" t="s">
        <v>281</v>
      </c>
      <c r="L78" s="2">
        <v>51.432499999999997</v>
      </c>
      <c r="M78" s="2">
        <v>51.205500000000001</v>
      </c>
      <c r="N78" s="2">
        <v>-2.4404008980443592E-2</v>
      </c>
      <c r="O78" s="2">
        <v>-2.6711364464822474E-2</v>
      </c>
      <c r="P78" s="2">
        <v>63.186870499065265</v>
      </c>
      <c r="Q78" s="2">
        <v>9.4483833907260006E-2</v>
      </c>
      <c r="R78" s="2">
        <v>5.5460445923137237E-2</v>
      </c>
      <c r="S78" s="2">
        <v>2.0096701699122397E-2</v>
      </c>
      <c r="T78" s="2">
        <v>0</v>
      </c>
      <c r="U78" s="2">
        <v>0</v>
      </c>
      <c r="V78" s="2">
        <v>0</v>
      </c>
      <c r="W78" s="2">
        <v>0</v>
      </c>
      <c r="X78" s="2">
        <v>7.8439066674951263E-4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1</v>
      </c>
      <c r="CR78" s="2">
        <v>1</v>
      </c>
      <c r="CS78" s="2">
        <v>1</v>
      </c>
      <c r="CT78" s="2">
        <v>0</v>
      </c>
    </row>
    <row r="79" spans="1:98" x14ac:dyDescent="0.2">
      <c r="A79" s="2" t="s">
        <v>358</v>
      </c>
      <c r="B79" s="2" t="s">
        <v>281</v>
      </c>
      <c r="C79" s="2" t="s">
        <v>281</v>
      </c>
      <c r="D79" s="2" t="s">
        <v>281</v>
      </c>
      <c r="E79" s="2" t="s">
        <v>281</v>
      </c>
      <c r="F79" s="2" t="s">
        <v>281</v>
      </c>
      <c r="G79" s="2">
        <v>80.2416736450337</v>
      </c>
      <c r="H79" s="2">
        <v>2.4500000000000002</v>
      </c>
      <c r="I79" s="2">
        <v>5.3053043070694397</v>
      </c>
      <c r="J79" s="2">
        <v>-2.7488916472839065E-2</v>
      </c>
      <c r="K79" s="2" t="s">
        <v>281</v>
      </c>
      <c r="L79" s="2">
        <v>50.800199999999997</v>
      </c>
      <c r="M79" s="2">
        <v>51.501300000000001</v>
      </c>
      <c r="N79" s="2">
        <v>-1.2369976781688496E-2</v>
      </c>
      <c r="O79" s="2">
        <v>5.760101918399041E-3</v>
      </c>
      <c r="P79" s="2">
        <v>64.016497761988219</v>
      </c>
      <c r="Q79" s="2">
        <v>1.3044293368999149E-2</v>
      </c>
      <c r="R79" s="2">
        <v>5.1693605169656424E-2</v>
      </c>
      <c r="S79" s="2">
        <v>2.4204688696817359E-2</v>
      </c>
      <c r="T79" s="2">
        <v>0</v>
      </c>
      <c r="U79" s="2">
        <v>0</v>
      </c>
      <c r="V79" s="2">
        <v>0</v>
      </c>
      <c r="W79" s="2">
        <v>0</v>
      </c>
      <c r="X79" s="2">
        <v>4.1079869976949623E-3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1</v>
      </c>
      <c r="CR79" s="2">
        <v>1</v>
      </c>
      <c r="CS79" s="2">
        <v>1</v>
      </c>
      <c r="CT79" s="2">
        <v>0</v>
      </c>
    </row>
    <row r="80" spans="1:98" x14ac:dyDescent="0.2">
      <c r="A80" s="2" t="s">
        <v>359</v>
      </c>
      <c r="B80" s="2" t="s">
        <v>281</v>
      </c>
      <c r="C80" s="2" t="s">
        <v>281</v>
      </c>
      <c r="D80" s="2" t="s">
        <v>281</v>
      </c>
      <c r="E80" s="2" t="s">
        <v>281</v>
      </c>
      <c r="F80" s="2" t="s">
        <v>281</v>
      </c>
      <c r="G80" s="2">
        <v>84.147071411956205</v>
      </c>
      <c r="H80" s="2">
        <v>3.21</v>
      </c>
      <c r="I80" s="2">
        <v>5.5456120912525897</v>
      </c>
      <c r="J80" s="2">
        <v>-2.237745400254474E-2</v>
      </c>
      <c r="K80" s="2" t="s">
        <v>281</v>
      </c>
      <c r="L80" s="2">
        <v>50.401299999999999</v>
      </c>
      <c r="M80" s="2">
        <v>49.051600000000001</v>
      </c>
      <c r="N80" s="2">
        <v>-7.8833231890942379E-3</v>
      </c>
      <c r="O80" s="2">
        <v>-4.8734244814446992E-2</v>
      </c>
      <c r="P80" s="2">
        <v>67.132209038298839</v>
      </c>
      <c r="Q80" s="2">
        <v>4.7523116609146321E-2</v>
      </c>
      <c r="R80" s="2">
        <v>5.3973015592295323E-2</v>
      </c>
      <c r="S80" s="2">
        <v>3.1595561589750583E-2</v>
      </c>
      <c r="T80" s="2">
        <v>0</v>
      </c>
      <c r="U80" s="2">
        <v>0</v>
      </c>
      <c r="V80" s="2">
        <v>0</v>
      </c>
      <c r="W80" s="2">
        <v>0</v>
      </c>
      <c r="X80" s="2">
        <v>7.3908728929332236E-3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1</v>
      </c>
      <c r="CR80" s="2">
        <v>1</v>
      </c>
      <c r="CS80" s="2">
        <v>1</v>
      </c>
      <c r="CT80" s="2">
        <v>0</v>
      </c>
    </row>
    <row r="81" spans="1:98" x14ac:dyDescent="0.2">
      <c r="A81" s="2" t="s">
        <v>360</v>
      </c>
      <c r="B81" s="2" t="s">
        <v>281</v>
      </c>
      <c r="C81" s="2" t="s">
        <v>281</v>
      </c>
      <c r="D81" s="2" t="s">
        <v>281</v>
      </c>
      <c r="E81" s="2" t="s">
        <v>281</v>
      </c>
      <c r="F81" s="2" t="s">
        <v>281</v>
      </c>
      <c r="G81" s="2">
        <v>83.222716910909497</v>
      </c>
      <c r="H81" s="2">
        <v>3.04</v>
      </c>
      <c r="I81" s="2">
        <v>4.9455824428234401</v>
      </c>
      <c r="J81" s="2">
        <v>-1.8324691007777016E-2</v>
      </c>
      <c r="K81" s="2" t="s">
        <v>281</v>
      </c>
      <c r="L81" s="2">
        <v>50.5944</v>
      </c>
      <c r="M81" s="2">
        <v>50.597000000000001</v>
      </c>
      <c r="N81" s="2">
        <v>3.8239298366042895E-3</v>
      </c>
      <c r="O81" s="2">
        <v>3.1019480743137873E-2</v>
      </c>
      <c r="P81" s="2">
        <v>66.394762582367363</v>
      </c>
      <c r="Q81" s="2">
        <v>-1.104576768108867E-2</v>
      </c>
      <c r="R81" s="2">
        <v>4.8271767375729115E-2</v>
      </c>
      <c r="S81" s="2">
        <v>2.9947076367952099E-2</v>
      </c>
      <c r="T81" s="2">
        <v>0</v>
      </c>
      <c r="U81" s="2">
        <v>0</v>
      </c>
      <c r="V81" s="2">
        <v>0</v>
      </c>
      <c r="W81" s="2">
        <v>0</v>
      </c>
      <c r="X81" s="2">
        <v>-1.648485221798484E-3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1</v>
      </c>
      <c r="CR81" s="2">
        <v>1</v>
      </c>
      <c r="CS81" s="2">
        <v>1</v>
      </c>
      <c r="CT81" s="2">
        <v>0</v>
      </c>
    </row>
    <row r="82" spans="1:98" x14ac:dyDescent="0.2">
      <c r="A82" s="2" t="s">
        <v>361</v>
      </c>
      <c r="B82" s="2" t="s">
        <v>281</v>
      </c>
      <c r="C82" s="2" t="s">
        <v>281</v>
      </c>
      <c r="D82" s="2" t="s">
        <v>281</v>
      </c>
      <c r="E82" s="2" t="s">
        <v>281</v>
      </c>
      <c r="F82" s="2" t="s">
        <v>281</v>
      </c>
      <c r="G82" s="2">
        <v>85.348732263317004</v>
      </c>
      <c r="H82" s="2">
        <v>3.43</v>
      </c>
      <c r="I82" s="2">
        <v>4.2303253109904597</v>
      </c>
      <c r="J82" s="2">
        <v>-7.708061444535029E-3</v>
      </c>
      <c r="K82" s="2" t="s">
        <v>281</v>
      </c>
      <c r="L82" s="2">
        <v>51.417200000000001</v>
      </c>
      <c r="M82" s="2">
        <v>52.056100000000001</v>
      </c>
      <c r="N82" s="2">
        <v>1.6131848602995102E-2</v>
      </c>
      <c r="O82" s="2">
        <v>2.8429697200747395E-2</v>
      </c>
      <c r="P82" s="2">
        <v>68.090889431009828</v>
      </c>
      <c r="Q82" s="2">
        <v>2.5225245388767803E-2</v>
      </c>
      <c r="R82" s="2">
        <v>4.1432930846155923E-2</v>
      </c>
      <c r="S82" s="2">
        <v>3.3724869401620894E-2</v>
      </c>
      <c r="T82" s="2">
        <v>0</v>
      </c>
      <c r="U82" s="2">
        <v>0</v>
      </c>
      <c r="V82" s="2">
        <v>0</v>
      </c>
      <c r="W82" s="2">
        <v>0</v>
      </c>
      <c r="X82" s="2">
        <v>3.777793033668795E-3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1</v>
      </c>
      <c r="CR82" s="2">
        <v>1</v>
      </c>
      <c r="CS82" s="2">
        <v>1</v>
      </c>
      <c r="CT82" s="2">
        <v>0</v>
      </c>
    </row>
    <row r="83" spans="1:98" x14ac:dyDescent="0.2">
      <c r="A83" s="2" t="s">
        <v>362</v>
      </c>
      <c r="B83" s="2" t="s">
        <v>281</v>
      </c>
      <c r="C83" s="2" t="s">
        <v>281</v>
      </c>
      <c r="D83" s="2" t="s">
        <v>281</v>
      </c>
      <c r="E83" s="2" t="s">
        <v>281</v>
      </c>
      <c r="F83" s="2" t="s">
        <v>281</v>
      </c>
      <c r="G83" s="2">
        <v>86.958649685973498</v>
      </c>
      <c r="H83" s="2">
        <v>3.96</v>
      </c>
      <c r="I83" s="2">
        <v>9.4805311984775997</v>
      </c>
      <c r="J83" s="2">
        <v>-5.1740526401279692E-2</v>
      </c>
      <c r="K83" s="2" t="s">
        <v>281</v>
      </c>
      <c r="L83" s="2">
        <v>52.054000000000002</v>
      </c>
      <c r="M83" s="2">
        <v>52.631500000000003</v>
      </c>
      <c r="N83" s="2">
        <v>1.230889445664296E-2</v>
      </c>
      <c r="O83" s="2">
        <v>1.0992816615588374E-2</v>
      </c>
      <c r="P83" s="2">
        <v>69.375275341757259</v>
      </c>
      <c r="Q83" s="2">
        <v>1.8687118960272642E-2</v>
      </c>
      <c r="R83" s="2">
        <v>9.0576550186477908E-2</v>
      </c>
      <c r="S83" s="2">
        <v>3.8836023785198216E-2</v>
      </c>
      <c r="T83" s="2">
        <v>0</v>
      </c>
      <c r="U83" s="2">
        <v>0</v>
      </c>
      <c r="V83" s="2">
        <v>0</v>
      </c>
      <c r="W83" s="2">
        <v>0</v>
      </c>
      <c r="X83" s="2">
        <v>5.1111543835773224E-3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1</v>
      </c>
      <c r="CR83" s="2">
        <v>1</v>
      </c>
      <c r="CS83" s="2">
        <v>1</v>
      </c>
      <c r="CT83" s="2">
        <v>0</v>
      </c>
    </row>
    <row r="84" spans="1:98" x14ac:dyDescent="0.2">
      <c r="A84" s="2" t="s">
        <v>363</v>
      </c>
      <c r="B84" s="2" t="s">
        <v>281</v>
      </c>
      <c r="C84" s="2" t="s">
        <v>281</v>
      </c>
      <c r="D84" s="2" t="s">
        <v>281</v>
      </c>
      <c r="E84" s="2" t="s">
        <v>281</v>
      </c>
      <c r="F84" s="2" t="s">
        <v>281</v>
      </c>
      <c r="G84" s="2">
        <v>80.649930216329395</v>
      </c>
      <c r="H84" s="2">
        <v>4.04</v>
      </c>
      <c r="I84" s="2">
        <v>6.6733597560518803</v>
      </c>
      <c r="J84" s="2">
        <v>-2.4996012289642711E-2</v>
      </c>
      <c r="K84" s="2" t="s">
        <v>281</v>
      </c>
      <c r="L84" s="2">
        <v>52.962600000000002</v>
      </c>
      <c r="M84" s="2">
        <v>52.954599999999999</v>
      </c>
      <c r="N84" s="2">
        <v>1.7304362787579741E-2</v>
      </c>
      <c r="O84" s="2">
        <v>6.1201428693014037E-3</v>
      </c>
      <c r="P84" s="2">
        <v>64.342203280024677</v>
      </c>
      <c r="Q84" s="2">
        <v>-7.5314775396964073E-2</v>
      </c>
      <c r="R84" s="2">
        <v>6.4601266882002129E-2</v>
      </c>
      <c r="S84" s="2">
        <v>3.9605254592359418E-2</v>
      </c>
      <c r="T84" s="2">
        <v>0</v>
      </c>
      <c r="U84" s="2">
        <v>0</v>
      </c>
      <c r="V84" s="2">
        <v>0</v>
      </c>
      <c r="W84" s="2">
        <v>0</v>
      </c>
      <c r="X84" s="2">
        <v>7.6923080716120168E-4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1</v>
      </c>
      <c r="CR84" s="2">
        <v>1</v>
      </c>
      <c r="CS84" s="2">
        <v>1</v>
      </c>
      <c r="CT84" s="2">
        <v>0</v>
      </c>
    </row>
    <row r="85" spans="1:98" x14ac:dyDescent="0.2">
      <c r="A85" s="2" t="s">
        <v>364</v>
      </c>
      <c r="B85" s="2" t="s">
        <v>281</v>
      </c>
      <c r="C85" s="2" t="s">
        <v>281</v>
      </c>
      <c r="D85" s="2" t="s">
        <v>281</v>
      </c>
      <c r="E85" s="2" t="s">
        <v>281</v>
      </c>
      <c r="F85" s="2" t="s">
        <v>281</v>
      </c>
      <c r="G85" s="2">
        <v>73.424559199813899</v>
      </c>
      <c r="H85" s="2">
        <v>5.65</v>
      </c>
      <c r="I85" s="2">
        <v>6.61408363651688</v>
      </c>
      <c r="J85" s="2">
        <v>-9.0838756083019695E-3</v>
      </c>
      <c r="K85" s="2">
        <v>-0.30855787949165936</v>
      </c>
      <c r="L85" s="2">
        <v>53.2684</v>
      </c>
      <c r="M85" s="2">
        <v>52.888800000000003</v>
      </c>
      <c r="N85" s="2">
        <v>5.7572807311849772E-3</v>
      </c>
      <c r="O85" s="2">
        <v>-1.2433464623535784E-3</v>
      </c>
      <c r="P85" s="2">
        <v>58.577830149493316</v>
      </c>
      <c r="Q85" s="2">
        <v>-9.385946564595038E-2</v>
      </c>
      <c r="R85" s="2">
        <v>6.4045433682276304E-2</v>
      </c>
      <c r="S85" s="2">
        <v>5.4961558073974334E-2</v>
      </c>
      <c r="T85" s="2">
        <v>0</v>
      </c>
      <c r="U85" s="2">
        <v>0</v>
      </c>
      <c r="V85" s="2">
        <v>0</v>
      </c>
      <c r="W85" s="2">
        <v>0</v>
      </c>
      <c r="X85" s="2">
        <v>1.5356303481614916E-2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1</v>
      </c>
      <c r="CR85" s="2">
        <v>1</v>
      </c>
      <c r="CS85" s="2">
        <v>1</v>
      </c>
      <c r="CT85" s="2">
        <v>0</v>
      </c>
    </row>
    <row r="86" spans="1:98" x14ac:dyDescent="0.2">
      <c r="A86" s="2" t="s">
        <v>365</v>
      </c>
      <c r="B86" s="2" t="s">
        <v>281</v>
      </c>
      <c r="C86" s="2" t="s">
        <v>281</v>
      </c>
      <c r="D86" s="2" t="s">
        <v>281</v>
      </c>
      <c r="E86" s="2" t="s">
        <v>281</v>
      </c>
      <c r="F86" s="2" t="s">
        <v>281</v>
      </c>
      <c r="G86" s="2">
        <v>71.683691556175802</v>
      </c>
      <c r="H86" s="2">
        <v>5.29</v>
      </c>
      <c r="I86" s="2">
        <v>6.83751111696695</v>
      </c>
      <c r="J86" s="2">
        <v>-1.4590644678377784E-2</v>
      </c>
      <c r="K86" s="2">
        <v>-0.28816165405451843</v>
      </c>
      <c r="L86" s="2">
        <v>52.963700000000003</v>
      </c>
      <c r="M86" s="2">
        <v>52.526299999999999</v>
      </c>
      <c r="N86" s="2">
        <v>-5.7365115737608718E-3</v>
      </c>
      <c r="O86" s="2">
        <v>-6.8775996777432624E-3</v>
      </c>
      <c r="P86" s="2">
        <v>57.188972657488925</v>
      </c>
      <c r="Q86" s="2">
        <v>-2.3995205814038911E-2</v>
      </c>
      <c r="R86" s="2">
        <v>6.6138906558954338E-2</v>
      </c>
      <c r="S86" s="2">
        <v>5.1548261880576554E-2</v>
      </c>
      <c r="T86" s="2">
        <v>0</v>
      </c>
      <c r="U86" s="2">
        <v>0</v>
      </c>
      <c r="V86" s="2">
        <v>0</v>
      </c>
      <c r="W86" s="2">
        <v>0</v>
      </c>
      <c r="X86" s="2">
        <v>-3.4132961933977801E-3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1</v>
      </c>
      <c r="CR86" s="2">
        <v>1</v>
      </c>
      <c r="CS86" s="2">
        <v>1</v>
      </c>
      <c r="CT86" s="2">
        <v>0</v>
      </c>
    </row>
    <row r="87" spans="1:98" x14ac:dyDescent="0.2">
      <c r="A87" s="2" t="s">
        <v>366</v>
      </c>
      <c r="B87" s="2" t="s">
        <v>281</v>
      </c>
      <c r="C87" s="2" t="s">
        <v>281</v>
      </c>
      <c r="D87" s="2" t="s">
        <v>281</v>
      </c>
      <c r="E87" s="2" t="s">
        <v>281</v>
      </c>
      <c r="F87" s="2" t="s">
        <v>281</v>
      </c>
      <c r="G87" s="2">
        <v>71.337058618283294</v>
      </c>
      <c r="H87" s="2">
        <v>4.8</v>
      </c>
      <c r="I87" s="2">
        <v>6.4011493827617096</v>
      </c>
      <c r="J87" s="2">
        <v>-1.5162607431820838E-2</v>
      </c>
      <c r="K87" s="2">
        <v>-0.28258904762999737</v>
      </c>
      <c r="L87" s="2">
        <v>52.711100000000002</v>
      </c>
      <c r="M87" s="2">
        <v>53.074599999999997</v>
      </c>
      <c r="N87" s="2">
        <v>-4.7807136820181562E-3</v>
      </c>
      <c r="O87" s="2">
        <v>1.038447451219815E-2</v>
      </c>
      <c r="P87" s="2">
        <v>56.912430236514631</v>
      </c>
      <c r="Q87" s="2">
        <v>-4.8473192343250204E-3</v>
      </c>
      <c r="R87" s="2">
        <v>6.2046193330671295E-2</v>
      </c>
      <c r="S87" s="2">
        <v>4.6883585898850458E-2</v>
      </c>
      <c r="T87" s="2">
        <v>0</v>
      </c>
      <c r="U87" s="2">
        <v>0</v>
      </c>
      <c r="V87" s="2">
        <v>0</v>
      </c>
      <c r="W87" s="2">
        <v>0</v>
      </c>
      <c r="X87" s="2">
        <v>-4.6646759817260963E-3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1</v>
      </c>
      <c r="CR87" s="2">
        <v>1</v>
      </c>
      <c r="CS87" s="2">
        <v>1</v>
      </c>
      <c r="CT87" s="2">
        <v>0</v>
      </c>
    </row>
    <row r="88" spans="1:98" x14ac:dyDescent="0.2">
      <c r="A88" s="2" t="s">
        <v>367</v>
      </c>
      <c r="B88" s="2" t="s">
        <v>281</v>
      </c>
      <c r="C88" s="2" t="s">
        <v>281</v>
      </c>
      <c r="D88" s="2" t="s">
        <v>281</v>
      </c>
      <c r="E88" s="2" t="s">
        <v>281</v>
      </c>
      <c r="F88" s="2" t="s">
        <v>281</v>
      </c>
      <c r="G88" s="2">
        <v>72.122759944172998</v>
      </c>
      <c r="H88" s="2">
        <v>5.05</v>
      </c>
      <c r="I88" s="2">
        <v>4.9717481382747701</v>
      </c>
      <c r="J88" s="2">
        <v>7.4517868782579544E-4</v>
      </c>
      <c r="K88" s="2">
        <v>-0.25829039578045232</v>
      </c>
      <c r="L88" s="2">
        <v>53.000599999999999</v>
      </c>
      <c r="M88" s="2">
        <v>53.657699999999998</v>
      </c>
      <c r="N88" s="2">
        <v>5.4771746880653005E-3</v>
      </c>
      <c r="O88" s="2">
        <v>1.0926510555494762E-2</v>
      </c>
      <c r="P88" s="2">
        <v>57.539259724056393</v>
      </c>
      <c r="Q88" s="2">
        <v>1.0953717768620308E-2</v>
      </c>
      <c r="R88" s="2">
        <v>4.8521062615092252E-2</v>
      </c>
      <c r="S88" s="2">
        <v>4.9266241302918047E-2</v>
      </c>
      <c r="T88" s="2">
        <v>0</v>
      </c>
      <c r="U88" s="2">
        <v>0</v>
      </c>
      <c r="V88" s="2">
        <v>0</v>
      </c>
      <c r="W88" s="2">
        <v>0</v>
      </c>
      <c r="X88" s="2">
        <v>2.3826554040675893E-3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1</v>
      </c>
      <c r="CR88" s="2">
        <v>1</v>
      </c>
      <c r="CS88" s="2">
        <v>1</v>
      </c>
      <c r="CT88" s="2">
        <v>0</v>
      </c>
    </row>
    <row r="89" spans="1:98" x14ac:dyDescent="0.2">
      <c r="A89" s="2" t="s">
        <v>368</v>
      </c>
      <c r="B89" s="2" t="s">
        <v>281</v>
      </c>
      <c r="C89" s="2" t="s">
        <v>281</v>
      </c>
      <c r="D89" s="2" t="s">
        <v>281</v>
      </c>
      <c r="E89" s="2" t="s">
        <v>281</v>
      </c>
      <c r="F89" s="2" t="s">
        <v>281</v>
      </c>
      <c r="G89" s="2">
        <v>67.354631309606901</v>
      </c>
      <c r="H89" s="2">
        <v>4.5199999999999996</v>
      </c>
      <c r="I89" s="2">
        <v>6.4620667572073698</v>
      </c>
      <c r="J89" s="2">
        <v>-1.8410300366163396E-2</v>
      </c>
      <c r="K89" s="2">
        <v>-0.24450165523947129</v>
      </c>
      <c r="L89" s="2">
        <v>52.767200000000003</v>
      </c>
      <c r="M89" s="2">
        <v>52.546999999999997</v>
      </c>
      <c r="N89" s="2">
        <v>-4.4134486839522147E-3</v>
      </c>
      <c r="O89" s="2">
        <v>-2.0916974405273514E-2</v>
      </c>
      <c r="P89" s="2">
        <v>53.735265088876396</v>
      </c>
      <c r="Q89" s="2">
        <v>-6.8398001082513815E-2</v>
      </c>
      <c r="R89" s="2">
        <v>6.2618555030483677E-2</v>
      </c>
      <c r="S89" s="2">
        <v>4.4208254664320282E-2</v>
      </c>
      <c r="T89" s="2">
        <v>0</v>
      </c>
      <c r="U89" s="2">
        <v>0</v>
      </c>
      <c r="V89" s="2">
        <v>0</v>
      </c>
      <c r="W89" s="2">
        <v>0</v>
      </c>
      <c r="X89" s="2">
        <v>-5.0579866385977654E-3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1</v>
      </c>
      <c r="CR89" s="2">
        <v>1</v>
      </c>
      <c r="CS89" s="2">
        <v>1</v>
      </c>
      <c r="CT89" s="2">
        <v>0</v>
      </c>
    </row>
    <row r="90" spans="1:98" x14ac:dyDescent="0.2">
      <c r="A90" s="2" t="s">
        <v>369</v>
      </c>
      <c r="B90" s="2" t="s">
        <v>281</v>
      </c>
      <c r="C90" s="2" t="s">
        <v>281</v>
      </c>
      <c r="D90" s="2" t="s">
        <v>281</v>
      </c>
      <c r="E90" s="2" t="s">
        <v>281</v>
      </c>
      <c r="F90" s="2" t="s">
        <v>281</v>
      </c>
      <c r="G90" s="2">
        <v>69.811873691556102</v>
      </c>
      <c r="H90" s="2">
        <v>5.7</v>
      </c>
      <c r="I90" s="2">
        <v>5.55956004750076</v>
      </c>
      <c r="J90" s="2">
        <v>1.3295490453132039E-3</v>
      </c>
      <c r="K90" s="2">
        <v>-0.20780836197014324</v>
      </c>
      <c r="L90" s="2">
        <v>53.074300000000001</v>
      </c>
      <c r="M90" s="2">
        <v>52.8476</v>
      </c>
      <c r="N90" s="2">
        <v>5.8030330598835E-3</v>
      </c>
      <c r="O90" s="2">
        <v>5.7042925368158137E-3</v>
      </c>
      <c r="P90" s="2">
        <v>55.695643584227604</v>
      </c>
      <c r="Q90" s="2">
        <v>3.5832440198405813E-2</v>
      </c>
      <c r="R90" s="2">
        <v>5.410515784278732E-2</v>
      </c>
      <c r="S90" s="2">
        <v>5.5434706888100524E-2</v>
      </c>
      <c r="T90" s="2">
        <v>0</v>
      </c>
      <c r="U90" s="2">
        <v>0</v>
      </c>
      <c r="V90" s="2">
        <v>0</v>
      </c>
      <c r="W90" s="2">
        <v>0</v>
      </c>
      <c r="X90" s="2">
        <v>1.1226452223780242E-2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1</v>
      </c>
      <c r="CR90" s="2">
        <v>1</v>
      </c>
      <c r="CS90" s="2">
        <v>1</v>
      </c>
      <c r="CT90" s="2">
        <v>0</v>
      </c>
    </row>
    <row r="91" spans="1:98" x14ac:dyDescent="0.2">
      <c r="A91" s="2" t="s">
        <v>370</v>
      </c>
      <c r="B91" s="2" t="s">
        <v>281</v>
      </c>
      <c r="C91" s="2" t="s">
        <v>281</v>
      </c>
      <c r="D91" s="2" t="s">
        <v>281</v>
      </c>
      <c r="E91" s="2" t="s">
        <v>281</v>
      </c>
      <c r="F91" s="2" t="s">
        <v>281</v>
      </c>
      <c r="G91" s="2">
        <v>72.477095836241006</v>
      </c>
      <c r="H91" s="2">
        <v>4.75</v>
      </c>
      <c r="I91" s="2">
        <v>5.51778345450973</v>
      </c>
      <c r="J91" s="2">
        <v>-7.302943458490356E-3</v>
      </c>
      <c r="K91" s="2">
        <v>-0.18762238895579453</v>
      </c>
      <c r="L91" s="2">
        <v>53.326099999999997</v>
      </c>
      <c r="M91" s="2">
        <v>54.043700000000001</v>
      </c>
      <c r="N91" s="2">
        <v>4.7330737491244612E-3</v>
      </c>
      <c r="O91" s="2">
        <v>2.238067880680239E-2</v>
      </c>
      <c r="P91" s="2">
        <v>57.821947532163549</v>
      </c>
      <c r="Q91" s="2">
        <v>3.7466486951985623E-2</v>
      </c>
      <c r="R91" s="2">
        <v>5.370931627264619E-2</v>
      </c>
      <c r="S91" s="2">
        <v>4.6406372814155834E-2</v>
      </c>
      <c r="T91" s="2">
        <v>0</v>
      </c>
      <c r="U91" s="2">
        <v>0</v>
      </c>
      <c r="V91" s="2">
        <v>0</v>
      </c>
      <c r="W91" s="2">
        <v>0</v>
      </c>
      <c r="X91" s="2">
        <v>-9.0283340739446896E-3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1</v>
      </c>
      <c r="CR91" s="2">
        <v>1</v>
      </c>
      <c r="CS91" s="2">
        <v>1</v>
      </c>
      <c r="CT91" s="2">
        <v>0</v>
      </c>
    </row>
    <row r="92" spans="1:98" x14ac:dyDescent="0.2">
      <c r="A92" s="2" t="s">
        <v>371</v>
      </c>
      <c r="B92" s="2" t="s">
        <v>281</v>
      </c>
      <c r="C92" s="2" t="s">
        <v>281</v>
      </c>
      <c r="D92" s="2" t="s">
        <v>281</v>
      </c>
      <c r="E92" s="2" t="s">
        <v>281</v>
      </c>
      <c r="F92" s="2" t="s">
        <v>281</v>
      </c>
      <c r="G92" s="2">
        <v>75.134615026750396</v>
      </c>
      <c r="H92" s="2">
        <v>5.6</v>
      </c>
      <c r="I92" s="2">
        <v>6.2558195835971597</v>
      </c>
      <c r="J92" s="2">
        <v>-6.1912075839062747E-3</v>
      </c>
      <c r="K92" s="2">
        <v>-0.17143614253715606</v>
      </c>
      <c r="L92" s="2">
        <v>53.659199999999998</v>
      </c>
      <c r="M92" s="2">
        <v>52.405700000000003</v>
      </c>
      <c r="N92" s="2">
        <v>6.2270438342189038E-3</v>
      </c>
      <c r="O92" s="2">
        <v>-3.0777614512828677E-2</v>
      </c>
      <c r="P92" s="2">
        <v>59.942106092966625</v>
      </c>
      <c r="Q92" s="2">
        <v>3.6010779263231818E-2</v>
      </c>
      <c r="R92" s="2">
        <v>6.0679392867976051E-2</v>
      </c>
      <c r="S92" s="2">
        <v>5.4488185284069776E-2</v>
      </c>
      <c r="T92" s="2">
        <v>0</v>
      </c>
      <c r="U92" s="2">
        <v>0</v>
      </c>
      <c r="V92" s="2">
        <v>0</v>
      </c>
      <c r="W92" s="2">
        <v>0</v>
      </c>
      <c r="X92" s="2">
        <v>8.0818124699139418E-3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1</v>
      </c>
      <c r="CR92" s="2">
        <v>1</v>
      </c>
      <c r="CS92" s="2">
        <v>1</v>
      </c>
      <c r="CT92" s="2">
        <v>0</v>
      </c>
    </row>
    <row r="93" spans="1:98" x14ac:dyDescent="0.2">
      <c r="A93" s="2" t="s">
        <v>372</v>
      </c>
      <c r="B93" s="2" t="s">
        <v>281</v>
      </c>
      <c r="C93" s="2" t="s">
        <v>281</v>
      </c>
      <c r="D93" s="2" t="s">
        <v>281</v>
      </c>
      <c r="E93" s="2" t="s">
        <v>281</v>
      </c>
      <c r="F93" s="2" t="s">
        <v>281</v>
      </c>
      <c r="G93" s="2">
        <v>73.162658757850593</v>
      </c>
      <c r="H93" s="2">
        <v>5.89</v>
      </c>
      <c r="I93" s="2">
        <v>5.4957958892165397</v>
      </c>
      <c r="J93" s="2">
        <v>3.7297167115623794E-3</v>
      </c>
      <c r="K93" s="2">
        <v>-0.14938173481781666</v>
      </c>
      <c r="L93" s="2">
        <v>53.647199999999998</v>
      </c>
      <c r="M93" s="2">
        <v>53.600499999999997</v>
      </c>
      <c r="N93" s="2">
        <v>-2.2365860843409635E-4</v>
      </c>
      <c r="O93" s="2">
        <v>2.2543032354471304E-2</v>
      </c>
      <c r="P93" s="2">
        <v>58.368886986979348</v>
      </c>
      <c r="Q93" s="2">
        <v>-2.6596207160931584E-2</v>
      </c>
      <c r="R93" s="2">
        <v>5.3500916742709285E-2</v>
      </c>
      <c r="S93" s="2">
        <v>5.7230633454271665E-2</v>
      </c>
      <c r="T93" s="2">
        <v>0</v>
      </c>
      <c r="U93" s="2">
        <v>0</v>
      </c>
      <c r="V93" s="2">
        <v>0</v>
      </c>
      <c r="W93" s="2">
        <v>0</v>
      </c>
      <c r="X93" s="2">
        <v>2.7424481702018888E-3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1</v>
      </c>
      <c r="CR93" s="2">
        <v>1</v>
      </c>
      <c r="CS93" s="2">
        <v>1</v>
      </c>
      <c r="CT93" s="2">
        <v>0</v>
      </c>
    </row>
    <row r="94" spans="1:98" x14ac:dyDescent="0.2">
      <c r="A94" s="2" t="s">
        <v>373</v>
      </c>
      <c r="B94" s="2" t="s">
        <v>281</v>
      </c>
      <c r="C94" s="2" t="s">
        <v>281</v>
      </c>
      <c r="D94" s="2" t="s">
        <v>281</v>
      </c>
      <c r="E94" s="2" t="s">
        <v>281</v>
      </c>
      <c r="F94" s="2" t="s">
        <v>281</v>
      </c>
      <c r="G94" s="2">
        <v>71.144484763898603</v>
      </c>
      <c r="H94" s="2">
        <v>5.6</v>
      </c>
      <c r="I94" s="2">
        <v>5.25684049640323</v>
      </c>
      <c r="J94" s="2">
        <v>3.2549079816778237E-3</v>
      </c>
      <c r="K94" s="2">
        <v>-0.13841876539160378</v>
      </c>
      <c r="L94" s="2">
        <v>53.327599999999997</v>
      </c>
      <c r="M94" s="2">
        <v>53.619599999999998</v>
      </c>
      <c r="N94" s="2">
        <v>-5.9752568064217471E-3</v>
      </c>
      <c r="O94" s="2">
        <v>3.5627648551050939E-4</v>
      </c>
      <c r="P94" s="2">
        <v>56.758795558195615</v>
      </c>
      <c r="Q94" s="2">
        <v>-2.7972358634680283E-2</v>
      </c>
      <c r="R94" s="2">
        <v>5.1233277302391952E-2</v>
      </c>
      <c r="S94" s="2">
        <v>5.4488185284069776E-2</v>
      </c>
      <c r="T94" s="2">
        <v>0</v>
      </c>
      <c r="U94" s="2">
        <v>0</v>
      </c>
      <c r="V94" s="2">
        <v>0</v>
      </c>
      <c r="W94" s="2">
        <v>0</v>
      </c>
      <c r="X94" s="2">
        <v>-2.7424481702018888E-3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1</v>
      </c>
      <c r="CR94" s="2">
        <v>1</v>
      </c>
      <c r="CS94" s="2">
        <v>1</v>
      </c>
      <c r="CT94" s="2">
        <v>0</v>
      </c>
    </row>
    <row r="95" spans="1:98" x14ac:dyDescent="0.2">
      <c r="A95" s="2" t="s">
        <v>374</v>
      </c>
      <c r="B95" s="2" t="s">
        <v>281</v>
      </c>
      <c r="C95" s="2" t="s">
        <v>281</v>
      </c>
      <c r="D95" s="2" t="s">
        <v>281</v>
      </c>
      <c r="E95" s="2" t="s">
        <v>281</v>
      </c>
      <c r="F95" s="2" t="s">
        <v>281</v>
      </c>
      <c r="G95" s="2">
        <v>73.054817399395205</v>
      </c>
      <c r="H95" s="2">
        <v>6.02</v>
      </c>
      <c r="I95" s="2">
        <v>5.0775562386309501</v>
      </c>
      <c r="J95" s="2">
        <v>8.9290472115423625E-3</v>
      </c>
      <c r="K95" s="2">
        <v>-7.7749191778781784E-2</v>
      </c>
      <c r="L95" s="2">
        <v>52.943100000000001</v>
      </c>
      <c r="M95" s="2">
        <v>53.3889</v>
      </c>
      <c r="N95" s="2">
        <v>-7.2362688457898727E-3</v>
      </c>
      <c r="O95" s="2">
        <v>-4.311813686315169E-3</v>
      </c>
      <c r="P95" s="2">
        <v>58.282851567120723</v>
      </c>
      <c r="Q95" s="2">
        <v>2.6497276710910178E-2</v>
      </c>
      <c r="R95" s="2">
        <v>4.9528522360026327E-2</v>
      </c>
      <c r="S95" s="2">
        <v>5.8457569571568689E-2</v>
      </c>
      <c r="T95" s="2">
        <v>0</v>
      </c>
      <c r="U95" s="2">
        <v>0</v>
      </c>
      <c r="V95" s="2">
        <v>0</v>
      </c>
      <c r="W95" s="2">
        <v>0</v>
      </c>
      <c r="X95" s="2">
        <v>3.969384287498913E-3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1</v>
      </c>
      <c r="CR95" s="2">
        <v>1</v>
      </c>
      <c r="CS95" s="2">
        <v>1</v>
      </c>
      <c r="CT95" s="2">
        <v>0</v>
      </c>
    </row>
    <row r="96" spans="1:98" x14ac:dyDescent="0.2">
      <c r="A96" s="2" t="s">
        <v>375</v>
      </c>
      <c r="B96" s="2" t="s">
        <v>281</v>
      </c>
      <c r="C96" s="2" t="s">
        <v>281</v>
      </c>
      <c r="D96" s="2" t="s">
        <v>281</v>
      </c>
      <c r="E96" s="2" t="s">
        <v>281</v>
      </c>
      <c r="F96" s="2" t="s">
        <v>281</v>
      </c>
      <c r="G96" s="2">
        <v>68.456153756687598</v>
      </c>
      <c r="H96" s="2">
        <v>5.5</v>
      </c>
      <c r="I96" s="2">
        <v>5.2715576968572799</v>
      </c>
      <c r="J96" s="2">
        <v>2.167677604035724E-3</v>
      </c>
      <c r="K96" s="2">
        <v>-5.0585501885103322E-2</v>
      </c>
      <c r="L96" s="2">
        <v>52.341299999999997</v>
      </c>
      <c r="M96" s="2">
        <v>52.287799999999997</v>
      </c>
      <c r="N96" s="2">
        <v>-1.1432017547531093E-2</v>
      </c>
      <c r="O96" s="2">
        <v>-2.083978492982963E-2</v>
      </c>
      <c r="P96" s="2">
        <v>54.614055448861436</v>
      </c>
      <c r="Q96" s="2">
        <v>-6.5016633446821182E-2</v>
      </c>
      <c r="R96" s="2">
        <v>5.1373089323994037E-2</v>
      </c>
      <c r="S96" s="2">
        <v>5.3540766928029761E-2</v>
      </c>
      <c r="T96" s="2">
        <v>0</v>
      </c>
      <c r="U96" s="2">
        <v>0</v>
      </c>
      <c r="V96" s="2">
        <v>0</v>
      </c>
      <c r="W96" s="2">
        <v>0</v>
      </c>
      <c r="X96" s="2">
        <v>-4.9168026435389284E-3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1</v>
      </c>
      <c r="CR96" s="2">
        <v>1</v>
      </c>
      <c r="CS96" s="2">
        <v>1</v>
      </c>
      <c r="CT96" s="2">
        <v>0</v>
      </c>
    </row>
    <row r="97" spans="1:98" x14ac:dyDescent="0.2">
      <c r="A97" s="2" t="s">
        <v>376</v>
      </c>
      <c r="B97" s="2" t="s">
        <v>281</v>
      </c>
      <c r="C97" s="2" t="s">
        <v>281</v>
      </c>
      <c r="D97" s="2" t="s">
        <v>281</v>
      </c>
      <c r="E97" s="2" t="s">
        <v>281</v>
      </c>
      <c r="F97" s="2" t="s">
        <v>281</v>
      </c>
      <c r="G97" s="2">
        <v>62.555690858339098</v>
      </c>
      <c r="H97" s="2">
        <v>6.83</v>
      </c>
      <c r="I97" s="2">
        <v>5.92541066937771</v>
      </c>
      <c r="J97" s="2">
        <v>8.5036124701282773E-3</v>
      </c>
      <c r="K97" s="2">
        <v>-3.2998013806673082E-2</v>
      </c>
      <c r="L97" s="2">
        <v>51.768500000000003</v>
      </c>
      <c r="M97" s="2">
        <v>51.530700000000003</v>
      </c>
      <c r="N97" s="2">
        <v>-1.1003878209256079E-2</v>
      </c>
      <c r="O97" s="2">
        <v>-1.4585327693141359E-2</v>
      </c>
      <c r="P97" s="2">
        <v>49.906688905165225</v>
      </c>
      <c r="Q97" s="2">
        <v>-9.0136235456065084E-2</v>
      </c>
      <c r="R97" s="2">
        <v>5.7564987499576434E-2</v>
      </c>
      <c r="S97" s="2">
        <v>6.6068599969704711E-2</v>
      </c>
      <c r="T97" s="2">
        <v>0</v>
      </c>
      <c r="U97" s="2">
        <v>0</v>
      </c>
      <c r="V97" s="2">
        <v>0</v>
      </c>
      <c r="W97" s="2">
        <v>0</v>
      </c>
      <c r="X97" s="2">
        <v>1.252783304167495E-2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1</v>
      </c>
      <c r="CR97" s="2">
        <v>1</v>
      </c>
      <c r="CS97" s="2">
        <v>1</v>
      </c>
      <c r="CT97" s="2">
        <v>0</v>
      </c>
    </row>
    <row r="98" spans="1:98" x14ac:dyDescent="0.2">
      <c r="A98" s="2" t="s">
        <v>377</v>
      </c>
      <c r="B98" s="2" t="s">
        <v>281</v>
      </c>
      <c r="C98" s="2" t="s">
        <v>281</v>
      </c>
      <c r="D98" s="2" t="s">
        <v>281</v>
      </c>
      <c r="E98" s="2" t="s">
        <v>281</v>
      </c>
      <c r="F98" s="2" t="s">
        <v>281</v>
      </c>
      <c r="G98" s="2">
        <v>60.914961618981103</v>
      </c>
      <c r="H98" s="2">
        <v>6.02</v>
      </c>
      <c r="I98" s="2">
        <v>6.97</v>
      </c>
      <c r="J98" s="2">
        <v>-8.9206657583794993E-3</v>
      </c>
      <c r="K98" s="2">
        <v>-2.7328034886674797E-2</v>
      </c>
      <c r="L98" s="2">
        <v>50.734000000000002</v>
      </c>
      <c r="M98" s="2">
        <v>50.627099999999999</v>
      </c>
      <c r="N98" s="2">
        <v>-2.0185558906994583E-2</v>
      </c>
      <c r="O98" s="2">
        <v>-1.7690740519828996E-2</v>
      </c>
      <c r="P98" s="2">
        <v>48.597721445886783</v>
      </c>
      <c r="Q98" s="2">
        <v>-2.6578393991903315E-2</v>
      </c>
      <c r="R98" s="2">
        <v>6.7378235329948188E-2</v>
      </c>
      <c r="S98" s="2">
        <v>5.8457569571568689E-2</v>
      </c>
      <c r="T98" s="2">
        <v>0</v>
      </c>
      <c r="U98" s="2">
        <v>0</v>
      </c>
      <c r="V98" s="2">
        <v>0</v>
      </c>
      <c r="W98" s="2">
        <v>0</v>
      </c>
      <c r="X98" s="2">
        <v>-7.6110303981360219E-3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1</v>
      </c>
      <c r="CR98" s="2">
        <v>1</v>
      </c>
      <c r="CS98" s="2">
        <v>1</v>
      </c>
      <c r="CT98" s="2">
        <v>0</v>
      </c>
    </row>
    <row r="99" spans="1:98" x14ac:dyDescent="0.2">
      <c r="A99" s="2" t="s">
        <v>378</v>
      </c>
      <c r="B99" s="2" t="s">
        <v>281</v>
      </c>
      <c r="C99" s="2" t="s">
        <v>281</v>
      </c>
      <c r="D99" s="2" t="s">
        <v>281</v>
      </c>
      <c r="E99" s="2" t="s">
        <v>281</v>
      </c>
      <c r="F99" s="2" t="s">
        <v>281</v>
      </c>
      <c r="G99" s="2">
        <v>60.337240055826904</v>
      </c>
      <c r="H99" s="2">
        <v>5.31</v>
      </c>
      <c r="I99" s="2">
        <v>6.6366944979661797</v>
      </c>
      <c r="J99" s="2">
        <v>-1.2519297166761027E-2</v>
      </c>
      <c r="K99" s="2">
        <v>-2.4684724621614987E-2</v>
      </c>
      <c r="L99" s="2">
        <v>51.740900000000003</v>
      </c>
      <c r="M99" s="2">
        <v>52.182000000000002</v>
      </c>
      <c r="N99" s="2">
        <v>1.9652273994627212E-2</v>
      </c>
      <c r="O99" s="2">
        <v>3.0250601787831677E-2</v>
      </c>
      <c r="P99" s="2">
        <v>48.136817410929609</v>
      </c>
      <c r="Q99" s="2">
        <v>-9.5293269232685773E-3</v>
      </c>
      <c r="R99" s="2">
        <v>6.4257492571175398E-2</v>
      </c>
      <c r="S99" s="2">
        <v>5.1738195404414371E-2</v>
      </c>
      <c r="T99" s="2">
        <v>0</v>
      </c>
      <c r="U99" s="2">
        <v>0</v>
      </c>
      <c r="V99" s="2">
        <v>0</v>
      </c>
      <c r="W99" s="2">
        <v>0</v>
      </c>
      <c r="X99" s="2">
        <v>-6.7193741671543183E-3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1</v>
      </c>
      <c r="CR99" s="2">
        <v>1</v>
      </c>
      <c r="CS99" s="2">
        <v>1</v>
      </c>
      <c r="CT99" s="2">
        <v>0</v>
      </c>
    </row>
    <row r="100" spans="1:98" x14ac:dyDescent="0.2">
      <c r="A100" s="2" t="s">
        <v>379</v>
      </c>
      <c r="B100" s="2" t="s">
        <v>281</v>
      </c>
      <c r="C100" s="2" t="s">
        <v>281</v>
      </c>
      <c r="D100" s="2" t="s">
        <v>281</v>
      </c>
      <c r="E100" s="2" t="s">
        <v>281</v>
      </c>
      <c r="F100" s="2" t="s">
        <v>281</v>
      </c>
      <c r="G100" s="2">
        <v>71.514226564317298</v>
      </c>
      <c r="H100" s="2">
        <v>6.56</v>
      </c>
      <c r="I100" s="2">
        <v>5.7125901956847702</v>
      </c>
      <c r="J100" s="2">
        <v>7.9842084672662669E-3</v>
      </c>
      <c r="K100" s="2">
        <v>-1.7445694842174515E-2</v>
      </c>
      <c r="L100" s="2">
        <v>51.358600000000003</v>
      </c>
      <c r="M100" s="2">
        <v>51.8934</v>
      </c>
      <c r="N100" s="2">
        <v>-7.4161708290274575E-3</v>
      </c>
      <c r="O100" s="2">
        <v>-5.545993380386971E-3</v>
      </c>
      <c r="P100" s="2">
        <v>57.053774140568216</v>
      </c>
      <c r="Q100" s="2">
        <v>0.16994691002708961</v>
      </c>
      <c r="R100" s="2">
        <v>5.5553812336721263E-2</v>
      </c>
      <c r="S100" s="2">
        <v>6.353802080398753E-2</v>
      </c>
      <c r="T100" s="2">
        <v>0</v>
      </c>
      <c r="U100" s="2">
        <v>0</v>
      </c>
      <c r="V100" s="2">
        <v>0</v>
      </c>
      <c r="W100" s="2">
        <v>0</v>
      </c>
      <c r="X100" s="2">
        <v>1.1799825399573159E-2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1</v>
      </c>
      <c r="CR100" s="2">
        <v>1</v>
      </c>
      <c r="CS100" s="2">
        <v>1</v>
      </c>
      <c r="CT100" s="2">
        <v>0</v>
      </c>
    </row>
    <row r="101" spans="1:98" x14ac:dyDescent="0.2">
      <c r="A101" s="2" t="s">
        <v>380</v>
      </c>
      <c r="B101" s="2" t="s">
        <v>281</v>
      </c>
      <c r="C101" s="2" t="s">
        <v>281</v>
      </c>
      <c r="D101" s="2" t="s">
        <v>281</v>
      </c>
      <c r="E101" s="2" t="s">
        <v>281</v>
      </c>
      <c r="F101" s="2" t="s">
        <v>281</v>
      </c>
      <c r="G101" s="2">
        <v>67.223681088625199</v>
      </c>
      <c r="H101" s="2">
        <v>5.9</v>
      </c>
      <c r="I101" s="2">
        <v>5.8873307881147401</v>
      </c>
      <c r="J101" s="2">
        <v>1.1964088553568369E-4</v>
      </c>
      <c r="K101" s="2">
        <v>1.0842464095245641E-3</v>
      </c>
      <c r="L101" s="2">
        <v>50.899299999999997</v>
      </c>
      <c r="M101" s="2">
        <v>50.6205</v>
      </c>
      <c r="N101" s="2">
        <v>-8.983229437090845E-3</v>
      </c>
      <c r="O101" s="2">
        <v>-2.483498186833355E-2</v>
      </c>
      <c r="P101" s="2">
        <v>53.630793507619373</v>
      </c>
      <c r="Q101" s="2">
        <v>-6.1870820231017198E-2</v>
      </c>
      <c r="R101" s="2">
        <v>5.7205425733733668E-2</v>
      </c>
      <c r="S101" s="2">
        <v>5.7325066619269352E-2</v>
      </c>
      <c r="T101" s="2">
        <v>0</v>
      </c>
      <c r="U101" s="2">
        <v>0</v>
      </c>
      <c r="V101" s="2">
        <v>0</v>
      </c>
      <c r="W101" s="2">
        <v>0</v>
      </c>
      <c r="X101" s="2">
        <v>-6.212954184718178E-3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1</v>
      </c>
      <c r="CR101" s="2">
        <v>1</v>
      </c>
      <c r="CS101" s="2">
        <v>1</v>
      </c>
      <c r="CT101" s="2">
        <v>0</v>
      </c>
    </row>
    <row r="102" spans="1:98" x14ac:dyDescent="0.2">
      <c r="A102" s="2" t="s">
        <v>381</v>
      </c>
      <c r="B102" s="2" t="s">
        <v>281</v>
      </c>
      <c r="C102" s="2" t="s">
        <v>281</v>
      </c>
      <c r="D102" s="2" t="s">
        <v>281</v>
      </c>
      <c r="E102" s="2" t="s">
        <v>281</v>
      </c>
      <c r="F102" s="2" t="s">
        <v>281</v>
      </c>
      <c r="G102" s="2">
        <v>71.360167480809494</v>
      </c>
      <c r="H102" s="2">
        <v>6.13</v>
      </c>
      <c r="I102" s="2">
        <v>6.6585429541300201</v>
      </c>
      <c r="J102" s="2">
        <v>-4.9677866465952306E-3</v>
      </c>
      <c r="K102" s="2">
        <v>-5.2130892823838704E-3</v>
      </c>
      <c r="L102" s="2">
        <v>50.591200000000001</v>
      </c>
      <c r="M102" s="2">
        <v>50.202500000000001</v>
      </c>
      <c r="N102" s="2">
        <v>-6.071522880800817E-3</v>
      </c>
      <c r="O102" s="2">
        <v>-8.2918063324850522E-3</v>
      </c>
      <c r="P102" s="2">
        <v>56.930866397912958</v>
      </c>
      <c r="Q102" s="2">
        <v>5.9714252649466282E-2</v>
      </c>
      <c r="R102" s="2">
        <v>6.4462358432234898E-2</v>
      </c>
      <c r="S102" s="2">
        <v>5.9494571785639667E-2</v>
      </c>
      <c r="T102" s="2">
        <v>0</v>
      </c>
      <c r="U102" s="2">
        <v>0</v>
      </c>
      <c r="V102" s="2">
        <v>0</v>
      </c>
      <c r="W102" s="2">
        <v>0</v>
      </c>
      <c r="X102" s="2">
        <v>2.1695051663703155E-3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1</v>
      </c>
      <c r="CR102" s="2">
        <v>1</v>
      </c>
      <c r="CS102" s="2">
        <v>1</v>
      </c>
      <c r="CT102" s="2">
        <v>0</v>
      </c>
    </row>
    <row r="103" spans="1:98" x14ac:dyDescent="0.2">
      <c r="A103" s="2" t="s">
        <v>382</v>
      </c>
      <c r="B103" s="2" t="s">
        <v>281</v>
      </c>
      <c r="C103" s="2" t="s">
        <v>281</v>
      </c>
      <c r="D103" s="2" t="s">
        <v>281</v>
      </c>
      <c r="E103" s="2" t="s">
        <v>281</v>
      </c>
      <c r="F103" s="2" t="s">
        <v>281</v>
      </c>
      <c r="G103" s="2">
        <v>74.880417538962504</v>
      </c>
      <c r="H103" s="2">
        <v>6.14</v>
      </c>
      <c r="I103" s="2">
        <v>7.1049156490645</v>
      </c>
      <c r="J103" s="2">
        <v>-9.049896751053596E-3</v>
      </c>
      <c r="K103" s="2">
        <v>-6.9600425749471104E-3</v>
      </c>
      <c r="L103" s="2">
        <v>50.435600000000001</v>
      </c>
      <c r="M103" s="2">
        <v>51.030099999999997</v>
      </c>
      <c r="N103" s="2">
        <v>-3.0803731888324748E-3</v>
      </c>
      <c r="O103" s="2">
        <v>1.6350828451071386E-2</v>
      </c>
      <c r="P103" s="2">
        <v>59.73930831758544</v>
      </c>
      <c r="Q103" s="2">
        <v>4.8152573008291455E-2</v>
      </c>
      <c r="R103" s="2">
        <v>6.8638688162711042E-2</v>
      </c>
      <c r="S103" s="2">
        <v>5.9588791411657446E-2</v>
      </c>
      <c r="T103" s="2">
        <v>0</v>
      </c>
      <c r="U103" s="2">
        <v>0</v>
      </c>
      <c r="V103" s="2">
        <v>0</v>
      </c>
      <c r="W103" s="2">
        <v>0</v>
      </c>
      <c r="X103" s="2">
        <v>9.4219626017778835E-5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1</v>
      </c>
      <c r="CR103" s="2">
        <v>1</v>
      </c>
      <c r="CS103" s="2">
        <v>1</v>
      </c>
      <c r="CT103" s="2">
        <v>0</v>
      </c>
    </row>
    <row r="104" spans="1:98" x14ac:dyDescent="0.2">
      <c r="A104" s="2" t="s">
        <v>383</v>
      </c>
      <c r="B104" s="2" t="s">
        <v>281</v>
      </c>
      <c r="C104" s="2" t="s">
        <v>281</v>
      </c>
      <c r="D104" s="2" t="s">
        <v>281</v>
      </c>
      <c r="E104" s="2" t="s">
        <v>281</v>
      </c>
      <c r="F104" s="2" t="s">
        <v>281</v>
      </c>
      <c r="G104" s="2">
        <v>77.545639683647295</v>
      </c>
      <c r="H104" s="2">
        <v>6.61</v>
      </c>
      <c r="I104" s="2">
        <v>6.3579250680538397</v>
      </c>
      <c r="J104" s="2">
        <v>2.3672583520053733E-3</v>
      </c>
      <c r="K104" s="2">
        <v>1.5984233609645376E-3</v>
      </c>
      <c r="L104" s="2">
        <v>50.278799999999997</v>
      </c>
      <c r="M104" s="2">
        <v>49.148299999999999</v>
      </c>
      <c r="N104" s="2">
        <v>-3.1137578476898575E-3</v>
      </c>
      <c r="O104" s="2">
        <v>-3.7573396706482853E-2</v>
      </c>
      <c r="P104" s="2">
        <v>61.865612265521285</v>
      </c>
      <c r="Q104" s="2">
        <v>3.4974253908353958E-2</v>
      </c>
      <c r="R104" s="2">
        <v>6.1639871622287047E-2</v>
      </c>
      <c r="S104" s="2">
        <v>6.400712997429242E-2</v>
      </c>
      <c r="T104" s="2">
        <v>0</v>
      </c>
      <c r="U104" s="2">
        <v>0</v>
      </c>
      <c r="V104" s="2">
        <v>0</v>
      </c>
      <c r="W104" s="2">
        <v>0</v>
      </c>
      <c r="X104" s="2">
        <v>4.4183385626349742E-3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1</v>
      </c>
      <c r="CR104" s="2">
        <v>1</v>
      </c>
      <c r="CS104" s="2">
        <v>1</v>
      </c>
      <c r="CT104" s="2">
        <v>0</v>
      </c>
    </row>
    <row r="105" spans="1:98" x14ac:dyDescent="0.2">
      <c r="A105" s="2" t="s">
        <v>384</v>
      </c>
      <c r="B105" s="2" t="s">
        <v>281</v>
      </c>
      <c r="C105" s="2" t="s">
        <v>281</v>
      </c>
      <c r="D105" s="2" t="s">
        <v>281</v>
      </c>
      <c r="E105" s="2" t="s">
        <v>281</v>
      </c>
      <c r="F105" s="2" t="s">
        <v>281</v>
      </c>
      <c r="G105" s="2">
        <v>79.217180739706905</v>
      </c>
      <c r="H105" s="2">
        <v>7.58</v>
      </c>
      <c r="I105" s="2">
        <v>5.9728644306957603</v>
      </c>
      <c r="J105" s="2">
        <v>1.5051691442414986E-2</v>
      </c>
      <c r="K105" s="2">
        <v>1.2920398091817144E-2</v>
      </c>
      <c r="L105" s="2">
        <v>49.840200000000003</v>
      </c>
      <c r="M105" s="2">
        <v>49.895400000000002</v>
      </c>
      <c r="N105" s="2">
        <v>-8.7616297765542583E-3</v>
      </c>
      <c r="O105" s="2">
        <v>1.5086556140429419E-2</v>
      </c>
      <c r="P105" s="2">
        <v>63.199161273330823</v>
      </c>
      <c r="Q105" s="2">
        <v>2.1326541656358167E-2</v>
      </c>
      <c r="R105" s="2">
        <v>5.801287941459024E-2</v>
      </c>
      <c r="S105" s="2">
        <v>7.3064570857005226E-2</v>
      </c>
      <c r="T105" s="2">
        <v>0</v>
      </c>
      <c r="U105" s="2">
        <v>0</v>
      </c>
      <c r="V105" s="2">
        <v>0</v>
      </c>
      <c r="W105" s="2">
        <v>0</v>
      </c>
      <c r="X105" s="2">
        <v>9.0574408827128056E-3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1</v>
      </c>
      <c r="CR105" s="2">
        <v>1</v>
      </c>
      <c r="CS105" s="2">
        <v>1</v>
      </c>
      <c r="CT105" s="2">
        <v>0</v>
      </c>
    </row>
    <row r="106" spans="1:98" x14ac:dyDescent="0.2">
      <c r="A106" s="2" t="s">
        <v>385</v>
      </c>
      <c r="B106" s="2" t="s">
        <v>281</v>
      </c>
      <c r="C106" s="2" t="s">
        <v>281</v>
      </c>
      <c r="D106" s="2" t="s">
        <v>281</v>
      </c>
      <c r="E106" s="2" t="s">
        <v>281</v>
      </c>
      <c r="F106" s="2" t="s">
        <v>281</v>
      </c>
      <c r="G106" s="2">
        <v>76.575067457548201</v>
      </c>
      <c r="H106" s="2">
        <v>6.76</v>
      </c>
      <c r="I106" s="2">
        <v>5.08025991265231</v>
      </c>
      <c r="J106" s="2">
        <v>1.585888624800165E-2</v>
      </c>
      <c r="K106" s="2">
        <v>2.552437635814097E-2</v>
      </c>
      <c r="L106" s="2">
        <v>49.694200000000002</v>
      </c>
      <c r="M106" s="2">
        <v>50.1205</v>
      </c>
      <c r="N106" s="2">
        <v>-2.9336612208603619E-3</v>
      </c>
      <c r="O106" s="2">
        <v>4.5012918960734005E-3</v>
      </c>
      <c r="P106" s="2">
        <v>61.091293486793198</v>
      </c>
      <c r="Q106" s="2">
        <v>-3.3921670173636009E-2</v>
      </c>
      <c r="R106" s="2">
        <v>4.9554252300230472E-2</v>
      </c>
      <c r="S106" s="2">
        <v>6.5413138548232122E-2</v>
      </c>
      <c r="T106" s="2">
        <v>0</v>
      </c>
      <c r="U106" s="2">
        <v>0</v>
      </c>
      <c r="V106" s="2">
        <v>0</v>
      </c>
      <c r="W106" s="2">
        <v>0</v>
      </c>
      <c r="X106" s="2">
        <v>-7.651432308773104E-3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1</v>
      </c>
      <c r="CR106" s="2">
        <v>1</v>
      </c>
      <c r="CS106" s="2">
        <v>1</v>
      </c>
      <c r="CT106" s="2">
        <v>0</v>
      </c>
    </row>
    <row r="107" spans="1:98" x14ac:dyDescent="0.2">
      <c r="A107" s="2" t="s">
        <v>386</v>
      </c>
      <c r="B107" s="2" t="s">
        <v>281</v>
      </c>
      <c r="C107" s="2" t="s">
        <v>281</v>
      </c>
      <c r="D107" s="2" t="s">
        <v>281</v>
      </c>
      <c r="E107" s="2" t="s">
        <v>281</v>
      </c>
      <c r="F107" s="2" t="s">
        <v>281</v>
      </c>
      <c r="G107" s="2">
        <v>75.080694347522694</v>
      </c>
      <c r="H107" s="2">
        <v>7.31</v>
      </c>
      <c r="I107" s="2">
        <v>4.4424170117201198</v>
      </c>
      <c r="J107" s="2">
        <v>2.7085955789526883E-2</v>
      </c>
      <c r="K107" s="2">
        <v>4.368128493612549E-2</v>
      </c>
      <c r="L107" s="2">
        <v>49.243499999999997</v>
      </c>
      <c r="M107" s="2">
        <v>49.642400000000002</v>
      </c>
      <c r="N107" s="2">
        <v>-9.110846878797485E-3</v>
      </c>
      <c r="O107" s="2">
        <v>-9.5847987615287344E-3</v>
      </c>
      <c r="P107" s="2">
        <v>59.899088383037309</v>
      </c>
      <c r="Q107" s="2">
        <v>-1.9708073874934229E-2</v>
      </c>
      <c r="R107" s="2">
        <v>4.3465700161417764E-2</v>
      </c>
      <c r="S107" s="2">
        <v>7.0551655950944647E-2</v>
      </c>
      <c r="T107" s="2">
        <v>0</v>
      </c>
      <c r="U107" s="2">
        <v>0</v>
      </c>
      <c r="V107" s="2">
        <v>0</v>
      </c>
      <c r="W107" s="2">
        <v>0</v>
      </c>
      <c r="X107" s="2">
        <v>5.1385174027125252E-3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1</v>
      </c>
      <c r="CR107" s="2">
        <v>1</v>
      </c>
      <c r="CS107" s="2">
        <v>1</v>
      </c>
      <c r="CT107" s="2">
        <v>0</v>
      </c>
    </row>
    <row r="108" spans="1:98" x14ac:dyDescent="0.2">
      <c r="A108" s="2" t="s">
        <v>387</v>
      </c>
      <c r="B108" s="2" t="s">
        <v>281</v>
      </c>
      <c r="C108" s="2" t="s">
        <v>281</v>
      </c>
      <c r="D108" s="2" t="s">
        <v>281</v>
      </c>
      <c r="E108" s="2" t="s">
        <v>281</v>
      </c>
      <c r="F108" s="2" t="s">
        <v>281</v>
      </c>
      <c r="G108" s="2">
        <v>70.482030704815003</v>
      </c>
      <c r="H108" s="2">
        <v>8.15</v>
      </c>
      <c r="I108" s="2">
        <v>5.2884543594797604</v>
      </c>
      <c r="J108" s="2">
        <v>2.6815384479732363E-2</v>
      </c>
      <c r="K108" s="2">
        <v>6.8328991811822129E-2</v>
      </c>
      <c r="L108" s="2">
        <v>49.05</v>
      </c>
      <c r="M108" s="2">
        <v>48.909599999999998</v>
      </c>
      <c r="N108" s="2">
        <v>-3.9371932012080002E-3</v>
      </c>
      <c r="O108" s="2">
        <v>-1.487161104286594E-2</v>
      </c>
      <c r="P108" s="2">
        <v>56.230292264777958</v>
      </c>
      <c r="Q108" s="2">
        <v>-6.3205666067643662E-2</v>
      </c>
      <c r="R108" s="2">
        <v>5.1533581931243952E-2</v>
      </c>
      <c r="S108" s="2">
        <v>7.8348966410976315E-2</v>
      </c>
      <c r="T108" s="2">
        <v>0</v>
      </c>
      <c r="U108" s="2">
        <v>0</v>
      </c>
      <c r="V108" s="2">
        <v>0</v>
      </c>
      <c r="W108" s="2">
        <v>0</v>
      </c>
      <c r="X108" s="2">
        <v>7.7973104600316673E-3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1</v>
      </c>
      <c r="CR108" s="2">
        <v>1</v>
      </c>
      <c r="CS108" s="2">
        <v>1</v>
      </c>
      <c r="CT108" s="2">
        <v>0</v>
      </c>
    </row>
    <row r="109" spans="1:98" x14ac:dyDescent="0.2">
      <c r="A109" s="2" t="s">
        <v>388</v>
      </c>
      <c r="B109" s="2" t="s">
        <v>281</v>
      </c>
      <c r="C109" s="2" t="s">
        <v>281</v>
      </c>
      <c r="D109" s="2" t="s">
        <v>281</v>
      </c>
      <c r="E109" s="2" t="s">
        <v>281</v>
      </c>
      <c r="F109" s="2" t="s">
        <v>281</v>
      </c>
      <c r="G109" s="2">
        <v>63.426124680158097</v>
      </c>
      <c r="H109" s="2">
        <v>8.76</v>
      </c>
      <c r="I109" s="2">
        <v>7.8059157751048103</v>
      </c>
      <c r="J109" s="2">
        <v>8.8110854749964135E-3</v>
      </c>
      <c r="K109" s="2">
        <v>6.8636464816690265E-2</v>
      </c>
      <c r="L109" s="2">
        <v>48.694499999999998</v>
      </c>
      <c r="M109" s="2">
        <v>48.288800000000002</v>
      </c>
      <c r="N109" s="2">
        <v>-7.2740986455865908E-3</v>
      </c>
      <c r="O109" s="2">
        <v>-1.2774046519883342E-2</v>
      </c>
      <c r="P109" s="2">
        <v>50.601117651167385</v>
      </c>
      <c r="Q109" s="2">
        <v>-0.10548195593971776</v>
      </c>
      <c r="R109" s="2">
        <v>7.5162348301182097E-2</v>
      </c>
      <c r="S109" s="2">
        <v>8.397343377617851E-2</v>
      </c>
      <c r="T109" s="2">
        <v>0</v>
      </c>
      <c r="U109" s="2">
        <v>0</v>
      </c>
      <c r="V109" s="2">
        <v>0</v>
      </c>
      <c r="W109" s="2">
        <v>0</v>
      </c>
      <c r="X109" s="2">
        <v>5.6244673652021959E-3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1</v>
      </c>
      <c r="CR109" s="2">
        <v>1</v>
      </c>
      <c r="CS109" s="2">
        <v>1</v>
      </c>
      <c r="CT109" s="2">
        <v>0</v>
      </c>
    </row>
    <row r="110" spans="1:98" x14ac:dyDescent="0.2">
      <c r="A110" s="2" t="s">
        <v>389</v>
      </c>
      <c r="B110" s="2" t="s">
        <v>281</v>
      </c>
      <c r="C110" s="2" t="s">
        <v>281</v>
      </c>
      <c r="D110" s="2" t="s">
        <v>281</v>
      </c>
      <c r="E110" s="2" t="s">
        <v>281</v>
      </c>
      <c r="F110" s="2" t="s">
        <v>281</v>
      </c>
      <c r="G110" s="2">
        <v>59.305044196324701</v>
      </c>
      <c r="H110" s="2">
        <v>7</v>
      </c>
      <c r="I110" s="2">
        <v>8.6411003145776295</v>
      </c>
      <c r="J110" s="2">
        <v>-1.522095737688213E-2</v>
      </c>
      <c r="K110" s="2">
        <v>6.2336173198187628E-2</v>
      </c>
      <c r="L110" s="2">
        <v>49.634399999999999</v>
      </c>
      <c r="M110" s="2">
        <v>49.619</v>
      </c>
      <c r="N110" s="2">
        <v>1.9118054358653769E-2</v>
      </c>
      <c r="O110" s="2">
        <v>2.7174175185239235E-2</v>
      </c>
      <c r="P110" s="2">
        <v>47.313335535139423</v>
      </c>
      <c r="Q110" s="2">
        <v>-6.7181473051799667E-2</v>
      </c>
      <c r="R110" s="2">
        <v>8.2879605850696994E-2</v>
      </c>
      <c r="S110" s="2">
        <v>6.7658648473814864E-2</v>
      </c>
      <c r="T110" s="2">
        <v>0</v>
      </c>
      <c r="U110" s="2">
        <v>0</v>
      </c>
      <c r="V110" s="2">
        <v>0</v>
      </c>
      <c r="W110" s="2">
        <v>0</v>
      </c>
      <c r="X110" s="2">
        <v>-1.6314785302363646E-2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1</v>
      </c>
      <c r="CR110" s="2">
        <v>1</v>
      </c>
      <c r="CS110" s="2">
        <v>1</v>
      </c>
      <c r="CT110" s="2">
        <v>0</v>
      </c>
    </row>
    <row r="111" spans="1:98" x14ac:dyDescent="0.2">
      <c r="A111" s="2" t="s">
        <v>390</v>
      </c>
      <c r="B111" s="2" t="s">
        <v>281</v>
      </c>
      <c r="C111" s="2" t="s">
        <v>281</v>
      </c>
      <c r="D111" s="2" t="s">
        <v>281</v>
      </c>
      <c r="E111" s="2" t="s">
        <v>281</v>
      </c>
      <c r="F111" s="2" t="s">
        <v>281</v>
      </c>
      <c r="G111" s="2">
        <v>57.117405210514001</v>
      </c>
      <c r="H111" s="2">
        <v>6.75</v>
      </c>
      <c r="I111" s="2">
        <v>7.8581429317430098</v>
      </c>
      <c r="J111" s="2">
        <v>-1.0327220256826669E-2</v>
      </c>
      <c r="K111" s="2">
        <v>6.4528250108121993E-2</v>
      </c>
      <c r="L111" s="2">
        <v>49.3217</v>
      </c>
      <c r="M111" s="2">
        <v>49.755699999999997</v>
      </c>
      <c r="N111" s="2">
        <v>-6.3199952469856768E-3</v>
      </c>
      <c r="O111" s="2">
        <v>2.7512050094236074E-3</v>
      </c>
      <c r="P111" s="2">
        <v>45.568045589434803</v>
      </c>
      <c r="Q111" s="2">
        <v>-3.7585474706018029E-2</v>
      </c>
      <c r="R111" s="2">
        <v>7.564668637746913E-2</v>
      </c>
      <c r="S111" s="2">
        <v>6.5319466120642461E-2</v>
      </c>
      <c r="T111" s="2">
        <v>0</v>
      </c>
      <c r="U111" s="2">
        <v>0</v>
      </c>
      <c r="V111" s="2">
        <v>0</v>
      </c>
      <c r="W111" s="2">
        <v>0</v>
      </c>
      <c r="X111" s="2">
        <v>-2.3391823531724032E-3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1</v>
      </c>
      <c r="CR111" s="2">
        <v>1</v>
      </c>
      <c r="CS111" s="2">
        <v>1</v>
      </c>
      <c r="CT111" s="2">
        <v>0</v>
      </c>
    </row>
    <row r="112" spans="1:98" x14ac:dyDescent="0.2">
      <c r="A112" s="2" t="s">
        <v>391</v>
      </c>
      <c r="B112" s="2" t="s">
        <v>281</v>
      </c>
      <c r="C112" s="2" t="s">
        <v>281</v>
      </c>
      <c r="D112" s="2" t="s">
        <v>281</v>
      </c>
      <c r="E112" s="2" t="s">
        <v>281</v>
      </c>
      <c r="F112" s="2" t="s">
        <v>281</v>
      </c>
      <c r="G112" s="2">
        <v>67.454769713886904</v>
      </c>
      <c r="H112" s="2">
        <v>9.43</v>
      </c>
      <c r="I112" s="2">
        <v>7.3448492171416504</v>
      </c>
      <c r="J112" s="2">
        <v>1.923853346636932E-2</v>
      </c>
      <c r="K112" s="2">
        <v>7.5782575107225039E-2</v>
      </c>
      <c r="L112" s="2">
        <v>49.726999999999997</v>
      </c>
      <c r="M112" s="2">
        <v>50.262</v>
      </c>
      <c r="N112" s="2">
        <v>8.1838986704223515E-3</v>
      </c>
      <c r="O112" s="2">
        <v>1.0124294493773611E-2</v>
      </c>
      <c r="P112" s="2">
        <v>53.815155121602267</v>
      </c>
      <c r="Q112" s="2">
        <v>0.16634840495019265</v>
      </c>
      <c r="R112" s="2">
        <v>7.0876355975891009E-2</v>
      </c>
      <c r="S112" s="2">
        <v>9.0114889442260329E-2</v>
      </c>
      <c r="T112" s="2">
        <v>0</v>
      </c>
      <c r="U112" s="2">
        <v>0</v>
      </c>
      <c r="V112" s="2">
        <v>0</v>
      </c>
      <c r="W112" s="2">
        <v>0</v>
      </c>
      <c r="X112" s="2">
        <v>2.4795423321617868E-2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1</v>
      </c>
      <c r="CR112" s="2">
        <v>1</v>
      </c>
      <c r="CS112" s="2">
        <v>1</v>
      </c>
      <c r="CT112" s="2">
        <v>0</v>
      </c>
    </row>
    <row r="113" spans="1:98" x14ac:dyDescent="0.2">
      <c r="A113" s="2" t="s">
        <v>392</v>
      </c>
      <c r="B113" s="2" t="s">
        <v>281</v>
      </c>
      <c r="C113" s="2" t="s">
        <v>281</v>
      </c>
      <c r="D113" s="2" t="s">
        <v>281</v>
      </c>
      <c r="E113" s="2" t="s">
        <v>281</v>
      </c>
      <c r="F113" s="2" t="s">
        <v>281</v>
      </c>
      <c r="G113" s="2">
        <v>61.0998325191905</v>
      </c>
      <c r="H113" s="2">
        <v>11.02</v>
      </c>
      <c r="I113" s="2">
        <v>6.5792587188970204</v>
      </c>
      <c r="J113" s="2">
        <v>4.082144357897545E-2</v>
      </c>
      <c r="K113" s="2">
        <v>0.11648437780066481</v>
      </c>
      <c r="L113" s="2">
        <v>50.314399999999999</v>
      </c>
      <c r="M113" s="2">
        <v>50.160699999999999</v>
      </c>
      <c r="N113" s="2">
        <v>1.1743273293020273E-2</v>
      </c>
      <c r="O113" s="2">
        <v>-2.0174728295345723E-3</v>
      </c>
      <c r="P113" s="2">
        <v>48.74521073707313</v>
      </c>
      <c r="Q113" s="2">
        <v>-9.8948169882537407E-2</v>
      </c>
      <c r="R113" s="2">
        <v>6.3718735694948486E-2</v>
      </c>
      <c r="S113" s="2">
        <v>0.10454017927392394</v>
      </c>
      <c r="T113" s="2">
        <v>0</v>
      </c>
      <c r="U113" s="2">
        <v>0</v>
      </c>
      <c r="V113" s="2">
        <v>0</v>
      </c>
      <c r="W113" s="2">
        <v>0</v>
      </c>
      <c r="X113" s="2">
        <v>1.4425289831663607E-2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1</v>
      </c>
      <c r="CR113" s="2">
        <v>1</v>
      </c>
      <c r="CS113" s="2">
        <v>1</v>
      </c>
      <c r="CT113" s="2">
        <v>0</v>
      </c>
    </row>
    <row r="114" spans="1:98" x14ac:dyDescent="0.2">
      <c r="A114" s="2" t="s">
        <v>393</v>
      </c>
      <c r="B114" s="2" t="s">
        <v>281</v>
      </c>
      <c r="C114" s="2" t="s">
        <v>281</v>
      </c>
      <c r="D114" s="2" t="s">
        <v>281</v>
      </c>
      <c r="E114" s="2" t="s">
        <v>281</v>
      </c>
      <c r="F114" s="2" t="s">
        <v>281</v>
      </c>
      <c r="G114" s="2">
        <v>67.724373110025596</v>
      </c>
      <c r="H114" s="2">
        <v>11</v>
      </c>
      <c r="I114" s="2">
        <v>6.4829591104514703</v>
      </c>
      <c r="J114" s="2">
        <v>4.1545237318124942E-2</v>
      </c>
      <c r="K114" s="2">
        <v>0.16299740176538496</v>
      </c>
      <c r="L114" s="2">
        <v>50.671500000000002</v>
      </c>
      <c r="M114" s="2">
        <v>50.2956</v>
      </c>
      <c r="N114" s="2">
        <v>7.0723039243238972E-3</v>
      </c>
      <c r="O114" s="2">
        <v>2.6857465602212471E-3</v>
      </c>
      <c r="P114" s="2">
        <v>54.030243671249004</v>
      </c>
      <c r="Q114" s="2">
        <v>0.10293700644377113</v>
      </c>
      <c r="R114" s="2">
        <v>6.2814778006117913E-2</v>
      </c>
      <c r="S114" s="2">
        <v>0.10436001532424286</v>
      </c>
      <c r="T114" s="2">
        <v>0</v>
      </c>
      <c r="U114" s="2">
        <v>0</v>
      </c>
      <c r="V114" s="2">
        <v>0</v>
      </c>
      <c r="W114" s="2">
        <v>0</v>
      </c>
      <c r="X114" s="2">
        <v>-1.8016394968108085E-4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1</v>
      </c>
      <c r="CR114" s="2">
        <v>1</v>
      </c>
      <c r="CS114" s="2">
        <v>1</v>
      </c>
      <c r="CT114" s="2">
        <v>0</v>
      </c>
    </row>
    <row r="115" spans="1:98" x14ac:dyDescent="0.2">
      <c r="A115" s="2" t="s">
        <v>394</v>
      </c>
      <c r="B115" s="2" t="s">
        <v>281</v>
      </c>
      <c r="C115" s="2" t="s">
        <v>281</v>
      </c>
      <c r="D115" s="2" t="s">
        <v>281</v>
      </c>
      <c r="E115" s="2" t="s">
        <v>281</v>
      </c>
      <c r="F115" s="2" t="s">
        <v>281</v>
      </c>
      <c r="G115" s="2">
        <v>68.232768085601293</v>
      </c>
      <c r="H115" s="2">
        <v>11.45</v>
      </c>
      <c r="I115" s="2">
        <v>9.8803474726902394</v>
      </c>
      <c r="J115" s="2">
        <v>1.418403631739272E-2</v>
      </c>
      <c r="K115" s="2">
        <v>0.18623133483383131</v>
      </c>
      <c r="L115" s="2">
        <v>50.972999999999999</v>
      </c>
      <c r="M115" s="2">
        <v>51.6648</v>
      </c>
      <c r="N115" s="2">
        <v>5.9324584065110209E-3</v>
      </c>
      <c r="O115" s="2">
        <v>2.6859100435795646E-2</v>
      </c>
      <c r="P115" s="2">
        <v>54.435839222011317</v>
      </c>
      <c r="Q115" s="2">
        <v>7.478788399685854E-3</v>
      </c>
      <c r="R115" s="2">
        <v>9.422183752639382E-2</v>
      </c>
      <c r="S115" s="2">
        <v>0.10840587384378654</v>
      </c>
      <c r="T115" s="2">
        <v>0</v>
      </c>
      <c r="U115" s="2">
        <v>0</v>
      </c>
      <c r="V115" s="2">
        <v>0</v>
      </c>
      <c r="W115" s="2">
        <v>0</v>
      </c>
      <c r="X115" s="2">
        <v>4.0458585195436852E-3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1</v>
      </c>
      <c r="CR115" s="2">
        <v>1</v>
      </c>
      <c r="CS115" s="2">
        <v>1</v>
      </c>
      <c r="CT115" s="2">
        <v>0</v>
      </c>
    </row>
    <row r="116" spans="1:98" x14ac:dyDescent="0.2">
      <c r="A116" s="2" t="s">
        <v>395</v>
      </c>
      <c r="B116" s="2" t="s">
        <v>281</v>
      </c>
      <c r="C116" s="2" t="s">
        <v>281</v>
      </c>
      <c r="D116" s="2" t="s">
        <v>281</v>
      </c>
      <c r="E116" s="2" t="s">
        <v>281</v>
      </c>
      <c r="F116" s="2" t="s">
        <v>281</v>
      </c>
      <c r="G116" s="2">
        <v>68.972251686438696</v>
      </c>
      <c r="H116" s="2">
        <v>10.65</v>
      </c>
      <c r="I116" s="2">
        <v>10.078438526085399</v>
      </c>
      <c r="J116" s="2">
        <v>5.1788773137454863E-3</v>
      </c>
      <c r="K116" s="2">
        <v>0.18904295379557146</v>
      </c>
      <c r="L116" s="2">
        <v>51.754100000000001</v>
      </c>
      <c r="M116" s="2">
        <v>50.612400000000001</v>
      </c>
      <c r="N116" s="2">
        <v>1.5207575288590292E-2</v>
      </c>
      <c r="O116" s="2">
        <v>-2.0580093006375311E-2</v>
      </c>
      <c r="P116" s="2">
        <v>55.025796386756532</v>
      </c>
      <c r="Q116" s="2">
        <v>1.0779354317767886E-2</v>
      </c>
      <c r="R116" s="2">
        <v>9.6023003195221848E-2</v>
      </c>
      <c r="S116" s="2">
        <v>0.10120188050896733</v>
      </c>
      <c r="T116" s="2">
        <v>0</v>
      </c>
      <c r="U116" s="2">
        <v>0</v>
      </c>
      <c r="V116" s="2">
        <v>0</v>
      </c>
      <c r="W116" s="2">
        <v>0</v>
      </c>
      <c r="X116" s="2">
        <v>-7.2039933348192059E-3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1</v>
      </c>
      <c r="CR116" s="2">
        <v>1</v>
      </c>
      <c r="CS116" s="2">
        <v>1</v>
      </c>
      <c r="CT116" s="2">
        <v>0</v>
      </c>
    </row>
    <row r="117" spans="1:98" x14ac:dyDescent="0.2">
      <c r="A117" s="2" t="s">
        <v>396</v>
      </c>
      <c r="B117" s="2" t="s">
        <v>281</v>
      </c>
      <c r="C117" s="2" t="s">
        <v>281</v>
      </c>
      <c r="D117" s="2" t="s">
        <v>281</v>
      </c>
      <c r="E117" s="2" t="s">
        <v>281</v>
      </c>
      <c r="F117" s="2" t="s">
        <v>281</v>
      </c>
      <c r="G117" s="2">
        <v>74.410537334263793</v>
      </c>
      <c r="H117" s="2">
        <v>10.14</v>
      </c>
      <c r="I117" s="2">
        <v>9.1112120632036202</v>
      </c>
      <c r="J117" s="2">
        <v>9.3846275936731033E-3</v>
      </c>
      <c r="K117" s="2">
        <v>0.18337588994682952</v>
      </c>
      <c r="L117" s="2">
        <v>52.313099999999999</v>
      </c>
      <c r="M117" s="2">
        <v>52.325299999999999</v>
      </c>
      <c r="N117" s="2">
        <v>1.0743161657648326E-2</v>
      </c>
      <c r="O117" s="2">
        <v>3.3283396152830935E-2</v>
      </c>
      <c r="P117" s="2">
        <v>59.364439702486962</v>
      </c>
      <c r="Q117" s="2">
        <v>7.5893288405652903E-2</v>
      </c>
      <c r="R117" s="2">
        <v>8.7197470252570908E-2</v>
      </c>
      <c r="S117" s="2">
        <v>9.6582097846244011E-2</v>
      </c>
      <c r="T117" s="2">
        <v>0</v>
      </c>
      <c r="U117" s="2">
        <v>0</v>
      </c>
      <c r="V117" s="2">
        <v>0</v>
      </c>
      <c r="W117" s="2">
        <v>0</v>
      </c>
      <c r="X117" s="2">
        <v>-4.6197826627233235E-3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1</v>
      </c>
      <c r="CR117" s="2">
        <v>1</v>
      </c>
      <c r="CS117" s="2">
        <v>1</v>
      </c>
      <c r="CT117" s="2">
        <v>0</v>
      </c>
    </row>
    <row r="118" spans="1:98" x14ac:dyDescent="0.2">
      <c r="A118" s="2" t="s">
        <v>397</v>
      </c>
      <c r="B118" s="2" t="s">
        <v>281</v>
      </c>
      <c r="C118" s="2" t="s">
        <v>281</v>
      </c>
      <c r="D118" s="2" t="s">
        <v>281</v>
      </c>
      <c r="E118" s="2" t="s">
        <v>281</v>
      </c>
      <c r="F118" s="2" t="s">
        <v>281</v>
      </c>
      <c r="G118" s="2">
        <v>71.783829960455904</v>
      </c>
      <c r="H118" s="2">
        <v>9.15</v>
      </c>
      <c r="I118" s="2">
        <v>10.3006011324368</v>
      </c>
      <c r="J118" s="2">
        <v>-1.04862932254145E-2</v>
      </c>
      <c r="K118" s="2">
        <v>0.15703071047341338</v>
      </c>
      <c r="L118" s="2">
        <v>53.096600000000002</v>
      </c>
      <c r="M118" s="2">
        <v>53.664499999999997</v>
      </c>
      <c r="N118" s="2">
        <v>1.486607834808007E-2</v>
      </c>
      <c r="O118" s="2">
        <v>2.5271701117882017E-2</v>
      </c>
      <c r="P118" s="2">
        <v>57.268862690214888</v>
      </c>
      <c r="Q118" s="2">
        <v>-3.5938321420908359E-2</v>
      </c>
      <c r="R118" s="2">
        <v>9.8039190233275952E-2</v>
      </c>
      <c r="S118" s="2">
        <v>8.7552897007861452E-2</v>
      </c>
      <c r="T118" s="2">
        <v>0</v>
      </c>
      <c r="U118" s="2">
        <v>0</v>
      </c>
      <c r="V118" s="2">
        <v>0</v>
      </c>
      <c r="W118" s="2">
        <v>0</v>
      </c>
      <c r="X118" s="2">
        <v>-9.0292008383825589E-3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1</v>
      </c>
      <c r="CR118" s="2">
        <v>1</v>
      </c>
      <c r="CS118" s="2">
        <v>1</v>
      </c>
      <c r="CT118" s="2">
        <v>0</v>
      </c>
    </row>
    <row r="119" spans="1:98" x14ac:dyDescent="0.2">
      <c r="A119" s="2" t="s">
        <v>398</v>
      </c>
      <c r="B119" s="2" t="s">
        <v>281</v>
      </c>
      <c r="C119" s="2" t="s">
        <v>281</v>
      </c>
      <c r="D119" s="2" t="s">
        <v>281</v>
      </c>
      <c r="E119" s="2" t="s">
        <v>281</v>
      </c>
      <c r="F119" s="2" t="s">
        <v>281</v>
      </c>
      <c r="G119" s="2">
        <v>73.347529658059997</v>
      </c>
      <c r="H119" s="2">
        <v>9.67</v>
      </c>
      <c r="I119" s="2">
        <v>8.8665502871766897</v>
      </c>
      <c r="J119" s="2">
        <v>7.3530339138335316E-3</v>
      </c>
      <c r="K119" s="2">
        <v>0.13729778859772002</v>
      </c>
      <c r="L119" s="2">
        <v>53.540500000000002</v>
      </c>
      <c r="M119" s="2">
        <v>53.934899999999999</v>
      </c>
      <c r="N119" s="2">
        <v>8.3254807946531173E-3</v>
      </c>
      <c r="O119" s="2">
        <v>5.0260609115069244E-3</v>
      </c>
      <c r="P119" s="2">
        <v>58.516376278165701</v>
      </c>
      <c r="Q119" s="2">
        <v>2.1549583968808683E-2</v>
      </c>
      <c r="R119" s="2">
        <v>8.495263687019261E-2</v>
      </c>
      <c r="S119" s="2">
        <v>9.2305670784026142E-2</v>
      </c>
      <c r="T119" s="2">
        <v>0</v>
      </c>
      <c r="U119" s="2">
        <v>0</v>
      </c>
      <c r="V119" s="2">
        <v>0</v>
      </c>
      <c r="W119" s="2">
        <v>0</v>
      </c>
      <c r="X119" s="2">
        <v>4.7527737761646899E-3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1</v>
      </c>
      <c r="CR119" s="2">
        <v>1</v>
      </c>
      <c r="CS119" s="2">
        <v>1</v>
      </c>
      <c r="CT119" s="2">
        <v>0</v>
      </c>
    </row>
    <row r="120" spans="1:98" x14ac:dyDescent="0.2">
      <c r="A120" s="2" t="s">
        <v>399</v>
      </c>
      <c r="B120" s="2" t="s">
        <v>281</v>
      </c>
      <c r="C120" s="2" t="s">
        <v>281</v>
      </c>
      <c r="D120" s="2" t="s">
        <v>281</v>
      </c>
      <c r="E120" s="2" t="s">
        <v>281</v>
      </c>
      <c r="F120" s="2" t="s">
        <v>281</v>
      </c>
      <c r="G120" s="2">
        <v>70.674604559199807</v>
      </c>
      <c r="H120" s="2">
        <v>9.39</v>
      </c>
      <c r="I120" s="2">
        <v>7.3842412048320503</v>
      </c>
      <c r="J120" s="2">
        <v>1.8506036759212294E-2</v>
      </c>
      <c r="K120" s="2">
        <v>0.12898844087719996</v>
      </c>
      <c r="L120" s="2">
        <v>53.724400000000003</v>
      </c>
      <c r="M120" s="2">
        <v>53.416200000000003</v>
      </c>
      <c r="N120" s="2">
        <v>3.4288976203993293E-3</v>
      </c>
      <c r="O120" s="2">
        <v>-9.6636929970008723E-3</v>
      </c>
      <c r="P120" s="2">
        <v>56.38392694309708</v>
      </c>
      <c r="Q120" s="2">
        <v>-3.7122516831693098E-2</v>
      </c>
      <c r="R120" s="2">
        <v>7.1243255384395868E-2</v>
      </c>
      <c r="S120" s="2">
        <v>8.9749292143608161E-2</v>
      </c>
      <c r="T120" s="2">
        <v>0</v>
      </c>
      <c r="U120" s="2">
        <v>0</v>
      </c>
      <c r="V120" s="2">
        <v>0</v>
      </c>
      <c r="W120" s="2">
        <v>0</v>
      </c>
      <c r="X120" s="2">
        <v>-2.5563786404179806E-3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1</v>
      </c>
      <c r="CR120" s="2">
        <v>1</v>
      </c>
      <c r="CS120" s="2">
        <v>1</v>
      </c>
      <c r="CT120" s="2">
        <v>0</v>
      </c>
    </row>
    <row r="121" spans="1:98" x14ac:dyDescent="0.2">
      <c r="A121" s="2" t="s">
        <v>400</v>
      </c>
      <c r="B121" s="2" t="s">
        <v>281</v>
      </c>
      <c r="C121" s="2" t="s">
        <v>281</v>
      </c>
      <c r="D121" s="2" t="s">
        <v>281</v>
      </c>
      <c r="E121" s="2" t="s">
        <v>281</v>
      </c>
      <c r="F121" s="2" t="s">
        <v>281</v>
      </c>
      <c r="G121" s="2">
        <v>64.489132356361907</v>
      </c>
      <c r="H121" s="2">
        <v>9.41</v>
      </c>
      <c r="I121" s="2">
        <v>8.6770991136616793</v>
      </c>
      <c r="J121" s="2">
        <v>6.721201284749595E-3</v>
      </c>
      <c r="K121" s="2">
        <v>0.12689855668695316</v>
      </c>
      <c r="L121" s="2">
        <v>54.009</v>
      </c>
      <c r="M121" s="2">
        <v>53.368699999999997</v>
      </c>
      <c r="N121" s="2">
        <v>5.2834248624926694E-3</v>
      </c>
      <c r="O121" s="2">
        <v>-8.8963894956783918E-4</v>
      </c>
      <c r="P121" s="2">
        <v>51.449181075488667</v>
      </c>
      <c r="Q121" s="2">
        <v>-9.158958935688144E-2</v>
      </c>
      <c r="R121" s="2">
        <v>8.3210906215857652E-2</v>
      </c>
      <c r="S121" s="2">
        <v>8.9932107500607247E-2</v>
      </c>
      <c r="T121" s="2">
        <v>0</v>
      </c>
      <c r="U121" s="2">
        <v>0</v>
      </c>
      <c r="V121" s="2">
        <v>0</v>
      </c>
      <c r="W121" s="2">
        <v>0</v>
      </c>
      <c r="X121" s="2">
        <v>1.8281535699908591E-4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1</v>
      </c>
      <c r="CR121" s="2">
        <v>1</v>
      </c>
      <c r="CS121" s="2">
        <v>1</v>
      </c>
      <c r="CT121" s="2">
        <v>0</v>
      </c>
    </row>
    <row r="122" spans="1:98" x14ac:dyDescent="0.2">
      <c r="A122" s="2" t="s">
        <v>401</v>
      </c>
      <c r="B122" s="2" t="s">
        <v>281</v>
      </c>
      <c r="C122" s="2" t="s">
        <v>281</v>
      </c>
      <c r="D122" s="2" t="s">
        <v>281</v>
      </c>
      <c r="E122" s="2" t="s">
        <v>281</v>
      </c>
      <c r="F122" s="2" t="s">
        <v>281</v>
      </c>
      <c r="G122" s="2">
        <v>61.639039311467798</v>
      </c>
      <c r="H122" s="2">
        <v>10.29</v>
      </c>
      <c r="I122" s="2">
        <v>9.6689384379464904</v>
      </c>
      <c r="J122" s="2">
        <v>5.647083195717259E-3</v>
      </c>
      <c r="K122" s="2">
        <v>0.14776659725955255</v>
      </c>
      <c r="L122" s="2">
        <v>55.080199999999998</v>
      </c>
      <c r="M122" s="2">
        <v>55.121099999999998</v>
      </c>
      <c r="N122" s="2">
        <v>1.9639605592328913E-2</v>
      </c>
      <c r="O122" s="2">
        <v>3.2308151169425425E-2</v>
      </c>
      <c r="P122" s="2">
        <v>49.175387836366539</v>
      </c>
      <c r="Q122" s="2">
        <v>-4.5201294148708993E-2</v>
      </c>
      <c r="R122" s="2">
        <v>9.2295991134246913E-2</v>
      </c>
      <c r="S122" s="2">
        <v>9.7943074329964172E-2</v>
      </c>
      <c r="T122" s="2">
        <v>0</v>
      </c>
      <c r="U122" s="2">
        <v>0</v>
      </c>
      <c r="V122" s="2">
        <v>0</v>
      </c>
      <c r="W122" s="2">
        <v>0</v>
      </c>
      <c r="X122" s="2">
        <v>8.0109668293569247E-3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1</v>
      </c>
      <c r="CR122" s="2">
        <v>1</v>
      </c>
      <c r="CS122" s="2">
        <v>1</v>
      </c>
      <c r="CT122" s="2">
        <v>0</v>
      </c>
    </row>
    <row r="123" spans="1:98" x14ac:dyDescent="0.2">
      <c r="A123" s="2" t="s">
        <v>402</v>
      </c>
      <c r="B123" s="2" t="s">
        <v>281</v>
      </c>
      <c r="C123" s="2" t="s">
        <v>281</v>
      </c>
      <c r="D123" s="2" t="s">
        <v>281</v>
      </c>
      <c r="E123" s="2" t="s">
        <v>281</v>
      </c>
      <c r="F123" s="2" t="s">
        <v>281</v>
      </c>
      <c r="G123" s="2">
        <v>64.281152593626402</v>
      </c>
      <c r="H123" s="2">
        <v>12.14</v>
      </c>
      <c r="I123" s="2">
        <v>9.5007374752731604</v>
      </c>
      <c r="J123" s="2">
        <v>2.3816806527649045E-2</v>
      </c>
      <c r="K123" s="2">
        <v>0.18191062404402825</v>
      </c>
      <c r="L123" s="2">
        <v>55.332299999999996</v>
      </c>
      <c r="M123" s="2">
        <v>55.866399999999999</v>
      </c>
      <c r="N123" s="2">
        <v>4.5665198793400918E-3</v>
      </c>
      <c r="O123" s="2">
        <v>1.3430543133879702E-2</v>
      </c>
      <c r="P123" s="2">
        <v>51.283255622904093</v>
      </c>
      <c r="Q123" s="2">
        <v>4.1971046678754398E-2</v>
      </c>
      <c r="R123" s="2">
        <v>9.0761098179786018E-2</v>
      </c>
      <c r="S123" s="2">
        <v>0.11457790470743506</v>
      </c>
      <c r="T123" s="2">
        <v>0</v>
      </c>
      <c r="U123" s="2">
        <v>0</v>
      </c>
      <c r="V123" s="2">
        <v>0</v>
      </c>
      <c r="W123" s="2">
        <v>0</v>
      </c>
      <c r="X123" s="2">
        <v>1.6634830377470891E-2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1</v>
      </c>
      <c r="CR123" s="2">
        <v>1</v>
      </c>
      <c r="CS123" s="2">
        <v>1</v>
      </c>
      <c r="CT123" s="2">
        <v>0</v>
      </c>
    </row>
    <row r="124" spans="1:98" x14ac:dyDescent="0.2">
      <c r="A124" s="2" t="s">
        <v>403</v>
      </c>
      <c r="B124" s="2" t="s">
        <v>281</v>
      </c>
      <c r="C124" s="2" t="s">
        <v>281</v>
      </c>
      <c r="D124" s="2" t="s">
        <v>281</v>
      </c>
      <c r="E124" s="2" t="s">
        <v>281</v>
      </c>
      <c r="F124" s="2" t="s">
        <v>281</v>
      </c>
      <c r="G124" s="2">
        <v>65.952693649685997</v>
      </c>
      <c r="H124" s="2">
        <v>11.26</v>
      </c>
      <c r="I124" s="2">
        <v>8.9385483553075193</v>
      </c>
      <c r="J124" s="2">
        <v>2.1085857956574514E-2</v>
      </c>
      <c r="K124" s="2">
        <v>0.18375794853423344</v>
      </c>
      <c r="L124" s="2">
        <v>55.602200000000003</v>
      </c>
      <c r="M124" s="2">
        <v>56.238399999999999</v>
      </c>
      <c r="N124" s="2">
        <v>4.8659440037903678E-3</v>
      </c>
      <c r="O124" s="2">
        <v>6.6366714967900364E-3</v>
      </c>
      <c r="P124" s="2">
        <v>52.616804630713624</v>
      </c>
      <c r="Q124" s="2">
        <v>2.5671250608956697E-2</v>
      </c>
      <c r="R124" s="2">
        <v>8.5613760702481306E-2</v>
      </c>
      <c r="S124" s="2">
        <v>0.10669961865905582</v>
      </c>
      <c r="T124" s="2">
        <v>0</v>
      </c>
      <c r="U124" s="2">
        <v>0</v>
      </c>
      <c r="V124" s="2">
        <v>0</v>
      </c>
      <c r="W124" s="2">
        <v>0</v>
      </c>
      <c r="X124" s="2">
        <v>-7.8782860483792433E-3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1</v>
      </c>
      <c r="CR124" s="2">
        <v>1</v>
      </c>
      <c r="CS124" s="2">
        <v>1</v>
      </c>
      <c r="CT124" s="2">
        <v>0</v>
      </c>
    </row>
    <row r="125" spans="1:98" x14ac:dyDescent="0.2">
      <c r="A125" s="2" t="s">
        <v>404</v>
      </c>
      <c r="B125" s="2" t="s">
        <v>281</v>
      </c>
      <c r="C125" s="2" t="s">
        <v>281</v>
      </c>
      <c r="D125" s="2" t="s">
        <v>281</v>
      </c>
      <c r="E125" s="2" t="s">
        <v>281</v>
      </c>
      <c r="F125" s="2" t="s">
        <v>281</v>
      </c>
      <c r="G125" s="2">
        <v>63.5955896720167</v>
      </c>
      <c r="H125" s="2">
        <v>10.119999999999999</v>
      </c>
      <c r="I125" s="2">
        <v>9.5429967381735601</v>
      </c>
      <c r="J125" s="2">
        <v>5.2535438147349733E-3</v>
      </c>
      <c r="K125" s="2">
        <v>0.14819004876999298</v>
      </c>
      <c r="L125" s="2">
        <v>55.953800000000001</v>
      </c>
      <c r="M125" s="2">
        <v>55.831600000000002</v>
      </c>
      <c r="N125" s="2">
        <v>6.3035814163070469E-3</v>
      </c>
      <c r="O125" s="2">
        <v>-7.259780256587689E-3</v>
      </c>
      <c r="P125" s="2">
        <v>50.736316168088202</v>
      </c>
      <c r="Q125" s="2">
        <v>-3.6393598983548436E-2</v>
      </c>
      <c r="R125" s="2">
        <v>9.1146950471580182E-2</v>
      </c>
      <c r="S125" s="2">
        <v>9.6400494286315155E-2</v>
      </c>
      <c r="T125" s="2">
        <v>0</v>
      </c>
      <c r="U125" s="2">
        <v>0</v>
      </c>
      <c r="V125" s="2">
        <v>0</v>
      </c>
      <c r="W125" s="2">
        <v>0</v>
      </c>
      <c r="X125" s="2">
        <v>-1.0299124372740665E-2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1</v>
      </c>
      <c r="CR125" s="2">
        <v>1</v>
      </c>
      <c r="CS125" s="2">
        <v>1</v>
      </c>
      <c r="CT125" s="2">
        <v>0</v>
      </c>
    </row>
    <row r="126" spans="1:98" x14ac:dyDescent="0.2">
      <c r="A126" s="2" t="s">
        <v>405</v>
      </c>
      <c r="B126" s="2" t="s">
        <v>281</v>
      </c>
      <c r="C126" s="2" t="s">
        <v>281</v>
      </c>
      <c r="D126" s="2" t="s">
        <v>281</v>
      </c>
      <c r="E126" s="2" t="s">
        <v>281</v>
      </c>
      <c r="F126" s="2" t="s">
        <v>281</v>
      </c>
      <c r="G126" s="2">
        <v>72.438581065364005</v>
      </c>
      <c r="H126" s="2">
        <v>9.77</v>
      </c>
      <c r="I126" s="2">
        <v>9.0502235315286903</v>
      </c>
      <c r="J126" s="2">
        <v>6.5787252459969664E-3</v>
      </c>
      <c r="K126" s="2">
        <v>0.113223536697865</v>
      </c>
      <c r="L126" s="2">
        <v>56.216700000000003</v>
      </c>
      <c r="M126" s="2">
        <v>55.7898</v>
      </c>
      <c r="N126" s="2">
        <v>4.687515547979082E-3</v>
      </c>
      <c r="O126" s="2">
        <v>-7.4896035982252585E-4</v>
      </c>
      <c r="P126" s="2">
        <v>57.791220596499713</v>
      </c>
      <c r="Q126" s="2">
        <v>0.13019492193861693</v>
      </c>
      <c r="R126" s="2">
        <v>8.6638356465136707E-2</v>
      </c>
      <c r="S126" s="2">
        <v>9.3217081711133673E-2</v>
      </c>
      <c r="T126" s="2">
        <v>0</v>
      </c>
      <c r="U126" s="2">
        <v>0</v>
      </c>
      <c r="V126" s="2">
        <v>0</v>
      </c>
      <c r="W126" s="2">
        <v>0</v>
      </c>
      <c r="X126" s="2">
        <v>-3.1834125751814824E-3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1</v>
      </c>
      <c r="CR126" s="2">
        <v>1</v>
      </c>
      <c r="CS126" s="2">
        <v>1</v>
      </c>
      <c r="CT126" s="2">
        <v>0</v>
      </c>
    </row>
    <row r="127" spans="1:98" x14ac:dyDescent="0.2">
      <c r="A127" s="2" t="s">
        <v>406</v>
      </c>
      <c r="B127" s="2" t="s">
        <v>281</v>
      </c>
      <c r="C127" s="2" t="s">
        <v>281</v>
      </c>
      <c r="D127" s="2" t="s">
        <v>281</v>
      </c>
      <c r="E127" s="2" t="s">
        <v>281</v>
      </c>
      <c r="F127" s="2" t="s">
        <v>281</v>
      </c>
      <c r="G127" s="2">
        <v>74.526081646894596</v>
      </c>
      <c r="H127" s="2">
        <v>10.17</v>
      </c>
      <c r="I127" s="2">
        <v>10.080186654476</v>
      </c>
      <c r="J127" s="2">
        <v>8.1555754268702874E-4</v>
      </c>
      <c r="K127" s="2">
        <v>9.9855057923159296E-2</v>
      </c>
      <c r="L127" s="2">
        <v>56.417400000000001</v>
      </c>
      <c r="M127" s="2">
        <v>57.145200000000003</v>
      </c>
      <c r="N127" s="2">
        <v>3.563755779349087E-3</v>
      </c>
      <c r="O127" s="2">
        <v>2.4004340233021004E-2</v>
      </c>
      <c r="P127" s="2">
        <v>59.456620509478384</v>
      </c>
      <c r="Q127" s="2">
        <v>2.8410108238022147E-2</v>
      </c>
      <c r="R127" s="2">
        <v>9.6038883821195076E-2</v>
      </c>
      <c r="S127" s="2">
        <v>9.6854441363882104E-2</v>
      </c>
      <c r="T127" s="2">
        <v>0</v>
      </c>
      <c r="U127" s="2">
        <v>0</v>
      </c>
      <c r="V127" s="2">
        <v>0</v>
      </c>
      <c r="W127" s="2">
        <v>0</v>
      </c>
      <c r="X127" s="2">
        <v>3.6373596527484314E-3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1</v>
      </c>
      <c r="CR127" s="2">
        <v>1</v>
      </c>
      <c r="CS127" s="2">
        <v>1</v>
      </c>
      <c r="CT127" s="2">
        <v>0</v>
      </c>
    </row>
    <row r="128" spans="1:98" x14ac:dyDescent="0.2">
      <c r="A128" s="2" t="s">
        <v>407</v>
      </c>
      <c r="B128" s="2" t="s">
        <v>281</v>
      </c>
      <c r="C128" s="2" t="s">
        <v>281</v>
      </c>
      <c r="D128" s="2" t="s">
        <v>281</v>
      </c>
      <c r="E128" s="2" t="s">
        <v>281</v>
      </c>
      <c r="F128" s="2" t="s">
        <v>281</v>
      </c>
      <c r="G128" s="2">
        <v>77.353065829262604</v>
      </c>
      <c r="H128" s="2">
        <v>12.06</v>
      </c>
      <c r="I128" s="2">
        <v>9.7246676695867293</v>
      </c>
      <c r="J128" s="2">
        <v>2.106023532489637E-2</v>
      </c>
      <c r="K128" s="2">
        <v>0.11573641593431017</v>
      </c>
      <c r="L128" s="2">
        <v>56.605699999999999</v>
      </c>
      <c r="M128" s="2">
        <v>55.269500000000001</v>
      </c>
      <c r="N128" s="2">
        <v>3.3320652896478009E-3</v>
      </c>
      <c r="O128" s="2">
        <v>-3.3374177906944524E-2</v>
      </c>
      <c r="P128" s="2">
        <v>61.711977587202284</v>
      </c>
      <c r="Q128" s="2">
        <v>3.7231058696668207E-2</v>
      </c>
      <c r="R128" s="2">
        <v>9.2804020824150762E-2</v>
      </c>
      <c r="S128" s="2">
        <v>0.11386425614904713</v>
      </c>
      <c r="T128" s="2">
        <v>0</v>
      </c>
      <c r="U128" s="2">
        <v>0</v>
      </c>
      <c r="V128" s="2">
        <v>0</v>
      </c>
      <c r="W128" s="2">
        <v>0</v>
      </c>
      <c r="X128" s="2">
        <v>1.7009814785165028E-2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1</v>
      </c>
      <c r="CR128" s="2">
        <v>1</v>
      </c>
      <c r="CS128" s="2">
        <v>1</v>
      </c>
      <c r="CT128" s="2">
        <v>0</v>
      </c>
    </row>
    <row r="129" spans="1:98" x14ac:dyDescent="0.2">
      <c r="A129" s="2" t="s">
        <v>408</v>
      </c>
      <c r="B129" s="2" t="s">
        <v>281</v>
      </c>
      <c r="C129" s="2" t="s">
        <v>281</v>
      </c>
      <c r="D129" s="2" t="s">
        <v>281</v>
      </c>
      <c r="E129" s="2" t="s">
        <v>281</v>
      </c>
      <c r="F129" s="2" t="s">
        <v>281</v>
      </c>
      <c r="G129" s="2">
        <v>79.540704815073198</v>
      </c>
      <c r="H129" s="2">
        <v>10.81</v>
      </c>
      <c r="I129" s="2">
        <v>9.3492082557340002</v>
      </c>
      <c r="J129" s="2">
        <v>1.3270516311349512E-2</v>
      </c>
      <c r="K129" s="2">
        <v>0.11962230465198659</v>
      </c>
      <c r="L129" s="2">
        <v>56.653799999999997</v>
      </c>
      <c r="M129" s="2">
        <v>56.647100000000002</v>
      </c>
      <c r="N129" s="2">
        <v>8.4937692452768943E-4</v>
      </c>
      <c r="O129" s="2">
        <v>2.4619575331517929E-2</v>
      </c>
      <c r="P129" s="2">
        <v>63.457267532906819</v>
      </c>
      <c r="Q129" s="2">
        <v>2.7888688844942777E-2</v>
      </c>
      <c r="R129" s="2">
        <v>8.9376320648793278E-2</v>
      </c>
      <c r="S129" s="2">
        <v>0.10264683696014279</v>
      </c>
      <c r="T129" s="2">
        <v>0</v>
      </c>
      <c r="U129" s="2">
        <v>0</v>
      </c>
      <c r="V129" s="2">
        <v>0</v>
      </c>
      <c r="W129" s="2">
        <v>0</v>
      </c>
      <c r="X129" s="2">
        <v>-1.1217419188904343E-2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1</v>
      </c>
      <c r="CR129" s="2">
        <v>1</v>
      </c>
      <c r="CS129" s="2">
        <v>1</v>
      </c>
      <c r="CT129" s="2">
        <v>0</v>
      </c>
    </row>
    <row r="130" spans="1:98" x14ac:dyDescent="0.2">
      <c r="A130" s="2" t="s">
        <v>409</v>
      </c>
      <c r="B130" s="2" t="s">
        <v>281</v>
      </c>
      <c r="C130" s="2" t="s">
        <v>281</v>
      </c>
      <c r="D130" s="2" t="s">
        <v>281</v>
      </c>
      <c r="E130" s="2" t="s">
        <v>281</v>
      </c>
      <c r="F130" s="2" t="s">
        <v>281</v>
      </c>
      <c r="G130" s="2">
        <v>75.404218422889002</v>
      </c>
      <c r="H130" s="2">
        <v>11.89</v>
      </c>
      <c r="I130" s="2">
        <v>11.748073391284001</v>
      </c>
      <c r="J130" s="2">
        <v>1.2692528210198895E-3</v>
      </c>
      <c r="K130" s="2">
        <v>0.13137785069842098</v>
      </c>
      <c r="L130" s="2">
        <v>56.548900000000003</v>
      </c>
      <c r="M130" s="2">
        <v>57.1858</v>
      </c>
      <c r="N130" s="2">
        <v>-1.8533132164799682E-3</v>
      </c>
      <c r="O130" s="2">
        <v>9.464821181169647E-3</v>
      </c>
      <c r="P130" s="2">
        <v>60.15719464261332</v>
      </c>
      <c r="Q130" s="2">
        <v>-5.3405680178163273E-2</v>
      </c>
      <c r="R130" s="2">
        <v>0.11107680701051854</v>
      </c>
      <c r="S130" s="2">
        <v>0.11234605983153843</v>
      </c>
      <c r="T130" s="2">
        <v>0</v>
      </c>
      <c r="U130" s="2">
        <v>0</v>
      </c>
      <c r="V130" s="2">
        <v>0</v>
      </c>
      <c r="W130" s="2">
        <v>0</v>
      </c>
      <c r="X130" s="2">
        <v>9.6992228713956435E-3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1</v>
      </c>
      <c r="CR130" s="2">
        <v>1</v>
      </c>
      <c r="CS130" s="2">
        <v>1</v>
      </c>
      <c r="CT130" s="2">
        <v>0</v>
      </c>
    </row>
    <row r="131" spans="1:98" x14ac:dyDescent="0.2">
      <c r="A131" s="2" t="s">
        <v>410</v>
      </c>
      <c r="B131" s="2" t="s">
        <v>281</v>
      </c>
      <c r="C131" s="2" t="s">
        <v>281</v>
      </c>
      <c r="D131" s="2" t="s">
        <v>281</v>
      </c>
      <c r="E131" s="2" t="s">
        <v>281</v>
      </c>
      <c r="F131" s="2" t="s">
        <v>281</v>
      </c>
      <c r="G131" s="2">
        <v>81.913214701093295</v>
      </c>
      <c r="H131" s="2">
        <v>12.89</v>
      </c>
      <c r="I131" s="2">
        <v>10.4371986364108</v>
      </c>
      <c r="J131" s="2">
        <v>2.1966872013011993E-2</v>
      </c>
      <c r="K131" s="2">
        <v>0.14599168879759944</v>
      </c>
      <c r="L131" s="2">
        <v>56.459200000000003</v>
      </c>
      <c r="M131" s="2">
        <v>56.808900000000001</v>
      </c>
      <c r="N131" s="2">
        <v>-1.5874971588427655E-3</v>
      </c>
      <c r="O131" s="2">
        <v>-6.6126122246021879E-3</v>
      </c>
      <c r="P131" s="2">
        <v>65.350046769797785</v>
      </c>
      <c r="Q131" s="2">
        <v>8.2797108802854069E-2</v>
      </c>
      <c r="R131" s="2">
        <v>9.9276835272352232E-2</v>
      </c>
      <c r="S131" s="2">
        <v>0.12124370728536422</v>
      </c>
      <c r="T131" s="2">
        <v>0</v>
      </c>
      <c r="U131" s="2">
        <v>0</v>
      </c>
      <c r="V131" s="2">
        <v>0</v>
      </c>
      <c r="W131" s="2">
        <v>0</v>
      </c>
      <c r="X131" s="2">
        <v>8.897647453825791E-3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1</v>
      </c>
      <c r="CR131" s="2">
        <v>1</v>
      </c>
      <c r="CS131" s="2">
        <v>1</v>
      </c>
      <c r="CT131" s="2">
        <v>0</v>
      </c>
    </row>
    <row r="132" spans="1:98" x14ac:dyDescent="0.2">
      <c r="A132" s="2" t="s">
        <v>411</v>
      </c>
      <c r="B132" s="2" t="s">
        <v>281</v>
      </c>
      <c r="C132" s="2" t="s">
        <v>281</v>
      </c>
      <c r="D132" s="2" t="s">
        <v>281</v>
      </c>
      <c r="E132" s="2" t="s">
        <v>281</v>
      </c>
      <c r="F132" s="2" t="s">
        <v>281</v>
      </c>
      <c r="G132" s="2">
        <v>76.228434519655707</v>
      </c>
      <c r="H132" s="2">
        <v>10.86</v>
      </c>
      <c r="I132" s="2">
        <v>10.5263376674186</v>
      </c>
      <c r="J132" s="2">
        <v>3.0143015032932513E-3</v>
      </c>
      <c r="K132" s="2">
        <v>0.13049995354168037</v>
      </c>
      <c r="L132" s="2">
        <v>56.675400000000003</v>
      </c>
      <c r="M132" s="2">
        <v>56.319299999999998</v>
      </c>
      <c r="N132" s="2">
        <v>3.8220007527645095E-3</v>
      </c>
      <c r="O132" s="2">
        <v>-8.6557207980586526E-3</v>
      </c>
      <c r="P132" s="2">
        <v>60.814751065818925</v>
      </c>
      <c r="Q132" s="2">
        <v>-7.1925779991961036E-2</v>
      </c>
      <c r="R132" s="2">
        <v>0.10008365650027404</v>
      </c>
      <c r="S132" s="2">
        <v>0.10309795800356729</v>
      </c>
      <c r="T132" s="2">
        <v>0</v>
      </c>
      <c r="U132" s="2">
        <v>0</v>
      </c>
      <c r="V132" s="2">
        <v>0</v>
      </c>
      <c r="W132" s="2">
        <v>0</v>
      </c>
      <c r="X132" s="2">
        <v>-1.8145749281796936E-2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1</v>
      </c>
      <c r="CR132" s="2">
        <v>1</v>
      </c>
      <c r="CS132" s="2">
        <v>1</v>
      </c>
      <c r="CT132" s="2">
        <v>0</v>
      </c>
    </row>
    <row r="133" spans="1:98" x14ac:dyDescent="0.2">
      <c r="A133" s="2" t="s">
        <v>412</v>
      </c>
      <c r="B133" s="2" t="s">
        <v>281</v>
      </c>
      <c r="C133" s="2" t="s">
        <v>281</v>
      </c>
      <c r="D133" s="2" t="s">
        <v>281</v>
      </c>
      <c r="E133" s="2" t="s">
        <v>281</v>
      </c>
      <c r="F133" s="2" t="s">
        <v>281</v>
      </c>
      <c r="G133" s="2">
        <v>68.864410327983293</v>
      </c>
      <c r="H133" s="2">
        <v>11.57</v>
      </c>
      <c r="I133" s="2">
        <v>11.9772318197023</v>
      </c>
      <c r="J133" s="2">
        <v>-3.6433667002507691E-3</v>
      </c>
      <c r="K133" s="2">
        <v>0.12013538555668003</v>
      </c>
      <c r="L133" s="2">
        <v>56.743600000000001</v>
      </c>
      <c r="M133" s="2">
        <v>56.066200000000002</v>
      </c>
      <c r="N133" s="2">
        <v>1.2026205171933313E-3</v>
      </c>
      <c r="O133" s="2">
        <v>-4.5041473836704427E-3</v>
      </c>
      <c r="P133" s="2">
        <v>54.939760966897907</v>
      </c>
      <c r="Q133" s="2">
        <v>-0.10159504590476232</v>
      </c>
      <c r="R133" s="2">
        <v>0.11312537731724769</v>
      </c>
      <c r="S133" s="2">
        <v>0.10948201061699692</v>
      </c>
      <c r="T133" s="2">
        <v>0</v>
      </c>
      <c r="U133" s="2">
        <v>0</v>
      </c>
      <c r="V133" s="2">
        <v>0</v>
      </c>
      <c r="W133" s="2">
        <v>0</v>
      </c>
      <c r="X133" s="2">
        <v>6.3840526134296277E-3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1</v>
      </c>
      <c r="CR133" s="2">
        <v>1</v>
      </c>
      <c r="CS133" s="2">
        <v>1</v>
      </c>
      <c r="CT133" s="2">
        <v>0</v>
      </c>
    </row>
    <row r="134" spans="1:98" x14ac:dyDescent="0.2">
      <c r="A134" s="2" t="s">
        <v>413</v>
      </c>
      <c r="B134" s="2" t="s">
        <v>281</v>
      </c>
      <c r="C134" s="2" t="s">
        <v>281</v>
      </c>
      <c r="D134" s="2" t="s">
        <v>281</v>
      </c>
      <c r="E134" s="2" t="s">
        <v>281</v>
      </c>
      <c r="F134" s="2" t="s">
        <v>281</v>
      </c>
      <c r="G134" s="2">
        <v>70.759337055129095</v>
      </c>
      <c r="H134" s="2">
        <v>13.94</v>
      </c>
      <c r="I134" s="2">
        <v>11.7592623142395</v>
      </c>
      <c r="J134" s="2">
        <v>1.9324879749526555E-2</v>
      </c>
      <c r="K134" s="2">
        <v>0.13381318211048931</v>
      </c>
      <c r="L134" s="2">
        <v>56.6447</v>
      </c>
      <c r="M134" s="2">
        <v>56.655099999999997</v>
      </c>
      <c r="N134" s="2">
        <v>-1.7444485027153789E-3</v>
      </c>
      <c r="O134" s="2">
        <v>1.0448874488647952E-2</v>
      </c>
      <c r="P134" s="2">
        <v>56.451526201557478</v>
      </c>
      <c r="Q134" s="2">
        <v>2.7144996718178049E-2</v>
      </c>
      <c r="R134" s="2">
        <v>0.11117692831463157</v>
      </c>
      <c r="S134" s="2">
        <v>0.13050180806415812</v>
      </c>
      <c r="T134" s="2">
        <v>0</v>
      </c>
      <c r="U134" s="2">
        <v>0</v>
      </c>
      <c r="V134" s="2">
        <v>0</v>
      </c>
      <c r="W134" s="2">
        <v>0</v>
      </c>
      <c r="X134" s="2">
        <v>2.1019797447161204E-2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1</v>
      </c>
      <c r="CR134" s="2">
        <v>1</v>
      </c>
      <c r="CS134" s="2">
        <v>1</v>
      </c>
      <c r="CT134" s="2">
        <v>0</v>
      </c>
    </row>
    <row r="135" spans="1:98" x14ac:dyDescent="0.2">
      <c r="A135" s="2" t="s">
        <v>414</v>
      </c>
      <c r="B135" s="2" t="s">
        <v>281</v>
      </c>
      <c r="C135" s="2" t="s">
        <v>281</v>
      </c>
      <c r="D135" s="2" t="s">
        <v>281</v>
      </c>
      <c r="E135" s="2" t="s">
        <v>281</v>
      </c>
      <c r="F135" s="2" t="s">
        <v>281</v>
      </c>
      <c r="G135" s="2">
        <v>65.467407536636401</v>
      </c>
      <c r="H135" s="2">
        <v>11.96</v>
      </c>
      <c r="I135" s="2">
        <v>10.8652460303697</v>
      </c>
      <c r="J135" s="2">
        <v>9.826200555924855E-3</v>
      </c>
      <c r="K135" s="2">
        <v>0.11982257613876512</v>
      </c>
      <c r="L135" s="2">
        <v>56.849200000000003</v>
      </c>
      <c r="M135" s="2">
        <v>57.452300000000001</v>
      </c>
      <c r="N135" s="2">
        <v>3.6037218091342638E-3</v>
      </c>
      <c r="O135" s="2">
        <v>1.3973028406022436E-2</v>
      </c>
      <c r="P135" s="2">
        <v>52.229645241349537</v>
      </c>
      <c r="Q135" s="2">
        <v>-7.773207638711277E-2</v>
      </c>
      <c r="R135" s="2">
        <v>0.10314527810323648</v>
      </c>
      <c r="S135" s="2">
        <v>0.11297147865916134</v>
      </c>
      <c r="T135" s="2">
        <v>0</v>
      </c>
      <c r="U135" s="2">
        <v>0</v>
      </c>
      <c r="V135" s="2">
        <v>0</v>
      </c>
      <c r="W135" s="2">
        <v>0</v>
      </c>
      <c r="X135" s="2">
        <v>-1.7530329404996783E-2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1</v>
      </c>
      <c r="CR135" s="2">
        <v>1</v>
      </c>
      <c r="CS135" s="2">
        <v>1</v>
      </c>
      <c r="CT135" s="2">
        <v>0</v>
      </c>
    </row>
    <row r="136" spans="1:98" x14ac:dyDescent="0.2">
      <c r="A136" s="2" t="s">
        <v>415</v>
      </c>
      <c r="B136" s="2" t="s">
        <v>281</v>
      </c>
      <c r="C136" s="2" t="s">
        <v>281</v>
      </c>
      <c r="D136" s="2" t="s">
        <v>281</v>
      </c>
      <c r="E136" s="2" t="s">
        <v>281</v>
      </c>
      <c r="F136" s="2" t="s">
        <v>281</v>
      </c>
      <c r="G136" s="2">
        <v>73.131846941149107</v>
      </c>
      <c r="H136" s="2">
        <v>13.09</v>
      </c>
      <c r="I136" s="2">
        <v>10.1622895878452</v>
      </c>
      <c r="J136" s="2">
        <v>2.6229323475437008E-2</v>
      </c>
      <c r="K136" s="2">
        <v>0.12496604165762762</v>
      </c>
      <c r="L136" s="2">
        <v>56.934899999999999</v>
      </c>
      <c r="M136" s="2">
        <v>57.456600000000002</v>
      </c>
      <c r="N136" s="2">
        <v>1.5063618942425805E-3</v>
      </c>
      <c r="O136" s="2">
        <v>7.4841896528177188E-5</v>
      </c>
      <c r="P136" s="2">
        <v>58.344305438448373</v>
      </c>
      <c r="Q136" s="2">
        <v>0.11071151061263773</v>
      </c>
      <c r="R136" s="2">
        <v>9.6784452419707248E-2</v>
      </c>
      <c r="S136" s="2">
        <v>0.12301377589514426</v>
      </c>
      <c r="T136" s="2">
        <v>0</v>
      </c>
      <c r="U136" s="2">
        <v>0</v>
      </c>
      <c r="V136" s="2">
        <v>0</v>
      </c>
      <c r="W136" s="2">
        <v>0</v>
      </c>
      <c r="X136" s="2">
        <v>1.0042297235982919E-2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1</v>
      </c>
      <c r="CR136" s="2">
        <v>1</v>
      </c>
      <c r="CS136" s="2">
        <v>1</v>
      </c>
      <c r="CT136" s="2">
        <v>0</v>
      </c>
    </row>
    <row r="137" spans="1:98" x14ac:dyDescent="0.2">
      <c r="A137" s="2" t="s">
        <v>416</v>
      </c>
      <c r="B137" s="2" t="s">
        <v>281</v>
      </c>
      <c r="C137" s="2" t="s">
        <v>281</v>
      </c>
      <c r="D137" s="2" t="s">
        <v>281</v>
      </c>
      <c r="E137" s="2" t="s">
        <v>281</v>
      </c>
      <c r="F137" s="2" t="s">
        <v>281</v>
      </c>
      <c r="G137" s="2">
        <v>65.636872528495005</v>
      </c>
      <c r="H137" s="2">
        <v>13.27</v>
      </c>
      <c r="I137" s="2">
        <v>8.1953357926486401</v>
      </c>
      <c r="J137" s="2">
        <v>4.5836091006201257E-2</v>
      </c>
      <c r="K137" s="2">
        <v>0.1655485888490939</v>
      </c>
      <c r="L137" s="2">
        <v>56.7821</v>
      </c>
      <c r="M137" s="2">
        <v>56.4482</v>
      </c>
      <c r="N137" s="2">
        <v>-2.6873746574374024E-3</v>
      </c>
      <c r="O137" s="2">
        <v>-1.7706476740852573E-2</v>
      </c>
      <c r="P137" s="2">
        <v>52.364843758270339</v>
      </c>
      <c r="Q137" s="2">
        <v>-0.10812631528330785</v>
      </c>
      <c r="R137" s="2">
        <v>7.8768072218329627E-2</v>
      </c>
      <c r="S137" s="2">
        <v>0.12460416322453088</v>
      </c>
      <c r="T137" s="2">
        <v>0</v>
      </c>
      <c r="U137" s="2">
        <v>0</v>
      </c>
      <c r="V137" s="2">
        <v>0</v>
      </c>
      <c r="W137" s="2">
        <v>0</v>
      </c>
      <c r="X137" s="2">
        <v>1.5903873293866277E-3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1</v>
      </c>
      <c r="CR137" s="2">
        <v>1</v>
      </c>
      <c r="CS137" s="2">
        <v>1</v>
      </c>
      <c r="CT137" s="2">
        <v>0</v>
      </c>
    </row>
    <row r="138" spans="1:98" x14ac:dyDescent="0.2">
      <c r="A138" s="2" t="s">
        <v>417</v>
      </c>
      <c r="B138" s="2" t="s">
        <v>281</v>
      </c>
      <c r="C138" s="2" t="s">
        <v>281</v>
      </c>
      <c r="D138" s="2" t="s">
        <v>281</v>
      </c>
      <c r="E138" s="2" t="s">
        <v>281</v>
      </c>
      <c r="F138" s="2" t="s">
        <v>281</v>
      </c>
      <c r="G138" s="2">
        <v>74.179448709002102</v>
      </c>
      <c r="H138" s="2">
        <v>12.31</v>
      </c>
      <c r="I138" s="2">
        <v>7.19583929607517</v>
      </c>
      <c r="J138" s="2">
        <v>4.6605469628081334E-2</v>
      </c>
      <c r="K138" s="2">
        <v>0.20557533323117827</v>
      </c>
      <c r="L138" s="2">
        <v>56.8643</v>
      </c>
      <c r="M138" s="2">
        <v>56.403100000000002</v>
      </c>
      <c r="N138" s="2">
        <v>1.4465924892386184E-3</v>
      </c>
      <c r="O138" s="2">
        <v>-7.9928192942357867E-4</v>
      </c>
      <c r="P138" s="2">
        <v>59.180078088504096</v>
      </c>
      <c r="Q138" s="2">
        <v>0.12234952096421514</v>
      </c>
      <c r="R138" s="2">
        <v>6.9487249358772013E-2</v>
      </c>
      <c r="S138" s="2">
        <v>0.11609271898685335</v>
      </c>
      <c r="T138" s="2">
        <v>0</v>
      </c>
      <c r="U138" s="2">
        <v>0</v>
      </c>
      <c r="V138" s="2">
        <v>0</v>
      </c>
      <c r="W138" s="2">
        <v>0</v>
      </c>
      <c r="X138" s="2">
        <v>-8.5114442376775373E-3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1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1</v>
      </c>
      <c r="CR138" s="2">
        <v>1</v>
      </c>
      <c r="CS138" s="2">
        <v>1</v>
      </c>
      <c r="CT138" s="2">
        <v>0</v>
      </c>
    </row>
    <row r="139" spans="1:98" x14ac:dyDescent="0.2">
      <c r="A139" s="2" t="s">
        <v>418</v>
      </c>
      <c r="B139" s="2" t="s">
        <v>281</v>
      </c>
      <c r="C139" s="2" t="s">
        <v>281</v>
      </c>
      <c r="D139" s="2" t="s">
        <v>281</v>
      </c>
      <c r="E139" s="2" t="s">
        <v>281</v>
      </c>
      <c r="F139" s="2" t="s">
        <v>281</v>
      </c>
      <c r="G139" s="2">
        <v>76.5288497324959</v>
      </c>
      <c r="H139" s="2">
        <v>10.73</v>
      </c>
      <c r="I139" s="2">
        <v>8.49392906572883</v>
      </c>
      <c r="J139" s="2">
        <v>2.0400587606202517E-2</v>
      </c>
      <c r="K139" s="2">
        <v>0.22516036329469374</v>
      </c>
      <c r="L139" s="2">
        <v>56.902099999999997</v>
      </c>
      <c r="M139" s="2">
        <v>57.666800000000002</v>
      </c>
      <c r="N139" s="2">
        <v>6.6451960141122868E-4</v>
      </c>
      <c r="O139" s="2">
        <v>2.2157496433198531E-2</v>
      </c>
      <c r="P139" s="2">
        <v>61.054421163996672</v>
      </c>
      <c r="Q139" s="2">
        <v>3.118065019374594E-2</v>
      </c>
      <c r="R139" s="2">
        <v>8.1524032115722969E-2</v>
      </c>
      <c r="S139" s="2">
        <v>0.10192461972192549</v>
      </c>
      <c r="T139" s="2">
        <v>0</v>
      </c>
      <c r="U139" s="2">
        <v>0</v>
      </c>
      <c r="V139" s="2">
        <v>0</v>
      </c>
      <c r="W139" s="2">
        <v>0</v>
      </c>
      <c r="X139" s="2">
        <v>-1.4168099264927861E-2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1</v>
      </c>
      <c r="CR139" s="2">
        <v>1</v>
      </c>
      <c r="CS139" s="2">
        <v>1</v>
      </c>
      <c r="CT139" s="2">
        <v>0</v>
      </c>
    </row>
    <row r="140" spans="1:98" x14ac:dyDescent="0.2">
      <c r="A140" s="2" t="s">
        <v>419</v>
      </c>
      <c r="B140" s="2" t="s">
        <v>281</v>
      </c>
      <c r="C140" s="2" t="s">
        <v>281</v>
      </c>
      <c r="D140" s="2" t="s">
        <v>281</v>
      </c>
      <c r="E140" s="2" t="s">
        <v>281</v>
      </c>
      <c r="F140" s="2" t="s">
        <v>281</v>
      </c>
      <c r="G140" s="2">
        <v>84.616951616655001</v>
      </c>
      <c r="H140" s="2">
        <v>10.029999999999999</v>
      </c>
      <c r="I140" s="2">
        <v>10.312998332407201</v>
      </c>
      <c r="J140" s="2">
        <v>-2.568708696505953E-3</v>
      </c>
      <c r="K140" s="2">
        <v>0.20153141927329143</v>
      </c>
      <c r="L140" s="2">
        <v>56.534700000000001</v>
      </c>
      <c r="M140" s="2">
        <v>55.265000000000001</v>
      </c>
      <c r="N140" s="2">
        <v>-6.4776383795788206E-3</v>
      </c>
      <c r="O140" s="2">
        <v>-4.2541821202805252E-2</v>
      </c>
      <c r="P140" s="2">
        <v>67.507077653397431</v>
      </c>
      <c r="Q140" s="2">
        <v>0.10046682983279354</v>
      </c>
      <c r="R140" s="2">
        <v>9.8151578590235947E-2</v>
      </c>
      <c r="S140" s="2">
        <v>9.5582869893729994E-2</v>
      </c>
      <c r="T140" s="2">
        <v>0</v>
      </c>
      <c r="U140" s="2">
        <v>0</v>
      </c>
      <c r="V140" s="2">
        <v>0</v>
      </c>
      <c r="W140" s="2">
        <v>0</v>
      </c>
      <c r="X140" s="2">
        <v>-6.341749828195492E-3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1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1</v>
      </c>
      <c r="CR140" s="2">
        <v>1</v>
      </c>
      <c r="CS140" s="2">
        <v>1</v>
      </c>
      <c r="CT140" s="2">
        <v>0</v>
      </c>
    </row>
    <row r="141" spans="1:98" x14ac:dyDescent="0.2">
      <c r="A141" s="2" t="s">
        <v>420</v>
      </c>
      <c r="B141" s="2" t="s">
        <v>281</v>
      </c>
      <c r="C141" s="2" t="s">
        <v>281</v>
      </c>
      <c r="D141" s="2" t="s">
        <v>281</v>
      </c>
      <c r="E141" s="2" t="s">
        <v>281</v>
      </c>
      <c r="F141" s="2" t="s">
        <v>281</v>
      </c>
      <c r="G141" s="2">
        <v>86.249977901837596</v>
      </c>
      <c r="H141" s="2">
        <v>9.43</v>
      </c>
      <c r="I141" s="2">
        <v>12.0495633121291</v>
      </c>
      <c r="J141" s="2">
        <v>-2.3656227549990388E-2</v>
      </c>
      <c r="K141" s="2">
        <v>0.16460467541195153</v>
      </c>
      <c r="L141" s="2">
        <v>56.764699999999998</v>
      </c>
      <c r="M141" s="2">
        <v>56.858800000000002</v>
      </c>
      <c r="N141" s="2">
        <v>4.060044730025858E-3</v>
      </c>
      <c r="O141" s="2">
        <v>2.8431204770120289E-2</v>
      </c>
      <c r="P141" s="2">
        <v>68.809899725543104</v>
      </c>
      <c r="Q141" s="2">
        <v>1.9115179441485886E-2</v>
      </c>
      <c r="R141" s="2">
        <v>0.11377111699225072</v>
      </c>
      <c r="S141" s="2">
        <v>9.0114889442260329E-2</v>
      </c>
      <c r="T141" s="2">
        <v>0</v>
      </c>
      <c r="U141" s="2">
        <v>0</v>
      </c>
      <c r="V141" s="2">
        <v>0</v>
      </c>
      <c r="W141" s="2">
        <v>0</v>
      </c>
      <c r="X141" s="2">
        <v>-5.4679804514696645E-3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1</v>
      </c>
      <c r="CR141" s="2">
        <v>1</v>
      </c>
      <c r="CS141" s="2">
        <v>1</v>
      </c>
      <c r="CT141" s="2">
        <v>0</v>
      </c>
    </row>
    <row r="142" spans="1:98" x14ac:dyDescent="0.2">
      <c r="A142" s="2" t="s">
        <v>421</v>
      </c>
      <c r="B142" s="2" t="s">
        <v>281</v>
      </c>
      <c r="C142" s="2" t="s">
        <v>281</v>
      </c>
      <c r="D142" s="2" t="s">
        <v>281</v>
      </c>
      <c r="E142" s="2" t="s">
        <v>281</v>
      </c>
      <c r="F142" s="2" t="s">
        <v>281</v>
      </c>
      <c r="G142" s="2">
        <v>84.848040241916706</v>
      </c>
      <c r="H142" s="2">
        <v>10.46</v>
      </c>
      <c r="I142" s="2">
        <v>11.1174031746806</v>
      </c>
      <c r="J142" s="2">
        <v>-5.933864141664455E-3</v>
      </c>
      <c r="K142" s="2">
        <v>0.15740155844926723</v>
      </c>
      <c r="L142" s="2">
        <v>57.009700000000002</v>
      </c>
      <c r="M142" s="2">
        <v>57.681600000000003</v>
      </c>
      <c r="N142" s="2">
        <v>4.3067751391276943E-3</v>
      </c>
      <c r="O142" s="2">
        <v>1.4367230309968448E-2</v>
      </c>
      <c r="P142" s="2">
        <v>67.691439267380332</v>
      </c>
      <c r="Q142" s="2">
        <v>-1.6387905023752758E-2</v>
      </c>
      <c r="R142" s="2">
        <v>0.1054171426266146</v>
      </c>
      <c r="S142" s="2">
        <v>9.9483278484950144E-2</v>
      </c>
      <c r="T142" s="2">
        <v>0</v>
      </c>
      <c r="U142" s="2">
        <v>0</v>
      </c>
      <c r="V142" s="2">
        <v>0</v>
      </c>
      <c r="W142" s="2">
        <v>0</v>
      </c>
      <c r="X142" s="2">
        <v>9.3683890426898148E-3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1</v>
      </c>
      <c r="CR142" s="2">
        <v>1</v>
      </c>
      <c r="CS142" s="2">
        <v>1</v>
      </c>
      <c r="CT142" s="2">
        <v>0</v>
      </c>
    </row>
    <row r="143" spans="1:98" x14ac:dyDescent="0.2">
      <c r="A143" s="2" t="s">
        <v>422</v>
      </c>
      <c r="B143" s="2" t="s">
        <v>281</v>
      </c>
      <c r="C143" s="2" t="s">
        <v>281</v>
      </c>
      <c r="D143" s="2" t="s">
        <v>281</v>
      </c>
      <c r="E143" s="2" t="s">
        <v>281</v>
      </c>
      <c r="F143" s="2" t="s">
        <v>281</v>
      </c>
      <c r="G143" s="2">
        <v>92.666538729937102</v>
      </c>
      <c r="H143" s="2">
        <v>10.67</v>
      </c>
      <c r="I143" s="2">
        <v>10.616449226659</v>
      </c>
      <c r="J143" s="2">
        <v>4.8399506226884381E-4</v>
      </c>
      <c r="K143" s="2">
        <v>0.13591868149852407</v>
      </c>
      <c r="L143" s="2">
        <v>56.773299999999999</v>
      </c>
      <c r="M143" s="2">
        <v>57.1096</v>
      </c>
      <c r="N143" s="2">
        <v>-4.1552840081147124E-3</v>
      </c>
      <c r="O143" s="2">
        <v>-9.9660032180803881E-3</v>
      </c>
      <c r="P143" s="2">
        <v>73.929007207134347</v>
      </c>
      <c r="Q143" s="2">
        <v>8.814554973228006E-2</v>
      </c>
      <c r="R143" s="2">
        <v>0.10089861922633375</v>
      </c>
      <c r="S143" s="2">
        <v>0.1013826142886026</v>
      </c>
      <c r="T143" s="2">
        <v>0</v>
      </c>
      <c r="U143" s="2">
        <v>0</v>
      </c>
      <c r="V143" s="2">
        <v>0</v>
      </c>
      <c r="W143" s="2">
        <v>0</v>
      </c>
      <c r="X143" s="2">
        <v>1.8993358036524521E-3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1</v>
      </c>
      <c r="CR143" s="2">
        <v>1</v>
      </c>
      <c r="CS143" s="2">
        <v>1</v>
      </c>
      <c r="CT143" s="2">
        <v>0</v>
      </c>
    </row>
    <row r="144" spans="1:98" x14ac:dyDescent="0.2">
      <c r="A144" s="2" t="s">
        <v>423</v>
      </c>
      <c r="B144" s="2" t="s">
        <v>281</v>
      </c>
      <c r="C144" s="2" t="s">
        <v>281</v>
      </c>
      <c r="D144" s="2" t="s">
        <v>281</v>
      </c>
      <c r="E144" s="2" t="s">
        <v>281</v>
      </c>
      <c r="F144" s="2" t="s">
        <v>281</v>
      </c>
      <c r="G144" s="2">
        <v>83.831250290765297</v>
      </c>
      <c r="H144" s="2">
        <v>10.46</v>
      </c>
      <c r="I144" s="2">
        <v>13.972938637931099</v>
      </c>
      <c r="J144" s="2">
        <v>-3.1307575373249158E-2</v>
      </c>
      <c r="K144" s="2">
        <v>0.10159680462198167</v>
      </c>
      <c r="L144" s="2">
        <v>56.962499999999999</v>
      </c>
      <c r="M144" s="2">
        <v>56.588000000000001</v>
      </c>
      <c r="N144" s="2">
        <v>3.3270118031669682E-3</v>
      </c>
      <c r="O144" s="2">
        <v>-9.1752800282396407E-3</v>
      </c>
      <c r="P144" s="2">
        <v>66.88024816585569</v>
      </c>
      <c r="Q144" s="2">
        <v>-0.10020159127266126</v>
      </c>
      <c r="R144" s="2">
        <v>0.1307908538581993</v>
      </c>
      <c r="S144" s="2">
        <v>9.9483278484950144E-2</v>
      </c>
      <c r="T144" s="2">
        <v>0</v>
      </c>
      <c r="U144" s="2">
        <v>0</v>
      </c>
      <c r="V144" s="2">
        <v>0</v>
      </c>
      <c r="W144" s="2">
        <v>0</v>
      </c>
      <c r="X144" s="2">
        <v>-1.8993358036524521E-3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1</v>
      </c>
      <c r="CR144" s="2">
        <v>1</v>
      </c>
      <c r="CS144" s="2">
        <v>1</v>
      </c>
      <c r="CT144" s="2">
        <v>0</v>
      </c>
    </row>
    <row r="145" spans="1:98" x14ac:dyDescent="0.2">
      <c r="A145" s="2" t="s">
        <v>424</v>
      </c>
      <c r="B145" s="2" t="s">
        <v>281</v>
      </c>
      <c r="C145" s="2" t="s">
        <v>281</v>
      </c>
      <c r="D145" s="2" t="s">
        <v>281</v>
      </c>
      <c r="E145" s="2" t="s">
        <v>281</v>
      </c>
      <c r="F145" s="2" t="s">
        <v>281</v>
      </c>
      <c r="G145" s="2">
        <v>76.998729937194696</v>
      </c>
      <c r="H145" s="2">
        <v>13.96</v>
      </c>
      <c r="I145" s="2">
        <v>15.0730453195001</v>
      </c>
      <c r="J145" s="2">
        <v>-9.7195937855129866E-3</v>
      </c>
      <c r="K145" s="2">
        <v>9.552057753671947E-2</v>
      </c>
      <c r="L145" s="2">
        <v>57.563600000000001</v>
      </c>
      <c r="M145" s="2">
        <v>57.000599999999999</v>
      </c>
      <c r="N145" s="2">
        <v>1.0497266906346781E-2</v>
      </c>
      <c r="O145" s="2">
        <v>7.2648454982502386E-3</v>
      </c>
      <c r="P145" s="2">
        <v>61.429289779095235</v>
      </c>
      <c r="Q145" s="2">
        <v>-8.5016925741219218E-2</v>
      </c>
      <c r="R145" s="2">
        <v>0.14039691742712912</v>
      </c>
      <c r="S145" s="2">
        <v>0.13067732364161613</v>
      </c>
      <c r="T145" s="2">
        <v>0</v>
      </c>
      <c r="U145" s="2">
        <v>0</v>
      </c>
      <c r="V145" s="2">
        <v>0</v>
      </c>
      <c r="W145" s="2">
        <v>0</v>
      </c>
      <c r="X145" s="2">
        <v>3.1194045156665989E-2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1</v>
      </c>
      <c r="CR145" s="2">
        <v>1</v>
      </c>
      <c r="CS145" s="2">
        <v>1</v>
      </c>
      <c r="CT145" s="2">
        <v>0</v>
      </c>
    </row>
    <row r="146" spans="1:98" x14ac:dyDescent="0.2">
      <c r="A146" s="2" t="s">
        <v>425</v>
      </c>
      <c r="B146" s="2" t="s">
        <v>281</v>
      </c>
      <c r="C146" s="2" t="s">
        <v>281</v>
      </c>
      <c r="D146" s="2" t="s">
        <v>281</v>
      </c>
      <c r="E146" s="2" t="s">
        <v>281</v>
      </c>
      <c r="F146" s="2" t="s">
        <v>281</v>
      </c>
      <c r="G146" s="2">
        <v>78.624053268201905</v>
      </c>
      <c r="H146" s="2">
        <v>16.670000000000002</v>
      </c>
      <c r="I146" s="2">
        <v>14.372350612333999</v>
      </c>
      <c r="J146" s="2">
        <v>1.9890077553538194E-2</v>
      </c>
      <c r="K146" s="2">
        <v>9.6085775340731067E-2</v>
      </c>
      <c r="L146" s="2">
        <v>57.822299999999998</v>
      </c>
      <c r="M146" s="2">
        <v>57.923699999999997</v>
      </c>
      <c r="N146" s="2">
        <v>4.4840909240173588E-3</v>
      </c>
      <c r="O146" s="2">
        <v>1.6064833157674485E-2</v>
      </c>
      <c r="P146" s="2">
        <v>62.725966464108154</v>
      </c>
      <c r="Q146" s="2">
        <v>2.0888746448656015E-2</v>
      </c>
      <c r="R146" s="2">
        <v>0.13428917329413612</v>
      </c>
      <c r="S146" s="2">
        <v>0.15417925084767431</v>
      </c>
      <c r="T146" s="2">
        <v>0</v>
      </c>
      <c r="U146" s="2">
        <v>0</v>
      </c>
      <c r="V146" s="2">
        <v>0</v>
      </c>
      <c r="W146" s="2">
        <v>0</v>
      </c>
      <c r="X146" s="2">
        <v>2.3501927206058176E-2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1</v>
      </c>
      <c r="CR146" s="2">
        <v>1</v>
      </c>
      <c r="CS146" s="2">
        <v>1</v>
      </c>
      <c r="CT146" s="2">
        <v>0</v>
      </c>
    </row>
    <row r="147" spans="1:98" x14ac:dyDescent="0.2">
      <c r="A147" s="2" t="s">
        <v>426</v>
      </c>
      <c r="B147" s="2" t="s">
        <v>281</v>
      </c>
      <c r="C147" s="2" t="s">
        <v>281</v>
      </c>
      <c r="D147" s="2" t="s">
        <v>281</v>
      </c>
      <c r="E147" s="2" t="s">
        <v>281</v>
      </c>
      <c r="F147" s="2" t="s">
        <v>281</v>
      </c>
      <c r="G147" s="2">
        <v>73.986874854617298</v>
      </c>
      <c r="H147" s="2">
        <v>14.54</v>
      </c>
      <c r="I147" s="2">
        <v>12.716257234022301</v>
      </c>
      <c r="J147" s="2">
        <v>1.6050444025008423E-2</v>
      </c>
      <c r="K147" s="2">
        <v>0.10231001880981463</v>
      </c>
      <c r="L147" s="2">
        <v>57.436700000000002</v>
      </c>
      <c r="M147" s="2">
        <v>58.052500000000002</v>
      </c>
      <c r="N147" s="2">
        <v>-6.6910425842650056E-3</v>
      </c>
      <c r="O147" s="2">
        <v>2.221146286096598E-3</v>
      </c>
      <c r="P147" s="2">
        <v>59.02644341018501</v>
      </c>
      <c r="Q147" s="2">
        <v>-6.0789963200842401E-2</v>
      </c>
      <c r="R147" s="2">
        <v>0.11970347695261142</v>
      </c>
      <c r="S147" s="2">
        <v>0.13575392097761985</v>
      </c>
      <c r="T147" s="2">
        <v>0</v>
      </c>
      <c r="U147" s="2">
        <v>0</v>
      </c>
      <c r="V147" s="2">
        <v>0</v>
      </c>
      <c r="W147" s="2">
        <v>0</v>
      </c>
      <c r="X147" s="2">
        <v>-1.8425329870054463E-2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1</v>
      </c>
      <c r="CR147" s="2">
        <v>1</v>
      </c>
      <c r="CS147" s="2">
        <v>1</v>
      </c>
      <c r="CT147" s="2">
        <v>0</v>
      </c>
    </row>
    <row r="148" spans="1:98" x14ac:dyDescent="0.2">
      <c r="A148" s="2" t="s">
        <v>427</v>
      </c>
      <c r="B148" s="2" t="s">
        <v>281</v>
      </c>
      <c r="C148" s="2" t="s">
        <v>281</v>
      </c>
      <c r="D148" s="2" t="s">
        <v>281</v>
      </c>
      <c r="E148" s="2" t="s">
        <v>281</v>
      </c>
      <c r="F148" s="2" t="s">
        <v>281</v>
      </c>
      <c r="G148" s="2">
        <v>75.666118864852294</v>
      </c>
      <c r="H148" s="2">
        <v>1.18</v>
      </c>
      <c r="I148" s="2">
        <v>4.77018576799688</v>
      </c>
      <c r="J148" s="2">
        <v>-3.4868135602469277E-2</v>
      </c>
      <c r="K148" s="2">
        <v>4.1212559731908349E-2</v>
      </c>
      <c r="L148" s="2">
        <v>57.038899999999998</v>
      </c>
      <c r="M148" s="2">
        <v>57.243299999999998</v>
      </c>
      <c r="N148" s="2">
        <v>-6.9499806284945009E-3</v>
      </c>
      <c r="O148" s="2">
        <v>-1.4037168520657062E-2</v>
      </c>
      <c r="P148" s="2">
        <v>60.366137805127302</v>
      </c>
      <c r="Q148" s="2">
        <v>2.2442778472213654E-2</v>
      </c>
      <c r="R148" s="2">
        <v>4.6599058478167976E-2</v>
      </c>
      <c r="S148" s="2">
        <v>1.1730922875698699E-2</v>
      </c>
      <c r="T148" s="2">
        <v>0</v>
      </c>
      <c r="U148" s="2">
        <v>0</v>
      </c>
      <c r="V148" s="2">
        <v>0</v>
      </c>
      <c r="W148" s="2">
        <v>0</v>
      </c>
      <c r="X148" s="2">
        <v>-0.12402299810192115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1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1</v>
      </c>
      <c r="CR148" s="2">
        <v>1</v>
      </c>
      <c r="CS148" s="2">
        <v>1</v>
      </c>
      <c r="CT148" s="2">
        <v>0</v>
      </c>
    </row>
    <row r="149" spans="1:98" x14ac:dyDescent="0.2">
      <c r="A149" s="2" t="s">
        <v>428</v>
      </c>
      <c r="B149" s="2" t="s">
        <v>281</v>
      </c>
      <c r="C149" s="2" t="s">
        <v>281</v>
      </c>
      <c r="D149" s="2" t="s">
        <v>281</v>
      </c>
      <c r="E149" s="2" t="s">
        <v>281</v>
      </c>
      <c r="F149" s="2" t="s">
        <v>281</v>
      </c>
      <c r="G149" s="2">
        <v>78.770409397534294</v>
      </c>
      <c r="H149" s="2">
        <v>1.25</v>
      </c>
      <c r="I149" s="2">
        <v>0.78000320905249299</v>
      </c>
      <c r="J149" s="2">
        <v>4.6527508920408368E-3</v>
      </c>
      <c r="K149" s="2">
        <v>2.9219617747928799E-5</v>
      </c>
      <c r="L149" s="2">
        <v>57.094799999999999</v>
      </c>
      <c r="M149" s="2">
        <v>57.045699999999997</v>
      </c>
      <c r="N149" s="2">
        <v>9.7955300616359153E-4</v>
      </c>
      <c r="O149" s="2">
        <v>-3.4579040308964082E-3</v>
      </c>
      <c r="P149" s="2">
        <v>62.842728819630622</v>
      </c>
      <c r="Q149" s="2">
        <v>4.0206921965074471E-2</v>
      </c>
      <c r="R149" s="2">
        <v>7.7697691065162734E-3</v>
      </c>
      <c r="S149" s="2">
        <v>1.242251999855711E-2</v>
      </c>
      <c r="T149" s="2">
        <v>0</v>
      </c>
      <c r="U149" s="2">
        <v>0</v>
      </c>
      <c r="V149" s="2">
        <v>0</v>
      </c>
      <c r="W149" s="2">
        <v>0</v>
      </c>
      <c r="X149" s="2">
        <v>6.9159712285841134E-4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1</v>
      </c>
      <c r="CR149" s="2">
        <v>1</v>
      </c>
      <c r="CS149" s="2">
        <v>1</v>
      </c>
      <c r="CT149" s="2">
        <v>0</v>
      </c>
    </row>
    <row r="150" spans="1:98" x14ac:dyDescent="0.2">
      <c r="A150" s="2" t="s">
        <v>429</v>
      </c>
      <c r="B150" s="2" t="s">
        <v>281</v>
      </c>
      <c r="C150" s="2" t="s">
        <v>281</v>
      </c>
      <c r="D150" s="2" t="s">
        <v>281</v>
      </c>
      <c r="E150" s="2" t="s">
        <v>281</v>
      </c>
      <c r="F150" s="2" t="s">
        <v>281</v>
      </c>
      <c r="G150" s="2">
        <v>82.128897418004101</v>
      </c>
      <c r="H150" s="2">
        <v>1.22</v>
      </c>
      <c r="I150" s="2">
        <v>1.39908695970441</v>
      </c>
      <c r="J150" s="2">
        <v>-1.7677209884459505E-3</v>
      </c>
      <c r="K150" s="2">
        <v>-4.8343970998779351E-2</v>
      </c>
      <c r="L150" s="2">
        <v>57.201099999999997</v>
      </c>
      <c r="M150" s="2">
        <v>56.668399999999998</v>
      </c>
      <c r="N150" s="2">
        <v>1.8600847563048362E-3</v>
      </c>
      <c r="O150" s="2">
        <v>-6.6359648375202696E-3</v>
      </c>
      <c r="P150" s="2">
        <v>65.522117609515078</v>
      </c>
      <c r="Q150" s="2">
        <v>4.1752521742760784E-2</v>
      </c>
      <c r="R150" s="2">
        <v>1.3893900786286505E-2</v>
      </c>
      <c r="S150" s="2">
        <v>1.2126179797840555E-2</v>
      </c>
      <c r="T150" s="2">
        <v>0</v>
      </c>
      <c r="U150" s="2">
        <v>0</v>
      </c>
      <c r="V150" s="2">
        <v>0</v>
      </c>
      <c r="W150" s="2">
        <v>0</v>
      </c>
      <c r="X150" s="2">
        <v>-2.9634020071655533E-4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1</v>
      </c>
      <c r="CR150" s="2">
        <v>1</v>
      </c>
      <c r="CS150" s="2">
        <v>1</v>
      </c>
      <c r="CT150" s="2">
        <v>0</v>
      </c>
    </row>
    <row r="151" spans="1:98" x14ac:dyDescent="0.2">
      <c r="A151" s="2" t="s">
        <v>430</v>
      </c>
      <c r="B151" s="2" t="s">
        <v>281</v>
      </c>
      <c r="C151" s="2" t="s">
        <v>281</v>
      </c>
      <c r="D151" s="2" t="s">
        <v>281</v>
      </c>
      <c r="E151" s="2" t="s">
        <v>281</v>
      </c>
      <c r="F151" s="2" t="s">
        <v>281</v>
      </c>
      <c r="G151" s="2">
        <v>86.943243777622698</v>
      </c>
      <c r="H151" s="2">
        <v>1.42</v>
      </c>
      <c r="I151" s="2">
        <v>1.2721397496659801</v>
      </c>
      <c r="J151" s="2">
        <v>1.4589640895229985E-3</v>
      </c>
      <c r="K151" s="2">
        <v>-6.7285594515458874E-2</v>
      </c>
      <c r="L151" s="2">
        <v>57.011800000000001</v>
      </c>
      <c r="M151" s="2">
        <v>57.844299999999997</v>
      </c>
      <c r="N151" s="2">
        <v>-3.3148650168390859E-3</v>
      </c>
      <c r="O151" s="2">
        <v>2.0538181952782786E-2</v>
      </c>
      <c r="P151" s="2">
        <v>69.362984567491793</v>
      </c>
      <c r="Q151" s="2">
        <v>5.696560257292127E-2</v>
      </c>
      <c r="R151" s="2">
        <v>1.2641160289258628E-2</v>
      </c>
      <c r="S151" s="2">
        <v>1.4100124378781626E-2</v>
      </c>
      <c r="T151" s="2">
        <v>0</v>
      </c>
      <c r="U151" s="2">
        <v>0</v>
      </c>
      <c r="V151" s="2">
        <v>0</v>
      </c>
      <c r="W151" s="2">
        <v>0</v>
      </c>
      <c r="X151" s="2">
        <v>1.9739445809410713E-3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1</v>
      </c>
      <c r="CR151" s="2">
        <v>1</v>
      </c>
      <c r="CS151" s="2">
        <v>1</v>
      </c>
      <c r="CT151" s="2">
        <v>0</v>
      </c>
    </row>
    <row r="152" spans="1:98" x14ac:dyDescent="0.2">
      <c r="A152" s="2" t="s">
        <v>431</v>
      </c>
      <c r="B152" s="2" t="s">
        <v>281</v>
      </c>
      <c r="C152" s="2" t="s">
        <v>281</v>
      </c>
      <c r="D152" s="2" t="s">
        <v>281</v>
      </c>
      <c r="E152" s="2" t="s">
        <v>281</v>
      </c>
      <c r="F152" s="2" t="s">
        <v>281</v>
      </c>
      <c r="G152" s="2">
        <v>94.083882298208806</v>
      </c>
      <c r="H152" s="2">
        <v>1.9458759999999999</v>
      </c>
      <c r="I152" s="2">
        <v>1.7103069998462901</v>
      </c>
      <c r="J152" s="2">
        <v>2.3133999836784866E-3</v>
      </c>
      <c r="K152" s="2">
        <v>-6.2403485835274441E-2</v>
      </c>
      <c r="L152" s="2">
        <v>57.3217</v>
      </c>
      <c r="M152" s="2">
        <v>55.9375</v>
      </c>
      <c r="N152" s="2">
        <v>5.4209966269587184E-3</v>
      </c>
      <c r="O152" s="2">
        <v>-3.3519922067344332E-2</v>
      </c>
      <c r="P152" s="2">
        <v>75.0597584395627</v>
      </c>
      <c r="Q152" s="2">
        <v>7.8931213827452495E-2</v>
      </c>
      <c r="R152" s="2">
        <v>1.6958459028953033E-2</v>
      </c>
      <c r="S152" s="2">
        <v>1.927185901263152E-2</v>
      </c>
      <c r="T152" s="2">
        <v>0</v>
      </c>
      <c r="U152" s="2">
        <v>0</v>
      </c>
      <c r="V152" s="2">
        <v>0</v>
      </c>
      <c r="W152" s="2">
        <v>0</v>
      </c>
      <c r="X152" s="2">
        <v>5.1717346338498935E-3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1</v>
      </c>
      <c r="CR152" s="2">
        <v>1</v>
      </c>
      <c r="CS152" s="2">
        <v>1</v>
      </c>
      <c r="CT152" s="2">
        <v>0</v>
      </c>
    </row>
    <row r="153" spans="1:98" x14ac:dyDescent="0.2">
      <c r="A153" s="2" t="s">
        <v>432</v>
      </c>
      <c r="B153" s="2" t="s">
        <v>281</v>
      </c>
      <c r="C153" s="2" t="s">
        <v>281</v>
      </c>
      <c r="D153" s="2" t="s">
        <v>281</v>
      </c>
      <c r="E153" s="2" t="s">
        <v>281</v>
      </c>
      <c r="F153" s="2" t="s">
        <v>281</v>
      </c>
      <c r="G153" s="2">
        <v>93.2134484763898</v>
      </c>
      <c r="H153" s="2">
        <v>2.5673859999999999</v>
      </c>
      <c r="I153" s="2">
        <v>3.5531100874813601</v>
      </c>
      <c r="J153" s="2">
        <v>-9.5646150755211885E-3</v>
      </c>
      <c r="K153" s="2">
        <v>-4.8311873360805238E-2</v>
      </c>
      <c r="L153" s="2">
        <v>57.254399999999997</v>
      </c>
      <c r="M153" s="2">
        <v>57.5002</v>
      </c>
      <c r="N153" s="2">
        <v>-1.1747652039115764E-3</v>
      </c>
      <c r="O153" s="2">
        <v>2.7553430023051106E-2</v>
      </c>
      <c r="P153" s="2">
        <v>74.36532969356054</v>
      </c>
      <c r="Q153" s="2">
        <v>-9.2947409850268059E-3</v>
      </c>
      <c r="R153" s="2">
        <v>3.4914436047389849E-2</v>
      </c>
      <c r="S153" s="2">
        <v>2.5349820971868661E-2</v>
      </c>
      <c r="T153" s="2">
        <v>0</v>
      </c>
      <c r="U153" s="2">
        <v>0</v>
      </c>
      <c r="V153" s="2">
        <v>0</v>
      </c>
      <c r="W153" s="2">
        <v>0</v>
      </c>
      <c r="X153" s="2">
        <v>6.0779619592371409E-3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1</v>
      </c>
      <c r="CR153" s="2">
        <v>1</v>
      </c>
      <c r="CS153" s="2">
        <v>1</v>
      </c>
      <c r="CT153" s="2">
        <v>0</v>
      </c>
    </row>
    <row r="154" spans="1:98" x14ac:dyDescent="0.2">
      <c r="A154" s="2" t="s">
        <v>433</v>
      </c>
      <c r="B154" s="2" t="s">
        <v>281</v>
      </c>
      <c r="C154" s="2" t="s">
        <v>281</v>
      </c>
      <c r="D154" s="2" t="s">
        <v>281</v>
      </c>
      <c r="E154" s="2" t="s">
        <v>281</v>
      </c>
      <c r="F154" s="2" t="s">
        <v>281</v>
      </c>
      <c r="G154" s="2">
        <v>98.1510421028146</v>
      </c>
      <c r="H154" s="2">
        <v>2.941789</v>
      </c>
      <c r="I154" s="2">
        <v>1.71559599894644</v>
      </c>
      <c r="J154" s="2">
        <v>1.1983028843551083E-2</v>
      </c>
      <c r="K154" s="2">
        <v>-3.03949803755897E-2</v>
      </c>
      <c r="L154" s="2">
        <v>57.371000000000002</v>
      </c>
      <c r="M154" s="2">
        <v>58.129899999999999</v>
      </c>
      <c r="N154" s="2">
        <v>2.034453798500202E-3</v>
      </c>
      <c r="O154" s="2">
        <v>1.08917353715281E-2</v>
      </c>
      <c r="P154" s="2">
        <v>78.304522845661424</v>
      </c>
      <c r="Q154" s="2">
        <v>5.1615529878381139E-2</v>
      </c>
      <c r="R154" s="2">
        <v>1.7010458297712562E-2</v>
      </c>
      <c r="S154" s="2">
        <v>2.8993487141263645E-2</v>
      </c>
      <c r="T154" s="2">
        <v>0</v>
      </c>
      <c r="U154" s="2">
        <v>0</v>
      </c>
      <c r="V154" s="2">
        <v>0</v>
      </c>
      <c r="W154" s="2">
        <v>0</v>
      </c>
      <c r="X154" s="2">
        <v>3.6436661693949844E-3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1</v>
      </c>
      <c r="CR154" s="2">
        <v>1</v>
      </c>
      <c r="CS154" s="2">
        <v>1</v>
      </c>
      <c r="CT154" s="2">
        <v>0</v>
      </c>
    </row>
    <row r="155" spans="1:98" x14ac:dyDescent="0.2">
      <c r="A155" s="2" t="s">
        <v>434</v>
      </c>
      <c r="B155" s="2" t="s">
        <v>281</v>
      </c>
      <c r="C155" s="2" t="s">
        <v>281</v>
      </c>
      <c r="D155" s="2" t="s">
        <v>281</v>
      </c>
      <c r="E155" s="2" t="s">
        <v>281</v>
      </c>
      <c r="F155" s="2" t="s">
        <v>281</v>
      </c>
      <c r="G155" s="2">
        <v>102.495508257734</v>
      </c>
      <c r="H155" s="2">
        <v>1.9561500000000001</v>
      </c>
      <c r="I155" s="2">
        <v>1.90312887367812</v>
      </c>
      <c r="J155" s="2">
        <v>5.2017379645770412E-4</v>
      </c>
      <c r="K155" s="2">
        <v>-3.035880164140084E-2</v>
      </c>
      <c r="L155" s="2">
        <v>57.627600000000001</v>
      </c>
      <c r="M155" s="2">
        <v>57.961599999999997</v>
      </c>
      <c r="N155" s="2">
        <v>4.4626704300414488E-3</v>
      </c>
      <c r="O155" s="2">
        <v>-2.8994391131931252E-3</v>
      </c>
      <c r="P155" s="2">
        <v>81.770521188539277</v>
      </c>
      <c r="Q155" s="2">
        <v>4.3311437625396465E-2</v>
      </c>
      <c r="R155" s="2">
        <v>1.885245910459701E-2</v>
      </c>
      <c r="S155" s="2">
        <v>1.9372632901054714E-2</v>
      </c>
      <c r="T155" s="2">
        <v>0</v>
      </c>
      <c r="U155" s="2">
        <v>0</v>
      </c>
      <c r="V155" s="2">
        <v>0</v>
      </c>
      <c r="W155" s="2">
        <v>0</v>
      </c>
      <c r="X155" s="2">
        <v>-9.6208542402089307E-3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1</v>
      </c>
      <c r="CR155" s="2">
        <v>1</v>
      </c>
      <c r="CS155" s="2">
        <v>1</v>
      </c>
      <c r="CT155" s="2">
        <v>0</v>
      </c>
    </row>
    <row r="156" spans="1:98" x14ac:dyDescent="0.2">
      <c r="A156" s="2" t="s">
        <v>435</v>
      </c>
      <c r="B156" s="2" t="s">
        <v>281</v>
      </c>
      <c r="C156" s="2" t="s">
        <v>281</v>
      </c>
      <c r="D156" s="2" t="s">
        <v>281</v>
      </c>
      <c r="E156" s="2" t="s">
        <v>281</v>
      </c>
      <c r="F156" s="2" t="s">
        <v>281</v>
      </c>
      <c r="G156" s="2">
        <v>90.871750407071403</v>
      </c>
      <c r="H156" s="2">
        <v>2.3691789999999999</v>
      </c>
      <c r="I156" s="2">
        <v>5.4522925677130498</v>
      </c>
      <c r="J156" s="2">
        <v>-2.9672966519997335E-2</v>
      </c>
      <c r="K156" s="2">
        <v>-2.8724192788149014E-2</v>
      </c>
      <c r="L156" s="2">
        <v>57.9</v>
      </c>
      <c r="M156" s="2">
        <v>57.483600000000003</v>
      </c>
      <c r="N156" s="2">
        <v>4.7157649741258467E-3</v>
      </c>
      <c r="O156" s="2">
        <v>-8.2810325866748968E-3</v>
      </c>
      <c r="P156" s="2">
        <v>72.49713200520074</v>
      </c>
      <c r="Q156" s="2">
        <v>-0.12036979945998727</v>
      </c>
      <c r="R156" s="2">
        <v>5.3088461503712395E-2</v>
      </c>
      <c r="S156" s="2">
        <v>2.3415494983715059E-2</v>
      </c>
      <c r="T156" s="2">
        <v>0</v>
      </c>
      <c r="U156" s="2">
        <v>0</v>
      </c>
      <c r="V156" s="2">
        <v>0</v>
      </c>
      <c r="W156" s="2">
        <v>0</v>
      </c>
      <c r="X156" s="2">
        <v>4.0428620826603451E-3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1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1</v>
      </c>
      <c r="CR156" s="2">
        <v>1</v>
      </c>
      <c r="CS156" s="2">
        <v>1</v>
      </c>
      <c r="CT156" s="2">
        <v>0</v>
      </c>
    </row>
    <row r="157" spans="1:98" x14ac:dyDescent="0.2">
      <c r="A157" s="2" t="s">
        <v>436</v>
      </c>
      <c r="B157" s="2" t="s">
        <v>281</v>
      </c>
      <c r="C157" s="2" t="s">
        <v>281</v>
      </c>
      <c r="D157" s="2" t="s">
        <v>281</v>
      </c>
      <c r="E157" s="2" t="s">
        <v>281</v>
      </c>
      <c r="F157" s="2" t="s">
        <v>281</v>
      </c>
      <c r="G157" s="2">
        <v>82.221332868108803</v>
      </c>
      <c r="H157" s="2">
        <v>5.4665039999999996</v>
      </c>
      <c r="I157" s="2">
        <v>11.650157892363399</v>
      </c>
      <c r="J157" s="2">
        <v>-5.6976987584954862E-2</v>
      </c>
      <c r="K157" s="2">
        <v>-7.5981586587590882E-2</v>
      </c>
      <c r="L157" s="2">
        <v>58.386299999999999</v>
      </c>
      <c r="M157" s="2">
        <v>57.675800000000002</v>
      </c>
      <c r="N157" s="2">
        <v>8.363888693822652E-3</v>
      </c>
      <c r="O157" s="2">
        <v>3.3379850617487605E-3</v>
      </c>
      <c r="P157" s="2">
        <v>65.595862255108258</v>
      </c>
      <c r="Q157" s="2">
        <v>-0.10003438394795339</v>
      </c>
      <c r="R157" s="2">
        <v>0.11020020646960928</v>
      </c>
      <c r="S157" s="2">
        <v>5.3223218884654415E-2</v>
      </c>
      <c r="T157" s="2">
        <v>0</v>
      </c>
      <c r="U157" s="2">
        <v>0</v>
      </c>
      <c r="V157" s="2">
        <v>0</v>
      </c>
      <c r="W157" s="2">
        <v>0</v>
      </c>
      <c r="X157" s="2">
        <v>2.9807723900939356E-2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1</v>
      </c>
      <c r="CR157" s="2">
        <v>1</v>
      </c>
      <c r="CS157" s="2">
        <v>1</v>
      </c>
      <c r="CT157" s="2">
        <v>0</v>
      </c>
    </row>
    <row r="158" spans="1:98" x14ac:dyDescent="0.2">
      <c r="A158" s="2" t="s">
        <v>437</v>
      </c>
      <c r="B158" s="2" t="s">
        <v>281</v>
      </c>
      <c r="C158" s="2" t="s">
        <v>281</v>
      </c>
      <c r="D158" s="2" t="s">
        <v>281</v>
      </c>
      <c r="E158" s="2" t="s">
        <v>281</v>
      </c>
      <c r="F158" s="2" t="s">
        <v>281</v>
      </c>
      <c r="G158" s="2">
        <v>83.630973482205107</v>
      </c>
      <c r="H158" s="2">
        <v>11.004846000000001</v>
      </c>
      <c r="I158" s="2">
        <v>13.2085420443698</v>
      </c>
      <c r="J158" s="2">
        <v>-1.9657764661031432E-2</v>
      </c>
      <c r="K158" s="2">
        <v>-0.11552942880216049</v>
      </c>
      <c r="L158" s="2">
        <v>58.202399999999997</v>
      </c>
      <c r="M158" s="2">
        <v>58.1586</v>
      </c>
      <c r="N158" s="2">
        <v>-3.1546822722043899E-3</v>
      </c>
      <c r="O158" s="2">
        <v>8.3360866171835468E-3</v>
      </c>
      <c r="P158" s="2">
        <v>66.720468100403821</v>
      </c>
      <c r="Q158" s="2">
        <v>1.6999155337962257E-2</v>
      </c>
      <c r="R158" s="2">
        <v>0.12406143668996407</v>
      </c>
      <c r="S158" s="2">
        <v>0.10440367202893264</v>
      </c>
      <c r="T158" s="2">
        <v>0</v>
      </c>
      <c r="U158" s="2">
        <v>0</v>
      </c>
      <c r="V158" s="2">
        <v>0</v>
      </c>
      <c r="W158" s="2">
        <v>0</v>
      </c>
      <c r="X158" s="2">
        <v>5.1180453144278222E-2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1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1</v>
      </c>
      <c r="CR158" s="2">
        <v>1</v>
      </c>
      <c r="CS158" s="2">
        <v>1</v>
      </c>
      <c r="CT158" s="2">
        <v>0</v>
      </c>
    </row>
    <row r="159" spans="1:98" x14ac:dyDescent="0.2">
      <c r="A159" s="2" t="s">
        <v>438</v>
      </c>
      <c r="B159" s="2" t="s">
        <v>281</v>
      </c>
      <c r="C159" s="2" t="s">
        <v>281</v>
      </c>
      <c r="D159" s="2" t="s">
        <v>281</v>
      </c>
      <c r="E159" s="2" t="s">
        <v>281</v>
      </c>
      <c r="F159" s="2" t="s">
        <v>281</v>
      </c>
      <c r="G159" s="2">
        <v>83.084063735752494</v>
      </c>
      <c r="H159" s="2">
        <v>19.607434000000001</v>
      </c>
      <c r="I159" s="2">
        <v>12.636962282846101</v>
      </c>
      <c r="J159" s="2">
        <v>6.0045073099028609E-2</v>
      </c>
      <c r="K159" s="2">
        <v>-7.1534799728140322E-2</v>
      </c>
      <c r="L159" s="2">
        <v>58.950600000000001</v>
      </c>
      <c r="M159" s="2">
        <v>59.514000000000003</v>
      </c>
      <c r="N159" s="2">
        <v>1.2773214048063863E-2</v>
      </c>
      <c r="O159" s="2">
        <v>2.3037817583194453E-2</v>
      </c>
      <c r="P159" s="2">
        <v>66.284145613977714</v>
      </c>
      <c r="Q159" s="2">
        <v>-6.5610363346788603E-3</v>
      </c>
      <c r="R159" s="2">
        <v>0.11899973768836873</v>
      </c>
      <c r="S159" s="2">
        <v>0.17904481078739734</v>
      </c>
      <c r="T159" s="2">
        <v>0</v>
      </c>
      <c r="U159" s="2">
        <v>0</v>
      </c>
      <c r="V159" s="2">
        <v>0</v>
      </c>
      <c r="W159" s="2">
        <v>0</v>
      </c>
      <c r="X159" s="2">
        <v>7.4641138758464703E-2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1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1</v>
      </c>
      <c r="CR159" s="2">
        <v>1</v>
      </c>
      <c r="CS159" s="2">
        <v>1</v>
      </c>
      <c r="CT159" s="2">
        <v>0</v>
      </c>
    </row>
    <row r="160" spans="1:98" x14ac:dyDescent="0.2">
      <c r="A160" s="2" t="s">
        <v>439</v>
      </c>
      <c r="B160" s="2" t="s">
        <v>281</v>
      </c>
      <c r="C160" s="2" t="s">
        <v>281</v>
      </c>
      <c r="D160" s="2" t="s">
        <v>281</v>
      </c>
      <c r="E160" s="2" t="s">
        <v>281</v>
      </c>
      <c r="F160" s="2" t="s">
        <v>281</v>
      </c>
      <c r="G160" s="2">
        <v>86.273086764363796</v>
      </c>
      <c r="H160" s="2">
        <v>11.950749</v>
      </c>
      <c r="I160" s="2">
        <v>16.371888612648402</v>
      </c>
      <c r="J160" s="2">
        <v>-3.8731965856486625E-2</v>
      </c>
      <c r="K160" s="2">
        <v>-7.5398629982157669E-2</v>
      </c>
      <c r="L160" s="2">
        <v>59.049799999999998</v>
      </c>
      <c r="M160" s="2">
        <v>59.518500000000003</v>
      </c>
      <c r="N160" s="2">
        <v>1.68135062880026E-3</v>
      </c>
      <c r="O160" s="2">
        <v>7.5609602455450897E-5</v>
      </c>
      <c r="P160" s="2">
        <v>68.828335886941446</v>
      </c>
      <c r="Q160" s="2">
        <v>3.7664781386013146E-2</v>
      </c>
      <c r="R160" s="2">
        <v>0.1516208133776023</v>
      </c>
      <c r="S160" s="2">
        <v>0.11288884752111568</v>
      </c>
      <c r="T160" s="2">
        <v>0</v>
      </c>
      <c r="U160" s="2">
        <v>0</v>
      </c>
      <c r="V160" s="2">
        <v>0</v>
      </c>
      <c r="W160" s="2">
        <v>0</v>
      </c>
      <c r="X160" s="2">
        <v>-6.6155963266281662E-2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1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1</v>
      </c>
      <c r="CR160" s="2">
        <v>1</v>
      </c>
      <c r="CS160" s="2">
        <v>1</v>
      </c>
      <c r="CT160" s="2">
        <v>0</v>
      </c>
    </row>
    <row r="161" spans="1:98" x14ac:dyDescent="0.2">
      <c r="A161" s="2" t="s">
        <v>440</v>
      </c>
      <c r="B161" s="2" t="s">
        <v>281</v>
      </c>
      <c r="C161" s="2" t="s">
        <v>281</v>
      </c>
      <c r="D161" s="2" t="s">
        <v>281</v>
      </c>
      <c r="E161" s="2" t="s">
        <v>281</v>
      </c>
      <c r="F161" s="2" t="s">
        <v>281</v>
      </c>
      <c r="G161" s="2">
        <v>85.425761805070906</v>
      </c>
      <c r="H161" s="2">
        <v>15.298973</v>
      </c>
      <c r="I161" s="2">
        <v>19.099244001746602</v>
      </c>
      <c r="J161" s="2">
        <v>-3.2428608711988771E-2</v>
      </c>
      <c r="K161" s="2">
        <v>-0.11247998958618728</v>
      </c>
      <c r="L161" s="2">
        <v>59.425600000000003</v>
      </c>
      <c r="M161" s="2">
        <v>58.784799999999997</v>
      </c>
      <c r="N161" s="2">
        <v>6.343954278476005E-3</v>
      </c>
      <c r="O161" s="2">
        <v>-1.2403870508910231E-2</v>
      </c>
      <c r="P161" s="2">
        <v>68.152343302337528</v>
      </c>
      <c r="Q161" s="2">
        <v>-9.8699769387735614E-3</v>
      </c>
      <c r="R161" s="2">
        <v>0.17478694276062914</v>
      </c>
      <c r="S161" s="2">
        <v>0.14235833404864037</v>
      </c>
      <c r="T161" s="2">
        <v>0</v>
      </c>
      <c r="U161" s="2">
        <v>0</v>
      </c>
      <c r="V161" s="2">
        <v>0</v>
      </c>
      <c r="W161" s="2">
        <v>0</v>
      </c>
      <c r="X161" s="2">
        <v>2.9469486527524694E-2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1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1</v>
      </c>
      <c r="CR161" s="2">
        <v>1</v>
      </c>
      <c r="CS161" s="2">
        <v>1</v>
      </c>
      <c r="CT161" s="2">
        <v>0</v>
      </c>
    </row>
    <row r="162" spans="1:98" x14ac:dyDescent="0.2">
      <c r="A162" s="2" t="s">
        <v>441</v>
      </c>
      <c r="B162" s="2" t="s">
        <v>281</v>
      </c>
      <c r="C162" s="2" t="s">
        <v>281</v>
      </c>
      <c r="D162" s="2" t="s">
        <v>281</v>
      </c>
      <c r="E162" s="2" t="s">
        <v>281</v>
      </c>
      <c r="F162" s="2" t="s">
        <v>281</v>
      </c>
      <c r="G162" s="2">
        <v>86.457957664573101</v>
      </c>
      <c r="H162" s="2">
        <v>24.627330000000001</v>
      </c>
      <c r="I162" s="2">
        <v>21.451360436213701</v>
      </c>
      <c r="J162" s="2">
        <v>2.5814067194461193E-2</v>
      </c>
      <c r="K162" s="2">
        <v>-8.4898201403280138E-2</v>
      </c>
      <c r="L162" s="2">
        <v>59.802</v>
      </c>
      <c r="M162" s="2">
        <v>59.301699999999997</v>
      </c>
      <c r="N162" s="2">
        <v>6.3139952574662317E-3</v>
      </c>
      <c r="O162" s="2">
        <v>8.7546552982029624E-3</v>
      </c>
      <c r="P162" s="2">
        <v>68.975825178127707</v>
      </c>
      <c r="Q162" s="2">
        <v>1.2010541437883937E-2</v>
      </c>
      <c r="R162" s="2">
        <v>0.19434367101294489</v>
      </c>
      <c r="S162" s="2">
        <v>0.22015773820740608</v>
      </c>
      <c r="T162" s="2">
        <v>0</v>
      </c>
      <c r="U162" s="2">
        <v>0</v>
      </c>
      <c r="V162" s="2">
        <v>0</v>
      </c>
      <c r="W162" s="2">
        <v>0</v>
      </c>
      <c r="X162" s="2">
        <v>7.7799404158765711E-2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1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1</v>
      </c>
      <c r="CR162" s="2">
        <v>1</v>
      </c>
      <c r="CS162" s="2">
        <v>1</v>
      </c>
      <c r="CT162" s="2">
        <v>0</v>
      </c>
    </row>
    <row r="163" spans="1:98" x14ac:dyDescent="0.2">
      <c r="A163" s="2" t="s">
        <v>442</v>
      </c>
      <c r="B163" s="2" t="s">
        <v>281</v>
      </c>
      <c r="C163" s="2" t="s">
        <v>281</v>
      </c>
      <c r="D163" s="2" t="s">
        <v>281</v>
      </c>
      <c r="E163" s="2" t="s">
        <v>281</v>
      </c>
      <c r="F163" s="2" t="s">
        <v>281</v>
      </c>
      <c r="G163" s="2">
        <v>88.399102116771303</v>
      </c>
      <c r="H163" s="2">
        <v>18.020541999999999</v>
      </c>
      <c r="I163" s="2">
        <v>19.711404100381099</v>
      </c>
      <c r="J163" s="2">
        <v>-1.4225186316088101E-2</v>
      </c>
      <c r="K163" s="2">
        <v>-0.10058235180889122</v>
      </c>
      <c r="L163" s="2">
        <v>60.085999999999999</v>
      </c>
      <c r="M163" s="2">
        <v>61.117199999999997</v>
      </c>
      <c r="N163" s="2">
        <v>4.737764100351427E-3</v>
      </c>
      <c r="O163" s="2">
        <v>3.0155358906900354E-2</v>
      </c>
      <c r="P163" s="2">
        <v>70.524462735583896</v>
      </c>
      <c r="Q163" s="2">
        <v>2.2203555318959012E-2</v>
      </c>
      <c r="R163" s="2">
        <v>0.17991369438843324</v>
      </c>
      <c r="S163" s="2">
        <v>0.16568850807234514</v>
      </c>
      <c r="T163" s="2">
        <v>0</v>
      </c>
      <c r="U163" s="2">
        <v>0</v>
      </c>
      <c r="V163" s="2">
        <v>0</v>
      </c>
      <c r="W163" s="2">
        <v>0</v>
      </c>
      <c r="X163" s="2">
        <v>-5.4469230135060942E-2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1</v>
      </c>
      <c r="CR163" s="2">
        <v>1</v>
      </c>
      <c r="CS163" s="2">
        <v>1</v>
      </c>
      <c r="CT163" s="2">
        <v>0</v>
      </c>
    </row>
    <row r="164" spans="1:98" x14ac:dyDescent="0.2">
      <c r="A164" s="2" t="s">
        <v>443</v>
      </c>
      <c r="B164" s="2" t="s">
        <v>281</v>
      </c>
      <c r="C164" s="2" t="s">
        <v>281</v>
      </c>
      <c r="D164" s="2" t="s">
        <v>281</v>
      </c>
      <c r="E164" s="2" t="s">
        <v>281</v>
      </c>
      <c r="F164" s="2" t="s">
        <v>281</v>
      </c>
      <c r="G164" s="2">
        <v>88.144904628983497</v>
      </c>
      <c r="H164" s="2">
        <v>8.906587</v>
      </c>
      <c r="I164" s="2">
        <v>9.2100633544892592</v>
      </c>
      <c r="J164" s="2">
        <v>-2.7826995309589986E-3</v>
      </c>
      <c r="K164" s="2">
        <v>-0.10567845132352871</v>
      </c>
      <c r="L164" s="2">
        <v>60.496200000000002</v>
      </c>
      <c r="M164" s="2">
        <v>59.162300000000002</v>
      </c>
      <c r="N164" s="2">
        <v>6.8036838330893801E-3</v>
      </c>
      <c r="O164" s="2">
        <v>-3.2508817583662974E-2</v>
      </c>
      <c r="P164" s="2">
        <v>70.321664960202767</v>
      </c>
      <c r="Q164" s="2">
        <v>-2.8797087835403801E-3</v>
      </c>
      <c r="R164" s="2">
        <v>8.8103028337568778E-2</v>
      </c>
      <c r="S164" s="2">
        <v>8.532032880660978E-2</v>
      </c>
      <c r="T164" s="2">
        <v>0</v>
      </c>
      <c r="U164" s="2">
        <v>0</v>
      </c>
      <c r="V164" s="2">
        <v>0</v>
      </c>
      <c r="W164" s="2">
        <v>0</v>
      </c>
      <c r="X164" s="2">
        <v>-8.0368179265735362E-2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1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1</v>
      </c>
      <c r="CR164" s="2">
        <v>1</v>
      </c>
      <c r="CS164" s="2">
        <v>1</v>
      </c>
      <c r="CT164" s="2">
        <v>0</v>
      </c>
    </row>
    <row r="165" spans="1:98" x14ac:dyDescent="0.2">
      <c r="A165" s="2" t="s">
        <v>444</v>
      </c>
      <c r="B165" s="2" t="s">
        <v>281</v>
      </c>
      <c r="C165" s="2" t="s">
        <v>281</v>
      </c>
      <c r="D165" s="2" t="s">
        <v>281</v>
      </c>
      <c r="E165" s="2" t="s">
        <v>281</v>
      </c>
      <c r="F165" s="2" t="s">
        <v>281</v>
      </c>
      <c r="G165" s="2">
        <v>88.815061642242298</v>
      </c>
      <c r="H165" s="2">
        <v>8.0862149999999993</v>
      </c>
      <c r="I165" s="2">
        <v>4.87033868986431</v>
      </c>
      <c r="J165" s="2">
        <v>3.0204478242204749E-2</v>
      </c>
      <c r="K165" s="2">
        <v>-6.590935800580279E-2</v>
      </c>
      <c r="L165" s="2">
        <v>60.993099999999998</v>
      </c>
      <c r="M165" s="2">
        <v>61.464500000000001</v>
      </c>
      <c r="N165" s="2">
        <v>8.1801898744418011E-3</v>
      </c>
      <c r="O165" s="2">
        <v>3.8175257668509488E-2</v>
      </c>
      <c r="P165" s="2">
        <v>70.856313640753044</v>
      </c>
      <c r="Q165" s="2">
        <v>7.5741449453889942E-3</v>
      </c>
      <c r="R165" s="2">
        <v>4.7554531469335082E-2</v>
      </c>
      <c r="S165" s="2">
        <v>7.7759009711539831E-2</v>
      </c>
      <c r="T165" s="2">
        <v>0</v>
      </c>
      <c r="U165" s="2">
        <v>0</v>
      </c>
      <c r="V165" s="2">
        <v>0</v>
      </c>
      <c r="W165" s="2">
        <v>0</v>
      </c>
      <c r="X165" s="2">
        <v>-7.5613190950699488E-3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1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1</v>
      </c>
      <c r="CR165" s="2">
        <v>1</v>
      </c>
      <c r="CS165" s="2">
        <v>1</v>
      </c>
      <c r="CT165" s="2">
        <v>0</v>
      </c>
    </row>
    <row r="166" spans="1:98" x14ac:dyDescent="0.2">
      <c r="A166" s="2" t="s">
        <v>445</v>
      </c>
      <c r="B166" s="2" t="s">
        <v>281</v>
      </c>
      <c r="C166" s="2" t="s">
        <v>281</v>
      </c>
      <c r="D166" s="2" t="s">
        <v>281</v>
      </c>
      <c r="E166" s="2" t="s">
        <v>281</v>
      </c>
      <c r="F166" s="2" t="s">
        <v>281</v>
      </c>
      <c r="G166" s="2">
        <v>92.897627355198793</v>
      </c>
      <c r="H166" s="2">
        <v>7.9864600000000001</v>
      </c>
      <c r="I166" s="2">
        <v>7.7811277845208204</v>
      </c>
      <c r="J166" s="2">
        <v>1.903272679379342E-3</v>
      </c>
      <c r="K166" s="2">
        <v>-7.5989114169974531E-2</v>
      </c>
      <c r="L166" s="2">
        <v>61.161099999999998</v>
      </c>
      <c r="M166" s="2">
        <v>61.8001</v>
      </c>
      <c r="N166" s="2">
        <v>2.7506234893763803E-3</v>
      </c>
      <c r="O166" s="2">
        <v>5.4452102099062927E-3</v>
      </c>
      <c r="P166" s="2">
        <v>74.113368821117234</v>
      </c>
      <c r="Q166" s="2">
        <v>4.4941857018072184E-2</v>
      </c>
      <c r="R166" s="2">
        <v>7.4932390226856882E-2</v>
      </c>
      <c r="S166" s="2">
        <v>7.6835662906236224E-2</v>
      </c>
      <c r="T166" s="2">
        <v>0</v>
      </c>
      <c r="U166" s="2">
        <v>0</v>
      </c>
      <c r="V166" s="2">
        <v>0</v>
      </c>
      <c r="W166" s="2">
        <v>0</v>
      </c>
      <c r="X166" s="2">
        <v>-9.2334680530360702E-4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1</v>
      </c>
      <c r="CR166" s="2">
        <v>1</v>
      </c>
      <c r="CS166" s="2">
        <v>1</v>
      </c>
      <c r="CT166" s="2">
        <v>0</v>
      </c>
    </row>
    <row r="167" spans="1:98" x14ac:dyDescent="0.2">
      <c r="A167" s="2" t="s">
        <v>446</v>
      </c>
      <c r="B167" s="2" t="s">
        <v>281</v>
      </c>
      <c r="C167" s="2" t="s">
        <v>281</v>
      </c>
      <c r="D167" s="2" t="s">
        <v>281</v>
      </c>
      <c r="E167" s="2" t="s">
        <v>281</v>
      </c>
      <c r="F167" s="2" t="s">
        <v>281</v>
      </c>
      <c r="G167" s="2">
        <v>95.139187020237202</v>
      </c>
      <c r="H167" s="2">
        <v>9.4500050000000009</v>
      </c>
      <c r="I167" s="2">
        <v>11.2201362464978</v>
      </c>
      <c r="J167" s="2">
        <v>-1.6043577124799091E-2</v>
      </c>
      <c r="K167" s="2">
        <v>-9.2552865091231326E-2</v>
      </c>
      <c r="L167" s="2">
        <v>62.040300000000002</v>
      </c>
      <c r="M167" s="2">
        <v>62.5349</v>
      </c>
      <c r="N167" s="2">
        <v>1.4272807375955487E-2</v>
      </c>
      <c r="O167" s="2">
        <v>1.1819818309776409E-2</v>
      </c>
      <c r="P167" s="2">
        <v>75.901676476751177</v>
      </c>
      <c r="Q167" s="2">
        <v>2.3842840156837575E-2</v>
      </c>
      <c r="R167" s="2">
        <v>0.10634126078853884</v>
      </c>
      <c r="S167" s="2">
        <v>9.0297683663739747E-2</v>
      </c>
      <c r="T167" s="2">
        <v>0</v>
      </c>
      <c r="U167" s="2">
        <v>0</v>
      </c>
      <c r="V167" s="2">
        <v>0</v>
      </c>
      <c r="W167" s="2">
        <v>0</v>
      </c>
      <c r="X167" s="2">
        <v>1.3462020757503523E-2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1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1</v>
      </c>
      <c r="CR167" s="2">
        <v>1</v>
      </c>
      <c r="CS167" s="2">
        <v>1</v>
      </c>
      <c r="CT167" s="2">
        <v>0</v>
      </c>
    </row>
    <row r="168" spans="1:98" x14ac:dyDescent="0.2">
      <c r="A168" s="2" t="s">
        <v>447</v>
      </c>
      <c r="B168" s="2" t="s">
        <v>281</v>
      </c>
      <c r="C168" s="2" t="s">
        <v>281</v>
      </c>
      <c r="D168" s="2" t="s">
        <v>281</v>
      </c>
      <c r="E168" s="2" t="s">
        <v>281</v>
      </c>
      <c r="F168" s="2" t="s">
        <v>281</v>
      </c>
      <c r="G168" s="2">
        <v>88.753438008839197</v>
      </c>
      <c r="H168" s="2">
        <v>12.917066</v>
      </c>
      <c r="I168" s="2">
        <v>15.079060579037799</v>
      </c>
      <c r="J168" s="2">
        <v>-1.8965755399930451E-2</v>
      </c>
      <c r="K168" s="2">
        <v>-8.1845653971164431E-2</v>
      </c>
      <c r="L168" s="2">
        <v>62.375799999999998</v>
      </c>
      <c r="M168" s="2">
        <v>62.050800000000002</v>
      </c>
      <c r="N168" s="2">
        <v>5.3932057541485889E-3</v>
      </c>
      <c r="O168" s="2">
        <v>-7.7713964992209839E-3</v>
      </c>
      <c r="P168" s="2">
        <v>70.807150543690952</v>
      </c>
      <c r="Q168" s="2">
        <v>-6.9478780145685981E-2</v>
      </c>
      <c r="R168" s="2">
        <v>0.14044918946275184</v>
      </c>
      <c r="S168" s="2">
        <v>0.12148343406282139</v>
      </c>
      <c r="T168" s="2">
        <v>0</v>
      </c>
      <c r="U168" s="2">
        <v>0</v>
      </c>
      <c r="V168" s="2">
        <v>0</v>
      </c>
      <c r="W168" s="2">
        <v>0</v>
      </c>
      <c r="X168" s="2">
        <v>3.1185750399081641E-2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1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1</v>
      </c>
      <c r="CR168" s="2">
        <v>1</v>
      </c>
      <c r="CS168" s="2">
        <v>1</v>
      </c>
      <c r="CT168" s="2">
        <v>0</v>
      </c>
    </row>
    <row r="169" spans="1:98" x14ac:dyDescent="0.2">
      <c r="A169" s="2" t="s">
        <v>448</v>
      </c>
      <c r="B169" s="2" t="s">
        <v>281</v>
      </c>
      <c r="C169" s="2" t="s">
        <v>281</v>
      </c>
      <c r="D169" s="2" t="s">
        <v>281</v>
      </c>
      <c r="E169" s="2" t="s">
        <v>281</v>
      </c>
      <c r="F169" s="2" t="s">
        <v>281</v>
      </c>
      <c r="G169" s="2">
        <v>79.163260060479203</v>
      </c>
      <c r="H169" s="2">
        <v>14.381299</v>
      </c>
      <c r="I169" s="2">
        <v>14.149476080044</v>
      </c>
      <c r="J169" s="2">
        <v>2.0288120879262683E-3</v>
      </c>
      <c r="K169" s="2">
        <v>-2.2839854298283307E-2</v>
      </c>
      <c r="L169" s="2">
        <v>62.682899999999997</v>
      </c>
      <c r="M169" s="2">
        <v>61.858199999999997</v>
      </c>
      <c r="N169" s="2">
        <v>4.9113035285648365E-3</v>
      </c>
      <c r="O169" s="2">
        <v>-3.1087355254415527E-3</v>
      </c>
      <c r="P169" s="2">
        <v>63.15614356340155</v>
      </c>
      <c r="Q169" s="2">
        <v>-0.11434986266725389</v>
      </c>
      <c r="R169" s="2">
        <v>0.13233859722723718</v>
      </c>
      <c r="S169" s="2">
        <v>0.13436740931516344</v>
      </c>
      <c r="T169" s="2">
        <v>0</v>
      </c>
      <c r="U169" s="2">
        <v>0</v>
      </c>
      <c r="V169" s="2">
        <v>0</v>
      </c>
      <c r="W169" s="2">
        <v>0</v>
      </c>
      <c r="X169" s="2">
        <v>1.2883975252342056E-2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1</v>
      </c>
      <c r="CR169" s="2">
        <v>1</v>
      </c>
      <c r="CS169" s="2">
        <v>1</v>
      </c>
      <c r="CT169" s="2">
        <v>0</v>
      </c>
    </row>
    <row r="170" spans="1:98" x14ac:dyDescent="0.2">
      <c r="A170" s="2" t="s">
        <v>449</v>
      </c>
      <c r="B170" s="2" t="s">
        <v>281</v>
      </c>
      <c r="C170" s="2" t="s">
        <v>281</v>
      </c>
      <c r="D170" s="2" t="s">
        <v>281</v>
      </c>
      <c r="E170" s="2" t="s">
        <v>281</v>
      </c>
      <c r="F170" s="2" t="s">
        <v>281</v>
      </c>
      <c r="G170" s="2">
        <v>76.213028611304907</v>
      </c>
      <c r="H170" s="2">
        <v>16.783487000000001</v>
      </c>
      <c r="I170" s="2">
        <v>18.889411948605499</v>
      </c>
      <c r="J170" s="2">
        <v>-1.7872067703166489E-2</v>
      </c>
      <c r="K170" s="2">
        <v>-2.1054157340418364E-2</v>
      </c>
      <c r="L170" s="2">
        <v>62.707500000000003</v>
      </c>
      <c r="M170" s="2">
        <v>62.565600000000003</v>
      </c>
      <c r="N170" s="2">
        <v>3.9237454088336676E-4</v>
      </c>
      <c r="O170" s="2">
        <v>1.1370937426979921E-2</v>
      </c>
      <c r="P170" s="2">
        <v>60.802460291553409</v>
      </c>
      <c r="Q170" s="2">
        <v>-3.7979875837420352E-2</v>
      </c>
      <c r="R170" s="2">
        <v>0.17302356368967281</v>
      </c>
      <c r="S170" s="2">
        <v>0.15515149598650632</v>
      </c>
      <c r="T170" s="2">
        <v>0</v>
      </c>
      <c r="U170" s="2">
        <v>0</v>
      </c>
      <c r="V170" s="2">
        <v>0</v>
      </c>
      <c r="W170" s="2">
        <v>0</v>
      </c>
      <c r="X170" s="2">
        <v>2.0784086671342877E-2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1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1</v>
      </c>
      <c r="CR170" s="2">
        <v>1</v>
      </c>
      <c r="CS170" s="2">
        <v>1</v>
      </c>
      <c r="CT170" s="2">
        <v>0</v>
      </c>
    </row>
    <row r="171" spans="1:98" x14ac:dyDescent="0.2">
      <c r="A171" s="2" t="s">
        <v>450</v>
      </c>
      <c r="B171" s="2" t="s">
        <v>281</v>
      </c>
      <c r="C171" s="2" t="s">
        <v>281</v>
      </c>
      <c r="D171" s="2" t="s">
        <v>281</v>
      </c>
      <c r="E171" s="2" t="s">
        <v>281</v>
      </c>
      <c r="F171" s="2" t="s">
        <v>281</v>
      </c>
      <c r="G171" s="2">
        <v>75.9280193068155</v>
      </c>
      <c r="H171" s="2">
        <v>18.347885000000002</v>
      </c>
      <c r="I171" s="2">
        <v>15.699919231127399</v>
      </c>
      <c r="J171" s="2">
        <v>2.2628528967275574E-2</v>
      </c>
      <c r="K171" s="2">
        <v>-5.8470701472171399E-2</v>
      </c>
      <c r="L171" s="2">
        <v>62.9816</v>
      </c>
      <c r="M171" s="2">
        <v>63.313400000000001</v>
      </c>
      <c r="N171" s="2">
        <v>4.3615625304358474E-3</v>
      </c>
      <c r="O171" s="2">
        <v>1.1881390812829018E-2</v>
      </c>
      <c r="P171" s="2">
        <v>60.575080967641199</v>
      </c>
      <c r="Q171" s="2">
        <v>-3.7466501222152004E-3</v>
      </c>
      <c r="R171" s="2">
        <v>0.14582975012250926</v>
      </c>
      <c r="S171" s="2">
        <v>0.16845827908978483</v>
      </c>
      <c r="T171" s="2">
        <v>0</v>
      </c>
      <c r="U171" s="2">
        <v>0</v>
      </c>
      <c r="V171" s="2">
        <v>0</v>
      </c>
      <c r="W171" s="2">
        <v>0</v>
      </c>
      <c r="X171" s="2">
        <v>1.3306783103278513E-2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1</v>
      </c>
      <c r="CR171" s="2">
        <v>1</v>
      </c>
      <c r="CS171" s="2">
        <v>1</v>
      </c>
      <c r="CT171" s="2">
        <v>0</v>
      </c>
    </row>
    <row r="172" spans="1:98" x14ac:dyDescent="0.2">
      <c r="A172" s="2" t="s">
        <v>451</v>
      </c>
      <c r="B172" s="2" t="s">
        <v>281</v>
      </c>
      <c r="C172" s="2" t="s">
        <v>281</v>
      </c>
      <c r="D172" s="2" t="s">
        <v>281</v>
      </c>
      <c r="E172" s="2" t="s">
        <v>281</v>
      </c>
      <c r="F172" s="2" t="s">
        <v>281</v>
      </c>
      <c r="G172" s="2">
        <v>86.357819260293098</v>
      </c>
      <c r="H172" s="2">
        <v>16.587947</v>
      </c>
      <c r="I172" s="2">
        <v>17.600509644991199</v>
      </c>
      <c r="J172" s="2">
        <v>-8.6474710951808531E-3</v>
      </c>
      <c r="K172" s="2">
        <v>-2.8386206710865627E-2</v>
      </c>
      <c r="L172" s="2">
        <v>63.139099999999999</v>
      </c>
      <c r="M172" s="2">
        <v>63.372700000000002</v>
      </c>
      <c r="N172" s="2">
        <v>2.4976087489898546E-3</v>
      </c>
      <c r="O172" s="2">
        <v>9.3617222932884658E-4</v>
      </c>
      <c r="P172" s="2">
        <v>68.895935145401836</v>
      </c>
      <c r="Q172" s="2">
        <v>0.12871357648815529</v>
      </c>
      <c r="R172" s="2">
        <v>0.16212318318295624</v>
      </c>
      <c r="S172" s="2">
        <v>0.15347571208777538</v>
      </c>
      <c r="T172" s="2">
        <v>0</v>
      </c>
      <c r="U172" s="2">
        <v>0</v>
      </c>
      <c r="V172" s="2">
        <v>0</v>
      </c>
      <c r="W172" s="2">
        <v>0</v>
      </c>
      <c r="X172" s="2">
        <v>-1.498256700200945E-2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1</v>
      </c>
      <c r="CR172" s="2">
        <v>1</v>
      </c>
      <c r="CS172" s="2">
        <v>1</v>
      </c>
      <c r="CT172" s="2">
        <v>0</v>
      </c>
    </row>
    <row r="173" spans="1:98" x14ac:dyDescent="0.2">
      <c r="A173" s="2" t="s">
        <v>452</v>
      </c>
      <c r="B173" s="2" t="s">
        <v>281</v>
      </c>
      <c r="C173" s="2" t="s">
        <v>281</v>
      </c>
      <c r="D173" s="2" t="s">
        <v>281</v>
      </c>
      <c r="E173" s="2" t="s">
        <v>281</v>
      </c>
      <c r="F173" s="2" t="s">
        <v>281</v>
      </c>
      <c r="G173" s="2">
        <v>78.770409397534294</v>
      </c>
      <c r="H173" s="2">
        <v>20.252974999999999</v>
      </c>
      <c r="I173" s="2">
        <v>19.289611020104001</v>
      </c>
      <c r="J173" s="2">
        <v>8.0434063081943896E-3</v>
      </c>
      <c r="K173" s="2">
        <v>1.2085808309317533E-2</v>
      </c>
      <c r="L173" s="2">
        <v>63.483199999999997</v>
      </c>
      <c r="M173" s="2">
        <v>62.882800000000003</v>
      </c>
      <c r="N173" s="2">
        <v>5.435074975896903E-3</v>
      </c>
      <c r="O173" s="2">
        <v>-7.760492947925357E-3</v>
      </c>
      <c r="P173" s="2">
        <v>62.842728819630622</v>
      </c>
      <c r="Q173" s="2">
        <v>-9.1961942513648864E-2</v>
      </c>
      <c r="R173" s="2">
        <v>0.17638405650829314</v>
      </c>
      <c r="S173" s="2">
        <v>0.18442746281648753</v>
      </c>
      <c r="T173" s="2">
        <v>0</v>
      </c>
      <c r="U173" s="2">
        <v>0</v>
      </c>
      <c r="V173" s="2">
        <v>0</v>
      </c>
      <c r="W173" s="2">
        <v>0</v>
      </c>
      <c r="X173" s="2">
        <v>3.0951750728712146E-2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1</v>
      </c>
      <c r="CR173" s="2">
        <v>1</v>
      </c>
      <c r="CS173" s="2">
        <v>1</v>
      </c>
      <c r="CT173" s="2">
        <v>0</v>
      </c>
    </row>
    <row r="174" spans="1:98" x14ac:dyDescent="0.2">
      <c r="A174" s="2" t="s">
        <v>453</v>
      </c>
      <c r="B174" s="2" t="s">
        <v>281</v>
      </c>
      <c r="C174" s="2" t="s">
        <v>281</v>
      </c>
      <c r="D174" s="2" t="s">
        <v>281</v>
      </c>
      <c r="E174" s="2" t="s">
        <v>281</v>
      </c>
      <c r="F174" s="2" t="s">
        <v>281</v>
      </c>
      <c r="G174" s="2">
        <v>81.520364038148401</v>
      </c>
      <c r="H174" s="2">
        <v>18.649839</v>
      </c>
      <c r="I174" s="2">
        <v>17.4196102684731</v>
      </c>
      <c r="J174" s="2">
        <v>1.0422694442054875E-2</v>
      </c>
      <c r="K174" s="2">
        <v>-3.3055644430887848E-3</v>
      </c>
      <c r="L174" s="2">
        <v>63.418399999999998</v>
      </c>
      <c r="M174" s="2">
        <v>62.851799999999997</v>
      </c>
      <c r="N174" s="2">
        <v>-1.0212638080542291E-3</v>
      </c>
      <c r="O174" s="2">
        <v>-4.9310214735065472E-4</v>
      </c>
      <c r="P174" s="2">
        <v>65.036632026026894</v>
      </c>
      <c r="Q174" s="2">
        <v>3.4315443453779793E-2</v>
      </c>
      <c r="R174" s="2">
        <v>0.1605837455185524</v>
      </c>
      <c r="S174" s="2">
        <v>0.17100643996060727</v>
      </c>
      <c r="T174" s="2">
        <v>0</v>
      </c>
      <c r="U174" s="2">
        <v>0</v>
      </c>
      <c r="V174" s="2">
        <v>0</v>
      </c>
      <c r="W174" s="2">
        <v>0</v>
      </c>
      <c r="X174" s="2">
        <v>-1.342102285588026E-2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1</v>
      </c>
      <c r="CR174" s="2">
        <v>1</v>
      </c>
      <c r="CS174" s="2">
        <v>1</v>
      </c>
      <c r="CT174" s="2">
        <v>0</v>
      </c>
    </row>
    <row r="175" spans="1:98" x14ac:dyDescent="0.2">
      <c r="A175" s="2" t="s">
        <v>454</v>
      </c>
      <c r="B175" s="2" t="s">
        <v>281</v>
      </c>
      <c r="C175" s="2" t="s">
        <v>281</v>
      </c>
      <c r="D175" s="2" t="s">
        <v>281</v>
      </c>
      <c r="E175" s="2" t="s">
        <v>281</v>
      </c>
      <c r="F175" s="2" t="s">
        <v>281</v>
      </c>
      <c r="G175" s="2">
        <v>89.893475226796895</v>
      </c>
      <c r="H175" s="2">
        <v>20.174385999999998</v>
      </c>
      <c r="I175" s="2">
        <v>21.999956711379799</v>
      </c>
      <c r="J175" s="2">
        <v>-1.5076785357192507E-2</v>
      </c>
      <c r="K175" s="2">
        <v>-4.1571634841931909E-3</v>
      </c>
      <c r="L175" s="2">
        <v>63.582700000000003</v>
      </c>
      <c r="M175" s="2">
        <v>64.706999999999994</v>
      </c>
      <c r="N175" s="2">
        <v>2.5873806078742234E-3</v>
      </c>
      <c r="O175" s="2">
        <v>2.9089813064057779E-2</v>
      </c>
      <c r="P175" s="2">
        <v>71.716667839339848</v>
      </c>
      <c r="Q175" s="2">
        <v>9.7772506186877273E-2</v>
      </c>
      <c r="R175" s="2">
        <v>0.19885050392034648</v>
      </c>
      <c r="S175" s="2">
        <v>0.18377371856315397</v>
      </c>
      <c r="T175" s="2">
        <v>0</v>
      </c>
      <c r="U175" s="2">
        <v>0</v>
      </c>
      <c r="V175" s="2">
        <v>0</v>
      </c>
      <c r="W175" s="2">
        <v>0</v>
      </c>
      <c r="X175" s="2">
        <v>1.27672786025467E-2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1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1</v>
      </c>
      <c r="CR175" s="2">
        <v>1</v>
      </c>
      <c r="CS175" s="2">
        <v>1</v>
      </c>
      <c r="CT175" s="2">
        <v>0</v>
      </c>
    </row>
    <row r="176" spans="1:98" x14ac:dyDescent="0.2">
      <c r="A176" s="2" t="s">
        <v>455</v>
      </c>
      <c r="B176" s="2" t="s">
        <v>281</v>
      </c>
      <c r="C176" s="2" t="s">
        <v>281</v>
      </c>
      <c r="D176" s="2" t="s">
        <v>281</v>
      </c>
      <c r="E176" s="2" t="s">
        <v>281</v>
      </c>
      <c r="F176" s="2" t="s">
        <v>281</v>
      </c>
      <c r="G176" s="2">
        <v>89.924287043498495</v>
      </c>
      <c r="H176" s="2">
        <v>24.692450999999998</v>
      </c>
      <c r="I176" s="2">
        <v>21.910082734772899</v>
      </c>
      <c r="J176" s="2">
        <v>2.2566567332692633E-2</v>
      </c>
      <c r="K176" s="2">
        <v>2.1192103379458441E-2</v>
      </c>
      <c r="L176" s="2">
        <v>63.622300000000003</v>
      </c>
      <c r="M176" s="2">
        <v>62.297800000000002</v>
      </c>
      <c r="N176" s="2">
        <v>6.2261705560739955E-4</v>
      </c>
      <c r="O176" s="2">
        <v>-3.7943275140063015E-2</v>
      </c>
      <c r="P176" s="2">
        <v>71.741249387870937</v>
      </c>
      <c r="Q176" s="2">
        <v>3.4270048313533863E-4</v>
      </c>
      <c r="R176" s="2">
        <v>0.19811356024325627</v>
      </c>
      <c r="S176" s="2">
        <v>0.2206801275759489</v>
      </c>
      <c r="T176" s="2">
        <v>0</v>
      </c>
      <c r="U176" s="2">
        <v>0</v>
      </c>
      <c r="V176" s="2">
        <v>0</v>
      </c>
      <c r="W176" s="2">
        <v>0</v>
      </c>
      <c r="X176" s="2">
        <v>3.6906409012794933E-2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1</v>
      </c>
      <c r="CR176" s="2">
        <v>1</v>
      </c>
      <c r="CS176" s="2">
        <v>1</v>
      </c>
      <c r="CT176" s="2">
        <v>0</v>
      </c>
    </row>
    <row r="177" spans="1:98" x14ac:dyDescent="0.2">
      <c r="A177" s="2" t="s">
        <v>456</v>
      </c>
      <c r="B177" s="2" t="s">
        <v>281</v>
      </c>
      <c r="C177" s="2" t="s">
        <v>281</v>
      </c>
      <c r="D177" s="2" t="s">
        <v>281</v>
      </c>
      <c r="E177" s="2" t="s">
        <v>281</v>
      </c>
      <c r="F177" s="2" t="s">
        <v>281</v>
      </c>
      <c r="G177" s="2">
        <v>95.377978599674293</v>
      </c>
      <c r="H177" s="2">
        <v>22.633434999999999</v>
      </c>
      <c r="I177" s="2">
        <v>21.5899025433588</v>
      </c>
      <c r="J177" s="2">
        <v>8.5457746824530445E-3</v>
      </c>
      <c r="K177" s="2">
        <v>-4.66600180293264E-4</v>
      </c>
      <c r="L177" s="2">
        <v>63.885100000000001</v>
      </c>
      <c r="M177" s="2">
        <v>64.417100000000005</v>
      </c>
      <c r="N177" s="2">
        <v>4.1221195337968197E-3</v>
      </c>
      <c r="O177" s="2">
        <v>3.345301364602804E-2</v>
      </c>
      <c r="P177" s="2">
        <v>76.092183477866826</v>
      </c>
      <c r="Q177" s="2">
        <v>5.887965831543962E-2</v>
      </c>
      <c r="R177" s="2">
        <v>0.19548374180135847</v>
      </c>
      <c r="S177" s="2">
        <v>0.20402951648381151</v>
      </c>
      <c r="T177" s="2">
        <v>0</v>
      </c>
      <c r="U177" s="2">
        <v>0</v>
      </c>
      <c r="V177" s="2">
        <v>0</v>
      </c>
      <c r="W177" s="2">
        <v>0</v>
      </c>
      <c r="X177" s="2">
        <v>-1.6650611092137391E-2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1</v>
      </c>
      <c r="CR177" s="2">
        <v>1</v>
      </c>
      <c r="CS177" s="2">
        <v>1</v>
      </c>
      <c r="CT177" s="2">
        <v>0</v>
      </c>
    </row>
    <row r="178" spans="1:98" x14ac:dyDescent="0.2">
      <c r="A178" s="2" t="s">
        <v>457</v>
      </c>
      <c r="B178" s="2" t="s">
        <v>281</v>
      </c>
      <c r="C178" s="2" t="s">
        <v>281</v>
      </c>
      <c r="D178" s="2" t="s">
        <v>281</v>
      </c>
      <c r="E178" s="2" t="s">
        <v>281</v>
      </c>
      <c r="F178" s="2" t="s">
        <v>281</v>
      </c>
      <c r="G178" s="2">
        <v>91.688263549662693</v>
      </c>
      <c r="H178" s="2">
        <v>26.246549999999999</v>
      </c>
      <c r="I178" s="2">
        <v>27.450056628121899</v>
      </c>
      <c r="J178" s="2">
        <v>-9.4878340889860135E-3</v>
      </c>
      <c r="K178" s="2">
        <v>-1.185770694865862E-2</v>
      </c>
      <c r="L178" s="2">
        <v>63.704000000000001</v>
      </c>
      <c r="M178" s="2">
        <v>64.678200000000004</v>
      </c>
      <c r="N178" s="2">
        <v>-2.8388023995891132E-3</v>
      </c>
      <c r="O178" s="2">
        <v>4.0450791938084762E-3</v>
      </c>
      <c r="P178" s="2">
        <v>73.148543041273555</v>
      </c>
      <c r="Q178" s="2">
        <v>-3.9453335911296961E-2</v>
      </c>
      <c r="R178" s="2">
        <v>0.24255438915030864</v>
      </c>
      <c r="S178" s="2">
        <v>0.23306655506132262</v>
      </c>
      <c r="T178" s="2">
        <v>0</v>
      </c>
      <c r="U178" s="2">
        <v>0</v>
      </c>
      <c r="V178" s="2">
        <v>0</v>
      </c>
      <c r="W178" s="2">
        <v>0</v>
      </c>
      <c r="X178" s="2">
        <v>2.903703857751111E-2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1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1</v>
      </c>
      <c r="CR178" s="2">
        <v>1</v>
      </c>
      <c r="CS178" s="2">
        <v>1</v>
      </c>
      <c r="CT178" s="2">
        <v>0</v>
      </c>
    </row>
    <row r="179" spans="1:98" x14ac:dyDescent="0.2">
      <c r="A179" s="2" t="s">
        <v>458</v>
      </c>
      <c r="B179" s="2" t="s">
        <v>281</v>
      </c>
      <c r="C179" s="2" t="s">
        <v>281</v>
      </c>
      <c r="D179" s="2" t="s">
        <v>281</v>
      </c>
      <c r="E179" s="2" t="s">
        <v>281</v>
      </c>
      <c r="F179" s="2" t="s">
        <v>281</v>
      </c>
      <c r="G179" s="2">
        <v>87.567183065829198</v>
      </c>
      <c r="H179" s="2">
        <v>29.79008</v>
      </c>
      <c r="I179" s="2">
        <v>25.619950276382301</v>
      </c>
      <c r="J179" s="2">
        <v>3.2657294879274296E-2</v>
      </c>
      <c r="K179" s="2">
        <v>3.6843165055414767E-2</v>
      </c>
      <c r="L179" s="2">
        <v>64.022000000000006</v>
      </c>
      <c r="M179" s="2">
        <v>64.647199999999998</v>
      </c>
      <c r="N179" s="2">
        <v>4.9794193360339634E-3</v>
      </c>
      <c r="O179" s="2">
        <v>-4.7941085964176011E-4</v>
      </c>
      <c r="P179" s="2">
        <v>69.860760925245515</v>
      </c>
      <c r="Q179" s="2">
        <v>-4.5988078390943876E-2</v>
      </c>
      <c r="R179" s="2">
        <v>0.22809089521241868</v>
      </c>
      <c r="S179" s="2">
        <v>0.26074819009169298</v>
      </c>
      <c r="T179" s="2">
        <v>0</v>
      </c>
      <c r="U179" s="2">
        <v>0</v>
      </c>
      <c r="V179" s="2">
        <v>0</v>
      </c>
      <c r="W179" s="2">
        <v>0</v>
      </c>
      <c r="X179" s="2">
        <v>2.7681635030370355E-2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1</v>
      </c>
      <c r="CR179" s="2">
        <v>1</v>
      </c>
      <c r="CS179" s="2">
        <v>1</v>
      </c>
      <c r="CT179" s="2">
        <v>0</v>
      </c>
    </row>
    <row r="180" spans="1:98" x14ac:dyDescent="0.2">
      <c r="A180" s="2" t="s">
        <v>459</v>
      </c>
      <c r="B180" s="2" t="s">
        <v>281</v>
      </c>
      <c r="C180" s="2" t="s">
        <v>281</v>
      </c>
      <c r="D180" s="2" t="s">
        <v>281</v>
      </c>
      <c r="E180" s="2" t="s">
        <v>281</v>
      </c>
      <c r="F180" s="2" t="s">
        <v>281</v>
      </c>
      <c r="G180" s="2">
        <v>82.514045126773695</v>
      </c>
      <c r="H180" s="2">
        <v>28.406507000000001</v>
      </c>
      <c r="I180" s="2">
        <v>27.940118257517501</v>
      </c>
      <c r="J180" s="2">
        <v>3.6387392001947239E-3</v>
      </c>
      <c r="K180" s="2">
        <v>5.9447659655539942E-2</v>
      </c>
      <c r="L180" s="2">
        <v>64.1173</v>
      </c>
      <c r="M180" s="2">
        <v>63.814399999999999</v>
      </c>
      <c r="N180" s="2">
        <v>1.4874440171102066E-3</v>
      </c>
      <c r="O180" s="2">
        <v>-1.2965923936196333E-2</v>
      </c>
      <c r="P180" s="2">
        <v>65.829386966153308</v>
      </c>
      <c r="Q180" s="2">
        <v>-5.9437782405926676E-2</v>
      </c>
      <c r="R180" s="2">
        <v>0.24639214235360354</v>
      </c>
      <c r="S180" s="2">
        <v>0.25003088155379827</v>
      </c>
      <c r="T180" s="2">
        <v>0</v>
      </c>
      <c r="U180" s="2">
        <v>0</v>
      </c>
      <c r="V180" s="2">
        <v>0</v>
      </c>
      <c r="W180" s="2">
        <v>0</v>
      </c>
      <c r="X180" s="2">
        <v>-1.071730853789471E-2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1</v>
      </c>
      <c r="CR180" s="2">
        <v>1</v>
      </c>
      <c r="CS180" s="2">
        <v>1</v>
      </c>
      <c r="CT180" s="2">
        <v>0</v>
      </c>
    </row>
    <row r="181" spans="1:98" x14ac:dyDescent="0.2">
      <c r="A181" s="2" t="s">
        <v>460</v>
      </c>
      <c r="B181" s="2" t="s">
        <v>281</v>
      </c>
      <c r="C181" s="2" t="s">
        <v>281</v>
      </c>
      <c r="D181" s="2" t="s">
        <v>281</v>
      </c>
      <c r="E181" s="2" t="s">
        <v>281</v>
      </c>
      <c r="F181" s="2" t="s">
        <v>281</v>
      </c>
      <c r="G181" s="2">
        <v>76.490334961618998</v>
      </c>
      <c r="H181" s="2">
        <v>30.239179</v>
      </c>
      <c r="I181" s="2">
        <v>28.7000421554845</v>
      </c>
      <c r="J181" s="2">
        <v>1.1888156336963218E-2</v>
      </c>
      <c r="K181" s="2">
        <v>6.9307003904576892E-2</v>
      </c>
      <c r="L181" s="2">
        <v>64.421000000000006</v>
      </c>
      <c r="M181" s="2">
        <v>63.5364</v>
      </c>
      <c r="N181" s="2">
        <v>4.7254486037457966E-3</v>
      </c>
      <c r="O181" s="2">
        <v>-4.3659001997893299E-3</v>
      </c>
      <c r="P181" s="2">
        <v>61.023694228332921</v>
      </c>
      <c r="Q181" s="2">
        <v>-7.5804130331790454E-2</v>
      </c>
      <c r="R181" s="2">
        <v>0.25231425616237807</v>
      </c>
      <c r="S181" s="2">
        <v>0.26420241249934129</v>
      </c>
      <c r="T181" s="2">
        <v>0</v>
      </c>
      <c r="U181" s="2">
        <v>0</v>
      </c>
      <c r="V181" s="2">
        <v>0</v>
      </c>
      <c r="W181" s="2">
        <v>0</v>
      </c>
      <c r="X181" s="2">
        <v>1.4171530945543021E-2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1</v>
      </c>
      <c r="CR181" s="2">
        <v>1</v>
      </c>
      <c r="CS181" s="2">
        <v>1</v>
      </c>
      <c r="CT181" s="2">
        <v>0</v>
      </c>
    </row>
    <row r="182" spans="1:98" x14ac:dyDescent="0.2">
      <c r="A182" s="2" t="s">
        <v>461</v>
      </c>
      <c r="B182" s="2" t="s">
        <v>281</v>
      </c>
      <c r="C182" s="2" t="s">
        <v>281</v>
      </c>
      <c r="D182" s="2" t="s">
        <v>281</v>
      </c>
      <c r="E182" s="2" t="s">
        <v>281</v>
      </c>
      <c r="F182" s="2" t="s">
        <v>281</v>
      </c>
      <c r="G182" s="2">
        <v>74.672437776227</v>
      </c>
      <c r="H182" s="2">
        <v>22.971442</v>
      </c>
      <c r="I182" s="2">
        <v>37.490013138970298</v>
      </c>
      <c r="J182" s="2">
        <v>-0.11159913319929116</v>
      </c>
      <c r="K182" s="2">
        <v>-2.4420061591547776E-2</v>
      </c>
      <c r="L182" s="2">
        <v>64.615799999999993</v>
      </c>
      <c r="M182" s="2">
        <v>64.293400000000005</v>
      </c>
      <c r="N182" s="2">
        <v>3.0192960145543069E-3</v>
      </c>
      <c r="O182" s="2">
        <v>1.18440121059189E-2</v>
      </c>
      <c r="P182" s="2">
        <v>59.573382865000902</v>
      </c>
      <c r="Q182" s="2">
        <v>-2.4053340633897413E-2</v>
      </c>
      <c r="R182" s="2">
        <v>0.31838109676414406</v>
      </c>
      <c r="S182" s="2">
        <v>0.2067819635648529</v>
      </c>
      <c r="T182" s="2">
        <v>0</v>
      </c>
      <c r="U182" s="2">
        <v>0</v>
      </c>
      <c r="V182" s="2">
        <v>0</v>
      </c>
      <c r="W182" s="2">
        <v>0</v>
      </c>
      <c r="X182" s="2">
        <v>-5.7420448934488388E-2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1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1</v>
      </c>
      <c r="CR182" s="2">
        <v>1</v>
      </c>
      <c r="CS182" s="2">
        <v>1</v>
      </c>
      <c r="CT182" s="2">
        <v>0</v>
      </c>
    </row>
    <row r="183" spans="1:98" x14ac:dyDescent="0.2">
      <c r="A183" s="2" t="s">
        <v>462</v>
      </c>
      <c r="B183" s="2" t="s">
        <v>281</v>
      </c>
      <c r="C183" s="2" t="s">
        <v>281</v>
      </c>
      <c r="D183" s="2" t="s">
        <v>281</v>
      </c>
      <c r="E183" s="2" t="s">
        <v>281</v>
      </c>
      <c r="F183" s="2" t="s">
        <v>281</v>
      </c>
      <c r="G183" s="2">
        <v>68.486965573389099</v>
      </c>
      <c r="H183" s="2">
        <v>18.945443000000001</v>
      </c>
      <c r="I183" s="2">
        <v>16.779991110957599</v>
      </c>
      <c r="J183" s="2">
        <v>1.8373179063196188E-2</v>
      </c>
      <c r="K183" s="2">
        <v>-2.8675411495627162E-2</v>
      </c>
      <c r="L183" s="2">
        <v>64.326800000000006</v>
      </c>
      <c r="M183" s="2">
        <v>64.540300000000002</v>
      </c>
      <c r="N183" s="2">
        <v>-4.4826222509541935E-3</v>
      </c>
      <c r="O183" s="2">
        <v>3.8328527747371055E-3</v>
      </c>
      <c r="P183" s="2">
        <v>54.638636997392489</v>
      </c>
      <c r="Q183" s="2">
        <v>-8.6467608284182873E-2</v>
      </c>
      <c r="R183" s="2">
        <v>0.15512156074944838</v>
      </c>
      <c r="S183" s="2">
        <v>0.17349473981264457</v>
      </c>
      <c r="T183" s="2">
        <v>0</v>
      </c>
      <c r="U183" s="2">
        <v>0</v>
      </c>
      <c r="V183" s="2">
        <v>0</v>
      </c>
      <c r="W183" s="2">
        <v>0</v>
      </c>
      <c r="X183" s="2">
        <v>-3.3287223752208328E-2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1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1</v>
      </c>
      <c r="CR183" s="2">
        <v>1</v>
      </c>
      <c r="CS183" s="2">
        <v>1</v>
      </c>
      <c r="CT183" s="2">
        <v>0</v>
      </c>
    </row>
    <row r="184" spans="1:98" x14ac:dyDescent="0.2">
      <c r="A184" s="2" t="s">
        <v>463</v>
      </c>
      <c r="B184" s="2" t="s">
        <v>281</v>
      </c>
      <c r="C184" s="2" t="s">
        <v>281</v>
      </c>
      <c r="D184" s="2" t="s">
        <v>281</v>
      </c>
      <c r="E184" s="2" t="s">
        <v>281</v>
      </c>
      <c r="F184" s="2" t="s">
        <v>281</v>
      </c>
      <c r="G184" s="2">
        <v>78.554726680623403</v>
      </c>
      <c r="H184" s="2">
        <v>20.413909</v>
      </c>
      <c r="I184" s="2">
        <v>6.8199929835568698</v>
      </c>
      <c r="J184" s="2">
        <v>0.11978994023134761</v>
      </c>
      <c r="K184" s="2">
        <v>9.976199983090131E-2</v>
      </c>
      <c r="L184" s="2">
        <v>64.454800000000006</v>
      </c>
      <c r="M184" s="2">
        <v>64.225999999999999</v>
      </c>
      <c r="N184" s="2">
        <v>1.9878622745848062E-3</v>
      </c>
      <c r="O184" s="2">
        <v>-4.8817217576146987E-3</v>
      </c>
      <c r="P184" s="2">
        <v>62.670657979913294</v>
      </c>
      <c r="Q184" s="2">
        <v>0.13715209349396318</v>
      </c>
      <c r="R184" s="2">
        <v>6.5974923238798153E-2</v>
      </c>
      <c r="S184" s="2">
        <v>0.18576486347014576</v>
      </c>
      <c r="T184" s="2">
        <v>0</v>
      </c>
      <c r="U184" s="2">
        <v>0</v>
      </c>
      <c r="V184" s="2">
        <v>0</v>
      </c>
      <c r="W184" s="2">
        <v>0</v>
      </c>
      <c r="X184" s="2">
        <v>1.2270123657501186E-2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1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1</v>
      </c>
      <c r="CR184" s="2">
        <v>1</v>
      </c>
      <c r="CS184" s="2">
        <v>1</v>
      </c>
      <c r="CT184" s="2">
        <v>0</v>
      </c>
    </row>
    <row r="185" spans="1:98" x14ac:dyDescent="0.2">
      <c r="A185" s="2" t="s">
        <v>464</v>
      </c>
      <c r="B185" s="2" t="s">
        <v>281</v>
      </c>
      <c r="C185" s="2" t="s">
        <v>281</v>
      </c>
      <c r="D185" s="2" t="s">
        <v>281</v>
      </c>
      <c r="E185" s="2" t="s">
        <v>281</v>
      </c>
      <c r="F185" s="2" t="s">
        <v>281</v>
      </c>
      <c r="G185" s="2">
        <v>76.921700395440794</v>
      </c>
      <c r="H185" s="2">
        <v>11.517602999999999</v>
      </c>
      <c r="I185" s="2">
        <v>8.3300132840743206</v>
      </c>
      <c r="J185" s="2">
        <v>2.9000206295311318E-2</v>
      </c>
      <c r="K185" s="2">
        <v>0.12071879981801822</v>
      </c>
      <c r="L185" s="2">
        <v>64.527000000000001</v>
      </c>
      <c r="M185" s="2">
        <v>64.342500000000001</v>
      </c>
      <c r="N185" s="2">
        <v>1.1195379121877735E-3</v>
      </c>
      <c r="O185" s="2">
        <v>1.8122639975590715E-3</v>
      </c>
      <c r="P185" s="2">
        <v>61.367835907767613</v>
      </c>
      <c r="Q185" s="2">
        <v>-2.1007510554547082E-2</v>
      </c>
      <c r="R185" s="2">
        <v>8.0012060595374801E-2</v>
      </c>
      <c r="S185" s="2">
        <v>0.10901226689068612</v>
      </c>
      <c r="T185" s="2">
        <v>0</v>
      </c>
      <c r="U185" s="2">
        <v>0</v>
      </c>
      <c r="V185" s="2">
        <v>0</v>
      </c>
      <c r="W185" s="2">
        <v>0</v>
      </c>
      <c r="X185" s="2">
        <v>-7.6752596579459639E-2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1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1</v>
      </c>
      <c r="CR185" s="2">
        <v>1</v>
      </c>
      <c r="CS185" s="2">
        <v>1</v>
      </c>
      <c r="CT185" s="2">
        <v>0</v>
      </c>
    </row>
    <row r="186" spans="1:98" x14ac:dyDescent="0.2">
      <c r="A186" s="2" t="s">
        <v>465</v>
      </c>
      <c r="B186" s="2" t="s">
        <v>281</v>
      </c>
      <c r="C186" s="2" t="s">
        <v>281</v>
      </c>
      <c r="D186" s="2" t="s">
        <v>281</v>
      </c>
      <c r="E186" s="2" t="s">
        <v>281</v>
      </c>
      <c r="F186" s="2" t="s">
        <v>281</v>
      </c>
      <c r="G186" s="2">
        <v>86.034295184926705</v>
      </c>
      <c r="H186" s="2">
        <v>11.427823</v>
      </c>
      <c r="I186" s="2">
        <v>17.919969880989498</v>
      </c>
      <c r="J186" s="2">
        <v>-5.66291190828761E-2</v>
      </c>
      <c r="K186" s="2">
        <v>5.3666986293087249E-2</v>
      </c>
      <c r="L186" s="2">
        <v>64.066199999999995</v>
      </c>
      <c r="M186" s="2">
        <v>63.446399999999997</v>
      </c>
      <c r="N186" s="2">
        <v>-7.1668170999368286E-3</v>
      </c>
      <c r="O186" s="2">
        <v>-1.402492217098672E-2</v>
      </c>
      <c r="P186" s="2">
        <v>68.637828885825797</v>
      </c>
      <c r="Q186" s="2">
        <v>0.11195797148027253</v>
      </c>
      <c r="R186" s="2">
        <v>0.1648359870338853</v>
      </c>
      <c r="S186" s="2">
        <v>0.1082068679510092</v>
      </c>
      <c r="T186" s="2">
        <v>0</v>
      </c>
      <c r="U186" s="2">
        <v>0</v>
      </c>
      <c r="V186" s="2">
        <v>0</v>
      </c>
      <c r="W186" s="2">
        <v>0</v>
      </c>
      <c r="X186" s="2">
        <v>-8.0539893967691845E-4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1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1</v>
      </c>
      <c r="CR186" s="2">
        <v>1</v>
      </c>
      <c r="CS186" s="2">
        <v>1</v>
      </c>
      <c r="CT186" s="2">
        <v>0</v>
      </c>
    </row>
    <row r="187" spans="1:98" x14ac:dyDescent="0.2">
      <c r="A187" s="2" t="s">
        <v>466</v>
      </c>
      <c r="B187" s="2" t="s">
        <v>281</v>
      </c>
      <c r="C187" s="2" t="s">
        <v>281</v>
      </c>
      <c r="D187" s="2" t="s">
        <v>281</v>
      </c>
      <c r="E187" s="2" t="s">
        <v>281</v>
      </c>
      <c r="F187" s="2" t="s">
        <v>281</v>
      </c>
      <c r="G187" s="2">
        <v>93.929823214701102</v>
      </c>
      <c r="H187" s="2">
        <v>27.288387</v>
      </c>
      <c r="I187" s="2">
        <v>28.6499913805517</v>
      </c>
      <c r="J187" s="2">
        <v>-1.0640195778164163E-2</v>
      </c>
      <c r="K187" s="2">
        <v>5.8103575872115593E-2</v>
      </c>
      <c r="L187" s="2">
        <v>64.096299999999999</v>
      </c>
      <c r="M187" s="2">
        <v>65.186700000000002</v>
      </c>
      <c r="N187" s="2">
        <v>4.6971618926594516E-4</v>
      </c>
      <c r="O187" s="2">
        <v>2.7060005432113066E-2</v>
      </c>
      <c r="P187" s="2">
        <v>74.936850696907527</v>
      </c>
      <c r="Q187" s="2">
        <v>8.7801943926934634E-2</v>
      </c>
      <c r="R187" s="2">
        <v>0.25192528574045014</v>
      </c>
      <c r="S187" s="2">
        <v>0.24128508996228598</v>
      </c>
      <c r="T187" s="2">
        <v>0</v>
      </c>
      <c r="U187" s="2">
        <v>0</v>
      </c>
      <c r="V187" s="2">
        <v>0</v>
      </c>
      <c r="W187" s="2">
        <v>0</v>
      </c>
      <c r="X187" s="2">
        <v>0.13307822201127678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1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1</v>
      </c>
      <c r="CR187" s="2">
        <v>1</v>
      </c>
      <c r="CS187" s="2">
        <v>1</v>
      </c>
      <c r="CT187" s="2">
        <v>0</v>
      </c>
    </row>
    <row r="188" spans="1:98" x14ac:dyDescent="0.2">
      <c r="A188" s="2" t="s">
        <v>467</v>
      </c>
      <c r="B188" s="2" t="s">
        <v>281</v>
      </c>
      <c r="C188" s="2" t="s">
        <v>281</v>
      </c>
      <c r="D188" s="2" t="s">
        <v>281</v>
      </c>
      <c r="E188" s="2" t="s">
        <v>281</v>
      </c>
      <c r="F188" s="2" t="s">
        <v>281</v>
      </c>
      <c r="G188" s="2">
        <v>96.571936496859706</v>
      </c>
      <c r="H188" s="2">
        <v>33.150019</v>
      </c>
      <c r="I188" s="2">
        <v>27.739978198255699</v>
      </c>
      <c r="J188" s="2">
        <v>4.1479677495516454E-2</v>
      </c>
      <c r="K188" s="2">
        <v>7.7016686034939413E-2</v>
      </c>
      <c r="L188" s="2">
        <v>63.530999999999999</v>
      </c>
      <c r="M188" s="2">
        <v>62.100999999999999</v>
      </c>
      <c r="N188" s="2">
        <v>-8.8586642021803996E-3</v>
      </c>
      <c r="O188" s="2">
        <v>-4.8493368524857416E-2</v>
      </c>
      <c r="P188" s="2">
        <v>77.044718483445067</v>
      </c>
      <c r="Q188" s="2">
        <v>2.7740244648263079E-2</v>
      </c>
      <c r="R188" s="2">
        <v>0.24482659147253061</v>
      </c>
      <c r="S188" s="2">
        <v>0.28630626896804706</v>
      </c>
      <c r="T188" s="2">
        <v>0</v>
      </c>
      <c r="U188" s="2">
        <v>0</v>
      </c>
      <c r="V188" s="2">
        <v>0</v>
      </c>
      <c r="W188" s="2">
        <v>0</v>
      </c>
      <c r="X188" s="2">
        <v>4.5021179005761081E-2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1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1</v>
      </c>
      <c r="CR188" s="2">
        <v>1</v>
      </c>
      <c r="CS188" s="2">
        <v>1</v>
      </c>
      <c r="CT188" s="2">
        <v>0</v>
      </c>
    </row>
    <row r="189" spans="1:98" x14ac:dyDescent="0.2">
      <c r="A189" s="2" t="s">
        <v>468</v>
      </c>
      <c r="B189" s="2" t="s">
        <v>281</v>
      </c>
      <c r="C189" s="2" t="s">
        <v>281</v>
      </c>
      <c r="D189" s="2" t="s">
        <v>281</v>
      </c>
      <c r="E189" s="2" t="s">
        <v>281</v>
      </c>
      <c r="F189" s="2" t="s">
        <v>281</v>
      </c>
      <c r="G189" s="2">
        <v>102.541725982787</v>
      </c>
      <c r="H189" s="2">
        <v>35.489646999999998</v>
      </c>
      <c r="I189" s="2">
        <v>33.710017701415097</v>
      </c>
      <c r="J189" s="2">
        <v>1.3221823483430428E-2</v>
      </c>
      <c r="K189" s="2">
        <v>8.1692734835916797E-2</v>
      </c>
      <c r="L189" s="2">
        <v>64.096400000000003</v>
      </c>
      <c r="M189" s="2">
        <v>64.7714</v>
      </c>
      <c r="N189" s="2">
        <v>8.8602243534214864E-3</v>
      </c>
      <c r="O189" s="2">
        <v>4.2102056037054858E-2</v>
      </c>
      <c r="P189" s="2">
        <v>81.807393511336372</v>
      </c>
      <c r="Q189" s="2">
        <v>5.9981611944968094E-2</v>
      </c>
      <c r="R189" s="2">
        <v>0.29050322202509493</v>
      </c>
      <c r="S189" s="2">
        <v>0.30372504550852536</v>
      </c>
      <c r="T189" s="2">
        <v>0</v>
      </c>
      <c r="U189" s="2">
        <v>0</v>
      </c>
      <c r="V189" s="2">
        <v>0</v>
      </c>
      <c r="W189" s="2">
        <v>0</v>
      </c>
      <c r="X189" s="2">
        <v>1.7418776540478298E-2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1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1</v>
      </c>
      <c r="CR189" s="2">
        <v>1</v>
      </c>
      <c r="CS189" s="2">
        <v>1</v>
      </c>
      <c r="CT189" s="2">
        <v>0</v>
      </c>
    </row>
    <row r="190" spans="1:98" x14ac:dyDescent="0.2">
      <c r="A190" s="2" t="s">
        <v>469</v>
      </c>
      <c r="B190" s="2" t="s">
        <v>281</v>
      </c>
      <c r="C190" s="2" t="s">
        <v>281</v>
      </c>
      <c r="D190" s="2" t="s">
        <v>281</v>
      </c>
      <c r="E190" s="2" t="s">
        <v>281</v>
      </c>
      <c r="F190" s="2" t="s">
        <v>281</v>
      </c>
      <c r="G190" s="2">
        <v>95.793938125145402</v>
      </c>
      <c r="H190" s="2">
        <v>38.581167999999998</v>
      </c>
      <c r="I190" s="2">
        <v>37.559998681497497</v>
      </c>
      <c r="J190" s="2">
        <v>7.3960285292166694E-3</v>
      </c>
      <c r="K190" s="2">
        <v>9.857659745411948E-2</v>
      </c>
      <c r="L190" s="2">
        <v>63.868400000000001</v>
      </c>
      <c r="M190" s="2">
        <v>64.865200000000002</v>
      </c>
      <c r="N190" s="2">
        <v>-3.5634837278664122E-3</v>
      </c>
      <c r="O190" s="2">
        <v>1.4471224387149206E-3</v>
      </c>
      <c r="P190" s="2">
        <v>76.424034383036073</v>
      </c>
      <c r="Q190" s="2">
        <v>-6.8070391882347536E-2</v>
      </c>
      <c r="R190" s="2">
        <v>0.31888998999104734</v>
      </c>
      <c r="S190" s="2">
        <v>0.32628601852026401</v>
      </c>
      <c r="T190" s="2">
        <v>0</v>
      </c>
      <c r="U190" s="2">
        <v>0</v>
      </c>
      <c r="V190" s="2">
        <v>0</v>
      </c>
      <c r="W190" s="2">
        <v>0</v>
      </c>
      <c r="X190" s="2">
        <v>2.256097301173865E-2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1</v>
      </c>
      <c r="CR190" s="2">
        <v>1</v>
      </c>
      <c r="CS190" s="2">
        <v>1</v>
      </c>
      <c r="CT190" s="2">
        <v>0</v>
      </c>
    </row>
    <row r="191" spans="1:98" x14ac:dyDescent="0.2">
      <c r="A191" s="2" t="s">
        <v>470</v>
      </c>
      <c r="B191" s="2" t="s">
        <v>281</v>
      </c>
      <c r="C191" s="2" t="s">
        <v>281</v>
      </c>
      <c r="D191" s="2" t="s">
        <v>281</v>
      </c>
      <c r="E191" s="2" t="s">
        <v>281</v>
      </c>
      <c r="F191" s="2" t="s">
        <v>281</v>
      </c>
      <c r="G191" s="2">
        <v>98.644031170039497</v>
      </c>
      <c r="H191" s="2">
        <v>47.697546000000003</v>
      </c>
      <c r="I191" s="2">
        <v>39.769996238833897</v>
      </c>
      <c r="J191" s="2">
        <v>5.5168387052525691E-2</v>
      </c>
      <c r="K191" s="2">
        <v>0.12108768962737088</v>
      </c>
      <c r="L191" s="2">
        <v>63.828699999999998</v>
      </c>
      <c r="M191" s="2">
        <v>64.500100000000003</v>
      </c>
      <c r="N191" s="2">
        <v>-6.2178391332423644E-4</v>
      </c>
      <c r="O191" s="2">
        <v>-5.6444961570099039E-3</v>
      </c>
      <c r="P191" s="2">
        <v>78.697827622158187</v>
      </c>
      <c r="Q191" s="2">
        <v>2.9318318900101836E-2</v>
      </c>
      <c r="R191" s="2">
        <v>0.33482800159904247</v>
      </c>
      <c r="S191" s="2">
        <v>0.38999638865156816</v>
      </c>
      <c r="T191" s="2">
        <v>0</v>
      </c>
      <c r="U191" s="2">
        <v>0</v>
      </c>
      <c r="V191" s="2">
        <v>0</v>
      </c>
      <c r="W191" s="2">
        <v>0</v>
      </c>
      <c r="X191" s="2">
        <v>6.371037013130415E-2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1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1</v>
      </c>
      <c r="CR191" s="2">
        <v>1</v>
      </c>
      <c r="CS191" s="2">
        <v>1</v>
      </c>
      <c r="CT191" s="2">
        <v>0</v>
      </c>
    </row>
    <row r="192" spans="1:98" x14ac:dyDescent="0.2">
      <c r="A192" s="2" t="s">
        <v>471</v>
      </c>
      <c r="B192" s="2" t="s">
        <v>281</v>
      </c>
      <c r="C192" s="2" t="s">
        <v>281</v>
      </c>
      <c r="D192" s="2" t="s">
        <v>281</v>
      </c>
      <c r="E192" s="2" t="s">
        <v>281</v>
      </c>
      <c r="F192" s="2" t="s">
        <v>281</v>
      </c>
      <c r="G192" s="2">
        <v>90.910265177948304</v>
      </c>
      <c r="H192" s="2">
        <v>48.407076000000004</v>
      </c>
      <c r="I192" s="2">
        <v>47.820001352355597</v>
      </c>
      <c r="J192" s="2">
        <v>3.9636850318280903E-3</v>
      </c>
      <c r="K192" s="2">
        <v>0.12141263545900424</v>
      </c>
      <c r="L192" s="2">
        <v>64.043999999999997</v>
      </c>
      <c r="M192" s="2">
        <v>63.796799999999998</v>
      </c>
      <c r="N192" s="2">
        <v>3.3674146780224845E-3</v>
      </c>
      <c r="O192" s="2">
        <v>-1.0963741835080754E-2</v>
      </c>
      <c r="P192" s="2">
        <v>72.527858940864505</v>
      </c>
      <c r="Q192" s="2">
        <v>-8.1644802461633859E-2</v>
      </c>
      <c r="R192" s="2">
        <v>0.39082514051731387</v>
      </c>
      <c r="S192" s="2">
        <v>0.39478882554914196</v>
      </c>
      <c r="T192" s="2">
        <v>0</v>
      </c>
      <c r="U192" s="2">
        <v>0</v>
      </c>
      <c r="V192" s="2">
        <v>0</v>
      </c>
      <c r="W192" s="2">
        <v>0</v>
      </c>
      <c r="X192" s="2">
        <v>4.7924368975738041E-3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1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1</v>
      </c>
      <c r="CR192" s="2">
        <v>1</v>
      </c>
      <c r="CS192" s="2">
        <v>1</v>
      </c>
      <c r="CT192" s="2">
        <v>0</v>
      </c>
    </row>
    <row r="193" spans="1:98" x14ac:dyDescent="0.2">
      <c r="A193" s="2" t="s">
        <v>472</v>
      </c>
      <c r="B193" s="2" t="s">
        <v>281</v>
      </c>
      <c r="C193" s="2" t="s">
        <v>281</v>
      </c>
      <c r="D193" s="2" t="s">
        <v>281</v>
      </c>
      <c r="E193" s="2" t="s">
        <v>281</v>
      </c>
      <c r="F193" s="2" t="s">
        <v>281</v>
      </c>
      <c r="G193" s="2">
        <v>78.801221214235895</v>
      </c>
      <c r="H193" s="2">
        <v>64.208641999999998</v>
      </c>
      <c r="I193" s="2">
        <v>51.499999181161201</v>
      </c>
      <c r="J193" s="2">
        <v>8.0552207026702072E-2</v>
      </c>
      <c r="K193" s="2">
        <v>0.1900766861487431</v>
      </c>
      <c r="L193" s="2">
        <v>64.4375</v>
      </c>
      <c r="M193" s="2">
        <v>63.823</v>
      </c>
      <c r="N193" s="2">
        <v>6.1254146373705964E-3</v>
      </c>
      <c r="O193" s="2">
        <v>4.105946000239058E-4</v>
      </c>
      <c r="P193" s="2">
        <v>62.867310368161718</v>
      </c>
      <c r="Q193" s="2">
        <v>-0.14294442867144053</v>
      </c>
      <c r="R193" s="2">
        <v>0.41541543355645583</v>
      </c>
      <c r="S193" s="2">
        <v>0.4959676405831579</v>
      </c>
      <c r="T193" s="2">
        <v>0</v>
      </c>
      <c r="U193" s="2">
        <v>0</v>
      </c>
      <c r="V193" s="2">
        <v>0</v>
      </c>
      <c r="W193" s="2">
        <v>0</v>
      </c>
      <c r="X193" s="2">
        <v>0.10117881503401593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1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1</v>
      </c>
      <c r="CR193" s="2">
        <v>1</v>
      </c>
      <c r="CS193" s="2">
        <v>1</v>
      </c>
      <c r="CT193" s="2">
        <v>0</v>
      </c>
    </row>
    <row r="194" spans="1:98" x14ac:dyDescent="0.2">
      <c r="A194" s="2" t="s">
        <v>473</v>
      </c>
      <c r="B194" s="2" t="s">
        <v>281</v>
      </c>
      <c r="C194" s="2" t="s">
        <v>281</v>
      </c>
      <c r="D194" s="2" t="s">
        <v>281</v>
      </c>
      <c r="E194" s="2" t="s">
        <v>281</v>
      </c>
      <c r="F194" s="2" t="s">
        <v>281</v>
      </c>
      <c r="G194" s="2">
        <v>78.4237764596418</v>
      </c>
      <c r="H194" s="2">
        <v>67.597161</v>
      </c>
      <c r="I194" s="2">
        <v>67.5500022769304</v>
      </c>
      <c r="J194" s="2">
        <v>2.8142099082528738E-4</v>
      </c>
      <c r="K194" s="2">
        <v>0.30195724033885951</v>
      </c>
      <c r="L194" s="2">
        <v>64.001000000000005</v>
      </c>
      <c r="M194" s="2">
        <v>63.792999999999999</v>
      </c>
      <c r="N194" s="2">
        <v>-6.7970535395760479E-3</v>
      </c>
      <c r="O194" s="2">
        <v>-4.7016049010473182E-4</v>
      </c>
      <c r="P194" s="2">
        <v>62.566186398656342</v>
      </c>
      <c r="Q194" s="2">
        <v>-4.8013418384762474E-3</v>
      </c>
      <c r="R194" s="2">
        <v>0.51611164178478564</v>
      </c>
      <c r="S194" s="2">
        <v>0.51639306277561092</v>
      </c>
      <c r="T194" s="2">
        <v>0</v>
      </c>
      <c r="U194" s="2">
        <v>0</v>
      </c>
      <c r="V194" s="2">
        <v>0</v>
      </c>
      <c r="W194" s="2">
        <v>0</v>
      </c>
      <c r="X194" s="2">
        <v>2.0425422192453024E-2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1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1</v>
      </c>
      <c r="CR194" s="2">
        <v>1</v>
      </c>
      <c r="CS194" s="2">
        <v>1</v>
      </c>
      <c r="CT194" s="2">
        <v>0</v>
      </c>
    </row>
    <row r="195" spans="1:98" x14ac:dyDescent="0.2">
      <c r="A195" s="2" t="s">
        <v>474</v>
      </c>
      <c r="B195" s="2" t="s">
        <v>281</v>
      </c>
      <c r="C195" s="2" t="s">
        <v>281</v>
      </c>
      <c r="D195" s="2" t="s">
        <v>281</v>
      </c>
      <c r="E195" s="2" t="s">
        <v>281</v>
      </c>
      <c r="F195" s="2" t="s">
        <v>281</v>
      </c>
      <c r="G195" s="2">
        <v>74.333507792509906</v>
      </c>
      <c r="H195" s="2">
        <v>82.043825999999996</v>
      </c>
      <c r="I195" s="2">
        <v>75.729998606663898</v>
      </c>
      <c r="J195" s="2">
        <v>3.5298742008493034E-2</v>
      </c>
      <c r="K195" s="2">
        <v>0.31888280328415641</v>
      </c>
      <c r="L195" s="2">
        <v>64.650899999999993</v>
      </c>
      <c r="M195" s="2">
        <v>64.740399999999994</v>
      </c>
      <c r="N195" s="2">
        <v>1.0103317997055328E-2</v>
      </c>
      <c r="O195" s="2">
        <v>1.4741960576445834E-2</v>
      </c>
      <c r="P195" s="2">
        <v>59.302985831159383</v>
      </c>
      <c r="Q195" s="2">
        <v>-5.3565322774164592E-2</v>
      </c>
      <c r="R195" s="2">
        <v>0.56377853228981745</v>
      </c>
      <c r="S195" s="2">
        <v>0.59907727429831048</v>
      </c>
      <c r="T195" s="2">
        <v>0</v>
      </c>
      <c r="U195" s="2">
        <v>0</v>
      </c>
      <c r="V195" s="2">
        <v>0</v>
      </c>
      <c r="W195" s="2">
        <v>0</v>
      </c>
      <c r="X195" s="2">
        <v>8.2684211522699558E-2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1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1</v>
      </c>
      <c r="CR195" s="2">
        <v>1</v>
      </c>
      <c r="CS195" s="2">
        <v>1</v>
      </c>
      <c r="CT195" s="2">
        <v>0</v>
      </c>
    </row>
    <row r="196" spans="1:98" x14ac:dyDescent="0.2">
      <c r="A196" s="2" t="s">
        <v>475</v>
      </c>
      <c r="B196" s="2" t="s">
        <v>281</v>
      </c>
      <c r="C196" s="2" t="s">
        <v>281</v>
      </c>
      <c r="D196" s="2" t="s">
        <v>281</v>
      </c>
      <c r="E196" s="2" t="s">
        <v>281</v>
      </c>
      <c r="F196" s="2" t="s">
        <v>281</v>
      </c>
      <c r="G196" s="2">
        <v>75.889504535938599</v>
      </c>
      <c r="H196" s="2">
        <v>36.755786000000001</v>
      </c>
      <c r="I196" s="2">
        <v>82.389999656193197</v>
      </c>
      <c r="J196" s="2">
        <v>-0.28795049849777671</v>
      </c>
      <c r="K196" s="2">
        <v>-8.8857635444967942E-2</v>
      </c>
      <c r="L196" s="2">
        <v>64.975700000000003</v>
      </c>
      <c r="M196" s="2">
        <v>65.078800000000001</v>
      </c>
      <c r="N196" s="2">
        <v>5.0113276092389469E-3</v>
      </c>
      <c r="O196" s="2">
        <v>5.2134162969341702E-3</v>
      </c>
      <c r="P196" s="2">
        <v>60.54435403197742</v>
      </c>
      <c r="Q196" s="2">
        <v>2.0716564907396595E-2</v>
      </c>
      <c r="R196" s="2">
        <v>0.6009770637028059</v>
      </c>
      <c r="S196" s="2">
        <v>0.31302656520502919</v>
      </c>
      <c r="T196" s="2">
        <v>0</v>
      </c>
      <c r="U196" s="2">
        <v>0</v>
      </c>
      <c r="V196" s="2">
        <v>0</v>
      </c>
      <c r="W196" s="2">
        <v>0</v>
      </c>
      <c r="X196" s="2">
        <v>-0.28605070909328129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1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1</v>
      </c>
      <c r="CR196" s="2">
        <v>1</v>
      </c>
      <c r="CS196" s="2">
        <v>1</v>
      </c>
      <c r="CT196" s="2">
        <v>0</v>
      </c>
    </row>
    <row r="197" spans="1:98" x14ac:dyDescent="0.2">
      <c r="A197" s="2" t="s">
        <v>476</v>
      </c>
      <c r="B197" s="2" t="s">
        <v>281</v>
      </c>
      <c r="C197" s="2" t="s">
        <v>281</v>
      </c>
      <c r="D197" s="2" t="s">
        <v>281</v>
      </c>
      <c r="E197" s="2" t="s">
        <v>281</v>
      </c>
      <c r="F197" s="2" t="s">
        <v>281</v>
      </c>
      <c r="G197" s="2">
        <v>55.623032100488501</v>
      </c>
      <c r="H197" s="2">
        <v>4.2289050000000001</v>
      </c>
      <c r="I197" s="2">
        <v>15.5199994367887</v>
      </c>
      <c r="J197" s="2">
        <v>-0.10285418018561301</v>
      </c>
      <c r="K197" s="2">
        <v>-0.22071202192589223</v>
      </c>
      <c r="L197" s="2">
        <v>64.897599999999997</v>
      </c>
      <c r="M197" s="2">
        <v>63.743400000000001</v>
      </c>
      <c r="N197" s="2">
        <v>-1.2027107868117781E-3</v>
      </c>
      <c r="O197" s="2">
        <v>-2.0733194069109118E-2</v>
      </c>
      <c r="P197" s="2">
        <v>44.37584048567895</v>
      </c>
      <c r="Q197" s="2">
        <v>-0.31068103278924664</v>
      </c>
      <c r="R197" s="2">
        <v>0.14427348428098064</v>
      </c>
      <c r="S197" s="2">
        <v>4.1419304095367614E-2</v>
      </c>
      <c r="T197" s="2">
        <v>0</v>
      </c>
      <c r="U197" s="2">
        <v>0</v>
      </c>
      <c r="V197" s="2">
        <v>0</v>
      </c>
      <c r="W197" s="2">
        <v>0</v>
      </c>
      <c r="X197" s="2">
        <v>-0.2716072611096616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1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1</v>
      </c>
      <c r="CR197" s="2">
        <v>1</v>
      </c>
      <c r="CS197" s="2">
        <v>1</v>
      </c>
      <c r="CT197" s="2">
        <v>0</v>
      </c>
    </row>
    <row r="198" spans="1:98" x14ac:dyDescent="0.2">
      <c r="A198" s="2" t="s">
        <v>477</v>
      </c>
      <c r="B198" s="2" t="s">
        <v>281</v>
      </c>
      <c r="C198" s="2" t="s">
        <v>281</v>
      </c>
      <c r="D198" s="2" t="s">
        <v>281</v>
      </c>
      <c r="E198" s="2" t="s">
        <v>281</v>
      </c>
      <c r="F198" s="2" t="s">
        <v>281</v>
      </c>
      <c r="G198" s="2">
        <v>76.736829495231504</v>
      </c>
      <c r="H198" s="2">
        <v>5.6935099999999998</v>
      </c>
      <c r="I198" s="2">
        <v>7.5899995934633102</v>
      </c>
      <c r="J198" s="2">
        <v>-1.7784212025336206E-2</v>
      </c>
      <c r="K198" s="2">
        <v>-0.18186711486835236</v>
      </c>
      <c r="L198" s="2">
        <v>65.006799999999998</v>
      </c>
      <c r="M198" s="2">
        <v>64.403599999999997</v>
      </c>
      <c r="N198" s="2">
        <v>1.6812367513594495E-3</v>
      </c>
      <c r="O198" s="2">
        <v>1.0303882901813388E-2</v>
      </c>
      <c r="P198" s="2">
        <v>61.220346616581345</v>
      </c>
      <c r="Q198" s="2">
        <v>0.32178440718204726</v>
      </c>
      <c r="R198" s="2">
        <v>7.3157516839153267E-2</v>
      </c>
      <c r="S198" s="2">
        <v>5.5373304813817061E-2</v>
      </c>
      <c r="T198" s="2">
        <v>0</v>
      </c>
      <c r="U198" s="2">
        <v>0</v>
      </c>
      <c r="V198" s="2">
        <v>0</v>
      </c>
      <c r="W198" s="2">
        <v>0</v>
      </c>
      <c r="X198" s="2">
        <v>1.3954000718449447E-2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1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1</v>
      </c>
      <c r="CR198" s="2">
        <v>1</v>
      </c>
      <c r="CS198" s="2">
        <v>1</v>
      </c>
      <c r="CT198" s="2">
        <v>0</v>
      </c>
    </row>
    <row r="199" spans="1:98" x14ac:dyDescent="0.2">
      <c r="A199" s="2" t="s">
        <v>478</v>
      </c>
      <c r="B199" s="2" t="s">
        <v>281</v>
      </c>
      <c r="C199" s="2" t="s">
        <v>281</v>
      </c>
      <c r="D199" s="2" t="s">
        <v>281</v>
      </c>
      <c r="E199" s="2" t="s">
        <v>281</v>
      </c>
      <c r="F199" s="2" t="s">
        <v>281</v>
      </c>
      <c r="G199" s="2">
        <v>78.469994184694102</v>
      </c>
      <c r="H199" s="2">
        <v>8.7310300000000005</v>
      </c>
      <c r="I199" s="2">
        <v>11.7500003554595</v>
      </c>
      <c r="J199" s="2">
        <v>-2.7387018703204494E-2</v>
      </c>
      <c r="K199" s="2">
        <v>-0.1986139377933927</v>
      </c>
      <c r="L199" s="2">
        <v>65.2286</v>
      </c>
      <c r="M199" s="2">
        <v>66.392499999999998</v>
      </c>
      <c r="N199" s="2">
        <v>3.4061432519907342E-3</v>
      </c>
      <c r="O199" s="2">
        <v>3.041456612657889E-2</v>
      </c>
      <c r="P199" s="2">
        <v>62.603058721452882</v>
      </c>
      <c r="Q199" s="2">
        <v>2.2334542956836678E-2</v>
      </c>
      <c r="R199" s="2">
        <v>0.11109405068643248</v>
      </c>
      <c r="S199" s="2">
        <v>8.3707031983227986E-2</v>
      </c>
      <c r="T199" s="2">
        <v>0</v>
      </c>
      <c r="U199" s="2">
        <v>0</v>
      </c>
      <c r="V199" s="2">
        <v>0</v>
      </c>
      <c r="W199" s="2">
        <v>0</v>
      </c>
      <c r="X199" s="2">
        <v>2.8333727169410926E-2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1</v>
      </c>
      <c r="CR199" s="2">
        <v>1</v>
      </c>
      <c r="CS199" s="2">
        <v>1</v>
      </c>
      <c r="CT199" s="2">
        <v>0</v>
      </c>
    </row>
    <row r="200" spans="1:98" x14ac:dyDescent="0.2">
      <c r="A200" s="2" t="s">
        <v>479</v>
      </c>
      <c r="B200" s="2" t="s">
        <v>281</v>
      </c>
      <c r="C200" s="2" t="s">
        <v>281</v>
      </c>
      <c r="D200" s="2" t="s">
        <v>281</v>
      </c>
      <c r="E200" s="2" t="s">
        <v>281</v>
      </c>
      <c r="F200" s="2" t="s">
        <v>281</v>
      </c>
      <c r="G200" s="2">
        <v>88.568567108629907</v>
      </c>
      <c r="H200" s="2">
        <v>13.793850000000001</v>
      </c>
      <c r="I200" s="2">
        <v>12.9199996725029</v>
      </c>
      <c r="J200" s="2">
        <v>7.7088775676065896E-3</v>
      </c>
      <c r="K200" s="2">
        <v>-0.23238473772130258</v>
      </c>
      <c r="L200" s="2">
        <v>65.154300000000006</v>
      </c>
      <c r="M200" s="2">
        <v>63.935000000000002</v>
      </c>
      <c r="N200" s="2">
        <v>-1.1397201326674988E-3</v>
      </c>
      <c r="O200" s="2">
        <v>-3.7717156032491594E-2</v>
      </c>
      <c r="P200" s="2">
        <v>70.659661252504691</v>
      </c>
      <c r="Q200" s="2">
        <v>0.12106070959316995</v>
      </c>
      <c r="R200" s="2">
        <v>0.12150941449693951</v>
      </c>
      <c r="S200" s="2">
        <v>0.1292182920645461</v>
      </c>
      <c r="T200" s="2">
        <v>0</v>
      </c>
      <c r="U200" s="2">
        <v>0</v>
      </c>
      <c r="V200" s="2">
        <v>0</v>
      </c>
      <c r="W200" s="2">
        <v>0</v>
      </c>
      <c r="X200" s="2">
        <v>4.5511260081318117E-2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1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1</v>
      </c>
      <c r="CR200" s="2">
        <v>1</v>
      </c>
      <c r="CS200" s="2">
        <v>1</v>
      </c>
      <c r="CT200" s="2">
        <v>0</v>
      </c>
    </row>
    <row r="201" spans="1:98" x14ac:dyDescent="0.2">
      <c r="A201" s="2" t="s">
        <v>480</v>
      </c>
      <c r="B201" s="2" t="s">
        <v>281</v>
      </c>
      <c r="C201" s="2" t="s">
        <v>281</v>
      </c>
      <c r="D201" s="2" t="s">
        <v>281</v>
      </c>
      <c r="E201" s="2" t="s">
        <v>281</v>
      </c>
      <c r="F201" s="2" t="s">
        <v>281</v>
      </c>
      <c r="G201" s="2">
        <v>94.014555710630404</v>
      </c>
      <c r="H201" s="2">
        <v>11.527494000000001</v>
      </c>
      <c r="I201" s="2">
        <v>12.8800001004814</v>
      </c>
      <c r="J201" s="2">
        <v>-1.2054164971486425E-2</v>
      </c>
      <c r="K201" s="2">
        <v>-0.25766072617621943</v>
      </c>
      <c r="L201" s="2">
        <v>65.352800000000002</v>
      </c>
      <c r="M201" s="2">
        <v>66.143699999999995</v>
      </c>
      <c r="N201" s="2">
        <v>3.0419824372911464E-3</v>
      </c>
      <c r="O201" s="2">
        <v>3.3962705667159199E-2</v>
      </c>
      <c r="P201" s="2">
        <v>75.004449955367903</v>
      </c>
      <c r="Q201" s="2">
        <v>5.967259664382496E-2</v>
      </c>
      <c r="R201" s="2">
        <v>0.12115512244662846</v>
      </c>
      <c r="S201" s="2">
        <v>0.10910095747514204</v>
      </c>
      <c r="T201" s="2">
        <v>0</v>
      </c>
      <c r="U201" s="2">
        <v>0</v>
      </c>
      <c r="V201" s="2">
        <v>0</v>
      </c>
      <c r="W201" s="2">
        <v>0</v>
      </c>
      <c r="X201" s="2">
        <v>-2.0117334589404068E-2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1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1</v>
      </c>
      <c r="CR201" s="2">
        <v>1</v>
      </c>
      <c r="CS201" s="2">
        <v>1</v>
      </c>
      <c r="CT201" s="2">
        <v>0</v>
      </c>
    </row>
    <row r="202" spans="1:98" x14ac:dyDescent="0.2">
      <c r="A202" s="2" t="s">
        <v>481</v>
      </c>
      <c r="B202" s="2" t="s">
        <v>281</v>
      </c>
      <c r="C202" s="2" t="s">
        <v>281</v>
      </c>
      <c r="D202" s="2" t="s">
        <v>281</v>
      </c>
      <c r="E202" s="2" t="s">
        <v>281</v>
      </c>
      <c r="F202" s="2" t="s">
        <v>281</v>
      </c>
      <c r="G202" s="2">
        <v>88.460725750174504</v>
      </c>
      <c r="H202" s="2">
        <v>15.213984999999999</v>
      </c>
      <c r="I202" s="2">
        <v>14.410000133132399</v>
      </c>
      <c r="J202" s="2">
        <v>7.0026495866510607E-3</v>
      </c>
      <c r="K202" s="2">
        <v>-0.25805410511878502</v>
      </c>
      <c r="L202" s="2">
        <v>65.445899999999995</v>
      </c>
      <c r="M202" s="2">
        <v>66.628399999999999</v>
      </c>
      <c r="N202" s="2">
        <v>1.4235617895668184E-3</v>
      </c>
      <c r="O202" s="2">
        <v>7.3012651485688806E-3</v>
      </c>
      <c r="P202" s="2">
        <v>70.573625832646059</v>
      </c>
      <c r="Q202" s="2">
        <v>-6.089094158610564E-2</v>
      </c>
      <c r="R202" s="2">
        <v>0.13461830288840423</v>
      </c>
      <c r="S202" s="2">
        <v>0.1416209524750553</v>
      </c>
      <c r="T202" s="2">
        <v>0</v>
      </c>
      <c r="U202" s="2">
        <v>0</v>
      </c>
      <c r="V202" s="2">
        <v>0</v>
      </c>
      <c r="W202" s="2">
        <v>0</v>
      </c>
      <c r="X202" s="2">
        <v>3.251999499991326E-2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1</v>
      </c>
      <c r="CR202" s="2">
        <v>1</v>
      </c>
      <c r="CS202" s="2">
        <v>1</v>
      </c>
      <c r="CT202" s="2">
        <v>0</v>
      </c>
    </row>
    <row r="203" spans="1:98" x14ac:dyDescent="0.2">
      <c r="A203" s="2" t="s">
        <v>482</v>
      </c>
      <c r="B203" s="2" t="s">
        <v>281</v>
      </c>
      <c r="C203" s="2" t="s">
        <v>281</v>
      </c>
      <c r="D203" s="2" t="s">
        <v>281</v>
      </c>
      <c r="E203" s="2" t="s">
        <v>281</v>
      </c>
      <c r="F203" s="2" t="s">
        <v>281</v>
      </c>
      <c r="G203" s="2">
        <v>91.218383344963897</v>
      </c>
      <c r="H203" s="2">
        <v>16.489785000000001</v>
      </c>
      <c r="I203" s="2">
        <v>14.360000224235</v>
      </c>
      <c r="J203" s="2">
        <v>1.845221734310229E-2</v>
      </c>
      <c r="K203" s="2">
        <v>-0.29477027482820839</v>
      </c>
      <c r="L203" s="2">
        <v>64.944999999999993</v>
      </c>
      <c r="M203" s="2">
        <v>65.686599999999999</v>
      </c>
      <c r="N203" s="2">
        <v>-7.6830892953783092E-3</v>
      </c>
      <c r="O203" s="2">
        <v>-1.4235965772470216E-2</v>
      </c>
      <c r="P203" s="2">
        <v>72.773674426175006</v>
      </c>
      <c r="Q203" s="2">
        <v>3.0697771850765498E-2</v>
      </c>
      <c r="R203" s="2">
        <v>0.13418118342680146</v>
      </c>
      <c r="S203" s="2">
        <v>0.15263340076990375</v>
      </c>
      <c r="T203" s="2">
        <v>0</v>
      </c>
      <c r="U203" s="2">
        <v>0</v>
      </c>
      <c r="V203" s="2">
        <v>0</v>
      </c>
      <c r="W203" s="2">
        <v>0</v>
      </c>
      <c r="X203" s="2">
        <v>1.1012448294848459E-2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1</v>
      </c>
      <c r="CR203" s="2">
        <v>1</v>
      </c>
      <c r="CS203" s="2">
        <v>1</v>
      </c>
      <c r="CT203" s="2">
        <v>0</v>
      </c>
    </row>
    <row r="204" spans="1:98" x14ac:dyDescent="0.2">
      <c r="A204" s="2" t="s">
        <v>483</v>
      </c>
      <c r="B204" s="2" t="s">
        <v>281</v>
      </c>
      <c r="C204" s="2" t="s">
        <v>281</v>
      </c>
      <c r="D204" s="2" t="s">
        <v>281</v>
      </c>
      <c r="E204" s="2" t="s">
        <v>281</v>
      </c>
      <c r="F204" s="2" t="s">
        <v>281</v>
      </c>
      <c r="G204" s="2">
        <v>82.159709234705701</v>
      </c>
      <c r="H204" s="2">
        <v>19.829471000000002</v>
      </c>
      <c r="I204" s="2">
        <v>16.8099997421144</v>
      </c>
      <c r="J204" s="2">
        <v>2.5520976137479723E-2</v>
      </c>
      <c r="K204" s="2">
        <v>-0.27321298372255676</v>
      </c>
      <c r="L204" s="2">
        <v>64.187700000000007</v>
      </c>
      <c r="M204" s="2">
        <v>63.977600000000002</v>
      </c>
      <c r="N204" s="2">
        <v>-1.1729154303854017E-2</v>
      </c>
      <c r="O204" s="2">
        <v>-2.6361925211013215E-2</v>
      </c>
      <c r="P204" s="2">
        <v>65.546699158046152</v>
      </c>
      <c r="Q204" s="2">
        <v>-0.10459142193117366</v>
      </c>
      <c r="R204" s="2">
        <v>0.15537849497177786</v>
      </c>
      <c r="S204" s="2">
        <v>0.18089947110925758</v>
      </c>
      <c r="T204" s="2">
        <v>0</v>
      </c>
      <c r="U204" s="2">
        <v>0</v>
      </c>
      <c r="V204" s="2">
        <v>0</v>
      </c>
      <c r="W204" s="2">
        <v>0</v>
      </c>
      <c r="X204" s="2">
        <v>2.8266070339353827E-2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1</v>
      </c>
      <c r="CR204" s="2">
        <v>1</v>
      </c>
      <c r="CS204" s="2">
        <v>1</v>
      </c>
      <c r="CT204" s="2">
        <v>0</v>
      </c>
    </row>
    <row r="205" spans="1:98" x14ac:dyDescent="0.2">
      <c r="A205" s="2" t="s">
        <v>484</v>
      </c>
      <c r="B205" s="2" t="s">
        <v>281</v>
      </c>
      <c r="C205" s="2" t="s">
        <v>281</v>
      </c>
      <c r="D205" s="2" t="s">
        <v>281</v>
      </c>
      <c r="E205" s="2" t="s">
        <v>281</v>
      </c>
      <c r="F205" s="2" t="s">
        <v>281</v>
      </c>
      <c r="G205" s="2">
        <v>65.228615957199395</v>
      </c>
      <c r="H205" s="2">
        <v>22.856974000000001</v>
      </c>
      <c r="I205" s="2">
        <v>18.4400001214591</v>
      </c>
      <c r="J205" s="2">
        <v>3.6614361513809868E-2</v>
      </c>
      <c r="K205" s="2">
        <v>-0.31715082923544896</v>
      </c>
      <c r="L205" s="2">
        <v>63.761200000000002</v>
      </c>
      <c r="M205" s="2">
        <v>63.084699999999998</v>
      </c>
      <c r="N205" s="2">
        <v>-6.6667486733740233E-3</v>
      </c>
      <c r="O205" s="2">
        <v>-1.4054754215605314E-2</v>
      </c>
      <c r="P205" s="2">
        <v>52.039138240233974</v>
      </c>
      <c r="Q205" s="2">
        <v>-0.23076675890579024</v>
      </c>
      <c r="R205" s="2">
        <v>0.16923631827078969</v>
      </c>
      <c r="S205" s="2">
        <v>0.20585067978459956</v>
      </c>
      <c r="T205" s="2">
        <v>0</v>
      </c>
      <c r="U205" s="2">
        <v>0</v>
      </c>
      <c r="V205" s="2">
        <v>0</v>
      </c>
      <c r="W205" s="2">
        <v>0</v>
      </c>
      <c r="X205" s="2">
        <v>2.4951208675341979E-2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1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1</v>
      </c>
      <c r="CR205" s="2">
        <v>1</v>
      </c>
      <c r="CS205" s="2">
        <v>1</v>
      </c>
      <c r="CT205" s="2">
        <v>0</v>
      </c>
    </row>
    <row r="206" spans="1:98" x14ac:dyDescent="0.2">
      <c r="A206" s="2" t="s">
        <v>485</v>
      </c>
      <c r="B206" s="2">
        <v>5.2603900000000002E-3</v>
      </c>
      <c r="C206" s="2">
        <v>0.03</v>
      </c>
      <c r="D206" s="2">
        <v>3532.8711369309117</v>
      </c>
      <c r="E206" s="2" t="s">
        <v>281</v>
      </c>
      <c r="F206" s="2" t="s">
        <v>281</v>
      </c>
      <c r="G206" s="2">
        <v>66.23</v>
      </c>
      <c r="H206" s="2">
        <v>21.021841999999999</v>
      </c>
      <c r="I206" s="2">
        <v>20.7499999998929</v>
      </c>
      <c r="J206" s="2">
        <v>2.2487491712379348E-3</v>
      </c>
      <c r="K206" s="2">
        <v>-0.31518350105503634</v>
      </c>
      <c r="L206" s="2">
        <v>63.479500000000002</v>
      </c>
      <c r="M206" s="2">
        <v>63.376300000000001</v>
      </c>
      <c r="N206" s="2">
        <v>-4.4278357513647393E-3</v>
      </c>
      <c r="O206" s="2">
        <v>4.6117066417039609E-3</v>
      </c>
      <c r="P206" s="2">
        <v>52.838038567493086</v>
      </c>
      <c r="Q206" s="2">
        <v>1.5235264801470194E-2</v>
      </c>
      <c r="R206" s="2">
        <v>0.18855210654370363</v>
      </c>
      <c r="S206" s="2">
        <v>0.19080085571494157</v>
      </c>
      <c r="T206" s="2">
        <v>0</v>
      </c>
      <c r="U206" s="2">
        <v>0</v>
      </c>
      <c r="V206" s="2">
        <v>0</v>
      </c>
      <c r="W206" s="2">
        <v>0</v>
      </c>
      <c r="X206" s="2">
        <v>-1.5049824069657991E-2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1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1</v>
      </c>
      <c r="CR206" s="2">
        <v>1</v>
      </c>
      <c r="CS206" s="2">
        <v>1</v>
      </c>
      <c r="CT206" s="2">
        <v>0</v>
      </c>
    </row>
    <row r="207" spans="1:98" x14ac:dyDescent="0.2">
      <c r="A207" s="2" t="s">
        <v>486</v>
      </c>
      <c r="B207" s="2">
        <v>6.3708599999999999E-3</v>
      </c>
      <c r="C207" s="2">
        <v>-0.08</v>
      </c>
      <c r="D207" s="2">
        <v>-7778.8681590868428</v>
      </c>
      <c r="E207" s="2">
        <v>-11311.739296017755</v>
      </c>
      <c r="F207" s="2" t="s">
        <v>281</v>
      </c>
      <c r="G207" s="2">
        <v>60.75</v>
      </c>
      <c r="H207" s="2">
        <v>6.8479739999999998</v>
      </c>
      <c r="I207" s="2">
        <v>20.720496894497298</v>
      </c>
      <c r="J207" s="2">
        <v>-0.12207091011716828</v>
      </c>
      <c r="K207" s="2">
        <v>-0.47255315318069768</v>
      </c>
      <c r="L207" s="2">
        <v>63.048999999999999</v>
      </c>
      <c r="M207" s="2">
        <v>63.129399999999997</v>
      </c>
      <c r="N207" s="2">
        <v>-6.8048172737356083E-3</v>
      </c>
      <c r="O207" s="2">
        <v>-3.9033863847937056E-3</v>
      </c>
      <c r="P207" s="2">
        <v>48.466115702479307</v>
      </c>
      <c r="Q207" s="2">
        <v>-8.6366450276230022E-2</v>
      </c>
      <c r="R207" s="2">
        <v>0.18830774455396299</v>
      </c>
      <c r="S207" s="2">
        <v>6.6236834436794706E-2</v>
      </c>
      <c r="T207" s="2">
        <v>0</v>
      </c>
      <c r="U207" s="2">
        <v>0</v>
      </c>
      <c r="V207" s="2">
        <v>0</v>
      </c>
      <c r="W207" s="2">
        <v>0</v>
      </c>
      <c r="X207" s="2">
        <v>-0.12456402127814686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1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1</v>
      </c>
      <c r="CR207" s="2">
        <v>1</v>
      </c>
      <c r="CS207" s="2">
        <v>1</v>
      </c>
      <c r="CT207" s="2">
        <v>0</v>
      </c>
    </row>
    <row r="208" spans="1:98" x14ac:dyDescent="0.2">
      <c r="A208" s="2" t="s">
        <v>487</v>
      </c>
      <c r="B208" s="2">
        <v>6.8327500000000003E-3</v>
      </c>
      <c r="C208" s="2">
        <v>-0.01</v>
      </c>
      <c r="D208" s="2">
        <v>-906.62763894478792</v>
      </c>
      <c r="E208" s="2">
        <v>6872.2405201420552</v>
      </c>
      <c r="F208" s="2" t="s">
        <v>281</v>
      </c>
      <c r="G208" s="2">
        <v>66.97</v>
      </c>
      <c r="H208" s="2">
        <v>8.9923549999999999</v>
      </c>
      <c r="I208" s="2">
        <v>11.922892227443199</v>
      </c>
      <c r="J208" s="2">
        <v>-2.653242978644893E-2</v>
      </c>
      <c r="K208" s="2">
        <v>-0.2111350844693699</v>
      </c>
      <c r="L208" s="2">
        <v>62.708199999999998</v>
      </c>
      <c r="M208" s="2">
        <v>62.412799999999997</v>
      </c>
      <c r="N208" s="2">
        <v>-5.4199812699957661E-3</v>
      </c>
      <c r="O208" s="2">
        <v>-1.1416205592085227E-2</v>
      </c>
      <c r="P208" s="2">
        <v>53.428407713498586</v>
      </c>
      <c r="Q208" s="2">
        <v>9.7477675701300726E-2</v>
      </c>
      <c r="R208" s="2">
        <v>0.11263998595306482</v>
      </c>
      <c r="S208" s="2">
        <v>8.610755616661589E-2</v>
      </c>
      <c r="T208" s="2">
        <v>0</v>
      </c>
      <c r="U208" s="2">
        <v>0</v>
      </c>
      <c r="V208" s="2">
        <v>0</v>
      </c>
      <c r="W208" s="2">
        <v>0</v>
      </c>
      <c r="X208" s="2">
        <v>1.9870721729821184E-2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1</v>
      </c>
      <c r="CR208" s="2">
        <v>1</v>
      </c>
      <c r="CS208" s="2">
        <v>1</v>
      </c>
      <c r="CT208" s="2">
        <v>0</v>
      </c>
    </row>
    <row r="209" spans="1:98" x14ac:dyDescent="0.2">
      <c r="A209" s="2" t="s">
        <v>488</v>
      </c>
      <c r="B209" s="2">
        <v>7.4299300000000004E-3</v>
      </c>
      <c r="C209" s="2">
        <v>-0.15</v>
      </c>
      <c r="D209" s="2">
        <v>-12506.362778653365</v>
      </c>
      <c r="E209" s="2">
        <v>-11599.735139708577</v>
      </c>
      <c r="F209" s="2" t="s">
        <v>281</v>
      </c>
      <c r="G209" s="2">
        <v>76.319999999999993</v>
      </c>
      <c r="H209" s="2">
        <v>9.6667660000000009</v>
      </c>
      <c r="I209" s="2">
        <v>4.9892736745196897</v>
      </c>
      <c r="J209" s="2">
        <v>4.358817841339601E-2</v>
      </c>
      <c r="K209" s="2">
        <v>-6.4692725870360845E-2</v>
      </c>
      <c r="L209" s="2">
        <v>62.846299999999999</v>
      </c>
      <c r="M209" s="2">
        <v>62.413800000000002</v>
      </c>
      <c r="N209" s="2">
        <v>2.1998423902340747E-3</v>
      </c>
      <c r="O209" s="2">
        <v>1.6022226033030051E-5</v>
      </c>
      <c r="P209" s="2">
        <v>60.88780165289252</v>
      </c>
      <c r="Q209" s="2">
        <v>0.13069026921807225</v>
      </c>
      <c r="R209" s="2">
        <v>4.8688003470440631E-2</v>
      </c>
      <c r="S209" s="2">
        <v>9.2276181883836642E-2</v>
      </c>
      <c r="T209" s="2">
        <v>0</v>
      </c>
      <c r="U209" s="2">
        <v>0</v>
      </c>
      <c r="V209" s="2">
        <v>0</v>
      </c>
      <c r="W209" s="2">
        <v>0</v>
      </c>
      <c r="X209" s="2">
        <v>6.168625717220752E-3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1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1</v>
      </c>
      <c r="CR209" s="2">
        <v>1</v>
      </c>
      <c r="CS209" s="2">
        <v>1</v>
      </c>
      <c r="CT209" s="2">
        <v>0</v>
      </c>
    </row>
    <row r="210" spans="1:98" x14ac:dyDescent="0.2">
      <c r="A210" s="2" t="s">
        <v>489</v>
      </c>
      <c r="B210" s="2">
        <v>7.9151099999999995E-3</v>
      </c>
      <c r="C210" s="2">
        <v>-0.08</v>
      </c>
      <c r="D210" s="2">
        <v>-6261.1991494748654</v>
      </c>
      <c r="E210" s="2">
        <v>6245.1636291784998</v>
      </c>
      <c r="F210" s="2" t="s">
        <v>281</v>
      </c>
      <c r="G210" s="2">
        <v>80.8</v>
      </c>
      <c r="H210" s="2">
        <v>9.5566209999999998</v>
      </c>
      <c r="I210" s="2">
        <v>7.43184073796834</v>
      </c>
      <c r="J210" s="2">
        <v>1.9584895538485511E-2</v>
      </c>
      <c r="K210" s="2">
        <v>-2.7323618306539142E-2</v>
      </c>
      <c r="L210" s="2">
        <v>63.463799999999999</v>
      </c>
      <c r="M210" s="2">
        <v>62.825499999999998</v>
      </c>
      <c r="N210" s="2">
        <v>9.7776016246635677E-3</v>
      </c>
      <c r="O210" s="2">
        <v>6.5746372425579125E-3</v>
      </c>
      <c r="P210" s="2">
        <v>64.461928374655614</v>
      </c>
      <c r="Q210" s="2">
        <v>5.7041938387018654E-2</v>
      </c>
      <c r="R210" s="2">
        <v>7.1686420844680077E-2</v>
      </c>
      <c r="S210" s="2">
        <v>9.1271316383165588E-2</v>
      </c>
      <c r="T210" s="2">
        <v>0</v>
      </c>
      <c r="U210" s="2">
        <v>0</v>
      </c>
      <c r="V210" s="2">
        <v>0</v>
      </c>
      <c r="W210" s="2">
        <v>0</v>
      </c>
      <c r="X210" s="2">
        <v>-1.0048655006710538E-3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1</v>
      </c>
      <c r="CR210" s="2">
        <v>1</v>
      </c>
      <c r="CS210" s="2">
        <v>1</v>
      </c>
      <c r="CT210" s="2">
        <v>0</v>
      </c>
    </row>
    <row r="211" spans="1:98" x14ac:dyDescent="0.2">
      <c r="A211" s="2" t="s">
        <v>490</v>
      </c>
      <c r="B211" s="2">
        <v>8.6955399999999999E-3</v>
      </c>
      <c r="C211" s="2">
        <v>0.12</v>
      </c>
      <c r="D211" s="2">
        <v>8548.8790805401386</v>
      </c>
      <c r="E211" s="2">
        <v>14810.078230015004</v>
      </c>
      <c r="F211" s="2" t="s">
        <v>281</v>
      </c>
      <c r="G211" s="2">
        <v>81.510000000000005</v>
      </c>
      <c r="H211" s="2">
        <v>10.322191999999999</v>
      </c>
      <c r="I211" s="2">
        <v>11.1890011954962</v>
      </c>
      <c r="J211" s="2">
        <v>-7.8263640538280416E-3</v>
      </c>
      <c r="K211" s="2">
        <v>-7.76296365716269E-3</v>
      </c>
      <c r="L211" s="2">
        <v>64.0488</v>
      </c>
      <c r="M211" s="2">
        <v>65.195499999999996</v>
      </c>
      <c r="N211" s="2">
        <v>9.1756282024153535E-3</v>
      </c>
      <c r="O211" s="2">
        <v>3.7029406132632836E-2</v>
      </c>
      <c r="P211" s="2">
        <v>65.028363636363608</v>
      </c>
      <c r="Q211" s="2">
        <v>8.7487465793163466E-3</v>
      </c>
      <c r="R211" s="2">
        <v>0.1060612808240186</v>
      </c>
      <c r="S211" s="2">
        <v>9.8234916770190556E-2</v>
      </c>
      <c r="T211" s="2">
        <v>0</v>
      </c>
      <c r="U211" s="2">
        <v>0</v>
      </c>
      <c r="V211" s="2">
        <v>0</v>
      </c>
      <c r="W211" s="2">
        <v>0</v>
      </c>
      <c r="X211" s="2">
        <v>6.963600387024968E-3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1</v>
      </c>
      <c r="CR211" s="2">
        <v>1</v>
      </c>
      <c r="CS211" s="2">
        <v>1</v>
      </c>
      <c r="CT211" s="2">
        <v>0</v>
      </c>
    </row>
    <row r="212" spans="1:98" x14ac:dyDescent="0.2">
      <c r="A212" s="2" t="s">
        <v>491</v>
      </c>
      <c r="B212" s="2">
        <v>9.8111799999999992E-3</v>
      </c>
      <c r="C212" s="2">
        <v>-0.14000000000000001</v>
      </c>
      <c r="D212" s="2">
        <v>-8839.572813871524</v>
      </c>
      <c r="E212" s="2">
        <v>-17388.451894411664</v>
      </c>
      <c r="F212" s="2" t="s">
        <v>281</v>
      </c>
      <c r="G212" s="2">
        <v>89.69</v>
      </c>
      <c r="H212" s="2">
        <v>12.387124999999999</v>
      </c>
      <c r="I212" s="2">
        <v>12.408973168453301</v>
      </c>
      <c r="J212" s="2">
        <v>-1.9438209737714096E-4</v>
      </c>
      <c r="K212" s="2">
        <v>-1.5666223322146421E-2</v>
      </c>
      <c r="L212" s="2">
        <v>64.101299999999995</v>
      </c>
      <c r="M212" s="2">
        <v>62.862200000000001</v>
      </c>
      <c r="N212" s="2">
        <v>8.193517279675433E-4</v>
      </c>
      <c r="O212" s="2">
        <v>-3.6445418979664801E-2</v>
      </c>
      <c r="P212" s="2">
        <v>71.55433608815423</v>
      </c>
      <c r="Q212" s="2">
        <v>9.5633568023545834E-2</v>
      </c>
      <c r="R212" s="2">
        <v>0.11697358074460712</v>
      </c>
      <c r="S212" s="2">
        <v>0.11677919864722998</v>
      </c>
      <c r="T212" s="2">
        <v>0</v>
      </c>
      <c r="U212" s="2">
        <v>0</v>
      </c>
      <c r="V212" s="2">
        <v>0</v>
      </c>
      <c r="W212" s="2">
        <v>0</v>
      </c>
      <c r="X212" s="2">
        <v>1.8544281877039423E-2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1</v>
      </c>
      <c r="CR212" s="2">
        <v>1</v>
      </c>
      <c r="CS212" s="2">
        <v>1</v>
      </c>
      <c r="CT212" s="2">
        <v>0</v>
      </c>
    </row>
    <row r="213" spans="1:98" x14ac:dyDescent="0.2">
      <c r="A213" s="2" t="s">
        <v>492</v>
      </c>
      <c r="B213" s="2">
        <v>1.13309E-2</v>
      </c>
      <c r="C213" s="2">
        <v>0.05</v>
      </c>
      <c r="D213" s="2">
        <v>2733.5692663424793</v>
      </c>
      <c r="E213" s="2">
        <v>11573.142080214004</v>
      </c>
      <c r="F213" s="2" t="s">
        <v>281</v>
      </c>
      <c r="G213" s="2">
        <v>90.42</v>
      </c>
      <c r="H213" s="2">
        <v>15.748953999999999</v>
      </c>
      <c r="I213" s="2">
        <v>15.6304347826289</v>
      </c>
      <c r="J213" s="2">
        <v>1.0244579550520716E-3</v>
      </c>
      <c r="K213" s="2">
        <v>-2.5876003956079238E-3</v>
      </c>
      <c r="L213" s="2">
        <v>64.151499999999999</v>
      </c>
      <c r="M213" s="2">
        <v>65.123500000000007</v>
      </c>
      <c r="N213" s="2">
        <v>7.8282895287529186E-4</v>
      </c>
      <c r="O213" s="2">
        <v>3.5340438012561926E-2</v>
      </c>
      <c r="P213" s="2">
        <v>72.136727272727242</v>
      </c>
      <c r="Q213" s="2">
        <v>8.1062017365471917E-3</v>
      </c>
      <c r="R213" s="2">
        <v>0.14522901226530605</v>
      </c>
      <c r="S213" s="2">
        <v>0.14625347022035812</v>
      </c>
      <c r="T213" s="2">
        <v>0</v>
      </c>
      <c r="U213" s="2">
        <v>0</v>
      </c>
      <c r="V213" s="2">
        <v>0</v>
      </c>
      <c r="W213" s="2">
        <v>0</v>
      </c>
      <c r="X213" s="2">
        <v>2.9474271573128139E-2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1</v>
      </c>
      <c r="CR213" s="2">
        <v>1</v>
      </c>
      <c r="CS213" s="2">
        <v>1</v>
      </c>
      <c r="CT213" s="2">
        <v>0</v>
      </c>
    </row>
    <row r="214" spans="1:98" x14ac:dyDescent="0.2">
      <c r="A214" s="2" t="s">
        <v>493</v>
      </c>
      <c r="B214" s="2">
        <v>1.3165400000000001E-2</v>
      </c>
      <c r="C214" s="2">
        <v>7.0000000000000007E-2</v>
      </c>
      <c r="D214" s="2">
        <v>3293.7335743691801</v>
      </c>
      <c r="E214" s="2">
        <v>560.16430802670084</v>
      </c>
      <c r="F214" s="2" t="s">
        <v>281</v>
      </c>
      <c r="G214" s="2">
        <v>82.36</v>
      </c>
      <c r="H214" s="2">
        <v>19.783044</v>
      </c>
      <c r="I214" s="2">
        <v>15.630757661199899</v>
      </c>
      <c r="J214" s="2">
        <v>3.5280149189477861E-2</v>
      </c>
      <c r="K214" s="2">
        <v>2.5689899207218876E-2</v>
      </c>
      <c r="L214" s="2">
        <v>64.717699999999994</v>
      </c>
      <c r="M214" s="2">
        <v>65.803399999999996</v>
      </c>
      <c r="N214" s="2">
        <v>8.7872609328130125E-3</v>
      </c>
      <c r="O214" s="2">
        <v>1.0386041550138891E-2</v>
      </c>
      <c r="P214" s="2">
        <v>65.7064903581267</v>
      </c>
      <c r="Q214" s="2">
        <v>-9.3365599706870306E-2</v>
      </c>
      <c r="R214" s="2">
        <v>0.14523180459347471</v>
      </c>
      <c r="S214" s="2">
        <v>0.18051195378295257</v>
      </c>
      <c r="T214" s="2">
        <v>0</v>
      </c>
      <c r="U214" s="2">
        <v>0</v>
      </c>
      <c r="V214" s="2">
        <v>0</v>
      </c>
      <c r="W214" s="2">
        <v>0</v>
      </c>
      <c r="X214" s="2">
        <v>3.4258483562594449E-2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1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1</v>
      </c>
      <c r="CR214" s="2">
        <v>1</v>
      </c>
      <c r="CS214" s="2">
        <v>1</v>
      </c>
      <c r="CT214" s="2">
        <v>0</v>
      </c>
    </row>
    <row r="215" spans="1:98" x14ac:dyDescent="0.2">
      <c r="A215" s="2" t="s">
        <v>494</v>
      </c>
      <c r="B215" s="2">
        <v>1.6568699999999999E-2</v>
      </c>
      <c r="C215" s="2">
        <v>0.24</v>
      </c>
      <c r="D215" s="2">
        <v>8973.1988629162206</v>
      </c>
      <c r="E215" s="2">
        <v>5679.4652885470405</v>
      </c>
      <c r="F215" s="2" t="s">
        <v>281</v>
      </c>
      <c r="G215" s="2">
        <v>87.73</v>
      </c>
      <c r="H215" s="2">
        <v>25.947925000000001</v>
      </c>
      <c r="I215" s="2">
        <v>20.229578563966001</v>
      </c>
      <c r="J215" s="2">
        <v>4.6465458139207105E-2</v>
      </c>
      <c r="K215" s="2">
        <v>5.3703140003323699E-2</v>
      </c>
      <c r="L215" s="2">
        <v>64.601200000000006</v>
      </c>
      <c r="M215" s="2">
        <v>65.3125</v>
      </c>
      <c r="N215" s="2">
        <v>-1.8017479504717215E-3</v>
      </c>
      <c r="O215" s="2">
        <v>-7.4880665697261151E-3</v>
      </c>
      <c r="P215" s="2">
        <v>69.990655647382908</v>
      </c>
      <c r="Q215" s="2">
        <v>6.3164033980704026E-2</v>
      </c>
      <c r="R215" s="2">
        <v>0.18423288374402594</v>
      </c>
      <c r="S215" s="2">
        <v>0.23069834188323304</v>
      </c>
      <c r="T215" s="2">
        <v>0</v>
      </c>
      <c r="U215" s="2">
        <v>0</v>
      </c>
      <c r="V215" s="2">
        <v>0</v>
      </c>
      <c r="W215" s="2">
        <v>0</v>
      </c>
      <c r="X215" s="2">
        <v>5.0186388100280477E-2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1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1</v>
      </c>
      <c r="CR215" s="2">
        <v>1</v>
      </c>
      <c r="CS215" s="2">
        <v>1</v>
      </c>
      <c r="CT215" s="2">
        <v>0</v>
      </c>
    </row>
    <row r="216" spans="1:98" x14ac:dyDescent="0.2">
      <c r="A216" s="2" t="s">
        <v>495</v>
      </c>
      <c r="B216" s="2">
        <v>2.08367E-2</v>
      </c>
      <c r="C216" s="2">
        <v>-0.31</v>
      </c>
      <c r="D216" s="2">
        <v>-9216.3135237345632</v>
      </c>
      <c r="E216" s="2">
        <v>-18189.512386650786</v>
      </c>
      <c r="F216" s="2" t="s">
        <v>281</v>
      </c>
      <c r="G216" s="2">
        <v>77.53</v>
      </c>
      <c r="H216" s="2">
        <v>32.429246999999997</v>
      </c>
      <c r="I216" s="2">
        <v>25.2102885889731</v>
      </c>
      <c r="J216" s="2">
        <v>5.6053885382048724E-2</v>
      </c>
      <c r="K216" s="2">
        <v>8.42360492478927E-2</v>
      </c>
      <c r="L216" s="2">
        <v>64.5274</v>
      </c>
      <c r="M216" s="2">
        <v>64.176500000000004</v>
      </c>
      <c r="N216" s="2">
        <v>-1.1430466687523122E-3</v>
      </c>
      <c r="O216" s="2">
        <v>-1.7546342087237932E-2</v>
      </c>
      <c r="P216" s="2">
        <v>61.853134986225882</v>
      </c>
      <c r="Q216" s="2">
        <v>-0.12359895790942499</v>
      </c>
      <c r="R216" s="2">
        <v>0.22482444652976294</v>
      </c>
      <c r="S216" s="2">
        <v>0.28087833191181166</v>
      </c>
      <c r="T216" s="2">
        <v>0</v>
      </c>
      <c r="U216" s="2">
        <v>0</v>
      </c>
      <c r="V216" s="2">
        <v>0</v>
      </c>
      <c r="W216" s="2">
        <v>0</v>
      </c>
      <c r="X216" s="2">
        <v>5.0179990028578619E-2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1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1</v>
      </c>
      <c r="CR216" s="2">
        <v>1</v>
      </c>
      <c r="CS216" s="2">
        <v>1</v>
      </c>
      <c r="CT216" s="2">
        <v>0</v>
      </c>
    </row>
    <row r="217" spans="1:98" x14ac:dyDescent="0.2">
      <c r="A217" s="2" t="s">
        <v>496</v>
      </c>
      <c r="B217" s="2">
        <v>2.545E-2</v>
      </c>
      <c r="C217" s="2">
        <v>-0.33</v>
      </c>
      <c r="D217" s="2">
        <v>-8032.4982318271122</v>
      </c>
      <c r="E217" s="2">
        <v>1183.815291907451</v>
      </c>
      <c r="F217" s="2" t="s">
        <v>281</v>
      </c>
      <c r="G217" s="2">
        <v>64.02</v>
      </c>
      <c r="H217" s="2">
        <v>31.174029000000001</v>
      </c>
      <c r="I217" s="2">
        <v>23.709335983077899</v>
      </c>
      <c r="J217" s="2">
        <v>5.8590157888173428E-2</v>
      </c>
      <c r="K217" s="2">
        <v>0.10621184562225626</v>
      </c>
      <c r="L217" s="2">
        <v>64.261300000000006</v>
      </c>
      <c r="M217" s="2">
        <v>63.324800000000003</v>
      </c>
      <c r="N217" s="2">
        <v>-4.1323560012376248E-3</v>
      </c>
      <c r="O217" s="2">
        <v>-1.3360062499444325E-2</v>
      </c>
      <c r="P217" s="2">
        <v>51.074909090909081</v>
      </c>
      <c r="Q217" s="2">
        <v>-0.1914694236891501</v>
      </c>
      <c r="R217" s="2">
        <v>0.21276456334397506</v>
      </c>
      <c r="S217" s="2">
        <v>0.27135472123214849</v>
      </c>
      <c r="T217" s="2">
        <v>0</v>
      </c>
      <c r="U217" s="2">
        <v>0</v>
      </c>
      <c r="V217" s="2">
        <v>0</v>
      </c>
      <c r="W217" s="2">
        <v>0</v>
      </c>
      <c r="X217" s="2">
        <v>-9.5236106796631748E-3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1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1</v>
      </c>
      <c r="CR217" s="2">
        <v>1</v>
      </c>
      <c r="CS217" s="2">
        <v>1</v>
      </c>
      <c r="CT217" s="2">
        <v>0</v>
      </c>
    </row>
    <row r="218" spans="1:98" x14ac:dyDescent="0.2">
      <c r="A218" s="2" t="s">
        <v>497</v>
      </c>
      <c r="B218" s="2">
        <v>3.2280799999999998E-2</v>
      </c>
      <c r="C218" s="2">
        <v>-0.2</v>
      </c>
      <c r="D218" s="2">
        <v>-3838.0461450769503</v>
      </c>
      <c r="E218" s="2">
        <v>4194.4520867501615</v>
      </c>
      <c r="F218" s="2" t="s">
        <v>281</v>
      </c>
      <c r="G218" s="2">
        <v>65.02</v>
      </c>
      <c r="H218" s="2">
        <v>29.055858000000001</v>
      </c>
      <c r="I218" s="2">
        <v>25.940282870620901</v>
      </c>
      <c r="J218" s="2">
        <v>2.4437469260245648E-2</v>
      </c>
      <c r="K218" s="2">
        <v>0.12840056571126396</v>
      </c>
      <c r="L218" s="2">
        <v>63.891599999999997</v>
      </c>
      <c r="M218" s="2">
        <v>63.555199999999999</v>
      </c>
      <c r="N218" s="2">
        <v>-5.7696864540206505E-3</v>
      </c>
      <c r="O218" s="2">
        <v>3.6317820498874553E-3</v>
      </c>
      <c r="P218" s="2">
        <v>51.872705234159767</v>
      </c>
      <c r="Q218" s="2">
        <v>1.549938033404219E-2</v>
      </c>
      <c r="R218" s="2">
        <v>0.23063766314446998</v>
      </c>
      <c r="S218" s="2">
        <v>0.25507513240471563</v>
      </c>
      <c r="T218" s="2">
        <v>0</v>
      </c>
      <c r="U218" s="2">
        <v>0</v>
      </c>
      <c r="V218" s="2">
        <v>0</v>
      </c>
      <c r="W218" s="2">
        <v>0</v>
      </c>
      <c r="X218" s="2">
        <v>-1.6279588827432856E-2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1</v>
      </c>
      <c r="CR218" s="2">
        <v>1</v>
      </c>
      <c r="CS218" s="2">
        <v>1</v>
      </c>
      <c r="CT218" s="2">
        <v>0</v>
      </c>
    </row>
    <row r="219" spans="1:98" x14ac:dyDescent="0.2">
      <c r="A219" s="2" t="s">
        <v>498</v>
      </c>
      <c r="B219" s="2">
        <v>4.0283199999999998E-2</v>
      </c>
      <c r="C219" s="2">
        <v>-0.11</v>
      </c>
      <c r="D219" s="2">
        <v>-1691.5825952258015</v>
      </c>
      <c r="E219" s="2">
        <v>2146.4635498511489</v>
      </c>
      <c r="F219" s="2" t="s">
        <v>281</v>
      </c>
      <c r="G219" s="2">
        <v>68.44</v>
      </c>
      <c r="H219" s="2">
        <v>28.756913999999998</v>
      </c>
      <c r="I219" s="2">
        <v>24.319940104800502</v>
      </c>
      <c r="J219" s="2">
        <v>3.5067834236145345E-2</v>
      </c>
      <c r="K219" s="2">
        <v>0.28553931006457756</v>
      </c>
      <c r="L219" s="2">
        <v>64.338099999999997</v>
      </c>
      <c r="M219" s="2">
        <v>64.444900000000004</v>
      </c>
      <c r="N219" s="2">
        <v>6.9640934128445409E-3</v>
      </c>
      <c r="O219" s="2">
        <v>1.3901775522443316E-2</v>
      </c>
      <c r="P219" s="2">
        <v>54.601168044077127</v>
      </c>
      <c r="Q219" s="2">
        <v>5.1262534148233119E-2</v>
      </c>
      <c r="R219" s="2">
        <v>0.21768821884863709</v>
      </c>
      <c r="S219" s="2">
        <v>0.25275605308478244</v>
      </c>
      <c r="T219" s="2">
        <v>0</v>
      </c>
      <c r="U219" s="2">
        <v>0</v>
      </c>
      <c r="V219" s="2">
        <v>0</v>
      </c>
      <c r="W219" s="2">
        <v>0</v>
      </c>
      <c r="X219" s="2">
        <v>-2.3190793199331927E-3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1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1</v>
      </c>
      <c r="CR219" s="2">
        <v>1</v>
      </c>
      <c r="CS219" s="2">
        <v>1</v>
      </c>
      <c r="CT219" s="2">
        <v>0</v>
      </c>
    </row>
    <row r="220" spans="1:98" x14ac:dyDescent="0.2">
      <c r="A220" s="2" t="s">
        <v>499</v>
      </c>
      <c r="B220" s="2">
        <v>4.86218E-2</v>
      </c>
      <c r="C220" s="2">
        <v>0.38</v>
      </c>
      <c r="D220" s="2">
        <v>4841.4678189618653</v>
      </c>
      <c r="E220" s="2">
        <v>6533.0504141876663</v>
      </c>
      <c r="F220" s="2" t="s">
        <v>281</v>
      </c>
      <c r="G220" s="2">
        <v>71.27</v>
      </c>
      <c r="H220" s="2">
        <v>26.857557</v>
      </c>
      <c r="I220" s="2">
        <v>21.4002921922404</v>
      </c>
      <c r="J220" s="2">
        <v>4.3971573093308458E-2</v>
      </c>
      <c r="K220" s="2">
        <v>0.35604331294433494</v>
      </c>
      <c r="L220" s="2">
        <v>64.902000000000001</v>
      </c>
      <c r="M220" s="2">
        <v>65.131299999999996</v>
      </c>
      <c r="N220" s="2">
        <v>8.726449119953017E-3</v>
      </c>
      <c r="O220" s="2">
        <v>1.0594637294172315E-2</v>
      </c>
      <c r="P220" s="2">
        <v>56.858931129476574</v>
      </c>
      <c r="Q220" s="2">
        <v>4.0518032489786471E-2</v>
      </c>
      <c r="R220" s="2">
        <v>0.19392309948976755</v>
      </c>
      <c r="S220" s="2">
        <v>0.23789467258307601</v>
      </c>
      <c r="T220" s="2">
        <v>0</v>
      </c>
      <c r="U220" s="2">
        <v>0</v>
      </c>
      <c r="V220" s="2">
        <v>0</v>
      </c>
      <c r="W220" s="2">
        <v>0</v>
      </c>
      <c r="X220" s="2">
        <v>-1.4861380501706434E-2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1</v>
      </c>
      <c r="CR220" s="2">
        <v>1</v>
      </c>
      <c r="CS220" s="2">
        <v>1</v>
      </c>
      <c r="CT220" s="2">
        <v>0</v>
      </c>
    </row>
    <row r="221" spans="1:98" x14ac:dyDescent="0.2">
      <c r="A221" s="2" t="s">
        <v>500</v>
      </c>
      <c r="B221" s="2">
        <v>5.7636300000000001E-2</v>
      </c>
      <c r="C221" s="2">
        <v>-1.43</v>
      </c>
      <c r="D221" s="2">
        <v>-15369.665991744785</v>
      </c>
      <c r="E221" s="2">
        <v>-20211.133810706651</v>
      </c>
      <c r="F221" s="2" t="s">
        <v>281</v>
      </c>
      <c r="G221" s="2">
        <v>70.25</v>
      </c>
      <c r="H221" s="2">
        <v>23.922916000000001</v>
      </c>
      <c r="I221" s="2">
        <v>19.929999265071199</v>
      </c>
      <c r="J221" s="2">
        <v>3.2751494026630884E-2</v>
      </c>
      <c r="K221" s="2">
        <v>0.34520662855756989</v>
      </c>
      <c r="L221" s="2">
        <v>65.374600000000001</v>
      </c>
      <c r="M221" s="2">
        <v>64.429500000000004</v>
      </c>
      <c r="N221" s="2">
        <v>7.2553639433161621E-3</v>
      </c>
      <c r="O221" s="2">
        <v>-1.0833629678591805E-2</v>
      </c>
      <c r="P221" s="2">
        <v>56.045179063360877</v>
      </c>
      <c r="Q221" s="2">
        <v>-1.4415173299923367E-2</v>
      </c>
      <c r="R221" s="2">
        <v>0.18173804712755695</v>
      </c>
      <c r="S221" s="2">
        <v>0.21448954115418783</v>
      </c>
      <c r="T221" s="2">
        <v>0</v>
      </c>
      <c r="U221" s="2">
        <v>0</v>
      </c>
      <c r="V221" s="2">
        <v>0</v>
      </c>
      <c r="W221" s="2">
        <v>0</v>
      </c>
      <c r="X221" s="2">
        <v>-2.3405131428888171E-2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1</v>
      </c>
      <c r="CR221" s="2">
        <v>1</v>
      </c>
      <c r="CS221" s="2">
        <v>1</v>
      </c>
      <c r="CT221" s="2">
        <v>0</v>
      </c>
    </row>
    <row r="222" spans="1:98" x14ac:dyDescent="0.2">
      <c r="A222" s="2" t="s">
        <v>501</v>
      </c>
      <c r="B222" s="2">
        <v>7.0575600000000002E-2</v>
      </c>
      <c r="C222" s="2">
        <v>-0.36</v>
      </c>
      <c r="D222" s="2">
        <v>-3159.8932208865385</v>
      </c>
      <c r="E222" s="2">
        <v>12209.772770858246</v>
      </c>
      <c r="F222" s="2" t="s">
        <v>281</v>
      </c>
      <c r="G222" s="2">
        <v>73.069999999999993</v>
      </c>
      <c r="H222" s="2">
        <v>22.995992000000001</v>
      </c>
      <c r="I222" s="2">
        <v>24.8600163920702</v>
      </c>
      <c r="J222" s="2">
        <v>-1.5041471441539472E-2</v>
      </c>
      <c r="K222" s="2">
        <v>0.31058026157754492</v>
      </c>
      <c r="L222" s="2">
        <v>65.590199999999996</v>
      </c>
      <c r="M222" s="2">
        <v>64.941800000000001</v>
      </c>
      <c r="N222" s="2">
        <v>3.2924907267837256E-3</v>
      </c>
      <c r="O222" s="2">
        <v>7.9198814236471904E-3</v>
      </c>
      <c r="P222" s="2">
        <v>58.294964187327814</v>
      </c>
      <c r="Q222" s="2">
        <v>3.9357577589270498E-2</v>
      </c>
      <c r="R222" s="2">
        <v>0.22202305492909735</v>
      </c>
      <c r="S222" s="2">
        <v>0.20698158348755788</v>
      </c>
      <c r="T222" s="2">
        <v>0</v>
      </c>
      <c r="U222" s="2">
        <v>0</v>
      </c>
      <c r="V222" s="2">
        <v>0</v>
      </c>
      <c r="W222" s="2">
        <v>0</v>
      </c>
      <c r="X222" s="2">
        <v>-7.5079576666299552E-3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1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1</v>
      </c>
      <c r="CR222" s="2">
        <v>1</v>
      </c>
      <c r="CS222" s="2">
        <v>1</v>
      </c>
      <c r="CT222" s="2">
        <v>0</v>
      </c>
    </row>
    <row r="223" spans="1:98" x14ac:dyDescent="0.2">
      <c r="A223" s="2" t="s">
        <v>502</v>
      </c>
      <c r="B223" s="2">
        <v>8.5693000000000005E-2</v>
      </c>
      <c r="C223" s="2">
        <v>-0.11</v>
      </c>
      <c r="D223" s="2">
        <v>-795.19167259869539</v>
      </c>
      <c r="E223" s="2">
        <v>2364.7015482878433</v>
      </c>
      <c r="F223" s="2" t="s">
        <v>281</v>
      </c>
      <c r="G223" s="2">
        <v>76.86</v>
      </c>
      <c r="H223" s="2">
        <v>24.280104000000001</v>
      </c>
      <c r="I223" s="2">
        <v>20.210299007392301</v>
      </c>
      <c r="J223" s="2">
        <v>3.3295220656148511E-2</v>
      </c>
      <c r="K223" s="2">
        <v>0.35170184628752155</v>
      </c>
      <c r="L223" s="2">
        <v>65.613200000000006</v>
      </c>
      <c r="M223" s="2">
        <v>66.739900000000006</v>
      </c>
      <c r="N223" s="2">
        <v>3.5060067400038974E-4</v>
      </c>
      <c r="O223" s="2">
        <v>2.7311490786286363E-2</v>
      </c>
      <c r="P223" s="2">
        <v>61.318611570247924</v>
      </c>
      <c r="Q223" s="2">
        <v>5.0567699333571525E-2</v>
      </c>
      <c r="R223" s="2">
        <v>0.18407251470034033</v>
      </c>
      <c r="S223" s="2">
        <v>0.21736773535648884</v>
      </c>
      <c r="T223" s="2">
        <v>0</v>
      </c>
      <c r="U223" s="2">
        <v>0</v>
      </c>
      <c r="V223" s="2">
        <v>0</v>
      </c>
      <c r="W223" s="2">
        <v>0</v>
      </c>
      <c r="X223" s="2">
        <v>1.0386151868930965E-2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1</v>
      </c>
      <c r="CR223" s="2">
        <v>1</v>
      </c>
      <c r="CS223" s="2">
        <v>1</v>
      </c>
      <c r="CT223" s="2">
        <v>0</v>
      </c>
    </row>
    <row r="224" spans="1:98" x14ac:dyDescent="0.2">
      <c r="A224" s="2" t="s">
        <v>503</v>
      </c>
      <c r="B224" s="2">
        <v>0.10428</v>
      </c>
      <c r="C224" s="2">
        <v>-0.99</v>
      </c>
      <c r="D224" s="2">
        <v>-5881.1012658227846</v>
      </c>
      <c r="E224" s="2">
        <v>-5085.9095932240889</v>
      </c>
      <c r="F224" s="2" t="s">
        <v>281</v>
      </c>
      <c r="G224" s="2">
        <v>80.56</v>
      </c>
      <c r="H224" s="2">
        <v>26.211779</v>
      </c>
      <c r="I224" s="2">
        <v>21.830058688441301</v>
      </c>
      <c r="J224" s="2">
        <v>3.533416963597269E-2</v>
      </c>
      <c r="K224" s="2">
        <v>0.38723039802087134</v>
      </c>
      <c r="L224" s="2">
        <v>66.189099999999996</v>
      </c>
      <c r="M224" s="2">
        <v>64.691699999999997</v>
      </c>
      <c r="N224" s="2">
        <v>8.7389015979564277E-3</v>
      </c>
      <c r="O224" s="2">
        <v>-3.1170066082073511E-2</v>
      </c>
      <c r="P224" s="2">
        <v>64.270457300275481</v>
      </c>
      <c r="Q224" s="2">
        <v>4.7016663273609538E-2</v>
      </c>
      <c r="R224" s="2">
        <v>0.19745692610216109</v>
      </c>
      <c r="S224" s="2">
        <v>0.23279109573813378</v>
      </c>
      <c r="T224" s="2">
        <v>0</v>
      </c>
      <c r="U224" s="2">
        <v>0</v>
      </c>
      <c r="V224" s="2">
        <v>0</v>
      </c>
      <c r="W224" s="2">
        <v>0</v>
      </c>
      <c r="X224" s="2">
        <v>1.5423360381644935E-2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1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1</v>
      </c>
      <c r="CR224" s="2">
        <v>1</v>
      </c>
      <c r="CS224" s="2">
        <v>1</v>
      </c>
      <c r="CT224" s="2">
        <v>0</v>
      </c>
    </row>
    <row r="225" spans="1:98" x14ac:dyDescent="0.2">
      <c r="A225" s="2" t="s">
        <v>504</v>
      </c>
      <c r="B225" s="2">
        <v>0.130913</v>
      </c>
      <c r="C225" s="2">
        <v>-1.74</v>
      </c>
      <c r="D225" s="2">
        <v>-8233.6226348796517</v>
      </c>
      <c r="E225" s="2">
        <v>-2352.5213690568671</v>
      </c>
      <c r="F225" s="2" t="s">
        <v>281</v>
      </c>
      <c r="G225" s="2">
        <v>78.94</v>
      </c>
      <c r="H225" s="2">
        <v>25.645116999999999</v>
      </c>
      <c r="I225" s="2">
        <v>22.1400266414289</v>
      </c>
      <c r="J225" s="2">
        <v>2.8293255399402223E-2</v>
      </c>
      <c r="K225" s="2">
        <v>0.4144991954652214</v>
      </c>
      <c r="L225" s="2">
        <v>65.865099999999998</v>
      </c>
      <c r="M225" s="2">
        <v>66.764799999999994</v>
      </c>
      <c r="N225" s="2">
        <v>-4.9070858805855266E-3</v>
      </c>
      <c r="O225" s="2">
        <v>3.1543086661704578E-2</v>
      </c>
      <c r="P225" s="2">
        <v>62.978027548209361</v>
      </c>
      <c r="Q225" s="2">
        <v>-2.0314178175605768E-2</v>
      </c>
      <c r="R225" s="2">
        <v>0.19999795992893749</v>
      </c>
      <c r="S225" s="2">
        <v>0.22829121532833971</v>
      </c>
      <c r="T225" s="2">
        <v>0</v>
      </c>
      <c r="U225" s="2">
        <v>0</v>
      </c>
      <c r="V225" s="2">
        <v>0</v>
      </c>
      <c r="W225" s="2">
        <v>0</v>
      </c>
      <c r="X225" s="2">
        <v>-4.4998804097940714E-3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1</v>
      </c>
      <c r="CR225" s="2">
        <v>1</v>
      </c>
      <c r="CS225" s="2">
        <v>1</v>
      </c>
      <c r="CT225" s="2">
        <v>0</v>
      </c>
    </row>
    <row r="226" spans="1:98" x14ac:dyDescent="0.2">
      <c r="A226" s="2" t="s">
        <v>505</v>
      </c>
      <c r="B226" s="2">
        <v>0.166744</v>
      </c>
      <c r="C226" s="2">
        <v>0.32</v>
      </c>
      <c r="D226" s="2">
        <v>1188.8422971741113</v>
      </c>
      <c r="E226" s="2">
        <v>9422.4649320537628</v>
      </c>
      <c r="F226" s="2" t="s">
        <v>281</v>
      </c>
      <c r="G226" s="2">
        <v>78.66</v>
      </c>
      <c r="H226" s="2">
        <v>27.658441</v>
      </c>
      <c r="I226" s="2">
        <v>24.6299471843048</v>
      </c>
      <c r="J226" s="2">
        <v>2.4009343569137503E-2</v>
      </c>
      <c r="K226" s="2">
        <v>0.40322838984488107</v>
      </c>
      <c r="L226" s="2">
        <v>66.026799999999994</v>
      </c>
      <c r="M226" s="2">
        <v>66.951400000000007</v>
      </c>
      <c r="N226" s="2">
        <v>2.4520092745108357E-3</v>
      </c>
      <c r="O226" s="2">
        <v>2.7909874963309989E-3</v>
      </c>
      <c r="P226" s="2">
        <v>62.754644628099172</v>
      </c>
      <c r="Q226" s="2">
        <v>-3.5533032310377521E-3</v>
      </c>
      <c r="R226" s="2">
        <v>0.22017873807015409</v>
      </c>
      <c r="S226" s="2">
        <v>0.24418808163929159</v>
      </c>
      <c r="T226" s="2">
        <v>0</v>
      </c>
      <c r="U226" s="2">
        <v>0</v>
      </c>
      <c r="V226" s="2">
        <v>0</v>
      </c>
      <c r="W226" s="2">
        <v>0</v>
      </c>
      <c r="X226" s="2">
        <v>1.5896866310951885E-2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1</v>
      </c>
      <c r="CR226" s="2">
        <v>1</v>
      </c>
      <c r="CS226" s="2">
        <v>1</v>
      </c>
      <c r="CT226" s="2">
        <v>0</v>
      </c>
    </row>
    <row r="227" spans="1:98" x14ac:dyDescent="0.2">
      <c r="A227" s="2" t="s">
        <v>506</v>
      </c>
      <c r="B227" s="2">
        <v>0.20832999999999999</v>
      </c>
      <c r="C227" s="2">
        <v>-0.41</v>
      </c>
      <c r="D227" s="2">
        <v>-1219.14827437239</v>
      </c>
      <c r="E227" s="2">
        <v>-2407.9905715465011</v>
      </c>
      <c r="F227" s="2" t="s">
        <v>281</v>
      </c>
      <c r="G227" s="2">
        <v>80.17</v>
      </c>
      <c r="H227" s="2">
        <v>28.177199999999999</v>
      </c>
      <c r="I227" s="2">
        <v>25.239958612639501</v>
      </c>
      <c r="J227" s="2">
        <v>2.3182115562253774E-2</v>
      </c>
      <c r="K227" s="2">
        <v>0.37994504726792777</v>
      </c>
      <c r="L227" s="2">
        <v>66.510999999999996</v>
      </c>
      <c r="M227" s="2">
        <v>67.2483</v>
      </c>
      <c r="N227" s="2">
        <v>7.3066273041435537E-3</v>
      </c>
      <c r="O227" s="2">
        <v>4.4247563057702166E-3</v>
      </c>
      <c r="P227" s="2">
        <v>63.959316804407706</v>
      </c>
      <c r="Q227" s="2">
        <v>1.9014613051196783E-2</v>
      </c>
      <c r="R227" s="2">
        <v>0.22506138000566661</v>
      </c>
      <c r="S227" s="2">
        <v>0.24824349556792039</v>
      </c>
      <c r="T227" s="2">
        <v>0</v>
      </c>
      <c r="U227" s="2">
        <v>0</v>
      </c>
      <c r="V227" s="2">
        <v>0</v>
      </c>
      <c r="W227" s="2">
        <v>0</v>
      </c>
      <c r="X227" s="2">
        <v>4.0554139286287927E-3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1</v>
      </c>
      <c r="CR227" s="2">
        <v>1</v>
      </c>
      <c r="CS227" s="2">
        <v>1</v>
      </c>
      <c r="CT227" s="2">
        <v>0</v>
      </c>
    </row>
    <row r="228" spans="1:98" x14ac:dyDescent="0.2">
      <c r="A228" s="2" t="s">
        <v>507</v>
      </c>
      <c r="B228" s="2">
        <v>0.25878699999999999</v>
      </c>
      <c r="C228" s="2">
        <v>-2.41</v>
      </c>
      <c r="D228" s="2">
        <v>-5768.9805129314846</v>
      </c>
      <c r="E228" s="2">
        <v>-4549.8322385590945</v>
      </c>
      <c r="F228" s="2" t="s">
        <v>281</v>
      </c>
      <c r="G228" s="2">
        <v>77.62</v>
      </c>
      <c r="H228" s="2">
        <v>26.404520000000002</v>
      </c>
      <c r="I228" s="2">
        <v>22.490041022418598</v>
      </c>
      <c r="J228" s="2">
        <v>3.145751166330879E-2</v>
      </c>
      <c r="K228" s="2">
        <v>0.35534867354918787</v>
      </c>
      <c r="L228" s="2">
        <v>66.802700000000002</v>
      </c>
      <c r="M228" s="2">
        <v>66.735500000000002</v>
      </c>
      <c r="N228" s="2">
        <v>4.3761513711118027E-3</v>
      </c>
      <c r="O228" s="2">
        <v>-7.6546941336053109E-3</v>
      </c>
      <c r="P228" s="2">
        <v>61.924936639118449</v>
      </c>
      <c r="Q228" s="2">
        <v>-3.2324254114100448E-2</v>
      </c>
      <c r="R228" s="2">
        <v>0.20285954291567232</v>
      </c>
      <c r="S228" s="2">
        <v>0.23431705457898111</v>
      </c>
      <c r="T228" s="2">
        <v>0</v>
      </c>
      <c r="U228" s="2">
        <v>0</v>
      </c>
      <c r="V228" s="2">
        <v>0</v>
      </c>
      <c r="W228" s="2">
        <v>0</v>
      </c>
      <c r="X228" s="2">
        <v>-1.3926440988939276E-2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1</v>
      </c>
      <c r="CR228" s="2">
        <v>1</v>
      </c>
      <c r="CS228" s="2">
        <v>1</v>
      </c>
      <c r="CT228" s="2">
        <v>0</v>
      </c>
    </row>
    <row r="229" spans="1:98" x14ac:dyDescent="0.2">
      <c r="A229" s="2" t="s">
        <v>508</v>
      </c>
      <c r="B229" s="2">
        <v>0.32011899999999999</v>
      </c>
      <c r="C229" s="2">
        <v>0</v>
      </c>
      <c r="D229" s="2">
        <v>0</v>
      </c>
      <c r="E229" s="2">
        <v>5768.9805129314846</v>
      </c>
      <c r="F229" s="2" t="s">
        <v>281</v>
      </c>
      <c r="G229" s="2">
        <v>68.95</v>
      </c>
      <c r="H229" s="2">
        <v>25.916295999999999</v>
      </c>
      <c r="I229" s="2">
        <v>25.239966778660701</v>
      </c>
      <c r="J229" s="2">
        <v>5.3857375377855676E-3</v>
      </c>
      <c r="K229" s="2">
        <v>0.30214425319879989</v>
      </c>
      <c r="L229" s="2">
        <v>66.858699999999999</v>
      </c>
      <c r="M229" s="2">
        <v>66.328900000000004</v>
      </c>
      <c r="N229" s="2">
        <v>8.3793830195766361E-4</v>
      </c>
      <c r="O229" s="2">
        <v>-6.111345566393922E-3</v>
      </c>
      <c r="P229" s="2">
        <v>55.008044077134983</v>
      </c>
      <c r="Q229" s="2">
        <v>-0.11844352170144923</v>
      </c>
      <c r="R229" s="2">
        <v>0.22506144520866586</v>
      </c>
      <c r="S229" s="2">
        <v>0.23044718274645143</v>
      </c>
      <c r="T229" s="2">
        <v>0</v>
      </c>
      <c r="U229" s="2">
        <v>0</v>
      </c>
      <c r="V229" s="2">
        <v>0</v>
      </c>
      <c r="W229" s="2">
        <v>0</v>
      </c>
      <c r="X229" s="2">
        <v>-3.869871832529681E-3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1</v>
      </c>
      <c r="CR229" s="2">
        <v>1</v>
      </c>
      <c r="CS229" s="2">
        <v>1</v>
      </c>
      <c r="CT229" s="2">
        <v>0</v>
      </c>
    </row>
    <row r="230" spans="1:98" x14ac:dyDescent="0.2">
      <c r="A230" s="2" t="s">
        <v>509</v>
      </c>
      <c r="B230" s="2">
        <v>0.41209000000000001</v>
      </c>
      <c r="C230" s="2">
        <v>-10.43</v>
      </c>
      <c r="D230" s="2">
        <v>-15678.9407168337</v>
      </c>
      <c r="E230" s="2">
        <v>-15678.9407168337</v>
      </c>
      <c r="F230" s="2" t="s">
        <v>281</v>
      </c>
      <c r="G230" s="2">
        <v>67.709999999999994</v>
      </c>
      <c r="H230" s="2">
        <v>28.515311000000001</v>
      </c>
      <c r="I230" s="2">
        <v>30.349953235487401</v>
      </c>
      <c r="J230" s="2">
        <v>-1.4174732630080511E-2</v>
      </c>
      <c r="K230" s="2">
        <v>0.26353205130847379</v>
      </c>
      <c r="L230" s="2">
        <v>67.143199999999993</v>
      </c>
      <c r="M230" s="2">
        <v>66.668099999999995</v>
      </c>
      <c r="N230" s="2">
        <v>4.2462148293296309E-3</v>
      </c>
      <c r="O230" s="2">
        <v>5.100877996779829E-3</v>
      </c>
      <c r="P230" s="2">
        <v>54.018776859504122</v>
      </c>
      <c r="Q230" s="2">
        <v>-1.8147724741756743E-2</v>
      </c>
      <c r="R230" s="2">
        <v>0.26505259563023031</v>
      </c>
      <c r="S230" s="2">
        <v>0.2508778630001498</v>
      </c>
      <c r="T230" s="2">
        <v>0</v>
      </c>
      <c r="U230" s="2">
        <v>0</v>
      </c>
      <c r="V230" s="2">
        <v>0</v>
      </c>
      <c r="W230" s="2">
        <v>0</v>
      </c>
      <c r="X230" s="2">
        <v>2.0430680253698374E-2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1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1</v>
      </c>
      <c r="CR230" s="2">
        <v>1</v>
      </c>
      <c r="CS230" s="2">
        <v>1</v>
      </c>
      <c r="CT230" s="2">
        <v>0</v>
      </c>
    </row>
    <row r="231" spans="1:98" x14ac:dyDescent="0.2">
      <c r="A231" s="2" t="s">
        <v>510</v>
      </c>
      <c r="B231" s="2">
        <v>0.52133499999999999</v>
      </c>
      <c r="C231" s="2">
        <v>3.25</v>
      </c>
      <c r="D231" s="2">
        <v>3861.8105440839381</v>
      </c>
      <c r="E231" s="2">
        <v>19540.751260917637</v>
      </c>
      <c r="F231" s="2" t="s">
        <v>281</v>
      </c>
      <c r="G231" s="2">
        <v>67.569999999999993</v>
      </c>
      <c r="H231" s="2">
        <v>28.903575</v>
      </c>
      <c r="I231" s="2">
        <v>24.980001670190401</v>
      </c>
      <c r="J231" s="2">
        <v>3.0910906373990826E-2</v>
      </c>
      <c r="K231" s="2">
        <v>0.25937512344631924</v>
      </c>
      <c r="L231" s="2">
        <v>67.431399999999996</v>
      </c>
      <c r="M231" s="2">
        <v>67.633399999999995</v>
      </c>
      <c r="N231" s="2">
        <v>4.2831327842112188E-3</v>
      </c>
      <c r="O231" s="2">
        <v>1.4375366221613284E-2</v>
      </c>
      <c r="P231" s="2">
        <v>53.907085399449024</v>
      </c>
      <c r="Q231" s="2">
        <v>-2.06978193347096E-3</v>
      </c>
      <c r="R231" s="2">
        <v>0.22298355187650545</v>
      </c>
      <c r="S231" s="2">
        <v>0.25389445825049628</v>
      </c>
      <c r="T231" s="2">
        <v>0</v>
      </c>
      <c r="U231" s="2">
        <v>0</v>
      </c>
      <c r="V231" s="2">
        <v>0</v>
      </c>
      <c r="W231" s="2">
        <v>0</v>
      </c>
      <c r="X231" s="2">
        <v>3.0165952503464766E-3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1</v>
      </c>
      <c r="CR231" s="2">
        <v>1</v>
      </c>
      <c r="CS231" s="2">
        <v>1</v>
      </c>
      <c r="CT231" s="2">
        <v>0</v>
      </c>
    </row>
    <row r="232" spans="1:98" x14ac:dyDescent="0.2">
      <c r="A232" s="2" t="s">
        <v>511</v>
      </c>
      <c r="B232" s="2">
        <v>0.66631799999999997</v>
      </c>
      <c r="C232" s="2">
        <v>-7.37</v>
      </c>
      <c r="D232" s="2">
        <v>-6851.8907188459571</v>
      </c>
      <c r="E232" s="2">
        <v>-10713.701262929895</v>
      </c>
      <c r="F232" s="2" t="s">
        <v>281</v>
      </c>
      <c r="G232" s="2">
        <v>80.55</v>
      </c>
      <c r="H232" s="2">
        <v>28.356915999999998</v>
      </c>
      <c r="I232" s="2">
        <v>27.2600190080482</v>
      </c>
      <c r="J232" s="2">
        <v>8.582402608122458E-3</v>
      </c>
      <c r="K232" s="2">
        <v>0.22398595296113327</v>
      </c>
      <c r="L232" s="2">
        <v>67.365099999999998</v>
      </c>
      <c r="M232" s="2">
        <v>67.6601</v>
      </c>
      <c r="N232" s="2">
        <v>-9.8370514585166546E-4</v>
      </c>
      <c r="O232" s="2">
        <v>3.9469745917752874E-4</v>
      </c>
      <c r="P232" s="2">
        <v>64.262479338842965</v>
      </c>
      <c r="Q232" s="2">
        <v>0.17571401205890069</v>
      </c>
      <c r="R232" s="2">
        <v>0.24106220118043006</v>
      </c>
      <c r="S232" s="2">
        <v>0.24964460378855252</v>
      </c>
      <c r="T232" s="2">
        <v>0</v>
      </c>
      <c r="U232" s="2">
        <v>0</v>
      </c>
      <c r="V232" s="2">
        <v>0</v>
      </c>
      <c r="W232" s="2">
        <v>0</v>
      </c>
      <c r="X232" s="2">
        <v>-4.2498544619437584E-3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1</v>
      </c>
      <c r="CR232" s="2">
        <v>1</v>
      </c>
      <c r="CS232" s="2">
        <v>1</v>
      </c>
      <c r="CT232" s="2">
        <v>0</v>
      </c>
    </row>
    <row r="233" spans="1:98" x14ac:dyDescent="0.2">
      <c r="A233" s="2" t="s">
        <v>512</v>
      </c>
      <c r="B233" s="2">
        <v>0.85428599999999999</v>
      </c>
      <c r="C233" s="2">
        <v>-5.26</v>
      </c>
      <c r="D233" s="2">
        <v>-3814.2305504245651</v>
      </c>
      <c r="E233" s="2">
        <v>3037.660168421392</v>
      </c>
      <c r="F233" s="2" t="s">
        <v>281</v>
      </c>
      <c r="G233" s="2">
        <v>76.12</v>
      </c>
      <c r="H233" s="2">
        <v>30.532969999999999</v>
      </c>
      <c r="I233" s="2">
        <v>27.749966838736601</v>
      </c>
      <c r="J233" s="2">
        <v>2.1550869027450292E-2</v>
      </c>
      <c r="K233" s="2">
        <v>0.21278532796195265</v>
      </c>
      <c r="L233" s="2">
        <v>67.558300000000003</v>
      </c>
      <c r="M233" s="2">
        <v>66.626499999999993</v>
      </c>
      <c r="N233" s="2">
        <v>2.8638491476833394E-3</v>
      </c>
      <c r="O233" s="2">
        <v>-1.5394245025730946E-2</v>
      </c>
      <c r="P233" s="2">
        <v>60.728242424242424</v>
      </c>
      <c r="Q233" s="2">
        <v>-5.6567067195034682E-2</v>
      </c>
      <c r="R233" s="2">
        <v>0.24490478351632755</v>
      </c>
      <c r="S233" s="2">
        <v>0.26645565254377784</v>
      </c>
      <c r="T233" s="2">
        <v>0</v>
      </c>
      <c r="U233" s="2">
        <v>0</v>
      </c>
      <c r="V233" s="2">
        <v>0</v>
      </c>
      <c r="W233" s="2">
        <v>0</v>
      </c>
      <c r="X233" s="2">
        <v>1.6811048755225322E-2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1</v>
      </c>
      <c r="CR233" s="2">
        <v>1</v>
      </c>
      <c r="CS233" s="2">
        <v>1</v>
      </c>
      <c r="CT233" s="2">
        <v>0</v>
      </c>
    </row>
    <row r="234" spans="1:98" x14ac:dyDescent="0.2">
      <c r="A234" s="2" t="s">
        <v>513</v>
      </c>
      <c r="B234" s="2">
        <v>1.1299600000000001</v>
      </c>
      <c r="C234" s="2">
        <v>-28.9</v>
      </c>
      <c r="D234" s="2">
        <v>-15843.796594569716</v>
      </c>
      <c r="E234" s="2">
        <v>-12029.566044145151</v>
      </c>
      <c r="F234" s="2" t="s">
        <v>281</v>
      </c>
      <c r="G234" s="2">
        <v>82.22</v>
      </c>
      <c r="H234" s="2">
        <v>30.897290000000002</v>
      </c>
      <c r="I234" s="2">
        <v>27.689986453198099</v>
      </c>
      <c r="J234" s="2">
        <v>2.4807624529708361E-2</v>
      </c>
      <c r="K234" s="2">
        <v>0.25263442393320046</v>
      </c>
      <c r="L234" s="2">
        <v>67.3459</v>
      </c>
      <c r="M234" s="2">
        <v>66.659000000000006</v>
      </c>
      <c r="N234" s="2">
        <v>-3.1489038222085597E-3</v>
      </c>
      <c r="O234" s="2">
        <v>4.876749630549071E-4</v>
      </c>
      <c r="P234" s="2">
        <v>65.594798898071616</v>
      </c>
      <c r="Q234" s="2">
        <v>7.7087539041783337E-2</v>
      </c>
      <c r="R234" s="2">
        <v>0.24443515935716292</v>
      </c>
      <c r="S234" s="2">
        <v>0.26924278388687128</v>
      </c>
      <c r="T234" s="2">
        <v>0</v>
      </c>
      <c r="U234" s="2">
        <v>0</v>
      </c>
      <c r="V234" s="2">
        <v>0</v>
      </c>
      <c r="W234" s="2">
        <v>0</v>
      </c>
      <c r="X234" s="2">
        <v>2.7871313430934408E-3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1</v>
      </c>
      <c r="CR234" s="2">
        <v>1</v>
      </c>
      <c r="CS234" s="2">
        <v>1</v>
      </c>
      <c r="CT234" s="2">
        <v>0</v>
      </c>
    </row>
    <row r="235" spans="1:98" x14ac:dyDescent="0.2">
      <c r="A235" s="2" t="s">
        <v>514</v>
      </c>
      <c r="B235" s="2">
        <v>1.47709</v>
      </c>
      <c r="C235" s="2">
        <v>-6.34</v>
      </c>
      <c r="D235" s="2">
        <v>-2658.92927309778</v>
      </c>
      <c r="E235" s="2">
        <v>13184.867321471937</v>
      </c>
      <c r="F235" s="2" t="s">
        <v>281</v>
      </c>
      <c r="G235" s="2">
        <v>82.82</v>
      </c>
      <c r="H235" s="2">
        <v>31.914145999999999</v>
      </c>
      <c r="I235" s="2">
        <v>30.070011811926101</v>
      </c>
      <c r="J235" s="2">
        <v>1.4078443999993084E-2</v>
      </c>
      <c r="K235" s="2">
        <v>0.23341764727704506</v>
      </c>
      <c r="L235" s="2">
        <v>67.475300000000004</v>
      </c>
      <c r="M235" s="2">
        <v>68.622100000000003</v>
      </c>
      <c r="N235" s="2">
        <v>1.9195800027631549E-3</v>
      </c>
      <c r="O235" s="2">
        <v>2.9024569017757962E-2</v>
      </c>
      <c r="P235" s="2">
        <v>66.073476584022032</v>
      </c>
      <c r="Q235" s="2">
        <v>7.2709966476889321E-3</v>
      </c>
      <c r="R235" s="2">
        <v>0.26290267189962513</v>
      </c>
      <c r="S235" s="2">
        <v>0.27698111589961821</v>
      </c>
      <c r="T235" s="2">
        <v>0</v>
      </c>
      <c r="U235" s="2">
        <v>0</v>
      </c>
      <c r="V235" s="2">
        <v>0</v>
      </c>
      <c r="W235" s="2">
        <v>0</v>
      </c>
      <c r="X235" s="2">
        <v>7.7383320127469291E-3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1</v>
      </c>
      <c r="CR235" s="2">
        <v>1</v>
      </c>
      <c r="CS235" s="2">
        <v>1</v>
      </c>
      <c r="CT235" s="2">
        <v>0</v>
      </c>
    </row>
    <row r="236" spans="1:98" x14ac:dyDescent="0.2">
      <c r="A236" s="2" t="s">
        <v>515</v>
      </c>
      <c r="B236" s="2">
        <v>1.9491700000000001</v>
      </c>
      <c r="C236" s="2">
        <v>5.51</v>
      </c>
      <c r="D236" s="2">
        <v>1751.1621664605959</v>
      </c>
      <c r="E236" s="2">
        <v>4410.0914395583759</v>
      </c>
      <c r="F236" s="2" t="s">
        <v>281</v>
      </c>
      <c r="G236" s="2">
        <v>86.62</v>
      </c>
      <c r="H236" s="2">
        <v>32.727794000000003</v>
      </c>
      <c r="I236" s="2">
        <v>30.7200038551982</v>
      </c>
      <c r="J236" s="2">
        <v>1.5242708689837126E-2</v>
      </c>
      <c r="K236" s="2">
        <v>0.2133261863309095</v>
      </c>
      <c r="L236" s="2">
        <v>67.670699999999997</v>
      </c>
      <c r="M236" s="2">
        <v>66.290599999999998</v>
      </c>
      <c r="N236" s="2">
        <v>2.8916895233166429E-3</v>
      </c>
      <c r="O236" s="2">
        <v>-3.4566532933403948E-2</v>
      </c>
      <c r="P236" s="2">
        <v>69.105101928374651</v>
      </c>
      <c r="Q236" s="2">
        <v>4.4861157669059182E-2</v>
      </c>
      <c r="R236" s="2">
        <v>0.26788747461563123</v>
      </c>
      <c r="S236" s="2">
        <v>0.28313018330546835</v>
      </c>
      <c r="T236" s="2">
        <v>0</v>
      </c>
      <c r="U236" s="2">
        <v>0</v>
      </c>
      <c r="V236" s="2">
        <v>0</v>
      </c>
      <c r="W236" s="2">
        <v>0</v>
      </c>
      <c r="X236" s="2">
        <v>6.1490674058501393E-3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1</v>
      </c>
      <c r="CR236" s="2">
        <v>1</v>
      </c>
      <c r="CS236" s="2">
        <v>1</v>
      </c>
      <c r="CT236" s="2">
        <v>0</v>
      </c>
    </row>
    <row r="237" spans="1:98" x14ac:dyDescent="0.2">
      <c r="A237" s="2" t="s">
        <v>516</v>
      </c>
      <c r="B237" s="2">
        <v>2.6027200000000001</v>
      </c>
      <c r="C237" s="2">
        <v>30.05</v>
      </c>
      <c r="D237" s="2">
        <v>7152.2306663797863</v>
      </c>
      <c r="E237" s="2">
        <v>5401.0684999191908</v>
      </c>
      <c r="F237" s="2" t="s">
        <v>281</v>
      </c>
      <c r="G237" s="2">
        <v>87.11</v>
      </c>
      <c r="H237" s="2">
        <v>34.635365</v>
      </c>
      <c r="I237" s="2">
        <v>32.960008409214097</v>
      </c>
      <c r="J237" s="2">
        <v>1.252172980297106E-2</v>
      </c>
      <c r="K237" s="2">
        <v>0.19755466073447833</v>
      </c>
      <c r="L237" s="2">
        <v>67.598500000000001</v>
      </c>
      <c r="M237" s="2">
        <v>68.603399999999993</v>
      </c>
      <c r="N237" s="2">
        <v>-1.0675010550276198E-3</v>
      </c>
      <c r="O237" s="2">
        <v>3.4293988834591893E-2</v>
      </c>
      <c r="P237" s="2">
        <v>69.496022038567475</v>
      </c>
      <c r="Q237" s="2">
        <v>5.6409520443203576E-3</v>
      </c>
      <c r="R237" s="2">
        <v>0.28487820836523975</v>
      </c>
      <c r="S237" s="2">
        <v>0.29739993816821081</v>
      </c>
      <c r="T237" s="2">
        <v>0</v>
      </c>
      <c r="U237" s="2">
        <v>0</v>
      </c>
      <c r="V237" s="2">
        <v>0</v>
      </c>
      <c r="W237" s="2">
        <v>0</v>
      </c>
      <c r="X237" s="2">
        <v>1.4269754862742456E-2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1</v>
      </c>
      <c r="CR237" s="2">
        <v>1</v>
      </c>
      <c r="CS237" s="2">
        <v>1</v>
      </c>
      <c r="CT237" s="2">
        <v>0</v>
      </c>
    </row>
    <row r="238" spans="1:98" x14ac:dyDescent="0.2">
      <c r="A238" s="2" t="s">
        <v>517</v>
      </c>
      <c r="B238" s="2">
        <v>3.5654699999999999</v>
      </c>
      <c r="C238" s="2">
        <v>-27.5</v>
      </c>
      <c r="D238" s="2">
        <v>-4777.9367096063079</v>
      </c>
      <c r="E238" s="2">
        <v>-11930.167375986093</v>
      </c>
      <c r="F238" s="2" t="s">
        <v>281</v>
      </c>
      <c r="G238" s="2">
        <v>83.84</v>
      </c>
      <c r="H238" s="2">
        <v>37.228478000000003</v>
      </c>
      <c r="I238" s="2">
        <v>35.689997004423503</v>
      </c>
      <c r="J238" s="2">
        <v>1.1274409269452446E-2</v>
      </c>
      <c r="K238" s="2">
        <v>0.18481972643479327</v>
      </c>
      <c r="L238" s="2">
        <v>67.924099999999996</v>
      </c>
      <c r="M238" s="2">
        <v>68.933599999999998</v>
      </c>
      <c r="N238" s="2">
        <v>4.8051118630256795E-3</v>
      </c>
      <c r="O238" s="2">
        <v>4.8016262447694302E-3</v>
      </c>
      <c r="P238" s="2">
        <v>66.887228650137729</v>
      </c>
      <c r="Q238" s="2">
        <v>-3.8261467258069004E-2</v>
      </c>
      <c r="R238" s="2">
        <v>0.30520266409315039</v>
      </c>
      <c r="S238" s="2">
        <v>0.31647707336260283</v>
      </c>
      <c r="T238" s="2">
        <v>0</v>
      </c>
      <c r="U238" s="2">
        <v>0</v>
      </c>
      <c r="V238" s="2">
        <v>0</v>
      </c>
      <c r="W238" s="2">
        <v>0</v>
      </c>
      <c r="X238" s="2">
        <v>1.9077135194392025E-2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1</v>
      </c>
      <c r="CR238" s="2">
        <v>1</v>
      </c>
      <c r="CS238" s="2">
        <v>1</v>
      </c>
      <c r="CT238" s="2">
        <v>0</v>
      </c>
    </row>
    <row r="239" spans="1:98" x14ac:dyDescent="0.2">
      <c r="A239" s="2" t="s">
        <v>518</v>
      </c>
      <c r="B239" s="2">
        <v>4.8183800000000003</v>
      </c>
      <c r="C239" s="2">
        <v>-19.329999999999998</v>
      </c>
      <c r="D239" s="2">
        <v>-2485.1653626322536</v>
      </c>
      <c r="E239" s="2">
        <v>2292.7713469740543</v>
      </c>
      <c r="F239" s="2" t="s">
        <v>281</v>
      </c>
      <c r="G239" s="2">
        <v>84.24</v>
      </c>
      <c r="H239" s="2">
        <v>38.400114000000002</v>
      </c>
      <c r="I239" s="2">
        <v>33.919999801186201</v>
      </c>
      <c r="J239" s="2">
        <v>3.2906261626058142E-2</v>
      </c>
      <c r="K239" s="2">
        <v>0.19454387249859767</v>
      </c>
      <c r="L239" s="2">
        <v>68.438999999999993</v>
      </c>
      <c r="M239" s="2">
        <v>69.089299999999994</v>
      </c>
      <c r="N239" s="2">
        <v>7.551932262202854E-3</v>
      </c>
      <c r="O239" s="2">
        <v>2.2561483064826859E-3</v>
      </c>
      <c r="P239" s="2">
        <v>67.206347107437992</v>
      </c>
      <c r="Q239" s="2">
        <v>4.7596472529880529E-3</v>
      </c>
      <c r="R239" s="2">
        <v>0.29207241926850247</v>
      </c>
      <c r="S239" s="2">
        <v>0.32497868089456061</v>
      </c>
      <c r="T239" s="2">
        <v>0</v>
      </c>
      <c r="U239" s="2">
        <v>0</v>
      </c>
      <c r="V239" s="2">
        <v>0</v>
      </c>
      <c r="W239" s="2">
        <v>0</v>
      </c>
      <c r="X239" s="2">
        <v>8.5016075319577777E-3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1</v>
      </c>
      <c r="CR239" s="2">
        <v>1</v>
      </c>
      <c r="CS239" s="2">
        <v>1</v>
      </c>
      <c r="CT239" s="2">
        <v>0</v>
      </c>
    </row>
    <row r="240" spans="1:98" x14ac:dyDescent="0.2">
      <c r="A240" s="2" t="s">
        <v>519</v>
      </c>
      <c r="B240" s="2">
        <v>6.5992499999999996</v>
      </c>
      <c r="C240" s="2">
        <v>-67.17</v>
      </c>
      <c r="D240" s="2">
        <v>-6305.2927105352883</v>
      </c>
      <c r="E240" s="2">
        <v>-3820.1273479030347</v>
      </c>
      <c r="F240" s="2" t="s">
        <v>281</v>
      </c>
      <c r="G240" s="2">
        <v>83.02</v>
      </c>
      <c r="H240" s="2">
        <v>38.381504999999997</v>
      </c>
      <c r="I240" s="2">
        <v>35.560005146514897</v>
      </c>
      <c r="J240" s="2">
        <v>2.060001515693588E-2</v>
      </c>
      <c r="K240" s="2">
        <v>0.18368637599222473</v>
      </c>
      <c r="L240" s="2">
        <v>68.728899999999996</v>
      </c>
      <c r="M240" s="2">
        <v>68.610299999999995</v>
      </c>
      <c r="N240" s="2">
        <v>4.2269427706909113E-3</v>
      </c>
      <c r="O240" s="2">
        <v>-6.9572015034324863E-3</v>
      </c>
      <c r="P240" s="2">
        <v>66.233035812672156</v>
      </c>
      <c r="Q240" s="2">
        <v>-1.4588325200826979E-2</v>
      </c>
      <c r="R240" s="2">
        <v>0.30424419871560726</v>
      </c>
      <c r="S240" s="2">
        <v>0.32484421387254314</v>
      </c>
      <c r="T240" s="2">
        <v>0</v>
      </c>
      <c r="U240" s="2">
        <v>0</v>
      </c>
      <c r="V240" s="2">
        <v>0</v>
      </c>
      <c r="W240" s="2">
        <v>0</v>
      </c>
      <c r="X240" s="2">
        <v>-1.3446702201747041E-4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1</v>
      </c>
      <c r="CR240" s="2">
        <v>1</v>
      </c>
      <c r="CS240" s="2">
        <v>1</v>
      </c>
      <c r="CT240" s="2">
        <v>0</v>
      </c>
    </row>
    <row r="241" spans="1:98" x14ac:dyDescent="0.2">
      <c r="A241" s="2" t="s">
        <v>520</v>
      </c>
      <c r="B241" s="2">
        <v>8.9894999999999996</v>
      </c>
      <c r="C241" s="2">
        <v>19.09</v>
      </c>
      <c r="D241" s="2">
        <v>1315.5121908893709</v>
      </c>
      <c r="E241" s="2">
        <v>7620.804901424659</v>
      </c>
      <c r="F241" s="2" t="s">
        <v>281</v>
      </c>
      <c r="G241" s="2">
        <v>74.819999999999993</v>
      </c>
      <c r="H241" s="2">
        <v>40.377718999999999</v>
      </c>
      <c r="I241" s="2">
        <v>36.840001441934199</v>
      </c>
      <c r="J241" s="2">
        <v>2.5524411770101896E-2</v>
      </c>
      <c r="K241" s="2">
        <v>0.20382505022454106</v>
      </c>
      <c r="L241" s="2">
        <v>69.088399999999993</v>
      </c>
      <c r="M241" s="2">
        <v>68.372500000000002</v>
      </c>
      <c r="N241" s="2">
        <v>5.2170636835606743E-3</v>
      </c>
      <c r="O241" s="2">
        <v>-3.4719722312832602E-3</v>
      </c>
      <c r="P241" s="2">
        <v>59.691107438016509</v>
      </c>
      <c r="Q241" s="2">
        <v>-0.10399631370489271</v>
      </c>
      <c r="R241" s="2">
        <v>0.3136421846586861</v>
      </c>
      <c r="S241" s="2">
        <v>0.33916659642878799</v>
      </c>
      <c r="T241" s="2">
        <v>0</v>
      </c>
      <c r="U241" s="2">
        <v>0</v>
      </c>
      <c r="V241" s="2">
        <v>0</v>
      </c>
      <c r="W241" s="2">
        <v>0</v>
      </c>
      <c r="X241" s="2">
        <v>1.432238255624485E-2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1</v>
      </c>
      <c r="CR241" s="2">
        <v>1</v>
      </c>
      <c r="CS241" s="2">
        <v>1</v>
      </c>
      <c r="CT241" s="2">
        <v>0</v>
      </c>
    </row>
    <row r="242" spans="1:98" x14ac:dyDescent="0.2">
      <c r="A242" s="2" t="s">
        <v>521</v>
      </c>
      <c r="B242" s="2">
        <v>12.7822</v>
      </c>
      <c r="C242" s="2">
        <v>-181.26</v>
      </c>
      <c r="D242" s="2">
        <v>-8784.5769711004359</v>
      </c>
      <c r="E242" s="2">
        <v>-10100.089161989807</v>
      </c>
      <c r="F242" s="2" t="s">
        <v>281</v>
      </c>
      <c r="G242" s="2">
        <v>73.58</v>
      </c>
      <c r="H242" s="2">
        <v>42.758322999999997</v>
      </c>
      <c r="I242" s="2">
        <v>41.31</v>
      </c>
      <c r="J242" s="2">
        <v>1.0197092970356536E-2</v>
      </c>
      <c r="K242" s="2">
        <v>0.22819687582497811</v>
      </c>
      <c r="L242" s="2">
        <v>69.3476</v>
      </c>
      <c r="M242" s="2">
        <v>68.945300000000003</v>
      </c>
      <c r="N242" s="2">
        <v>3.7446950632942233E-3</v>
      </c>
      <c r="O242" s="2">
        <v>8.3427395763457923E-3</v>
      </c>
      <c r="P242" s="2">
        <v>58.701840220385655</v>
      </c>
      <c r="Q242" s="2">
        <v>-1.6711979243371644E-2</v>
      </c>
      <c r="R242" s="2">
        <v>0.34578587260656346</v>
      </c>
      <c r="S242" s="2">
        <v>0.35598296557692</v>
      </c>
      <c r="T242" s="2">
        <v>0</v>
      </c>
      <c r="U242" s="2">
        <v>0</v>
      </c>
      <c r="V242" s="2">
        <v>0</v>
      </c>
      <c r="W242" s="2">
        <v>0</v>
      </c>
      <c r="X242" s="2">
        <v>1.6816369148132004E-2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1</v>
      </c>
      <c r="CR242" s="2">
        <v>1</v>
      </c>
      <c r="CS242" s="2">
        <v>1</v>
      </c>
      <c r="CT242" s="2">
        <v>0</v>
      </c>
    </row>
    <row r="243" spans="1:98" x14ac:dyDescent="0.2">
      <c r="A243" s="2" t="s">
        <v>522</v>
      </c>
      <c r="B243" s="2">
        <v>18.203099999999999</v>
      </c>
      <c r="C243" s="2">
        <v>-150.86000000000001</v>
      </c>
      <c r="D243" s="2">
        <v>-5133.9689041976371</v>
      </c>
      <c r="E243" s="2">
        <v>3650.6080669027988</v>
      </c>
      <c r="F243" s="2" t="s">
        <v>281</v>
      </c>
      <c r="G243" s="2">
        <v>70.06</v>
      </c>
      <c r="H243" s="2">
        <v>41.991754</v>
      </c>
      <c r="I243" s="2">
        <v>40.273158304437104</v>
      </c>
      <c r="J243" s="2">
        <v>1.2177333120573897E-2</v>
      </c>
      <c r="K243" s="2">
        <v>0.20946330257156115</v>
      </c>
      <c r="L243" s="2">
        <v>69.361699999999999</v>
      </c>
      <c r="M243" s="2">
        <v>69.530199999999994</v>
      </c>
      <c r="N243" s="2">
        <v>2.0330287945480308E-4</v>
      </c>
      <c r="O243" s="2">
        <v>8.4477539842469085E-3</v>
      </c>
      <c r="P243" s="2">
        <v>55.89359779614324</v>
      </c>
      <c r="Q243" s="2">
        <v>-4.9021231907287799E-2</v>
      </c>
      <c r="R243" s="2">
        <v>0.33842146638390791</v>
      </c>
      <c r="S243" s="2">
        <v>0.35059879950448181</v>
      </c>
      <c r="T243" s="2">
        <v>0</v>
      </c>
      <c r="U243" s="2">
        <v>0</v>
      </c>
      <c r="V243" s="2">
        <v>0</v>
      </c>
      <c r="W243" s="2">
        <v>0</v>
      </c>
      <c r="X243" s="2">
        <v>-5.3841660724381901E-3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1</v>
      </c>
      <c r="CR243" s="2">
        <v>1</v>
      </c>
      <c r="CS243" s="2">
        <v>1</v>
      </c>
      <c r="CT243" s="2">
        <v>0</v>
      </c>
    </row>
    <row r="244" spans="1:98" x14ac:dyDescent="0.2">
      <c r="A244" s="2" t="s">
        <v>523</v>
      </c>
      <c r="B244" s="2">
        <v>26.363499999999998</v>
      </c>
      <c r="C244" s="2">
        <v>-297.42</v>
      </c>
      <c r="D244" s="2">
        <v>-6988.622600185864</v>
      </c>
      <c r="E244" s="2">
        <v>-1854.6536959882269</v>
      </c>
      <c r="F244" s="2" t="s">
        <v>281</v>
      </c>
      <c r="G244" s="2">
        <v>84.51</v>
      </c>
      <c r="H244" s="2">
        <v>46.416713999999999</v>
      </c>
      <c r="I244" s="2">
        <v>42.750479265462602</v>
      </c>
      <c r="J244" s="2">
        <v>2.5358555770605917E-2</v>
      </c>
      <c r="K244" s="2">
        <v>0.22623945573404464</v>
      </c>
      <c r="L244" s="2">
        <v>70.083100000000002</v>
      </c>
      <c r="M244" s="2">
        <v>70.371899999999997</v>
      </c>
      <c r="N244" s="2">
        <v>1.0346838833759975E-2</v>
      </c>
      <c r="O244" s="2">
        <v>1.2032845193071573E-2</v>
      </c>
      <c r="P244" s="2">
        <v>67.421752066115687</v>
      </c>
      <c r="Q244" s="2">
        <v>0.18751785278705047</v>
      </c>
      <c r="R244" s="2">
        <v>0.35592801991866269</v>
      </c>
      <c r="S244" s="2">
        <v>0.3812865756892686</v>
      </c>
      <c r="T244" s="2">
        <v>0</v>
      </c>
      <c r="U244" s="2">
        <v>0</v>
      </c>
      <c r="V244" s="2">
        <v>0</v>
      </c>
      <c r="W244" s="2">
        <v>0</v>
      </c>
      <c r="X244" s="2">
        <v>3.0687776184786797E-2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1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1</v>
      </c>
      <c r="CR244" s="2">
        <v>1</v>
      </c>
      <c r="CS244" s="2">
        <v>1</v>
      </c>
      <c r="CT244" s="2">
        <v>0</v>
      </c>
    </row>
    <row r="245" spans="1:98" x14ac:dyDescent="0.2">
      <c r="A245" s="2" t="s">
        <v>524</v>
      </c>
      <c r="B245" s="2">
        <v>37.557499999999997</v>
      </c>
      <c r="C245" s="2">
        <v>-511.17</v>
      </c>
      <c r="D245" s="2">
        <v>-8431.2732988084936</v>
      </c>
      <c r="E245" s="2">
        <v>-1442.6506986226295</v>
      </c>
      <c r="F245" s="2" t="s">
        <v>281</v>
      </c>
      <c r="G245" s="2">
        <v>76.95</v>
      </c>
      <c r="H245" s="2">
        <v>46.485376000000002</v>
      </c>
      <c r="I245" s="2">
        <v>42.680944303081702</v>
      </c>
      <c r="J245" s="2">
        <v>2.6314622151836164E-2</v>
      </c>
      <c r="K245" s="2">
        <v>0.23100320885843051</v>
      </c>
      <c r="L245" s="2">
        <v>70.442499999999995</v>
      </c>
      <c r="M245" s="2">
        <v>69.565100000000001</v>
      </c>
      <c r="N245" s="2">
        <v>5.115093386782732E-3</v>
      </c>
      <c r="O245" s="2">
        <v>-1.153103095876773E-2</v>
      </c>
      <c r="P245" s="2">
        <v>61.390413223140477</v>
      </c>
      <c r="Q245" s="2">
        <v>-9.3714010271503057E-2</v>
      </c>
      <c r="R245" s="2">
        <v>0.35544079280899732</v>
      </c>
      <c r="S245" s="2">
        <v>0.38175541496083348</v>
      </c>
      <c r="T245" s="2">
        <v>0</v>
      </c>
      <c r="U245" s="2">
        <v>0</v>
      </c>
      <c r="V245" s="2">
        <v>0</v>
      </c>
      <c r="W245" s="2">
        <v>0</v>
      </c>
      <c r="X245" s="2">
        <v>4.6883927156488037E-4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1</v>
      </c>
      <c r="CR245" s="2">
        <v>1</v>
      </c>
      <c r="CS245" s="2">
        <v>1</v>
      </c>
      <c r="CT245" s="2">
        <v>0</v>
      </c>
    </row>
    <row r="246" spans="1:98" x14ac:dyDescent="0.2">
      <c r="A246" s="2" t="s">
        <v>525</v>
      </c>
      <c r="B246" s="2">
        <v>52.9373</v>
      </c>
      <c r="C246" s="2">
        <v>-388.87</v>
      </c>
      <c r="D246" s="2">
        <v>-4550.5840328086242</v>
      </c>
      <c r="E246" s="2">
        <v>3880.6892659998693</v>
      </c>
      <c r="F246" s="2" t="s">
        <v>281</v>
      </c>
      <c r="G246" s="2">
        <v>86.32</v>
      </c>
      <c r="H246" s="2">
        <v>47.950600999999999</v>
      </c>
      <c r="I246" s="2">
        <v>44.029425606221999</v>
      </c>
      <c r="J246" s="2">
        <v>2.6860817832975503E-2</v>
      </c>
      <c r="K246" s="2">
        <v>0.23305640216169765</v>
      </c>
      <c r="L246" s="2">
        <v>70.823999999999998</v>
      </c>
      <c r="M246" s="2">
        <v>70.033199999999994</v>
      </c>
      <c r="N246" s="2">
        <v>5.4011521123573658E-3</v>
      </c>
      <c r="O246" s="2">
        <v>6.7064105284266873E-3</v>
      </c>
      <c r="P246" s="2">
        <v>68.865763085399422</v>
      </c>
      <c r="Q246" s="2">
        <v>0.11490546066499085</v>
      </c>
      <c r="R246" s="2">
        <v>0.36484743720007107</v>
      </c>
      <c r="S246" s="2">
        <v>0.39170825503304657</v>
      </c>
      <c r="T246" s="2">
        <v>0</v>
      </c>
      <c r="U246" s="2">
        <v>0</v>
      </c>
      <c r="V246" s="2">
        <v>0</v>
      </c>
      <c r="W246" s="2">
        <v>0</v>
      </c>
      <c r="X246" s="2">
        <v>9.9528400722130872E-3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1</v>
      </c>
      <c r="CR246" s="2">
        <v>1</v>
      </c>
      <c r="CS246" s="2">
        <v>1</v>
      </c>
      <c r="CT246" s="2">
        <v>0</v>
      </c>
    </row>
    <row r="247" spans="1:98" x14ac:dyDescent="0.2">
      <c r="A247" s="2" t="s">
        <v>526</v>
      </c>
      <c r="B247" s="2">
        <v>77.595399999999998</v>
      </c>
      <c r="C247" s="2">
        <v>-1042.07</v>
      </c>
      <c r="D247" s="2">
        <v>-8319.2735048727118</v>
      </c>
      <c r="E247" s="2">
        <v>-3768.6894720640876</v>
      </c>
      <c r="F247" s="2" t="s">
        <v>281</v>
      </c>
      <c r="G247" s="2">
        <v>86.18</v>
      </c>
      <c r="H247" s="2">
        <v>50.619664999999998</v>
      </c>
      <c r="I247" s="2">
        <v>47.429878415793901</v>
      </c>
      <c r="J247" s="2">
        <v>2.1405222360204701E-2</v>
      </c>
      <c r="K247" s="2">
        <v>0.24038318052190927</v>
      </c>
      <c r="L247" s="2">
        <v>71.281099999999995</v>
      </c>
      <c r="M247" s="2">
        <v>72.504900000000006</v>
      </c>
      <c r="N247" s="2">
        <v>6.4332888334979188E-3</v>
      </c>
      <c r="O247" s="2">
        <v>3.4684730457954949E-2</v>
      </c>
      <c r="P247" s="2">
        <v>68.754071625344338</v>
      </c>
      <c r="Q247" s="2">
        <v>-1.6231887621867003E-3</v>
      </c>
      <c r="R247" s="2">
        <v>0.38818247618221585</v>
      </c>
      <c r="S247" s="2">
        <v>0.40958769854242055</v>
      </c>
      <c r="T247" s="2">
        <v>0</v>
      </c>
      <c r="U247" s="2">
        <v>0</v>
      </c>
      <c r="V247" s="2">
        <v>0</v>
      </c>
      <c r="W247" s="2">
        <v>0</v>
      </c>
      <c r="X247" s="2">
        <v>1.7879443509373982E-2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1</v>
      </c>
      <c r="CR247" s="2">
        <v>1</v>
      </c>
      <c r="CS247" s="2">
        <v>1</v>
      </c>
      <c r="CT247" s="2">
        <v>0</v>
      </c>
    </row>
    <row r="248" spans="1:98" x14ac:dyDescent="0.2">
      <c r="A248" s="2" t="s">
        <v>527</v>
      </c>
      <c r="B248" s="2">
        <v>96.769300000000001</v>
      </c>
      <c r="C248" s="2">
        <v>-784.82</v>
      </c>
      <c r="D248" s="2">
        <v>-5024.0846458535925</v>
      </c>
      <c r="E248" s="2">
        <v>3295.1888590191193</v>
      </c>
      <c r="F248" s="2" t="s">
        <v>281</v>
      </c>
      <c r="G248" s="2">
        <v>88.02</v>
      </c>
      <c r="H248" s="2">
        <v>6.8717079999999999</v>
      </c>
      <c r="I248" s="2">
        <v>6.8401591060201401</v>
      </c>
      <c r="J248" s="2">
        <v>2.9524700369959467E-4</v>
      </c>
      <c r="K248" s="2">
        <v>0.22543571883577174</v>
      </c>
      <c r="L248" s="2">
        <v>71.395300000000006</v>
      </c>
      <c r="M248" s="2">
        <v>69.581999999999994</v>
      </c>
      <c r="N248" s="2">
        <v>1.6008257061130848E-3</v>
      </c>
      <c r="O248" s="2">
        <v>-4.1148232581059041E-2</v>
      </c>
      <c r="P248" s="2">
        <v>70.222016528925593</v>
      </c>
      <c r="Q248" s="2">
        <v>2.1125929195252802E-2</v>
      </c>
      <c r="R248" s="2">
        <v>6.6163691451550335E-2</v>
      </c>
      <c r="S248" s="2">
        <v>6.645893845524993E-2</v>
      </c>
      <c r="T248" s="2">
        <v>0</v>
      </c>
      <c r="U248" s="2">
        <v>0</v>
      </c>
      <c r="V248" s="2">
        <v>0</v>
      </c>
      <c r="W248" s="2">
        <v>0</v>
      </c>
      <c r="X248" s="2">
        <v>-0.34312876008717064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1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1</v>
      </c>
      <c r="CR248" s="2">
        <v>1</v>
      </c>
      <c r="CS248" s="2">
        <v>1</v>
      </c>
      <c r="CT248" s="2">
        <v>0</v>
      </c>
    </row>
    <row r="249" spans="1:98" x14ac:dyDescent="0.2">
      <c r="A249" s="2" t="s">
        <v>528</v>
      </c>
      <c r="B249" s="2">
        <v>100</v>
      </c>
      <c r="C249" s="2">
        <v>-2195.08</v>
      </c>
      <c r="D249" s="2">
        <v>-13597.993780799998</v>
      </c>
      <c r="E249" s="2">
        <v>-8573.9091349464052</v>
      </c>
      <c r="F249" s="2" t="s">
        <v>281</v>
      </c>
      <c r="G249" s="2">
        <v>96.06</v>
      </c>
      <c r="H249" s="2">
        <v>4.1703140000000003</v>
      </c>
      <c r="I249" s="2">
        <v>1.8604041793586901</v>
      </c>
      <c r="J249" s="2">
        <v>2.2423904857779037E-2</v>
      </c>
      <c r="K249" s="2">
        <v>0.23533789389057971</v>
      </c>
      <c r="L249" s="2">
        <v>71.801100000000005</v>
      </c>
      <c r="M249" s="2">
        <v>72.782700000000006</v>
      </c>
      <c r="N249" s="2">
        <v>5.6677554227269056E-3</v>
      </c>
      <c r="O249" s="2">
        <v>4.4972376397149461E-2</v>
      </c>
      <c r="P249" s="2">
        <v>76.636297520661131</v>
      </c>
      <c r="Q249" s="2">
        <v>8.7408934853733022E-2</v>
      </c>
      <c r="R249" s="2">
        <v>1.8433103449486378E-2</v>
      </c>
      <c r="S249" s="2">
        <v>4.0857008307265415E-2</v>
      </c>
      <c r="T249" s="2">
        <v>0</v>
      </c>
      <c r="U249" s="2">
        <v>0</v>
      </c>
      <c r="V249" s="2">
        <v>0</v>
      </c>
      <c r="W249" s="2">
        <v>0</v>
      </c>
      <c r="X249" s="2">
        <v>-2.5601930147984515E-2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1</v>
      </c>
      <c r="CR249" s="2">
        <v>1</v>
      </c>
      <c r="CS249" s="2">
        <v>1</v>
      </c>
      <c r="CT249" s="2">
        <v>0</v>
      </c>
    </row>
    <row r="250" spans="1:98" x14ac:dyDescent="0.2">
      <c r="A250" s="2" t="s">
        <v>529</v>
      </c>
      <c r="B250" s="2">
        <v>101.54900000000001</v>
      </c>
      <c r="C250" s="2">
        <v>-1420.11</v>
      </c>
      <c r="D250" s="2">
        <v>-8663.0499794188017</v>
      </c>
      <c r="E250" s="2">
        <v>4934.943801381196</v>
      </c>
      <c r="F250" s="2" t="s">
        <v>281</v>
      </c>
      <c r="G250" s="2">
        <v>93.41</v>
      </c>
      <c r="H250" s="2">
        <v>3.833968</v>
      </c>
      <c r="I250" s="2">
        <v>1.5295239932688001</v>
      </c>
      <c r="J250" s="2">
        <v>2.2443528933901891E-2</v>
      </c>
      <c r="K250" s="2">
        <v>0.24650701355502916</v>
      </c>
      <c r="L250" s="2">
        <v>72.061700000000002</v>
      </c>
      <c r="M250" s="2">
        <v>73.375200000000007</v>
      </c>
      <c r="N250" s="2">
        <v>3.6229002221555007E-3</v>
      </c>
      <c r="O250" s="2">
        <v>8.1077142687950854E-3</v>
      </c>
      <c r="P250" s="2">
        <v>74.522137741046805</v>
      </c>
      <c r="Q250" s="2">
        <v>-2.7974590351920625E-2</v>
      </c>
      <c r="R250" s="2">
        <v>1.5179446978275035E-2</v>
      </c>
      <c r="S250" s="2">
        <v>3.7622975912176927E-2</v>
      </c>
      <c r="T250" s="2">
        <v>0</v>
      </c>
      <c r="U250" s="2">
        <v>0</v>
      </c>
      <c r="V250" s="2">
        <v>0</v>
      </c>
      <c r="W250" s="2">
        <v>0</v>
      </c>
      <c r="X250" s="2">
        <v>-3.2340323950884875E-3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1</v>
      </c>
      <c r="CR250" s="2">
        <v>1</v>
      </c>
      <c r="CS250" s="2">
        <v>1</v>
      </c>
      <c r="CT250" s="2">
        <v>0</v>
      </c>
    </row>
    <row r="251" spans="1:98" x14ac:dyDescent="0.2">
      <c r="A251" s="2" t="s">
        <v>530</v>
      </c>
      <c r="B251" s="2">
        <v>104.143</v>
      </c>
      <c r="C251" s="2">
        <v>-3084.4</v>
      </c>
      <c r="D251" s="2">
        <v>-18347.001472974662</v>
      </c>
      <c r="E251" s="2">
        <v>-9683.95149355586</v>
      </c>
      <c r="F251" s="2" t="s">
        <v>281</v>
      </c>
      <c r="G251" s="2">
        <v>93.09</v>
      </c>
      <c r="H251" s="2">
        <v>3.622055</v>
      </c>
      <c r="I251" s="2">
        <v>2.6202440775304998</v>
      </c>
      <c r="J251" s="2">
        <v>9.7149692980863026E-3</v>
      </c>
      <c r="K251" s="2">
        <v>0.22331572122705731</v>
      </c>
      <c r="L251" s="2">
        <v>72.682900000000004</v>
      </c>
      <c r="M251" s="2">
        <v>73.3977</v>
      </c>
      <c r="N251" s="2">
        <v>8.5834471743160279E-3</v>
      </c>
      <c r="O251" s="2">
        <v>3.0659611108418972E-4</v>
      </c>
      <c r="P251" s="2">
        <v>74.266842975206586</v>
      </c>
      <c r="Q251" s="2">
        <v>-3.431638756358879E-3</v>
      </c>
      <c r="R251" s="2">
        <v>2.5865037982560679E-2</v>
      </c>
      <c r="S251" s="2">
        <v>3.5580007280646982E-2</v>
      </c>
      <c r="T251" s="2">
        <v>0</v>
      </c>
      <c r="U251" s="2">
        <v>0</v>
      </c>
      <c r="V251" s="2">
        <v>0</v>
      </c>
      <c r="W251" s="2">
        <v>0</v>
      </c>
      <c r="X251" s="2">
        <v>-2.0429686315299456E-3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1</v>
      </c>
      <c r="CR251" s="2">
        <v>1</v>
      </c>
      <c r="CS251" s="2">
        <v>1</v>
      </c>
      <c r="CT251" s="2">
        <v>0</v>
      </c>
    </row>
    <row r="252" spans="1:98" x14ac:dyDescent="0.2">
      <c r="A252" s="2" t="s">
        <v>531</v>
      </c>
      <c r="B252" s="2">
        <v>106.72</v>
      </c>
      <c r="C252" s="2">
        <v>-200.96</v>
      </c>
      <c r="D252" s="2">
        <v>-1166.5095292353824</v>
      </c>
      <c r="E252" s="2">
        <v>17180.491943739278</v>
      </c>
      <c r="F252" s="2" t="s">
        <v>281</v>
      </c>
      <c r="G252" s="2">
        <v>93.14</v>
      </c>
      <c r="H252" s="2">
        <v>4.0724200000000002</v>
      </c>
      <c r="I252" s="2">
        <v>2.8094973561302998</v>
      </c>
      <c r="J252" s="2">
        <v>1.2209267472271093E-2</v>
      </c>
      <c r="K252" s="2">
        <v>0.21492497354239254</v>
      </c>
      <c r="L252" s="2">
        <v>73.137900000000002</v>
      </c>
      <c r="M252" s="2">
        <v>73.036900000000003</v>
      </c>
      <c r="N252" s="2">
        <v>6.2405565824139586E-3</v>
      </c>
      <c r="O252" s="2">
        <v>-4.9278070909073435E-3</v>
      </c>
      <c r="P252" s="2">
        <v>74.306732782369124</v>
      </c>
      <c r="Q252" s="2">
        <v>5.3697042583245036E-4</v>
      </c>
      <c r="R252" s="2">
        <v>2.7707549498366991E-2</v>
      </c>
      <c r="S252" s="2">
        <v>3.9916816970638085E-2</v>
      </c>
      <c r="T252" s="2">
        <v>0</v>
      </c>
      <c r="U252" s="2">
        <v>0</v>
      </c>
      <c r="V252" s="2">
        <v>0</v>
      </c>
      <c r="W252" s="2">
        <v>0</v>
      </c>
      <c r="X252" s="2">
        <v>4.3368096899911029E-3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1</v>
      </c>
      <c r="CR252" s="2">
        <v>1</v>
      </c>
      <c r="CS252" s="2">
        <v>1</v>
      </c>
      <c r="CT252" s="2">
        <v>0</v>
      </c>
    </row>
    <row r="253" spans="1:98" x14ac:dyDescent="0.2">
      <c r="A253" s="2" t="s">
        <v>532</v>
      </c>
      <c r="B253" s="2">
        <v>107.325</v>
      </c>
      <c r="C253" s="2">
        <v>-1101.9100000000001</v>
      </c>
      <c r="D253" s="2">
        <v>-6360.1844785464718</v>
      </c>
      <c r="E253" s="2">
        <v>-5193.6749493110892</v>
      </c>
      <c r="F253" s="2" t="s">
        <v>281</v>
      </c>
      <c r="G253" s="2">
        <v>88.06</v>
      </c>
      <c r="H253" s="2">
        <v>3.7974990000000002</v>
      </c>
      <c r="I253" s="2">
        <v>1.7100773487297001</v>
      </c>
      <c r="J253" s="2">
        <v>2.0315488908929039E-2</v>
      </c>
      <c r="K253" s="2">
        <v>0.20971605068121968</v>
      </c>
      <c r="L253" s="2">
        <v>73.881799999999998</v>
      </c>
      <c r="M253" s="2">
        <v>73.175600000000003</v>
      </c>
      <c r="N253" s="2">
        <v>1.0119818617518206E-2</v>
      </c>
      <c r="O253" s="2">
        <v>1.8972391772855701E-3</v>
      </c>
      <c r="P253" s="2">
        <v>70.253928374655629</v>
      </c>
      <c r="Q253" s="2">
        <v>-5.6085337226623011E-2</v>
      </c>
      <c r="R253" s="2">
        <v>1.6956201132161366E-2</v>
      </c>
      <c r="S253" s="2">
        <v>3.7271690041090405E-2</v>
      </c>
      <c r="T253" s="2">
        <v>0</v>
      </c>
      <c r="U253" s="2">
        <v>0</v>
      </c>
      <c r="V253" s="2">
        <v>0</v>
      </c>
      <c r="W253" s="2">
        <v>0</v>
      </c>
      <c r="X253" s="2">
        <v>-2.6451269295476795E-3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1</v>
      </c>
      <c r="CR253" s="2">
        <v>1</v>
      </c>
      <c r="CS253" s="2">
        <v>1</v>
      </c>
      <c r="CT253" s="2">
        <v>0</v>
      </c>
    </row>
    <row r="254" spans="1:98" x14ac:dyDescent="0.2">
      <c r="A254" s="2" t="s">
        <v>533</v>
      </c>
      <c r="B254" s="2">
        <v>108.785</v>
      </c>
      <c r="C254" s="2">
        <v>-1835.12</v>
      </c>
      <c r="D254" s="2">
        <v>-10450.087761364157</v>
      </c>
      <c r="E254" s="2">
        <v>-4089.9032828176851</v>
      </c>
      <c r="F254" s="2" t="s">
        <v>281</v>
      </c>
      <c r="G254" s="2">
        <v>86.05</v>
      </c>
      <c r="H254" s="2">
        <v>3.3745159999999998</v>
      </c>
      <c r="I254" s="2">
        <v>1.7000177085178001</v>
      </c>
      <c r="J254" s="2">
        <v>1.6330994170272378E-2</v>
      </c>
      <c r="K254" s="2">
        <v>0.21584995188113554</v>
      </c>
      <c r="L254" s="2">
        <v>74.014200000000002</v>
      </c>
      <c r="M254" s="2">
        <v>73.3322</v>
      </c>
      <c r="N254" s="2">
        <v>1.790447819677965E-3</v>
      </c>
      <c r="O254" s="2">
        <v>2.1377709533458855E-3</v>
      </c>
      <c r="P254" s="2">
        <v>68.650358126721741</v>
      </c>
      <c r="Q254" s="2">
        <v>-2.3089877670059877E-2</v>
      </c>
      <c r="R254" s="2">
        <v>1.6857291191459834E-2</v>
      </c>
      <c r="S254" s="2">
        <v>3.3188285361732212E-2</v>
      </c>
      <c r="T254" s="2">
        <v>0</v>
      </c>
      <c r="U254" s="2">
        <v>0</v>
      </c>
      <c r="V254" s="2">
        <v>0</v>
      </c>
      <c r="W254" s="2">
        <v>0</v>
      </c>
      <c r="X254" s="2">
        <v>-4.0834046793581935E-3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1</v>
      </c>
      <c r="CR254" s="2">
        <v>1</v>
      </c>
      <c r="CS254" s="2">
        <v>1</v>
      </c>
      <c r="CT254" s="2">
        <v>0</v>
      </c>
    </row>
    <row r="255" spans="1:98" x14ac:dyDescent="0.2">
      <c r="A255" s="2" t="s">
        <v>534</v>
      </c>
      <c r="B255" s="2">
        <v>110.039</v>
      </c>
      <c r="C255" s="2">
        <v>1632.38</v>
      </c>
      <c r="D255" s="2">
        <v>9189.6530582793384</v>
      </c>
      <c r="E255" s="2">
        <v>19639.740819643495</v>
      </c>
      <c r="F255" s="2" t="s">
        <v>281</v>
      </c>
      <c r="G255" s="2">
        <v>82.02</v>
      </c>
      <c r="H255" s="2">
        <v>3.2529379999999999</v>
      </c>
      <c r="I255" s="2">
        <v>1.01959873856095</v>
      </c>
      <c r="J255" s="2">
        <v>2.1867141709074764E-2</v>
      </c>
      <c r="K255" s="2">
        <v>0.22553976046963636</v>
      </c>
      <c r="L255" s="2">
        <v>73.924700000000001</v>
      </c>
      <c r="M255" s="2">
        <v>74.106700000000004</v>
      </c>
      <c r="N255" s="2">
        <v>-1.2099591239218555E-3</v>
      </c>
      <c r="O255" s="2">
        <v>1.0506143548750124E-2</v>
      </c>
      <c r="P255" s="2">
        <v>65.435239669421463</v>
      </c>
      <c r="Q255" s="2">
        <v>-4.7965402693635362E-2</v>
      </c>
      <c r="R255" s="2">
        <v>1.0144358944945399E-2</v>
      </c>
      <c r="S255" s="2">
        <v>3.2011500654020163E-2</v>
      </c>
      <c r="T255" s="2">
        <v>0</v>
      </c>
      <c r="U255" s="2">
        <v>0</v>
      </c>
      <c r="V255" s="2">
        <v>0</v>
      </c>
      <c r="W255" s="2">
        <v>0</v>
      </c>
      <c r="X255" s="2">
        <v>-1.1767847077120488E-3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1</v>
      </c>
      <c r="CR255" s="2">
        <v>1</v>
      </c>
      <c r="CS255" s="2">
        <v>1</v>
      </c>
      <c r="CT255" s="2">
        <v>0</v>
      </c>
    </row>
    <row r="256" spans="1:98" x14ac:dyDescent="0.2">
      <c r="A256" s="2" t="s">
        <v>535</v>
      </c>
      <c r="B256" s="2">
        <v>112.035</v>
      </c>
      <c r="C256" s="2">
        <v>-2126.17</v>
      </c>
      <c r="D256" s="2">
        <v>-11756.248377025036</v>
      </c>
      <c r="E256" s="2">
        <v>-20945.901435304375</v>
      </c>
      <c r="F256" s="2" t="s">
        <v>281</v>
      </c>
      <c r="G256" s="2">
        <v>95.7</v>
      </c>
      <c r="H256" s="2">
        <v>4.2621099999999998</v>
      </c>
      <c r="I256" s="2">
        <v>1.5503504807139901</v>
      </c>
      <c r="J256" s="2">
        <v>2.6353277669803526E-2</v>
      </c>
      <c r="K256" s="2">
        <v>0.22653448236883394</v>
      </c>
      <c r="L256" s="2">
        <v>74.028400000000005</v>
      </c>
      <c r="M256" s="2">
        <v>74.580500000000001</v>
      </c>
      <c r="N256" s="2">
        <v>1.4017957985492657E-3</v>
      </c>
      <c r="O256" s="2">
        <v>6.3731323703208886E-3</v>
      </c>
      <c r="P256" s="2">
        <v>76.34909090909089</v>
      </c>
      <c r="Q256" s="2">
        <v>0.1542551784949957</v>
      </c>
      <c r="R256" s="2">
        <v>1.5384553344153465E-2</v>
      </c>
      <c r="S256" s="2">
        <v>4.1737831013956991E-2</v>
      </c>
      <c r="T256" s="2">
        <v>0</v>
      </c>
      <c r="U256" s="2">
        <v>0</v>
      </c>
      <c r="V256" s="2">
        <v>0</v>
      </c>
      <c r="W256" s="2">
        <v>0</v>
      </c>
      <c r="X256" s="2">
        <v>9.7263303599368287E-3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1</v>
      </c>
      <c r="CR256" s="2">
        <v>1</v>
      </c>
      <c r="CS256" s="2">
        <v>1</v>
      </c>
      <c r="CT256" s="2">
        <v>0</v>
      </c>
    </row>
    <row r="257" spans="1:98" x14ac:dyDescent="0.2">
      <c r="A257" s="2" t="s">
        <v>536</v>
      </c>
      <c r="B257" s="2">
        <v>114.614</v>
      </c>
      <c r="C257" s="2">
        <v>-2624.58</v>
      </c>
      <c r="D257" s="2">
        <v>-14185.564765909923</v>
      </c>
      <c r="E257" s="2">
        <v>-2429.3163888848867</v>
      </c>
      <c r="F257" s="2" t="s">
        <v>281</v>
      </c>
      <c r="G257" s="2">
        <v>85.92</v>
      </c>
      <c r="H257" s="2">
        <v>4.2552659999999998</v>
      </c>
      <c r="I257" s="2">
        <v>2.4300000000000002</v>
      </c>
      <c r="J257" s="2">
        <v>1.7662734144167767E-2</v>
      </c>
      <c r="K257" s="2">
        <v>0.21788259436116558</v>
      </c>
      <c r="L257" s="2">
        <v>74.013999999999996</v>
      </c>
      <c r="M257" s="2">
        <v>72.598799999999997</v>
      </c>
      <c r="N257" s="2">
        <v>-1.9453886245379692E-4</v>
      </c>
      <c r="O257" s="2">
        <v>-2.6930686169919227E-2</v>
      </c>
      <c r="P257" s="2">
        <v>68.546644628099159</v>
      </c>
      <c r="Q257" s="2">
        <v>-0.10780166769835375</v>
      </c>
      <c r="R257" s="2">
        <v>2.4009452460351854E-2</v>
      </c>
      <c r="S257" s="2">
        <v>4.1672186604519622E-2</v>
      </c>
      <c r="T257" s="2">
        <v>0</v>
      </c>
      <c r="U257" s="2">
        <v>0</v>
      </c>
      <c r="V257" s="2">
        <v>0</v>
      </c>
      <c r="W257" s="2">
        <v>0</v>
      </c>
      <c r="X257" s="2">
        <v>-6.5644409437369544E-5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1</v>
      </c>
      <c r="CR257" s="2">
        <v>1</v>
      </c>
      <c r="CS257" s="2">
        <v>1</v>
      </c>
      <c r="CT257" s="2">
        <v>0</v>
      </c>
    </row>
    <row r="258" spans="1:98" x14ac:dyDescent="0.2">
      <c r="A258" s="2" t="s">
        <v>537</v>
      </c>
      <c r="B258" s="2">
        <v>115.071</v>
      </c>
      <c r="C258" s="2">
        <v>-2513.08</v>
      </c>
      <c r="D258" s="2">
        <v>-13528.975554918268</v>
      </c>
      <c r="E258" s="2">
        <v>656.58921099165491</v>
      </c>
      <c r="F258" s="2" t="s">
        <v>281</v>
      </c>
      <c r="G258" s="2">
        <v>85.18</v>
      </c>
      <c r="H258" s="2">
        <v>4.2478090000000002</v>
      </c>
      <c r="I258" s="2">
        <v>2.67</v>
      </c>
      <c r="J258" s="2">
        <v>1.525088236061092E-2</v>
      </c>
      <c r="K258" s="2">
        <v>0.20627265888880097</v>
      </c>
      <c r="L258" s="2">
        <v>74.2239</v>
      </c>
      <c r="M258" s="2">
        <v>73.269099999999995</v>
      </c>
      <c r="N258" s="2">
        <v>2.8319362360198497E-3</v>
      </c>
      <c r="O258" s="2">
        <v>9.1905719922973361E-3</v>
      </c>
      <c r="P258" s="2">
        <v>67.956275482093659</v>
      </c>
      <c r="Q258" s="2">
        <v>-8.6499662654873077E-3</v>
      </c>
      <c r="R258" s="2">
        <v>2.6349775322781963E-2</v>
      </c>
      <c r="S258" s="2">
        <v>4.1600657683392883E-2</v>
      </c>
      <c r="T258" s="2">
        <v>0</v>
      </c>
      <c r="U258" s="2">
        <v>0</v>
      </c>
      <c r="V258" s="2">
        <v>0</v>
      </c>
      <c r="W258" s="2">
        <v>0</v>
      </c>
      <c r="X258" s="2">
        <v>-7.1528921126738643E-5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1</v>
      </c>
      <c r="CN258" s="2">
        <v>0</v>
      </c>
      <c r="CO258" s="2">
        <v>0</v>
      </c>
      <c r="CP258" s="2">
        <v>0</v>
      </c>
      <c r="CQ258" s="2">
        <v>1</v>
      </c>
      <c r="CR258" s="2">
        <v>1</v>
      </c>
      <c r="CS258" s="2">
        <v>1</v>
      </c>
      <c r="CT258" s="2">
        <v>0</v>
      </c>
    </row>
    <row r="259" spans="1:98" x14ac:dyDescent="0.2">
      <c r="A259" s="2" t="s">
        <v>538</v>
      </c>
      <c r="B259" s="2">
        <v>118.09</v>
      </c>
      <c r="C259" s="2">
        <v>1119.26</v>
      </c>
      <c r="D259" s="2">
        <v>5871.4091604708265</v>
      </c>
      <c r="E259" s="2">
        <v>19400.384715389097</v>
      </c>
      <c r="F259" s="2" t="s">
        <v>281</v>
      </c>
      <c r="G259" s="2">
        <v>89.4</v>
      </c>
      <c r="H259" s="2">
        <v>4.0397340000000002</v>
      </c>
      <c r="I259" s="2">
        <v>2.2599999999999998</v>
      </c>
      <c r="J259" s="2">
        <v>1.7254294216371129E-2</v>
      </c>
      <c r="K259" s="2">
        <v>0.20212173074496745</v>
      </c>
      <c r="L259" s="2">
        <v>74.480699999999999</v>
      </c>
      <c r="M259" s="2">
        <v>75.869399999999999</v>
      </c>
      <c r="N259" s="2">
        <v>3.4538306855260714E-3</v>
      </c>
      <c r="O259" s="2">
        <v>3.4874476293753176E-2</v>
      </c>
      <c r="P259" s="2">
        <v>71.322975206611559</v>
      </c>
      <c r="Q259" s="2">
        <v>4.8354017684401285E-2</v>
      </c>
      <c r="R259" s="2">
        <v>2.2348403663761767E-2</v>
      </c>
      <c r="S259" s="2">
        <v>3.9602697880132896E-2</v>
      </c>
      <c r="T259" s="2">
        <v>0</v>
      </c>
      <c r="U259" s="2">
        <v>0</v>
      </c>
      <c r="V259" s="2">
        <v>0</v>
      </c>
      <c r="W259" s="2">
        <v>0</v>
      </c>
      <c r="X259" s="2">
        <v>-1.9979598032599868E-3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1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1</v>
      </c>
      <c r="CR259" s="2">
        <v>1</v>
      </c>
      <c r="CS259" s="2">
        <v>1</v>
      </c>
      <c r="CT259" s="2">
        <v>0</v>
      </c>
    </row>
    <row r="260" spans="1:98" x14ac:dyDescent="0.2">
      <c r="A260" s="2" t="s">
        <v>539</v>
      </c>
      <c r="B260" s="2">
        <v>120.733</v>
      </c>
      <c r="C260" s="2">
        <v>285.20999999999998</v>
      </c>
      <c r="D260" s="2">
        <v>1463.4006440658309</v>
      </c>
      <c r="E260" s="2">
        <v>-4408.008516404996</v>
      </c>
      <c r="F260" s="2" t="s">
        <v>281</v>
      </c>
      <c r="G260" s="2">
        <v>88.5</v>
      </c>
      <c r="H260" s="2">
        <v>4.0231180000000002</v>
      </c>
      <c r="I260" s="2">
        <v>2.36</v>
      </c>
      <c r="J260" s="2">
        <v>1.61171516089035E-2</v>
      </c>
      <c r="K260" s="2">
        <v>0.21794363535017136</v>
      </c>
      <c r="L260" s="2">
        <v>74.190200000000004</v>
      </c>
      <c r="M260" s="2">
        <v>72.534999999999997</v>
      </c>
      <c r="N260" s="2">
        <v>-3.90796544198313E-3</v>
      </c>
      <c r="O260" s="2">
        <v>-4.4944237063710979E-2</v>
      </c>
      <c r="P260" s="2">
        <v>70.604958677685943</v>
      </c>
      <c r="Q260" s="2">
        <v>-1.0118130165585271E-2</v>
      </c>
      <c r="R260" s="2">
        <v>2.3325825303496757E-2</v>
      </c>
      <c r="S260" s="2">
        <v>3.9442976912400257E-2</v>
      </c>
      <c r="T260" s="2">
        <v>0</v>
      </c>
      <c r="U260" s="2">
        <v>0</v>
      </c>
      <c r="V260" s="2">
        <v>0</v>
      </c>
      <c r="W260" s="2">
        <v>0</v>
      </c>
      <c r="X260" s="2">
        <v>-1.5972096773263916E-4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1</v>
      </c>
      <c r="CR260" s="2">
        <v>1</v>
      </c>
      <c r="CS260" s="2">
        <v>1</v>
      </c>
      <c r="CT260" s="2">
        <v>0</v>
      </c>
    </row>
    <row r="261" spans="1:98" x14ac:dyDescent="0.2">
      <c r="A261" s="2" t="s">
        <v>540</v>
      </c>
      <c r="B261" s="2">
        <v>122.289</v>
      </c>
      <c r="C261" s="2">
        <v>-538.44000000000005</v>
      </c>
      <c r="D261" s="2">
        <v>-2727.5605936756374</v>
      </c>
      <c r="E261" s="2">
        <v>-4190.9612377414687</v>
      </c>
      <c r="F261" s="2" t="s">
        <v>281</v>
      </c>
      <c r="G261" s="2">
        <v>91.06</v>
      </c>
      <c r="H261" s="2">
        <v>3.8397920000000001</v>
      </c>
      <c r="I261" s="2">
        <v>0.99</v>
      </c>
      <c r="J261" s="2">
        <v>2.7827747833644001E-2</v>
      </c>
      <c r="K261" s="2">
        <v>0.22334747832603633</v>
      </c>
      <c r="L261" s="2">
        <v>75.121099999999998</v>
      </c>
      <c r="M261" s="2">
        <v>76.267399999999995</v>
      </c>
      <c r="N261" s="2">
        <v>1.2469412051379081E-2</v>
      </c>
      <c r="O261" s="2">
        <v>5.0176382185055601E-2</v>
      </c>
      <c r="P261" s="2">
        <v>72.647316804407708</v>
      </c>
      <c r="Q261" s="2">
        <v>2.8516077892752456E-2</v>
      </c>
      <c r="R261" s="2">
        <v>9.8513160503742019E-3</v>
      </c>
      <c r="S261" s="2">
        <v>3.7679063884018205E-2</v>
      </c>
      <c r="T261" s="2">
        <v>0</v>
      </c>
      <c r="U261" s="2">
        <v>0</v>
      </c>
      <c r="V261" s="2">
        <v>0</v>
      </c>
      <c r="W261" s="2">
        <v>0</v>
      </c>
      <c r="X261" s="2">
        <v>-1.7639130283820526E-3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1</v>
      </c>
      <c r="CM261" s="2">
        <v>0</v>
      </c>
      <c r="CN261" s="2">
        <v>0</v>
      </c>
      <c r="CO261" s="2">
        <v>0</v>
      </c>
      <c r="CP261" s="2">
        <v>0</v>
      </c>
      <c r="CQ261" s="2">
        <v>1</v>
      </c>
      <c r="CR261" s="2">
        <v>1</v>
      </c>
      <c r="CS261" s="2">
        <v>1</v>
      </c>
      <c r="CT261" s="2">
        <v>0</v>
      </c>
    </row>
    <row r="262" spans="1:98" x14ac:dyDescent="0.2">
      <c r="A262" s="2" t="s">
        <v>541</v>
      </c>
      <c r="B262" s="2">
        <v>120.967</v>
      </c>
      <c r="C262" s="2">
        <v>228.7</v>
      </c>
      <c r="D262" s="2">
        <v>1171.1802491588614</v>
      </c>
      <c r="E262" s="2">
        <v>3898.7408428344988</v>
      </c>
      <c r="F262" s="2" t="s">
        <v>281</v>
      </c>
      <c r="G262" s="2">
        <v>87.15</v>
      </c>
      <c r="H262" s="2">
        <v>3.3247369999999998</v>
      </c>
      <c r="I262" s="2">
        <v>0.99</v>
      </c>
      <c r="J262" s="2">
        <v>2.2855312989529211E-2</v>
      </c>
      <c r="K262" s="2">
        <v>0.22375926238166366</v>
      </c>
      <c r="L262" s="2">
        <v>75.421599999999998</v>
      </c>
      <c r="M262" s="2">
        <v>76.952299999999994</v>
      </c>
      <c r="N262" s="2">
        <v>3.9922281068580645E-3</v>
      </c>
      <c r="O262" s="2">
        <v>8.9401632009451504E-3</v>
      </c>
      <c r="P262" s="2">
        <v>69.527933884297511</v>
      </c>
      <c r="Q262" s="2">
        <v>-4.3887857940606345E-2</v>
      </c>
      <c r="R262" s="2">
        <v>9.8513160503742019E-3</v>
      </c>
      <c r="S262" s="2">
        <v>3.2706629039903415E-2</v>
      </c>
      <c r="T262" s="2">
        <v>0</v>
      </c>
      <c r="U262" s="2">
        <v>0</v>
      </c>
      <c r="V262" s="2">
        <v>0</v>
      </c>
      <c r="W262" s="2">
        <v>0</v>
      </c>
      <c r="X262" s="2">
        <v>-4.9724348441147898E-3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1</v>
      </c>
      <c r="CR262" s="2">
        <v>1</v>
      </c>
      <c r="CS262" s="2">
        <v>1</v>
      </c>
      <c r="CT262" s="2">
        <v>0</v>
      </c>
    </row>
    <row r="263" spans="1:98" x14ac:dyDescent="0.2">
      <c r="A263" s="2" t="s">
        <v>542</v>
      </c>
      <c r="B263" s="2">
        <v>121.241</v>
      </c>
      <c r="C263" s="2">
        <v>-628.21</v>
      </c>
      <c r="D263" s="2">
        <v>-3209.8136600654893</v>
      </c>
      <c r="E263" s="2">
        <v>-4380.9939092243512</v>
      </c>
      <c r="F263" s="2" t="s">
        <v>281</v>
      </c>
      <c r="G263" s="2">
        <v>90.81</v>
      </c>
      <c r="H263" s="2">
        <v>3.0919620000000001</v>
      </c>
      <c r="I263" s="2">
        <v>1.41</v>
      </c>
      <c r="J263" s="2">
        <v>1.64497192171454E-2</v>
      </c>
      <c r="K263" s="2">
        <v>0.23049401230072269</v>
      </c>
      <c r="L263" s="2">
        <v>75.344800000000006</v>
      </c>
      <c r="M263" s="2">
        <v>75.983000000000004</v>
      </c>
      <c r="N263" s="2">
        <v>-1.0187947267139563E-3</v>
      </c>
      <c r="O263" s="2">
        <v>-1.26761183221058E-2</v>
      </c>
      <c r="P263" s="2">
        <v>72.447867768595032</v>
      </c>
      <c r="Q263" s="2">
        <v>4.1138639735707194E-2</v>
      </c>
      <c r="R263" s="2">
        <v>1.4001519635813611E-2</v>
      </c>
      <c r="S263" s="2">
        <v>3.0451238852959011E-2</v>
      </c>
      <c r="T263" s="2">
        <v>0</v>
      </c>
      <c r="U263" s="2">
        <v>0</v>
      </c>
      <c r="V263" s="2">
        <v>0</v>
      </c>
      <c r="W263" s="2">
        <v>0</v>
      </c>
      <c r="X263" s="2">
        <v>-2.2553901869444039E-3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1</v>
      </c>
      <c r="CR263" s="2">
        <v>1</v>
      </c>
      <c r="CS263" s="2">
        <v>1</v>
      </c>
      <c r="CT263" s="2">
        <v>0</v>
      </c>
    </row>
    <row r="264" spans="1:98" x14ac:dyDescent="0.2">
      <c r="A264" s="2" t="s">
        <v>543</v>
      </c>
      <c r="B264" s="2">
        <v>122.85</v>
      </c>
      <c r="C264" s="2">
        <v>896.84</v>
      </c>
      <c r="D264" s="2">
        <v>4522.351288888889</v>
      </c>
      <c r="E264" s="2">
        <v>7732.1649489543779</v>
      </c>
      <c r="F264" s="2" t="s">
        <v>281</v>
      </c>
      <c r="G264" s="2">
        <v>88.87</v>
      </c>
      <c r="H264" s="2">
        <v>2.875556</v>
      </c>
      <c r="I264" s="2">
        <v>1.47</v>
      </c>
      <c r="J264" s="2">
        <v>1.3756875308891499E-2</v>
      </c>
      <c r="K264" s="2">
        <v>0.23204162013734309</v>
      </c>
      <c r="L264" s="2">
        <v>75.531000000000006</v>
      </c>
      <c r="M264" s="2">
        <v>75.396199999999993</v>
      </c>
      <c r="N264" s="2">
        <v>2.4682565995606254E-3</v>
      </c>
      <c r="O264" s="2">
        <v>-7.7527551888501023E-3</v>
      </c>
      <c r="P264" s="2">
        <v>70.9001432506887</v>
      </c>
      <c r="Q264" s="2">
        <v>-2.1594783951353058E-2</v>
      </c>
      <c r="R264" s="2">
        <v>1.4593002302900086E-2</v>
      </c>
      <c r="S264" s="2">
        <v>2.8349877611791585E-2</v>
      </c>
      <c r="T264" s="2">
        <v>0</v>
      </c>
      <c r="U264" s="2">
        <v>0</v>
      </c>
      <c r="V264" s="2">
        <v>0</v>
      </c>
      <c r="W264" s="2">
        <v>0</v>
      </c>
      <c r="X264" s="2">
        <v>-2.1013612411674258E-3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1</v>
      </c>
      <c r="CR264" s="2">
        <v>1</v>
      </c>
      <c r="CS264" s="2">
        <v>1</v>
      </c>
      <c r="CT264" s="2">
        <v>0</v>
      </c>
    </row>
    <row r="265" spans="1:98" x14ac:dyDescent="0.2">
      <c r="A265" s="2" t="s">
        <v>544</v>
      </c>
      <c r="B265" s="2">
        <v>123.187</v>
      </c>
      <c r="C265" s="2">
        <v>2767.46</v>
      </c>
      <c r="D265" s="2">
        <v>13916.850405968164</v>
      </c>
      <c r="E265" s="2">
        <v>9394.4991170792746</v>
      </c>
      <c r="F265" s="2" t="s">
        <v>281</v>
      </c>
      <c r="G265" s="2">
        <v>77.569999999999993</v>
      </c>
      <c r="H265" s="2">
        <v>2.7773219999999998</v>
      </c>
      <c r="I265" s="2">
        <v>1.56</v>
      </c>
      <c r="J265" s="2">
        <v>1.1914968735300671E-2</v>
      </c>
      <c r="K265" s="2">
        <v>0.22364109996371478</v>
      </c>
      <c r="L265" s="2">
        <v>75.831699999999998</v>
      </c>
      <c r="M265" s="2">
        <v>75.235799999999998</v>
      </c>
      <c r="N265" s="2">
        <v>3.9732430194137081E-3</v>
      </c>
      <c r="O265" s="2">
        <v>-2.1296943627628906E-3</v>
      </c>
      <c r="P265" s="2">
        <v>61.885046831955904</v>
      </c>
      <c r="Q265" s="2">
        <v>-0.13599387324760404</v>
      </c>
      <c r="R265" s="2">
        <v>1.5479570848386375E-2</v>
      </c>
      <c r="S265" s="2">
        <v>2.7394539583687046E-2</v>
      </c>
      <c r="T265" s="2">
        <v>0</v>
      </c>
      <c r="U265" s="2">
        <v>0</v>
      </c>
      <c r="V265" s="2">
        <v>0</v>
      </c>
      <c r="W265" s="2">
        <v>0</v>
      </c>
      <c r="X265" s="2">
        <v>-9.5533802810453955E-4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1</v>
      </c>
      <c r="CR265" s="2">
        <v>1</v>
      </c>
      <c r="CS265" s="2">
        <v>1</v>
      </c>
      <c r="CT265" s="2">
        <v>0</v>
      </c>
    </row>
    <row r="266" spans="1:98" x14ac:dyDescent="0.2">
      <c r="A266" s="2" t="s">
        <v>545</v>
      </c>
      <c r="B266" s="2">
        <v>125.39700000000001</v>
      </c>
      <c r="C266" s="2">
        <v>414.87</v>
      </c>
      <c r="D266" s="2">
        <v>2049.506831263906</v>
      </c>
      <c r="E266" s="2">
        <v>-11867.343574704257</v>
      </c>
      <c r="F266" s="2" t="s">
        <v>281</v>
      </c>
      <c r="G266" s="2">
        <v>78.45</v>
      </c>
      <c r="H266" s="2">
        <v>2.5764969999999998</v>
      </c>
      <c r="I266" s="2">
        <v>1.34</v>
      </c>
      <c r="J266" s="2">
        <v>1.2127632373358024E-2</v>
      </c>
      <c r="K266" s="2">
        <v>0.2194377381668004</v>
      </c>
      <c r="L266" s="2">
        <v>75.334699999999998</v>
      </c>
      <c r="M266" s="2">
        <v>74.680300000000003</v>
      </c>
      <c r="N266" s="2">
        <v>-6.5755589968610195E-3</v>
      </c>
      <c r="O266" s="2">
        <v>-7.4108456978976278E-3</v>
      </c>
      <c r="P266" s="2">
        <v>62.587107438016524</v>
      </c>
      <c r="Q266" s="2">
        <v>1.1280724676262288E-2</v>
      </c>
      <c r="R266" s="2">
        <v>1.3311014059672416E-2</v>
      </c>
      <c r="S266" s="2">
        <v>2.543864643303044E-2</v>
      </c>
      <c r="T266" s="2">
        <v>0</v>
      </c>
      <c r="U266" s="2">
        <v>0</v>
      </c>
      <c r="V266" s="2">
        <v>0</v>
      </c>
      <c r="W266" s="2">
        <v>0</v>
      </c>
      <c r="X266" s="2">
        <v>-1.9558931506566055E-3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1</v>
      </c>
      <c r="CR266" s="2">
        <v>1</v>
      </c>
      <c r="CS266" s="2">
        <v>1</v>
      </c>
      <c r="CT266" s="2">
        <v>0</v>
      </c>
    </row>
    <row r="267" spans="1:98" x14ac:dyDescent="0.2">
      <c r="A267" s="2" t="s">
        <v>546</v>
      </c>
      <c r="B267" s="2">
        <v>126.35299999999999</v>
      </c>
      <c r="C267" s="2">
        <v>-94.67</v>
      </c>
      <c r="D267" s="2">
        <v>-464.14246531542585</v>
      </c>
      <c r="E267" s="2">
        <v>-2513.6492965793318</v>
      </c>
      <c r="F267" s="2" t="s">
        <v>281</v>
      </c>
      <c r="G267" s="2">
        <v>76.88</v>
      </c>
      <c r="H267" s="2">
        <v>2.3514650000000001</v>
      </c>
      <c r="I267" s="2">
        <v>1.03</v>
      </c>
      <c r="J267" s="2">
        <v>1.299512319492073E-2</v>
      </c>
      <c r="K267" s="2">
        <v>0.21056571965264642</v>
      </c>
      <c r="L267" s="2">
        <v>76.514799999999994</v>
      </c>
      <c r="M267" s="2">
        <v>76.506399999999999</v>
      </c>
      <c r="N267" s="2">
        <v>1.5543334140480702E-2</v>
      </c>
      <c r="O267" s="2">
        <v>2.4158061658645202E-2</v>
      </c>
      <c r="P267" s="2">
        <v>61.334567493112935</v>
      </c>
      <c r="Q267" s="2">
        <v>-2.021571451700499E-2</v>
      </c>
      <c r="R267" s="2">
        <v>1.0247316451549499E-2</v>
      </c>
      <c r="S267" s="2">
        <v>2.3242439646470228E-2</v>
      </c>
      <c r="T267" s="2">
        <v>0</v>
      </c>
      <c r="U267" s="2">
        <v>0</v>
      </c>
      <c r="V267" s="2">
        <v>0</v>
      </c>
      <c r="W267" s="2">
        <v>0</v>
      </c>
      <c r="X267" s="2">
        <v>-2.196206786560212E-3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1</v>
      </c>
      <c r="CR267" s="2">
        <v>1</v>
      </c>
      <c r="CS267" s="2">
        <v>1</v>
      </c>
      <c r="CT267" s="2">
        <v>0</v>
      </c>
    </row>
    <row r="268" spans="1:98" x14ac:dyDescent="0.2">
      <c r="A268" s="2" t="s">
        <v>547</v>
      </c>
      <c r="B268" s="2">
        <v>126.627</v>
      </c>
      <c r="C268" s="2">
        <v>-3778.29</v>
      </c>
      <c r="D268" s="2">
        <v>-18483.893451159707</v>
      </c>
      <c r="E268" s="2">
        <v>-18019.750985844283</v>
      </c>
      <c r="F268" s="2" t="s">
        <v>281</v>
      </c>
      <c r="G268" s="2">
        <v>84.52</v>
      </c>
      <c r="H268" s="2">
        <v>2.2208220000000001</v>
      </c>
      <c r="I268" s="2">
        <v>0.35</v>
      </c>
      <c r="J268" s="2">
        <v>1.8471319544616373E-2</v>
      </c>
      <c r="K268" s="2">
        <v>0.20268376152745926</v>
      </c>
      <c r="L268" s="2">
        <v>76.433899999999994</v>
      </c>
      <c r="M268" s="2">
        <v>76.899799999999999</v>
      </c>
      <c r="N268" s="2">
        <v>-1.0578711364592763E-3</v>
      </c>
      <c r="O268" s="2">
        <v>5.1288782640872554E-3</v>
      </c>
      <c r="P268" s="2">
        <v>67.429730027548203</v>
      </c>
      <c r="Q268" s="2">
        <v>9.4742428085819341E-2</v>
      </c>
      <c r="R268" s="2">
        <v>3.4938892542558382E-3</v>
      </c>
      <c r="S268" s="2">
        <v>2.1965208798872211E-2</v>
      </c>
      <c r="T268" s="2">
        <v>0</v>
      </c>
      <c r="U268" s="2">
        <v>0</v>
      </c>
      <c r="V268" s="2">
        <v>0</v>
      </c>
      <c r="W268" s="2">
        <v>0</v>
      </c>
      <c r="X268" s="2">
        <v>-1.2772308475980168E-3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1</v>
      </c>
      <c r="CR268" s="2">
        <v>1</v>
      </c>
      <c r="CS268" s="2">
        <v>1</v>
      </c>
      <c r="CT268" s="2">
        <v>0</v>
      </c>
    </row>
    <row r="269" spans="1:98" x14ac:dyDescent="0.2">
      <c r="A269" s="2" t="s">
        <v>548</v>
      </c>
      <c r="B269" s="2">
        <v>127.509</v>
      </c>
      <c r="C269" s="2">
        <v>1482</v>
      </c>
      <c r="D269" s="2">
        <v>7199.9892713455529</v>
      </c>
      <c r="E269" s="2">
        <v>25683.882722505259</v>
      </c>
      <c r="F269" s="2" t="s">
        <v>281</v>
      </c>
      <c r="G269" s="2">
        <v>83.88</v>
      </c>
      <c r="H269" s="2">
        <v>2.0680459999999998</v>
      </c>
      <c r="I269" s="2">
        <v>1.26</v>
      </c>
      <c r="J269" s="2">
        <v>7.9482419655057535E-3</v>
      </c>
      <c r="K269" s="2">
        <v>0.19296926934879724</v>
      </c>
      <c r="L269" s="2">
        <v>77.116299999999995</v>
      </c>
      <c r="M269" s="2">
        <v>75.8964</v>
      </c>
      <c r="N269" s="2">
        <v>8.888356936363806E-3</v>
      </c>
      <c r="O269" s="2">
        <v>-1.3134023281315521E-2</v>
      </c>
      <c r="P269" s="2">
        <v>66.919140495867765</v>
      </c>
      <c r="Q269" s="2">
        <v>-7.6009867141371146E-3</v>
      </c>
      <c r="R269" s="2">
        <v>1.2521280553671691E-2</v>
      </c>
      <c r="S269" s="2">
        <v>2.0469522519177445E-2</v>
      </c>
      <c r="T269" s="2">
        <v>0</v>
      </c>
      <c r="U269" s="2">
        <v>0</v>
      </c>
      <c r="V269" s="2">
        <v>0</v>
      </c>
      <c r="W269" s="2">
        <v>0</v>
      </c>
      <c r="X269" s="2">
        <v>-1.4956862796947669E-3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1</v>
      </c>
      <c r="CR269" s="2">
        <v>1</v>
      </c>
      <c r="CS269" s="2">
        <v>1</v>
      </c>
      <c r="CT269" s="2">
        <v>0</v>
      </c>
    </row>
    <row r="270" spans="1:98" x14ac:dyDescent="0.2">
      <c r="A270" s="2" t="s">
        <v>549</v>
      </c>
      <c r="B270" s="2">
        <v>129.655</v>
      </c>
      <c r="C270" s="2">
        <v>-1077.3699999999999</v>
      </c>
      <c r="D270" s="2">
        <v>-5147.5443146812686</v>
      </c>
      <c r="E270" s="2">
        <v>-12347.533586026821</v>
      </c>
      <c r="F270" s="2" t="s">
        <v>281</v>
      </c>
      <c r="G270" s="2">
        <v>90.76</v>
      </c>
      <c r="H270" s="2">
        <v>2.012753</v>
      </c>
      <c r="I270" s="2">
        <v>1.22</v>
      </c>
      <c r="J270" s="2">
        <v>7.8014690945782984E-3</v>
      </c>
      <c r="K270" s="2">
        <v>0.18551985608276458</v>
      </c>
      <c r="L270" s="2">
        <v>77.694999999999993</v>
      </c>
      <c r="M270" s="2">
        <v>76.554000000000002</v>
      </c>
      <c r="N270" s="2">
        <v>7.4762332657716257E-3</v>
      </c>
      <c r="O270" s="2">
        <v>8.6271217209938911E-3</v>
      </c>
      <c r="P270" s="2">
        <v>72.407977961432508</v>
      </c>
      <c r="Q270" s="2">
        <v>7.8831453877922009E-2</v>
      </c>
      <c r="R270" s="2">
        <v>1.2126179797840555E-2</v>
      </c>
      <c r="S270" s="2">
        <v>1.9927648892418853E-2</v>
      </c>
      <c r="T270" s="2">
        <v>0</v>
      </c>
      <c r="U270" s="2">
        <v>0</v>
      </c>
      <c r="V270" s="2">
        <v>0</v>
      </c>
      <c r="W270" s="2">
        <v>0</v>
      </c>
      <c r="X270" s="2">
        <v>-5.4187362675859121E-4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1</v>
      </c>
      <c r="CR270" s="2">
        <v>1</v>
      </c>
      <c r="CS270" s="2">
        <v>1</v>
      </c>
      <c r="CT270" s="2">
        <v>0</v>
      </c>
    </row>
    <row r="271" spans="1:98" x14ac:dyDescent="0.2">
      <c r="A271" s="2" t="s">
        <v>550</v>
      </c>
      <c r="B271" s="2">
        <v>131.24</v>
      </c>
      <c r="C271" s="2">
        <v>815.36</v>
      </c>
      <c r="D271" s="2">
        <v>3848.6433355684239</v>
      </c>
      <c r="E271" s="2">
        <v>8996.1876502496925</v>
      </c>
      <c r="F271" s="2" t="s">
        <v>281</v>
      </c>
      <c r="G271" s="2">
        <v>86.17</v>
      </c>
      <c r="H271" s="2">
        <v>1.977279</v>
      </c>
      <c r="I271" s="2">
        <v>1.19</v>
      </c>
      <c r="J271" s="2">
        <v>7.7500958270835564E-3</v>
      </c>
      <c r="K271" s="2">
        <v>0.17601565769347699</v>
      </c>
      <c r="L271" s="2">
        <v>78.343500000000006</v>
      </c>
      <c r="M271" s="2">
        <v>79.692099999999996</v>
      </c>
      <c r="N271" s="2">
        <v>8.3120990497604907E-3</v>
      </c>
      <c r="O271" s="2">
        <v>4.0174085009228477E-2</v>
      </c>
      <c r="P271" s="2">
        <v>68.74609366391185</v>
      </c>
      <c r="Q271" s="2">
        <v>-5.1896570659965668E-2</v>
      </c>
      <c r="R271" s="2">
        <v>1.1829751753577221E-2</v>
      </c>
      <c r="S271" s="2">
        <v>1.9579847580660777E-2</v>
      </c>
      <c r="T271" s="2">
        <v>0</v>
      </c>
      <c r="U271" s="2">
        <v>0</v>
      </c>
      <c r="V271" s="2">
        <v>0</v>
      </c>
      <c r="W271" s="2">
        <v>0</v>
      </c>
      <c r="X271" s="2">
        <v>-3.4780131175807596E-4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1</v>
      </c>
      <c r="CR271" s="2">
        <v>1</v>
      </c>
      <c r="CS271" s="2">
        <v>1</v>
      </c>
      <c r="CT271" s="2">
        <v>0</v>
      </c>
    </row>
    <row r="272" spans="1:98" x14ac:dyDescent="0.2">
      <c r="A272" s="2" t="s">
        <v>551</v>
      </c>
      <c r="B272" s="2">
        <v>132.67400000000001</v>
      </c>
      <c r="C272" s="2">
        <v>-783.77</v>
      </c>
      <c r="D272" s="2">
        <v>-3659.5467425418692</v>
      </c>
      <c r="E272" s="2">
        <v>-7508.1900781102931</v>
      </c>
      <c r="F272" s="2" t="s">
        <v>281</v>
      </c>
      <c r="G272" s="2">
        <v>97.39</v>
      </c>
      <c r="H272" s="2">
        <v>1.9285699999999999</v>
      </c>
      <c r="I272" s="2">
        <v>1.1100000000000001</v>
      </c>
      <c r="J272" s="2">
        <v>8.0632407428528896E-3</v>
      </c>
      <c r="K272" s="2">
        <v>0.1679617468274264</v>
      </c>
      <c r="L272" s="2">
        <v>78.207999999999998</v>
      </c>
      <c r="M272" s="2">
        <v>76.225800000000007</v>
      </c>
      <c r="N272" s="2">
        <v>-1.7310601793818492E-3</v>
      </c>
      <c r="O272" s="2">
        <v>-4.4470471113302601E-2</v>
      </c>
      <c r="P272" s="2">
        <v>77.697366391184573</v>
      </c>
      <c r="Q272" s="2">
        <v>0.12240144672143227</v>
      </c>
      <c r="R272" s="2">
        <v>1.1038847115216448E-2</v>
      </c>
      <c r="S272" s="2">
        <v>1.9102087858069338E-2</v>
      </c>
      <c r="T272" s="2">
        <v>0</v>
      </c>
      <c r="U272" s="2">
        <v>0</v>
      </c>
      <c r="V272" s="2">
        <v>0</v>
      </c>
      <c r="W272" s="2">
        <v>0</v>
      </c>
      <c r="X272" s="2">
        <v>-4.7775972259143928E-4</v>
      </c>
      <c r="Y272" s="2">
        <v>1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1</v>
      </c>
      <c r="CR272" s="2">
        <v>1</v>
      </c>
      <c r="CS272" s="2">
        <v>1</v>
      </c>
      <c r="CT272" s="2">
        <v>0</v>
      </c>
    </row>
    <row r="273" spans="1:98" x14ac:dyDescent="0.2">
      <c r="A273" s="2" t="s">
        <v>552</v>
      </c>
      <c r="B273" s="2">
        <v>132.679</v>
      </c>
      <c r="C273" s="2">
        <v>281.87</v>
      </c>
      <c r="D273" s="2">
        <v>1316.0462478613797</v>
      </c>
      <c r="E273" s="2">
        <v>4975.5929904032491</v>
      </c>
      <c r="F273" s="2" t="s">
        <v>281</v>
      </c>
      <c r="G273" s="2">
        <v>96.75</v>
      </c>
      <c r="H273" s="2">
        <v>1.9679139999999999</v>
      </c>
      <c r="I273" s="2">
        <v>0.44</v>
      </c>
      <c r="J273" s="2">
        <v>1.5097660880346898E-2</v>
      </c>
      <c r="K273" s="2">
        <v>0.15523165987412929</v>
      </c>
      <c r="L273" s="2">
        <v>78.665800000000004</v>
      </c>
      <c r="M273" s="2">
        <v>79.870199999999997</v>
      </c>
      <c r="N273" s="2">
        <v>5.8365552385852837E-3</v>
      </c>
      <c r="O273" s="2">
        <v>4.6702828931687534E-2</v>
      </c>
      <c r="P273" s="2">
        <v>77.186776859504135</v>
      </c>
      <c r="Q273" s="2">
        <v>-6.5932040632166178E-3</v>
      </c>
      <c r="R273" s="2">
        <v>4.390348301292854E-3</v>
      </c>
      <c r="S273" s="2">
        <v>1.9488009181639752E-2</v>
      </c>
      <c r="T273" s="2">
        <v>0</v>
      </c>
      <c r="U273" s="2">
        <v>0</v>
      </c>
      <c r="V273" s="2">
        <v>0</v>
      </c>
      <c r="W273" s="2">
        <v>0</v>
      </c>
      <c r="X273" s="2">
        <v>3.8592132357041439E-4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1</v>
      </c>
      <c r="CR273" s="2">
        <v>1</v>
      </c>
      <c r="CS273" s="2">
        <v>1</v>
      </c>
      <c r="CT273" s="2">
        <v>0</v>
      </c>
    </row>
    <row r="274" spans="1:98" x14ac:dyDescent="0.2">
      <c r="A274" s="2" t="s">
        <v>553</v>
      </c>
      <c r="B274" s="2">
        <v>132.84899999999999</v>
      </c>
      <c r="C274" s="2">
        <v>-700.92</v>
      </c>
      <c r="D274" s="2">
        <v>-3268.3958322606868</v>
      </c>
      <c r="E274" s="2">
        <v>-4584.4420801220667</v>
      </c>
      <c r="F274" s="2" t="s">
        <v>281</v>
      </c>
      <c r="G274" s="2">
        <v>94.55</v>
      </c>
      <c r="H274" s="2">
        <v>1.904053</v>
      </c>
      <c r="I274" s="2">
        <v>0.15</v>
      </c>
      <c r="J274" s="2">
        <v>1.7362651614393983E-2</v>
      </c>
      <c r="K274" s="2">
        <v>0.14973899849899405</v>
      </c>
      <c r="L274" s="2">
        <v>79.199700000000007</v>
      </c>
      <c r="M274" s="2">
        <v>80.947500000000005</v>
      </c>
      <c r="N274" s="2">
        <v>6.7640115867577677E-3</v>
      </c>
      <c r="O274" s="2">
        <v>1.3397979390199488E-2</v>
      </c>
      <c r="P274" s="2">
        <v>75.431625344352625</v>
      </c>
      <c r="Q274" s="2">
        <v>-2.3001536805424827E-2</v>
      </c>
      <c r="R274" s="2">
        <v>1.4988761237359487E-3</v>
      </c>
      <c r="S274" s="2">
        <v>1.8861527738129932E-2</v>
      </c>
      <c r="T274" s="2">
        <v>0</v>
      </c>
      <c r="U274" s="2">
        <v>0</v>
      </c>
      <c r="V274" s="2">
        <v>0</v>
      </c>
      <c r="W274" s="2">
        <v>0</v>
      </c>
      <c r="X274" s="2">
        <v>-6.264814435098208E-4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1</v>
      </c>
      <c r="CR274" s="2">
        <v>1</v>
      </c>
      <c r="CS274" s="2">
        <v>1</v>
      </c>
      <c r="CT274" s="2">
        <v>0</v>
      </c>
    </row>
    <row r="275" spans="1:98" x14ac:dyDescent="0.2">
      <c r="A275" s="2" t="s">
        <v>554</v>
      </c>
      <c r="B275" s="2">
        <v>133.14099999999999</v>
      </c>
      <c r="C275" s="2">
        <v>375.06</v>
      </c>
      <c r="D275" s="2">
        <v>1745.0722809652925</v>
      </c>
      <c r="E275" s="2">
        <v>5013.4681132259793</v>
      </c>
      <c r="F275" s="2" t="s">
        <v>281</v>
      </c>
      <c r="G275" s="2">
        <v>98.82</v>
      </c>
      <c r="H275" s="2">
        <v>1.858622</v>
      </c>
      <c r="I275" s="2">
        <v>0.3</v>
      </c>
      <c r="J275" s="2">
        <v>1.542009802478388E-2</v>
      </c>
      <c r="K275" s="2">
        <v>0.14870937730663256</v>
      </c>
      <c r="L275" s="2">
        <v>79.138900000000007</v>
      </c>
      <c r="M275" s="2">
        <v>79.9619</v>
      </c>
      <c r="N275" s="2">
        <v>-7.6797449248999783E-4</v>
      </c>
      <c r="O275" s="2">
        <v>-1.2250525154643199E-2</v>
      </c>
      <c r="P275" s="2">
        <v>78.838214876033064</v>
      </c>
      <c r="Q275" s="2">
        <v>4.417121831313775E-2</v>
      </c>
      <c r="R275" s="2">
        <v>2.9955089797983709E-3</v>
      </c>
      <c r="S275" s="2">
        <v>1.8415607004582252E-2</v>
      </c>
      <c r="T275" s="2">
        <v>0</v>
      </c>
      <c r="U275" s="2">
        <v>0</v>
      </c>
      <c r="V275" s="2">
        <v>0</v>
      </c>
      <c r="W275" s="2">
        <v>0</v>
      </c>
      <c r="X275" s="2">
        <v>-4.4592073354767989E-4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1</v>
      </c>
      <c r="CR275" s="2">
        <v>1</v>
      </c>
      <c r="CS275" s="2">
        <v>1</v>
      </c>
      <c r="CT275" s="2">
        <v>0</v>
      </c>
    </row>
    <row r="276" spans="1:98" x14ac:dyDescent="0.2">
      <c r="A276" s="2" t="s">
        <v>555</v>
      </c>
      <c r="B276" s="2">
        <v>133.517</v>
      </c>
      <c r="C276" s="2">
        <v>119.46</v>
      </c>
      <c r="D276" s="2">
        <v>554.25603451245911</v>
      </c>
      <c r="E276" s="2">
        <v>-1190.8162464528334</v>
      </c>
      <c r="F276" s="2" t="s">
        <v>281</v>
      </c>
      <c r="G276" s="2">
        <v>94.33</v>
      </c>
      <c r="H276" s="2">
        <v>1.804284</v>
      </c>
      <c r="I276" s="2">
        <v>0.32</v>
      </c>
      <c r="J276" s="2">
        <v>1.4687108861102201E-2</v>
      </c>
      <c r="K276" s="2">
        <v>0.14963961085884325</v>
      </c>
      <c r="L276" s="2">
        <v>79.822100000000006</v>
      </c>
      <c r="M276" s="2">
        <v>79.871700000000004</v>
      </c>
      <c r="N276" s="2">
        <v>8.5958720282688361E-3</v>
      </c>
      <c r="O276" s="2">
        <v>-1.1286739405917956E-3</v>
      </c>
      <c r="P276" s="2">
        <v>75.256110192837468</v>
      </c>
      <c r="Q276" s="2">
        <v>-4.6500740755842429E-2</v>
      </c>
      <c r="R276" s="2">
        <v>3.1948908965192886E-3</v>
      </c>
      <c r="S276" s="2">
        <v>1.7881999757621489E-2</v>
      </c>
      <c r="T276" s="2">
        <v>0</v>
      </c>
      <c r="U276" s="2">
        <v>0</v>
      </c>
      <c r="V276" s="2">
        <v>0</v>
      </c>
      <c r="W276" s="2">
        <v>0</v>
      </c>
      <c r="X276" s="2">
        <v>-5.3360724696076278E-4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1</v>
      </c>
      <c r="CR276" s="2">
        <v>1</v>
      </c>
      <c r="CS276" s="2">
        <v>1</v>
      </c>
      <c r="CT276" s="2">
        <v>0</v>
      </c>
    </row>
    <row r="277" spans="1:98" x14ac:dyDescent="0.2">
      <c r="A277" s="2" t="s">
        <v>556</v>
      </c>
      <c r="B277" s="2">
        <v>134.68899999999999</v>
      </c>
      <c r="C277" s="2">
        <v>38.83</v>
      </c>
      <c r="D277" s="2">
        <v>178.59107336159596</v>
      </c>
      <c r="E277" s="2">
        <v>-375.66496115086318</v>
      </c>
      <c r="F277" s="2" t="s">
        <v>281</v>
      </c>
      <c r="G277" s="2">
        <v>83.87</v>
      </c>
      <c r="H277" s="2">
        <v>1.8043229999999999</v>
      </c>
      <c r="I277" s="2">
        <v>0.47</v>
      </c>
      <c r="J277" s="2">
        <v>1.319339335942114E-2</v>
      </c>
      <c r="K277" s="2">
        <v>0.15091803548296373</v>
      </c>
      <c r="L277" s="2">
        <v>80.330699999999993</v>
      </c>
      <c r="M277" s="2">
        <v>79.697199999999995</v>
      </c>
      <c r="N277" s="2">
        <v>6.3514557320818454E-3</v>
      </c>
      <c r="O277" s="2">
        <v>-2.1871438552434341E-3</v>
      </c>
      <c r="P277" s="2">
        <v>66.911162534435277</v>
      </c>
      <c r="Q277" s="2">
        <v>-0.11753129166544074</v>
      </c>
      <c r="R277" s="2">
        <v>4.6889894861314695E-3</v>
      </c>
      <c r="S277" s="2">
        <v>1.7882382845552609E-2</v>
      </c>
      <c r="T277" s="2">
        <v>0</v>
      </c>
      <c r="U277" s="2">
        <v>0</v>
      </c>
      <c r="V277" s="2">
        <v>0</v>
      </c>
      <c r="W277" s="2">
        <v>0</v>
      </c>
      <c r="X277" s="2">
        <v>3.8308793112035167E-7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1</v>
      </c>
      <c r="CR277" s="2">
        <v>1</v>
      </c>
      <c r="CS277" s="2">
        <v>1</v>
      </c>
      <c r="CT277" s="2">
        <v>0</v>
      </c>
    </row>
    <row r="278" spans="1:98" x14ac:dyDescent="0.2">
      <c r="A278" s="2" t="s">
        <v>557</v>
      </c>
      <c r="B278" s="2">
        <v>136.81399999999999</v>
      </c>
      <c r="C278" s="2">
        <v>1112.58</v>
      </c>
      <c r="D278" s="2">
        <v>5037.617554343853</v>
      </c>
      <c r="E278" s="2">
        <v>4859.0264809822575</v>
      </c>
      <c r="F278" s="2" t="s">
        <v>281</v>
      </c>
      <c r="G278" s="2">
        <v>83.88</v>
      </c>
      <c r="H278" s="2">
        <v>1.7318210000000001</v>
      </c>
      <c r="I278" s="2">
        <v>1.18</v>
      </c>
      <c r="J278" s="2">
        <v>5.4390361060460621E-3</v>
      </c>
      <c r="K278" s="2">
        <v>0.14422943921565176</v>
      </c>
      <c r="L278" s="2">
        <v>80.4255</v>
      </c>
      <c r="M278" s="2">
        <v>79.762299999999996</v>
      </c>
      <c r="N278" s="2">
        <v>1.1794258758195397E-3</v>
      </c>
      <c r="O278" s="2">
        <v>8.1650831235169363E-4</v>
      </c>
      <c r="P278" s="2">
        <v>66.919140495867765</v>
      </c>
      <c r="Q278" s="2">
        <v>1.1922503739825174E-4</v>
      </c>
      <c r="R278" s="2">
        <v>1.1730922875698699E-2</v>
      </c>
      <c r="S278" s="2">
        <v>1.7169958981744761E-2</v>
      </c>
      <c r="T278" s="2">
        <v>0</v>
      </c>
      <c r="U278" s="2">
        <v>0</v>
      </c>
      <c r="V278" s="2">
        <v>0</v>
      </c>
      <c r="W278" s="2">
        <v>0</v>
      </c>
      <c r="X278" s="2">
        <v>-7.1242386380784839E-4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1</v>
      </c>
      <c r="CR278" s="2">
        <v>1</v>
      </c>
      <c r="CS278" s="2">
        <v>1</v>
      </c>
      <c r="CT278" s="2">
        <v>0</v>
      </c>
    </row>
    <row r="279" spans="1:98" x14ac:dyDescent="0.2">
      <c r="A279" s="2" t="s">
        <v>558</v>
      </c>
      <c r="B279" s="2">
        <v>137.38999999999999</v>
      </c>
      <c r="C279" s="2">
        <v>-627.01</v>
      </c>
      <c r="D279" s="2">
        <v>-2827.1173066453166</v>
      </c>
      <c r="E279" s="2">
        <v>-7864.7348609891696</v>
      </c>
      <c r="F279" s="2" t="s">
        <v>281</v>
      </c>
      <c r="G279" s="2">
        <v>79.5</v>
      </c>
      <c r="H279" s="2">
        <v>1.672399</v>
      </c>
      <c r="I279" s="2">
        <v>0.5</v>
      </c>
      <c r="J279" s="2">
        <v>1.1598142457233196E-2</v>
      </c>
      <c r="K279" s="2">
        <v>0.14283245847796425</v>
      </c>
      <c r="L279" s="2">
        <v>81.404499999999999</v>
      </c>
      <c r="M279" s="2">
        <v>81.440700000000007</v>
      </c>
      <c r="N279" s="2">
        <v>1.2099263957654038E-2</v>
      </c>
      <c r="O279" s="2">
        <v>2.0824186302799141E-2</v>
      </c>
      <c r="P279" s="2">
        <v>63.424793388429755</v>
      </c>
      <c r="Q279" s="2">
        <v>-5.3630184373433032E-2</v>
      </c>
      <c r="R279" s="2">
        <v>4.9875415110389679E-3</v>
      </c>
      <c r="S279" s="2">
        <v>1.6585683968272164E-2</v>
      </c>
      <c r="T279" s="2">
        <v>0</v>
      </c>
      <c r="U279" s="2">
        <v>0</v>
      </c>
      <c r="V279" s="2">
        <v>0</v>
      </c>
      <c r="W279" s="2">
        <v>0</v>
      </c>
      <c r="X279" s="2">
        <v>-5.8427501347259672E-4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1</v>
      </c>
      <c r="CR279" s="2">
        <v>1</v>
      </c>
      <c r="CS279" s="2">
        <v>1</v>
      </c>
      <c r="CT279" s="2">
        <v>0</v>
      </c>
    </row>
    <row r="280" spans="1:98" x14ac:dyDescent="0.2">
      <c r="A280" s="2" t="s">
        <v>559</v>
      </c>
      <c r="B280" s="2">
        <v>138.99</v>
      </c>
      <c r="C280" s="2">
        <v>-1038.1099999999999</v>
      </c>
      <c r="D280" s="2">
        <v>-4626.8381204403186</v>
      </c>
      <c r="E280" s="2">
        <v>-1799.720813795002</v>
      </c>
      <c r="F280" s="2" t="s">
        <v>281</v>
      </c>
      <c r="G280" s="2">
        <v>88.84</v>
      </c>
      <c r="H280" s="2">
        <v>1.6416329999999999</v>
      </c>
      <c r="I280" s="2">
        <v>0.51</v>
      </c>
      <c r="J280" s="2">
        <v>1.1195999795498089E-2</v>
      </c>
      <c r="K280" s="2">
        <v>0.13555713872884595</v>
      </c>
      <c r="L280" s="2">
        <v>81.971699999999998</v>
      </c>
      <c r="M280" s="2">
        <v>82.321100000000001</v>
      </c>
      <c r="N280" s="2">
        <v>6.943511708993988E-3</v>
      </c>
      <c r="O280" s="2">
        <v>1.0752305874222934E-2</v>
      </c>
      <c r="P280" s="2">
        <v>70.876209366391194</v>
      </c>
      <c r="Q280" s="2">
        <v>0.11107997736594122</v>
      </c>
      <c r="R280" s="2">
        <v>5.0870390485572093E-3</v>
      </c>
      <c r="S280" s="2">
        <v>1.6283038844055298E-2</v>
      </c>
      <c r="T280" s="2">
        <v>0</v>
      </c>
      <c r="U280" s="2">
        <v>0</v>
      </c>
      <c r="V280" s="2">
        <v>0</v>
      </c>
      <c r="W280" s="2">
        <v>0</v>
      </c>
      <c r="X280" s="2">
        <v>-3.0264512421686665E-4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1</v>
      </c>
      <c r="CR280" s="2">
        <v>1</v>
      </c>
      <c r="CS280" s="2">
        <v>1</v>
      </c>
      <c r="CT280" s="2">
        <v>0</v>
      </c>
    </row>
    <row r="281" spans="1:98" x14ac:dyDescent="0.2">
      <c r="A281" s="2" t="s">
        <v>560</v>
      </c>
      <c r="B281" s="2">
        <v>139.80699999999999</v>
      </c>
      <c r="C281" s="2">
        <v>-126.28</v>
      </c>
      <c r="D281" s="2">
        <v>-559.53871608717736</v>
      </c>
      <c r="E281" s="2">
        <v>4067.2994043531412</v>
      </c>
      <c r="F281" s="2" t="s">
        <v>281</v>
      </c>
      <c r="G281" s="2">
        <v>91.01</v>
      </c>
      <c r="H281" s="2">
        <v>1.6596420000000001</v>
      </c>
      <c r="I281" s="2">
        <v>0.88</v>
      </c>
      <c r="J281" s="2">
        <v>7.6986988134954883E-3</v>
      </c>
      <c r="K281" s="2">
        <v>0.13530759557683569</v>
      </c>
      <c r="L281" s="2">
        <v>82.020899999999997</v>
      </c>
      <c r="M281" s="2">
        <v>81.412300000000002</v>
      </c>
      <c r="N281" s="2">
        <v>6.0002709239448393E-4</v>
      </c>
      <c r="O281" s="2">
        <v>-1.1101086680077366E-2</v>
      </c>
      <c r="P281" s="2">
        <v>72.607426997245184</v>
      </c>
      <c r="Q281" s="2">
        <v>2.4132391563036926E-2</v>
      </c>
      <c r="R281" s="2">
        <v>8.7615056685726705E-3</v>
      </c>
      <c r="S281" s="2">
        <v>1.6460204482068159E-2</v>
      </c>
      <c r="T281" s="2">
        <v>0</v>
      </c>
      <c r="U281" s="2">
        <v>0</v>
      </c>
      <c r="V281" s="2">
        <v>0</v>
      </c>
      <c r="W281" s="2">
        <v>0</v>
      </c>
      <c r="X281" s="2">
        <v>1.7716563801286125E-4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1</v>
      </c>
      <c r="CR281" s="2">
        <v>1</v>
      </c>
      <c r="CS281" s="2">
        <v>1</v>
      </c>
      <c r="CT281" s="2">
        <v>0</v>
      </c>
    </row>
    <row r="282" spans="1:98" x14ac:dyDescent="0.2">
      <c r="A282" s="2" t="s">
        <v>561</v>
      </c>
      <c r="B282" s="2">
        <v>140.22900000000001</v>
      </c>
      <c r="C282" s="2">
        <v>-713.05</v>
      </c>
      <c r="D282" s="2">
        <v>-3149.9715593778742</v>
      </c>
      <c r="E282" s="2">
        <v>-2590.4328432906968</v>
      </c>
      <c r="F282" s="2" t="s">
        <v>281</v>
      </c>
      <c r="G282" s="2">
        <v>93.42</v>
      </c>
      <c r="H282" s="2">
        <v>1.5844689999999999</v>
      </c>
      <c r="I282" s="2">
        <v>0.41</v>
      </c>
      <c r="J282" s="2">
        <v>1.1628855394889694E-2</v>
      </c>
      <c r="K282" s="2">
        <v>0.1391349818771471</v>
      </c>
      <c r="L282" s="2">
        <v>82.509500000000003</v>
      </c>
      <c r="M282" s="2">
        <v>81.5137</v>
      </c>
      <c r="N282" s="2">
        <v>5.9393453892182535E-3</v>
      </c>
      <c r="O282" s="2">
        <v>1.2447370351216236E-3</v>
      </c>
      <c r="P282" s="2">
        <v>74.53011570247935</v>
      </c>
      <c r="Q282" s="2">
        <v>2.6136064484697741E-2</v>
      </c>
      <c r="R282" s="2">
        <v>4.0916179032535575E-3</v>
      </c>
      <c r="S282" s="2">
        <v>1.5720473298143252E-2</v>
      </c>
      <c r="T282" s="2">
        <v>0</v>
      </c>
      <c r="U282" s="2">
        <v>0</v>
      </c>
      <c r="V282" s="2">
        <v>0</v>
      </c>
      <c r="W282" s="2">
        <v>0</v>
      </c>
      <c r="X282" s="2">
        <v>-7.3973118392490697E-4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1</v>
      </c>
      <c r="CR282" s="2">
        <v>1</v>
      </c>
      <c r="CS282" s="2">
        <v>1</v>
      </c>
      <c r="CT282" s="2">
        <v>0</v>
      </c>
    </row>
    <row r="283" spans="1:98" x14ac:dyDescent="0.2">
      <c r="A283" s="2" t="s">
        <v>562</v>
      </c>
      <c r="B283" s="2">
        <v>141.20699999999999</v>
      </c>
      <c r="C283" s="2">
        <v>321.31</v>
      </c>
      <c r="D283" s="2">
        <v>1409.5889974293059</v>
      </c>
      <c r="E283" s="2">
        <v>4559.5605568071805</v>
      </c>
      <c r="F283" s="2" t="s">
        <v>281</v>
      </c>
      <c r="G283" s="2">
        <v>94.8</v>
      </c>
      <c r="H283" s="2">
        <v>1.606833</v>
      </c>
      <c r="I283" s="2">
        <v>0.54</v>
      </c>
      <c r="J283" s="2">
        <v>1.0555128555515471E-2</v>
      </c>
      <c r="K283" s="2">
        <v>0.14194001460557898</v>
      </c>
      <c r="L283" s="2">
        <v>82.925299999999993</v>
      </c>
      <c r="M283" s="2">
        <v>84.075999999999993</v>
      </c>
      <c r="N283" s="2">
        <v>5.0267643270736073E-3</v>
      </c>
      <c r="O283" s="2">
        <v>3.0950047418319748E-2</v>
      </c>
      <c r="P283" s="2">
        <v>75.631074380165302</v>
      </c>
      <c r="Q283" s="2">
        <v>1.4663954187014383E-2</v>
      </c>
      <c r="R283" s="2">
        <v>5.385472276337888E-3</v>
      </c>
      <c r="S283" s="2">
        <v>1.594060083185336E-2</v>
      </c>
      <c r="T283" s="2">
        <v>0</v>
      </c>
      <c r="U283" s="2">
        <v>0</v>
      </c>
      <c r="V283" s="2">
        <v>0</v>
      </c>
      <c r="W283" s="2">
        <v>0</v>
      </c>
      <c r="X283" s="2">
        <v>2.2012753371010788E-4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1</v>
      </c>
      <c r="CR283" s="2">
        <v>1</v>
      </c>
      <c r="CS283" s="2">
        <v>1</v>
      </c>
      <c r="CT283" s="2">
        <v>0</v>
      </c>
    </row>
    <row r="284" spans="1:98" x14ac:dyDescent="0.2">
      <c r="A284" s="2" t="s">
        <v>563</v>
      </c>
      <c r="B284" s="2">
        <v>141.33000000000001</v>
      </c>
      <c r="C284" s="2">
        <v>606.6</v>
      </c>
      <c r="D284" s="2">
        <v>2658.8420123116107</v>
      </c>
      <c r="E284" s="2">
        <v>1249.2530148823048</v>
      </c>
      <c r="F284" s="2" t="s">
        <v>281</v>
      </c>
      <c r="G284" s="2">
        <v>98.78</v>
      </c>
      <c r="H284" s="2">
        <v>1.603844</v>
      </c>
      <c r="I284" s="2">
        <v>0.22</v>
      </c>
      <c r="J284" s="2">
        <v>1.3713599542760075E-2</v>
      </c>
      <c r="K284" s="2">
        <v>0.1475903734054862</v>
      </c>
      <c r="L284" s="2">
        <v>83.546400000000006</v>
      </c>
      <c r="M284" s="2">
        <v>80.716300000000004</v>
      </c>
      <c r="N284" s="2">
        <v>7.4619635883816926E-3</v>
      </c>
      <c r="O284" s="2">
        <v>-4.0780614165782936E-2</v>
      </c>
      <c r="P284" s="2">
        <v>78.806303030303056</v>
      </c>
      <c r="Q284" s="2">
        <v>4.1125745851502415E-2</v>
      </c>
      <c r="R284" s="2">
        <v>2.1975835434872013E-3</v>
      </c>
      <c r="S284" s="2">
        <v>1.5911183086247276E-2</v>
      </c>
      <c r="T284" s="2">
        <v>0</v>
      </c>
      <c r="U284" s="2">
        <v>0</v>
      </c>
      <c r="V284" s="2">
        <v>0</v>
      </c>
      <c r="W284" s="2">
        <v>0</v>
      </c>
      <c r="X284" s="2">
        <v>-2.941774560608415E-5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1</v>
      </c>
      <c r="CR284" s="2">
        <v>1</v>
      </c>
      <c r="CS284" s="2">
        <v>1</v>
      </c>
      <c r="CT284" s="2">
        <v>0</v>
      </c>
    </row>
    <row r="285" spans="1:98" x14ac:dyDescent="0.2">
      <c r="A285" s="2" t="s">
        <v>564</v>
      </c>
      <c r="B285" s="2">
        <v>141.268</v>
      </c>
      <c r="C285" s="2">
        <v>-2065.5300000000002</v>
      </c>
      <c r="D285" s="2">
        <v>-9057.5803598833427</v>
      </c>
      <c r="E285" s="2">
        <v>-11716.422372194953</v>
      </c>
      <c r="F285" s="2" t="s">
        <v>281</v>
      </c>
      <c r="G285" s="2">
        <v>98.88</v>
      </c>
      <c r="H285" s="2">
        <v>1.585855</v>
      </c>
      <c r="I285" s="2">
        <v>-0.02</v>
      </c>
      <c r="J285" s="2">
        <v>1.5934137025668593E-2</v>
      </c>
      <c r="K285" s="2">
        <v>0.1484268495508079</v>
      </c>
      <c r="L285" s="2">
        <v>84.433999999999997</v>
      </c>
      <c r="M285" s="2">
        <v>85.2607</v>
      </c>
      <c r="N285" s="2">
        <v>1.0567997942293239E-2</v>
      </c>
      <c r="O285" s="2">
        <v>5.4773083952034618E-2</v>
      </c>
      <c r="P285" s="2">
        <v>78.886082644628118</v>
      </c>
      <c r="Q285" s="2">
        <v>1.011838596902237E-3</v>
      </c>
      <c r="R285" s="2">
        <v>-2.000200026670447E-4</v>
      </c>
      <c r="S285" s="2">
        <v>1.5734117023001547E-2</v>
      </c>
      <c r="T285" s="2">
        <v>0</v>
      </c>
      <c r="U285" s="2">
        <v>0</v>
      </c>
      <c r="V285" s="2">
        <v>0</v>
      </c>
      <c r="W285" s="2">
        <v>0</v>
      </c>
      <c r="X285" s="2">
        <v>-1.7706606324572813E-4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1</v>
      </c>
      <c r="CR285" s="2">
        <v>1</v>
      </c>
      <c r="CS285" s="2">
        <v>1</v>
      </c>
      <c r="CT285" s="2">
        <v>0</v>
      </c>
    </row>
    <row r="286" spans="1:98" x14ac:dyDescent="0.2">
      <c r="A286" s="2" t="s">
        <v>565</v>
      </c>
      <c r="B286" s="2">
        <v>142.101</v>
      </c>
      <c r="C286" s="2">
        <v>1020.54</v>
      </c>
      <c r="D286" s="2">
        <v>4448.9485439229838</v>
      </c>
      <c r="E286" s="2">
        <v>13506.528903806327</v>
      </c>
      <c r="F286" s="2" t="s">
        <v>281</v>
      </c>
      <c r="G286" s="2">
        <v>101.04</v>
      </c>
      <c r="H286" s="2">
        <v>1.5902810000000001</v>
      </c>
      <c r="I286" s="2">
        <v>0.06</v>
      </c>
      <c r="J286" s="2">
        <v>1.5177865059846867E-2</v>
      </c>
      <c r="K286" s="2">
        <v>0.14624206299626075</v>
      </c>
      <c r="L286" s="2">
        <v>85.197800000000001</v>
      </c>
      <c r="M286" s="2">
        <v>86.751499999999993</v>
      </c>
      <c r="N286" s="2">
        <v>9.0054478215346734E-3</v>
      </c>
      <c r="O286" s="2">
        <v>1.7334088259777225E-2</v>
      </c>
      <c r="P286" s="2">
        <v>80.609322314049621</v>
      </c>
      <c r="Q286" s="2">
        <v>2.1609484332855367E-2</v>
      </c>
      <c r="R286" s="2">
        <v>5.9982007196754947E-4</v>
      </c>
      <c r="S286" s="2">
        <v>1.5777685131814417E-2</v>
      </c>
      <c r="T286" s="2">
        <v>0</v>
      </c>
      <c r="U286" s="2">
        <v>0</v>
      </c>
      <c r="V286" s="2">
        <v>0</v>
      </c>
      <c r="W286" s="2">
        <v>0</v>
      </c>
      <c r="X286" s="2">
        <v>4.3568108812869211E-5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1</v>
      </c>
      <c r="CR286" s="2">
        <v>1</v>
      </c>
      <c r="CS286" s="2">
        <v>1</v>
      </c>
      <c r="CT286" s="2">
        <v>0</v>
      </c>
    </row>
    <row r="287" spans="1:98" x14ac:dyDescent="0.2">
      <c r="A287" s="2" t="s">
        <v>566</v>
      </c>
      <c r="B287" s="2">
        <v>142.58699999999999</v>
      </c>
      <c r="C287" s="2">
        <v>1549</v>
      </c>
      <c r="D287" s="2">
        <v>6729.7041385259536</v>
      </c>
      <c r="E287" s="2">
        <v>2280.7555946029697</v>
      </c>
      <c r="F287" s="2" t="s">
        <v>281</v>
      </c>
      <c r="G287" s="2">
        <v>103.63</v>
      </c>
      <c r="H287" s="2">
        <v>1.6728879999999999</v>
      </c>
      <c r="I287" s="2">
        <v>0.23</v>
      </c>
      <c r="J287" s="2">
        <v>1.4293134472907781E-2</v>
      </c>
      <c r="K287" s="2">
        <v>0.14511509944438467</v>
      </c>
      <c r="L287" s="2">
        <v>85.917699999999996</v>
      </c>
      <c r="M287" s="2">
        <v>86.739800000000002</v>
      </c>
      <c r="N287" s="2">
        <v>8.4142494090899689E-3</v>
      </c>
      <c r="O287" s="2">
        <v>-1.3487708049542135E-4</v>
      </c>
      <c r="P287" s="2">
        <v>82.675614325068892</v>
      </c>
      <c r="Q287" s="2">
        <v>2.531038515389028E-2</v>
      </c>
      <c r="R287" s="2">
        <v>2.2973590486834584E-3</v>
      </c>
      <c r="S287" s="2">
        <v>1.659049352159124E-2</v>
      </c>
      <c r="T287" s="2">
        <v>0</v>
      </c>
      <c r="U287" s="2">
        <v>0</v>
      </c>
      <c r="V287" s="2">
        <v>0</v>
      </c>
      <c r="W287" s="2">
        <v>0</v>
      </c>
      <c r="X287" s="2">
        <v>8.128083897768236E-4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1</v>
      </c>
      <c r="CR287" s="2">
        <v>1</v>
      </c>
      <c r="CS287" s="2">
        <v>1</v>
      </c>
      <c r="CT287" s="2">
        <v>0</v>
      </c>
    </row>
    <row r="288" spans="1:98" x14ac:dyDescent="0.2">
      <c r="A288" s="2" t="s">
        <v>567</v>
      </c>
      <c r="B288" s="2">
        <v>143.77099999999999</v>
      </c>
      <c r="C288" s="2">
        <v>56.11</v>
      </c>
      <c r="D288" s="2">
        <v>241.76501770176185</v>
      </c>
      <c r="E288" s="2">
        <v>-6487.9391208241914</v>
      </c>
      <c r="F288" s="2" t="s">
        <v>281</v>
      </c>
      <c r="G288" s="2">
        <v>92.89</v>
      </c>
      <c r="H288" s="2">
        <v>3.0434800000000002</v>
      </c>
      <c r="I288" s="2">
        <v>0.17</v>
      </c>
      <c r="J288" s="2">
        <v>2.828229245399138E-2</v>
      </c>
      <c r="K288" s="2">
        <v>0.15871028303727386</v>
      </c>
      <c r="L288" s="2">
        <v>86.674800000000005</v>
      </c>
      <c r="M288" s="2">
        <v>87.084100000000007</v>
      </c>
      <c r="N288" s="2">
        <v>8.7733227832567096E-3</v>
      </c>
      <c r="O288" s="2">
        <v>3.961485736642345E-3</v>
      </c>
      <c r="P288" s="2">
        <v>74.107283746556504</v>
      </c>
      <c r="Q288" s="2">
        <v>-0.10941086579669701</v>
      </c>
      <c r="R288" s="2">
        <v>1.6985566355815121E-3</v>
      </c>
      <c r="S288" s="2">
        <v>2.9980849089572891E-2</v>
      </c>
      <c r="T288" s="2">
        <v>1</v>
      </c>
      <c r="U288" s="2">
        <v>0</v>
      </c>
      <c r="V288" s="2">
        <v>0</v>
      </c>
      <c r="W288" s="2">
        <v>0</v>
      </c>
      <c r="X288" s="2">
        <v>1.3390355567981651E-2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1</v>
      </c>
      <c r="CS288" s="2">
        <v>1</v>
      </c>
      <c r="CT288" s="2">
        <v>0</v>
      </c>
    </row>
    <row r="289" spans="1:98" x14ac:dyDescent="0.2">
      <c r="A289" s="2" t="s">
        <v>568</v>
      </c>
      <c r="B289" s="2">
        <v>144.76499999999999</v>
      </c>
      <c r="C289" s="2">
        <v>2278.4</v>
      </c>
      <c r="D289" s="2">
        <v>9749.6916961972856</v>
      </c>
      <c r="E289" s="2">
        <v>9507.9266784955234</v>
      </c>
      <c r="F289" s="2" t="s">
        <v>281</v>
      </c>
      <c r="G289" s="2">
        <v>81.16</v>
      </c>
      <c r="H289" s="2">
        <v>2.9723670000000002</v>
      </c>
      <c r="I289" s="2">
        <v>0.43</v>
      </c>
      <c r="J289" s="2">
        <v>2.4999703277056425E-2</v>
      </c>
      <c r="K289" s="2">
        <v>0.17051659295490912</v>
      </c>
      <c r="L289" s="2">
        <v>86.945400000000006</v>
      </c>
      <c r="M289" s="2">
        <v>86.895099999999999</v>
      </c>
      <c r="N289" s="2">
        <v>3.1171513350409796E-3</v>
      </c>
      <c r="O289" s="2">
        <v>-2.1726743696728334E-3</v>
      </c>
      <c r="P289" s="2">
        <v>64.749134986225911</v>
      </c>
      <c r="Q289" s="2">
        <v>-0.13499348244181508</v>
      </c>
      <c r="R289" s="2">
        <v>4.2907814171562458E-3</v>
      </c>
      <c r="S289" s="2">
        <v>2.9290484694212669E-2</v>
      </c>
      <c r="T289" s="2">
        <v>0</v>
      </c>
      <c r="U289" s="2">
        <v>1</v>
      </c>
      <c r="V289" s="2">
        <v>0</v>
      </c>
      <c r="W289" s="2">
        <v>0</v>
      </c>
      <c r="X289" s="2">
        <v>-6.9036439536022259E-4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1</v>
      </c>
      <c r="CS289" s="2">
        <v>1</v>
      </c>
      <c r="CT289" s="2">
        <v>0</v>
      </c>
    </row>
    <row r="290" spans="1:98" x14ac:dyDescent="0.2">
      <c r="A290" s="2" t="s">
        <v>569</v>
      </c>
      <c r="B290" s="2">
        <v>146.03800000000001</v>
      </c>
      <c r="C290" s="2">
        <v>-243.4</v>
      </c>
      <c r="D290" s="2">
        <v>-1032.4741396074994</v>
      </c>
      <c r="E290" s="2">
        <v>-10782.165835804784</v>
      </c>
      <c r="F290" s="2" t="s">
        <v>281</v>
      </c>
      <c r="G290" s="2">
        <v>80.819999999999993</v>
      </c>
      <c r="H290" s="2">
        <v>2.6699730000000002</v>
      </c>
      <c r="I290" s="2">
        <v>0.71</v>
      </c>
      <c r="J290" s="2">
        <v>1.927459867231076E-2</v>
      </c>
      <c r="K290" s="2">
        <v>0.18435215552117382</v>
      </c>
      <c r="L290" s="2">
        <v>87.383799999999994</v>
      </c>
      <c r="M290" s="2">
        <v>86.482100000000003</v>
      </c>
      <c r="N290" s="2">
        <v>5.0295753570797075E-3</v>
      </c>
      <c r="O290" s="2">
        <v>-4.7641879228814688E-3</v>
      </c>
      <c r="P290" s="2">
        <v>64.477884297520674</v>
      </c>
      <c r="Q290" s="2">
        <v>-4.1980553072864524E-3</v>
      </c>
      <c r="R290" s="2">
        <v>7.0749136719619847E-3</v>
      </c>
      <c r="S290" s="2">
        <v>2.6349512344272744E-2</v>
      </c>
      <c r="T290" s="2">
        <v>0</v>
      </c>
      <c r="U290" s="2">
        <v>0</v>
      </c>
      <c r="V290" s="2">
        <v>0</v>
      </c>
      <c r="W290" s="2">
        <v>0</v>
      </c>
      <c r="X290" s="2">
        <v>-2.9409723499399243E-3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1</v>
      </c>
      <c r="CT290" s="2">
        <v>0</v>
      </c>
    </row>
    <row r="291" spans="1:98" x14ac:dyDescent="0.2">
      <c r="A291" s="2" t="s">
        <v>570</v>
      </c>
      <c r="B291" s="2">
        <v>146.06700000000001</v>
      </c>
      <c r="C291" s="2">
        <v>-68.13</v>
      </c>
      <c r="D291" s="2">
        <v>-288.94206001355536</v>
      </c>
      <c r="E291" s="2">
        <v>743.53207959394399</v>
      </c>
      <c r="F291" s="2" t="s">
        <v>281</v>
      </c>
      <c r="G291" s="2">
        <v>78.739999999999995</v>
      </c>
      <c r="H291" s="2">
        <v>2.1297929999999998</v>
      </c>
      <c r="I291" s="2">
        <v>0.46</v>
      </c>
      <c r="J291" s="2">
        <v>1.6484846437503142E-2</v>
      </c>
      <c r="K291" s="2">
        <v>0.18923885950144376</v>
      </c>
      <c r="L291" s="2">
        <v>87.481999999999999</v>
      </c>
      <c r="M291" s="2">
        <v>87.638099999999994</v>
      </c>
      <c r="N291" s="2">
        <v>1.1231471256580861E-3</v>
      </c>
      <c r="O291" s="2">
        <v>1.3278378786548473E-2</v>
      </c>
      <c r="P291" s="2">
        <v>62.818468319559244</v>
      </c>
      <c r="Q291" s="2">
        <v>-2.6073174134736199E-2</v>
      </c>
      <c r="R291" s="2">
        <v>4.589452333807224E-3</v>
      </c>
      <c r="S291" s="2">
        <v>2.1074298771310368E-2</v>
      </c>
      <c r="T291" s="2">
        <v>0</v>
      </c>
      <c r="U291" s="2">
        <v>0</v>
      </c>
      <c r="V291" s="2">
        <v>0</v>
      </c>
      <c r="W291" s="2">
        <v>0</v>
      </c>
      <c r="X291" s="2">
        <v>-5.2752135729623763E-3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1</v>
      </c>
      <c r="CT291" s="2">
        <v>0</v>
      </c>
    </row>
    <row r="292" spans="1:98" x14ac:dyDescent="0.2">
      <c r="A292" s="2" t="s">
        <v>571</v>
      </c>
      <c r="B292" s="2">
        <v>146.40799999999999</v>
      </c>
      <c r="C292" s="2">
        <v>-3372.41</v>
      </c>
      <c r="D292" s="2">
        <v>-14269.213821375881</v>
      </c>
      <c r="E292" s="2">
        <v>-13980.271761362326</v>
      </c>
      <c r="F292" s="2" t="s">
        <v>281</v>
      </c>
      <c r="G292" s="2">
        <v>91.67</v>
      </c>
      <c r="H292" s="2">
        <v>2.2007289999999999</v>
      </c>
      <c r="I292" s="2">
        <v>0.34</v>
      </c>
      <c r="J292" s="2">
        <v>1.8374391760463783E-2</v>
      </c>
      <c r="K292" s="2">
        <v>0.19641725146640948</v>
      </c>
      <c r="L292" s="2">
        <v>87.552000000000007</v>
      </c>
      <c r="M292" s="2">
        <v>88.436499999999995</v>
      </c>
      <c r="N292" s="2">
        <v>7.9984464426186008E-4</v>
      </c>
      <c r="O292" s="2">
        <v>9.0689454592292051E-3</v>
      </c>
      <c r="P292" s="2">
        <v>73.133972451790655</v>
      </c>
      <c r="Q292" s="2">
        <v>0.15204388645809264</v>
      </c>
      <c r="R292" s="2">
        <v>3.394233068015617E-3</v>
      </c>
      <c r="S292" s="2">
        <v>2.17686248284794E-2</v>
      </c>
      <c r="T292" s="2">
        <v>0</v>
      </c>
      <c r="U292" s="2">
        <v>0</v>
      </c>
      <c r="V292" s="2">
        <v>0</v>
      </c>
      <c r="W292" s="2">
        <v>0</v>
      </c>
      <c r="X292" s="2">
        <v>6.9432605716903198E-4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1</v>
      </c>
      <c r="CT292" s="2">
        <v>0</v>
      </c>
    </row>
    <row r="293" spans="1:98" x14ac:dyDescent="0.2">
      <c r="A293" s="2" t="s">
        <v>572</v>
      </c>
      <c r="B293" s="2">
        <v>146.21100000000001</v>
      </c>
      <c r="C293" s="2">
        <v>-1098.98</v>
      </c>
      <c r="D293" s="2">
        <v>-4656.2278794345157</v>
      </c>
      <c r="E293" s="2">
        <v>9612.985941941366</v>
      </c>
      <c r="F293" s="2" t="s">
        <v>281</v>
      </c>
      <c r="G293" s="2">
        <v>88.19</v>
      </c>
      <c r="H293" s="2">
        <v>1.706698</v>
      </c>
      <c r="I293" s="2">
        <v>0.24</v>
      </c>
      <c r="J293" s="2">
        <v>1.4525850671650306E-2</v>
      </c>
      <c r="K293" s="2">
        <v>0.20324440332456428</v>
      </c>
      <c r="L293" s="2">
        <v>87.853999999999999</v>
      </c>
      <c r="M293" s="2">
        <v>86.300799999999995</v>
      </c>
      <c r="N293" s="2">
        <v>3.4434431936043453E-3</v>
      </c>
      <c r="O293" s="2">
        <v>-2.444591231830362E-2</v>
      </c>
      <c r="P293" s="2">
        <v>70.357641873278254</v>
      </c>
      <c r="Q293" s="2">
        <v>-3.8701594073594414E-2</v>
      </c>
      <c r="R293" s="2">
        <v>2.3971245997214514E-3</v>
      </c>
      <c r="S293" s="2">
        <v>1.6922975271371758E-2</v>
      </c>
      <c r="T293" s="2">
        <v>0</v>
      </c>
      <c r="U293" s="2">
        <v>0</v>
      </c>
      <c r="V293" s="2">
        <v>0</v>
      </c>
      <c r="W293" s="2">
        <v>0</v>
      </c>
      <c r="X293" s="2">
        <v>-4.8456495571076418E-3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1</v>
      </c>
      <c r="CT293" s="2">
        <v>0</v>
      </c>
    </row>
    <row r="294" spans="1:98" x14ac:dyDescent="0.2">
      <c r="A294" s="2" t="s">
        <v>573</v>
      </c>
      <c r="B294" s="2">
        <v>146.54400000000001</v>
      </c>
      <c r="C294" s="2">
        <v>214.11</v>
      </c>
      <c r="D294" s="2">
        <v>905.09339420242384</v>
      </c>
      <c r="E294" s="2">
        <v>5561.3212736369396</v>
      </c>
      <c r="F294" s="2" t="s">
        <v>281</v>
      </c>
      <c r="G294" s="2">
        <v>94.66</v>
      </c>
      <c r="H294" s="2">
        <v>1.6300349999999999</v>
      </c>
      <c r="I294" s="2">
        <v>0.5</v>
      </c>
      <c r="J294" s="2">
        <v>1.1181384036985561E-2</v>
      </c>
      <c r="K294" s="2">
        <v>0.20279693196666015</v>
      </c>
      <c r="L294" s="2">
        <v>88.422600000000003</v>
      </c>
      <c r="M294" s="2">
        <v>87.599400000000003</v>
      </c>
      <c r="N294" s="2">
        <v>6.4512473241062906E-3</v>
      </c>
      <c r="O294" s="2">
        <v>1.4935280568992404E-2</v>
      </c>
      <c r="P294" s="2">
        <v>75.519382920110203</v>
      </c>
      <c r="Q294" s="2">
        <v>7.0797946578012194E-2</v>
      </c>
      <c r="R294" s="2">
        <v>4.9875415110389679E-3</v>
      </c>
      <c r="S294" s="2">
        <v>1.6168925548024529E-2</v>
      </c>
      <c r="T294" s="2">
        <v>0</v>
      </c>
      <c r="U294" s="2">
        <v>0</v>
      </c>
      <c r="V294" s="2">
        <v>0</v>
      </c>
      <c r="W294" s="2">
        <v>0</v>
      </c>
      <c r="X294" s="2">
        <v>-7.5404972334722903E-4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1</v>
      </c>
      <c r="CT294" s="2">
        <v>0</v>
      </c>
    </row>
    <row r="295" spans="1:98" x14ac:dyDescent="0.2">
      <c r="A295" s="2" t="s">
        <v>574</v>
      </c>
      <c r="B295" s="2">
        <v>146.95099999999999</v>
      </c>
      <c r="C295" s="2">
        <v>2407.16</v>
      </c>
      <c r="D295" s="2">
        <v>10147.449477444861</v>
      </c>
      <c r="E295" s="2">
        <v>9242.3560832424373</v>
      </c>
      <c r="F295" s="2" t="s">
        <v>281</v>
      </c>
      <c r="G295" s="2">
        <v>94.65</v>
      </c>
      <c r="H295" s="2">
        <v>1.6024119999999999</v>
      </c>
      <c r="I295" s="2">
        <v>0.02</v>
      </c>
      <c r="J295" s="2">
        <v>1.5697109029311117E-2</v>
      </c>
      <c r="K295" s="2">
        <v>0.20793891244045581</v>
      </c>
      <c r="L295" s="2">
        <v>87.855800000000002</v>
      </c>
      <c r="M295" s="2">
        <v>89.001900000000006</v>
      </c>
      <c r="N295" s="2">
        <v>-6.4307589961920542E-3</v>
      </c>
      <c r="O295" s="2">
        <v>1.5883569215053406E-2</v>
      </c>
      <c r="P295" s="2">
        <v>75.511404958677701</v>
      </c>
      <c r="Q295" s="2">
        <v>-1.0564682277003357E-4</v>
      </c>
      <c r="R295" s="2">
        <v>1.9998000266624471E-4</v>
      </c>
      <c r="S295" s="2">
        <v>1.5897089031977361E-2</v>
      </c>
      <c r="T295" s="2">
        <v>0</v>
      </c>
      <c r="U295" s="2">
        <v>0</v>
      </c>
      <c r="V295" s="2">
        <v>0</v>
      </c>
      <c r="W295" s="2">
        <v>0</v>
      </c>
      <c r="X295" s="2">
        <v>-2.718365160471678E-4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1</v>
      </c>
      <c r="CT295" s="2">
        <v>0</v>
      </c>
    </row>
    <row r="296" spans="1:98" x14ac:dyDescent="0.2">
      <c r="A296" s="2" t="s">
        <v>575</v>
      </c>
      <c r="B296" s="2">
        <v>146.398</v>
      </c>
      <c r="C296" s="2">
        <v>-430.58</v>
      </c>
      <c r="D296" s="2">
        <v>-1821.9782789382368</v>
      </c>
      <c r="E296" s="2">
        <v>-11969.427756383098</v>
      </c>
      <c r="F296" s="2" t="s">
        <v>281</v>
      </c>
      <c r="G296" s="2">
        <v>98.86</v>
      </c>
      <c r="H296" s="2">
        <v>1.703732</v>
      </c>
      <c r="I296" s="2">
        <v>-0.12</v>
      </c>
      <c r="J296" s="2">
        <v>1.8094533134845738E-2</v>
      </c>
      <c r="K296" s="2">
        <v>0.2123198460325415</v>
      </c>
      <c r="L296" s="2">
        <v>87.542100000000005</v>
      </c>
      <c r="M296" s="2">
        <v>85.706100000000006</v>
      </c>
      <c r="N296" s="2">
        <v>-3.5770135729471519E-3</v>
      </c>
      <c r="O296" s="2">
        <v>-3.7733716218456337E-2</v>
      </c>
      <c r="P296" s="2">
        <v>78.8701267217631</v>
      </c>
      <c r="Q296" s="2">
        <v>4.3518830223480798E-2</v>
      </c>
      <c r="R296" s="2">
        <v>-1.2007205765188771E-3</v>
      </c>
      <c r="S296" s="2">
        <v>1.6893812558326862E-2</v>
      </c>
      <c r="T296" s="2">
        <v>0</v>
      </c>
      <c r="U296" s="2">
        <v>0</v>
      </c>
      <c r="V296" s="2">
        <v>0</v>
      </c>
      <c r="W296" s="2">
        <v>0</v>
      </c>
      <c r="X296" s="2">
        <v>9.9672352634950015E-4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1</v>
      </c>
      <c r="CT296" s="2">
        <v>0</v>
      </c>
    </row>
    <row r="297" spans="1:98" x14ac:dyDescent="0.2">
      <c r="A297" s="2" t="s">
        <v>576</v>
      </c>
      <c r="B297" s="2">
        <v>146.14400000000001</v>
      </c>
      <c r="C297" s="2">
        <v>-4488.7</v>
      </c>
      <c r="D297" s="2">
        <v>-19026.726524523754</v>
      </c>
      <c r="E297" s="2">
        <v>-17204.748245585517</v>
      </c>
      <c r="F297" s="2" t="s">
        <v>281</v>
      </c>
      <c r="G297" s="2">
        <v>96.94</v>
      </c>
      <c r="H297" s="2">
        <v>1.4763170000000001</v>
      </c>
      <c r="I297" s="2">
        <v>-0.51</v>
      </c>
      <c r="J297" s="2">
        <v>1.9768304605621449E-2</v>
      </c>
      <c r="K297" s="2">
        <v>0.21615401361249431</v>
      </c>
      <c r="L297" s="2">
        <v>89.334100000000007</v>
      </c>
      <c r="M297" s="2">
        <v>90.473399999999998</v>
      </c>
      <c r="N297" s="2">
        <v>2.0263453386871966E-2</v>
      </c>
      <c r="O297" s="2">
        <v>5.4131883249800339E-2</v>
      </c>
      <c r="P297" s="2">
        <v>77.338358126721772</v>
      </c>
      <c r="Q297" s="2">
        <v>-1.9612477461582678E-2</v>
      </c>
      <c r="R297" s="2">
        <v>-5.1130493868230143E-3</v>
      </c>
      <c r="S297" s="2">
        <v>1.4655255218798435E-2</v>
      </c>
      <c r="T297" s="2">
        <v>0</v>
      </c>
      <c r="U297" s="2">
        <v>0</v>
      </c>
      <c r="V297" s="2">
        <v>0</v>
      </c>
      <c r="W297" s="2">
        <v>0</v>
      </c>
      <c r="X297" s="2">
        <v>-2.2385573395284266E-3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1</v>
      </c>
      <c r="CO297" s="2">
        <v>0</v>
      </c>
      <c r="CP297" s="2">
        <v>0</v>
      </c>
      <c r="CQ297" s="2">
        <v>0</v>
      </c>
      <c r="CR297" s="2">
        <v>0</v>
      </c>
      <c r="CS297" s="2">
        <v>1</v>
      </c>
      <c r="CT297" s="2">
        <v>0</v>
      </c>
    </row>
    <row r="298" spans="1:98" x14ac:dyDescent="0.2">
      <c r="A298" s="2" t="s">
        <v>577</v>
      </c>
      <c r="B298" s="2">
        <v>146.11099999999999</v>
      </c>
      <c r="C298" s="2">
        <v>1222.22</v>
      </c>
      <c r="D298" s="2">
        <v>5181.9230360479369</v>
      </c>
      <c r="E298" s="2">
        <v>24208.649560571692</v>
      </c>
      <c r="F298" s="2" t="s">
        <v>281</v>
      </c>
      <c r="G298" s="2">
        <v>95.64</v>
      </c>
      <c r="H298" s="2">
        <v>2.4875090000000002</v>
      </c>
      <c r="I298" s="2">
        <v>-0.22</v>
      </c>
      <c r="J298" s="2">
        <v>2.6773165304988272E-2</v>
      </c>
      <c r="K298" s="2">
        <v>0.22774931385763575</v>
      </c>
      <c r="L298" s="2">
        <v>89.179400000000001</v>
      </c>
      <c r="M298" s="2">
        <v>90.215100000000007</v>
      </c>
      <c r="N298" s="2">
        <v>-1.7332026846874626E-3</v>
      </c>
      <c r="O298" s="2">
        <v>-2.859066027455448E-3</v>
      </c>
      <c r="P298" s="2">
        <v>76.301223140495878</v>
      </c>
      <c r="Q298" s="2">
        <v>-1.350108782710624E-2</v>
      </c>
      <c r="R298" s="2">
        <v>-2.2024235552000394E-3</v>
      </c>
      <c r="S298" s="2">
        <v>2.4570741749788232E-2</v>
      </c>
      <c r="T298" s="2">
        <v>0</v>
      </c>
      <c r="U298" s="2">
        <v>0</v>
      </c>
      <c r="V298" s="2">
        <v>0</v>
      </c>
      <c r="W298" s="2">
        <v>0</v>
      </c>
      <c r="X298" s="2">
        <v>9.9154865309897967E-3</v>
      </c>
      <c r="Y298" s="2">
        <v>0</v>
      </c>
      <c r="Z298" s="2">
        <v>1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1</v>
      </c>
      <c r="CT298" s="2">
        <v>0</v>
      </c>
    </row>
    <row r="299" spans="1:98" x14ac:dyDescent="0.2">
      <c r="A299" s="2" t="s">
        <v>578</v>
      </c>
      <c r="B299" s="2">
        <v>146.06299999999999</v>
      </c>
      <c r="C299" s="2">
        <v>35.19</v>
      </c>
      <c r="D299" s="2">
        <v>149.2462871500654</v>
      </c>
      <c r="E299" s="2">
        <v>-5032.6767488978712</v>
      </c>
      <c r="F299" s="2" t="s">
        <v>281</v>
      </c>
      <c r="G299" s="2">
        <v>94.85</v>
      </c>
      <c r="H299" s="2">
        <v>2.9408859999999999</v>
      </c>
      <c r="I299" s="2">
        <v>0.02</v>
      </c>
      <c r="J299" s="2">
        <v>2.8784735152319271E-2</v>
      </c>
      <c r="K299" s="2">
        <v>0.24224091453704724</v>
      </c>
      <c r="L299" s="2">
        <v>89.890699999999995</v>
      </c>
      <c r="M299" s="2">
        <v>90.847499999999997</v>
      </c>
      <c r="N299" s="2">
        <v>7.9444166397841798E-3</v>
      </c>
      <c r="O299" s="2">
        <v>6.9854577541672569E-3</v>
      </c>
      <c r="P299" s="2">
        <v>75.670964187327826</v>
      </c>
      <c r="Q299" s="2">
        <v>-8.2944462091010251E-3</v>
      </c>
      <c r="R299" s="2">
        <v>1.9998000266624471E-4</v>
      </c>
      <c r="S299" s="2">
        <v>2.8984715154985515E-2</v>
      </c>
      <c r="T299" s="2">
        <v>0</v>
      </c>
      <c r="U299" s="2">
        <v>0</v>
      </c>
      <c r="V299" s="2">
        <v>0</v>
      </c>
      <c r="W299" s="2">
        <v>0</v>
      </c>
      <c r="X299" s="2">
        <v>4.4139734051972836E-3</v>
      </c>
      <c r="Y299" s="2">
        <v>0</v>
      </c>
      <c r="Z299" s="2">
        <v>0</v>
      </c>
      <c r="AA299" s="2">
        <v>1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1</v>
      </c>
      <c r="CT299" s="2">
        <v>0</v>
      </c>
    </row>
    <row r="300" spans="1:98" x14ac:dyDescent="0.2">
      <c r="A300" s="2" t="s">
        <v>579</v>
      </c>
      <c r="B300" s="2">
        <v>145.797</v>
      </c>
      <c r="C300" s="2">
        <v>1567.49</v>
      </c>
      <c r="D300" s="2">
        <v>6660.0988719932511</v>
      </c>
      <c r="E300" s="2">
        <v>6510.8525848431855</v>
      </c>
      <c r="F300" s="2" t="s">
        <v>281</v>
      </c>
      <c r="G300" s="2">
        <v>91.1</v>
      </c>
      <c r="H300" s="2">
        <v>2.632152</v>
      </c>
      <c r="I300" s="2">
        <v>-0.12</v>
      </c>
      <c r="J300" s="2">
        <v>2.7181790553934933E-2</v>
      </c>
      <c r="K300" s="2">
        <v>0.24114041263699076</v>
      </c>
      <c r="L300" s="2">
        <v>89.845799999999997</v>
      </c>
      <c r="M300" s="2">
        <v>89.981499999999997</v>
      </c>
      <c r="N300" s="2">
        <v>-4.996202878544409E-4</v>
      </c>
      <c r="O300" s="2">
        <v>-9.5781829316594624E-3</v>
      </c>
      <c r="P300" s="2">
        <v>72.679228650137745</v>
      </c>
      <c r="Q300" s="2">
        <v>-4.0338892115109992E-2</v>
      </c>
      <c r="R300" s="2">
        <v>-1.2007205765188771E-3</v>
      </c>
      <c r="S300" s="2">
        <v>2.5981069977416057E-2</v>
      </c>
      <c r="T300" s="2">
        <v>0</v>
      </c>
      <c r="U300" s="2">
        <v>0</v>
      </c>
      <c r="V300" s="2">
        <v>0</v>
      </c>
      <c r="W300" s="2">
        <v>0</v>
      </c>
      <c r="X300" s="2">
        <v>-3.0036451775694584E-3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1</v>
      </c>
      <c r="CT300" s="2">
        <v>0</v>
      </c>
    </row>
    <row r="301" spans="1:98" x14ac:dyDescent="0.2">
      <c r="A301" s="2" t="s">
        <v>580</v>
      </c>
      <c r="B301" s="2">
        <v>147.23099999999999</v>
      </c>
      <c r="C301" s="2">
        <v>-785.48</v>
      </c>
      <c r="D301" s="2">
        <v>-3304.9154626403406</v>
      </c>
      <c r="E301" s="2">
        <v>-9965.0143346335917</v>
      </c>
      <c r="F301" s="2" t="s">
        <v>281</v>
      </c>
      <c r="G301" s="2">
        <v>79.260000000000005</v>
      </c>
      <c r="H301" s="2">
        <v>2.4015529999999998</v>
      </c>
      <c r="I301" s="2">
        <v>0.33</v>
      </c>
      <c r="J301" s="2">
        <v>2.0437125568508088E-2</v>
      </c>
      <c r="K301" s="2">
        <v>0.23657783492844242</v>
      </c>
      <c r="L301" s="2">
        <v>90.189300000000003</v>
      </c>
      <c r="M301" s="2">
        <v>89.849400000000003</v>
      </c>
      <c r="N301" s="2">
        <v>3.8159271921651694E-3</v>
      </c>
      <c r="O301" s="2">
        <v>-1.469158234326251E-3</v>
      </c>
      <c r="P301" s="2">
        <v>63.233322314049602</v>
      </c>
      <c r="Q301" s="2">
        <v>-0.13922421650362349</v>
      </c>
      <c r="R301" s="2">
        <v>3.2945669494301114E-3</v>
      </c>
      <c r="S301" s="2">
        <v>2.3731692517938198E-2</v>
      </c>
      <c r="T301" s="2">
        <v>0</v>
      </c>
      <c r="U301" s="2">
        <v>0</v>
      </c>
      <c r="V301" s="2">
        <v>0</v>
      </c>
      <c r="W301" s="2">
        <v>0</v>
      </c>
      <c r="X301" s="2">
        <v>-2.2493774594778589E-3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1</v>
      </c>
      <c r="CP301" s="2">
        <v>0</v>
      </c>
      <c r="CQ301" s="2">
        <v>0</v>
      </c>
      <c r="CR301" s="2">
        <v>0</v>
      </c>
      <c r="CS301" s="2">
        <v>1</v>
      </c>
      <c r="CT301" s="2">
        <v>0</v>
      </c>
    </row>
    <row r="302" spans="1:98" x14ac:dyDescent="0.2">
      <c r="A302" s="2" t="s">
        <v>581</v>
      </c>
      <c r="B302" s="2">
        <v>148.92099999999999</v>
      </c>
      <c r="C302" s="2">
        <v>-2154.8200000000002</v>
      </c>
      <c r="D302" s="2">
        <v>-8963.5395566777024</v>
      </c>
      <c r="E302" s="2">
        <v>-5658.6240940373618</v>
      </c>
      <c r="F302" s="2" t="s">
        <v>281</v>
      </c>
      <c r="G302" s="2">
        <v>78.069999999999993</v>
      </c>
      <c r="H302" s="2">
        <v>2.1779540000000002</v>
      </c>
      <c r="I302" s="2">
        <v>0.7</v>
      </c>
      <c r="J302" s="2">
        <v>1.4570140489700317E-2</v>
      </c>
      <c r="K302" s="2">
        <v>0.23187337674583197</v>
      </c>
      <c r="L302" s="2">
        <v>90.604299999999995</v>
      </c>
      <c r="M302" s="2">
        <v>89.878799999999998</v>
      </c>
      <c r="N302" s="2">
        <v>4.5908785364510152E-3</v>
      </c>
      <c r="O302" s="2">
        <v>3.2716068221017025E-4</v>
      </c>
      <c r="P302" s="2">
        <v>62.283944903581272</v>
      </c>
      <c r="Q302" s="2">
        <v>-1.5127727630090071E-2</v>
      </c>
      <c r="R302" s="2">
        <v>6.9756137364251382E-3</v>
      </c>
      <c r="S302" s="2">
        <v>2.1545754226125455E-2</v>
      </c>
      <c r="T302" s="2">
        <v>0</v>
      </c>
      <c r="U302" s="2">
        <v>0</v>
      </c>
      <c r="V302" s="2">
        <v>0</v>
      </c>
      <c r="W302" s="2">
        <v>0</v>
      </c>
      <c r="X302" s="2">
        <v>-2.1859382918127425E-3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1</v>
      </c>
      <c r="CT302" s="2">
        <v>0</v>
      </c>
    </row>
    <row r="303" spans="1:98" x14ac:dyDescent="0.2">
      <c r="A303" s="2" t="s">
        <v>582</v>
      </c>
      <c r="B303" s="2">
        <v>155.52799999999999</v>
      </c>
      <c r="C303" s="2">
        <v>-1776.31</v>
      </c>
      <c r="D303" s="2">
        <v>-7075.1338251633142</v>
      </c>
      <c r="E303" s="2">
        <v>1888.4057315143882</v>
      </c>
      <c r="F303" s="2" t="s">
        <v>281</v>
      </c>
      <c r="G303" s="2">
        <v>74.87</v>
      </c>
      <c r="H303" s="2">
        <v>2.3787090000000002</v>
      </c>
      <c r="I303" s="2">
        <v>1.05</v>
      </c>
      <c r="J303" s="2">
        <v>1.3063327215558744E-2</v>
      </c>
      <c r="K303" s="2">
        <v>0.22845185752388761</v>
      </c>
      <c r="L303" s="2">
        <v>91.081599999999995</v>
      </c>
      <c r="M303" s="2">
        <v>90.911100000000005</v>
      </c>
      <c r="N303" s="2">
        <v>5.2541347239980496E-3</v>
      </c>
      <c r="O303" s="2">
        <v>1.1420009846410117E-2</v>
      </c>
      <c r="P303" s="2">
        <v>59.730997245179076</v>
      </c>
      <c r="Q303" s="2">
        <v>-4.1852583889605555E-2</v>
      </c>
      <c r="R303" s="2">
        <v>1.0445257861538604E-2</v>
      </c>
      <c r="S303" s="2">
        <v>2.3508585077097348E-2</v>
      </c>
      <c r="T303" s="2">
        <v>0</v>
      </c>
      <c r="U303" s="2">
        <v>0</v>
      </c>
      <c r="V303" s="2">
        <v>0</v>
      </c>
      <c r="W303" s="2">
        <v>0</v>
      </c>
      <c r="X303" s="2">
        <v>1.9628308509718924E-3</v>
      </c>
      <c r="Y303" s="2">
        <v>0</v>
      </c>
      <c r="Z303" s="2">
        <v>0</v>
      </c>
      <c r="AA303" s="2">
        <v>0</v>
      </c>
      <c r="AB303" s="2">
        <v>1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1</v>
      </c>
      <c r="CT303" s="2">
        <v>0</v>
      </c>
    </row>
    <row r="304" spans="1:98" x14ac:dyDescent="0.2">
      <c r="A304" s="2" t="s">
        <v>583</v>
      </c>
      <c r="B304" s="2">
        <v>158.6</v>
      </c>
      <c r="C304" s="2">
        <v>-3383.38</v>
      </c>
      <c r="D304" s="2">
        <v>-13215.14948852459</v>
      </c>
      <c r="E304" s="2">
        <v>-6140.015663361276</v>
      </c>
      <c r="F304" s="2" t="s">
        <v>281</v>
      </c>
      <c r="G304" s="2">
        <v>89.18</v>
      </c>
      <c r="H304" s="2">
        <v>3.3345199999999999</v>
      </c>
      <c r="I304" s="2">
        <v>1.1000000000000001</v>
      </c>
      <c r="J304" s="2">
        <v>2.186136658968528E-2</v>
      </c>
      <c r="K304" s="2">
        <v>0.23193883235310908</v>
      </c>
      <c r="L304" s="2">
        <v>91.234999999999999</v>
      </c>
      <c r="M304" s="2">
        <v>92.314999999999998</v>
      </c>
      <c r="N304" s="2">
        <v>1.6827873731681819E-3</v>
      </c>
      <c r="O304" s="2">
        <v>1.5324535908141534E-2</v>
      </c>
      <c r="P304" s="2">
        <v>71.147460055096431</v>
      </c>
      <c r="Q304" s="2">
        <v>0.17490352295673706</v>
      </c>
      <c r="R304" s="2">
        <v>1.0939940038334263E-2</v>
      </c>
      <c r="S304" s="2">
        <v>3.2801306628019541E-2</v>
      </c>
      <c r="T304" s="2">
        <v>0</v>
      </c>
      <c r="U304" s="2">
        <v>0</v>
      </c>
      <c r="V304" s="2">
        <v>0</v>
      </c>
      <c r="W304" s="2">
        <v>0</v>
      </c>
      <c r="X304" s="2">
        <v>9.2927215509221936E-3</v>
      </c>
      <c r="Y304" s="2">
        <v>0</v>
      </c>
      <c r="Z304" s="2">
        <v>0</v>
      </c>
      <c r="AA304" s="2">
        <v>0</v>
      </c>
      <c r="AB304" s="2">
        <v>0</v>
      </c>
      <c r="AC304" s="2">
        <v>1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1</v>
      </c>
      <c r="CT304" s="2">
        <v>0</v>
      </c>
    </row>
    <row r="305" spans="1:98" x14ac:dyDescent="0.2">
      <c r="A305" s="2" t="s">
        <v>584</v>
      </c>
      <c r="B305" s="2">
        <v>158.64699999999999</v>
      </c>
      <c r="C305" s="2">
        <v>-1249.45</v>
      </c>
      <c r="D305" s="2">
        <v>-4878.7830100789806</v>
      </c>
      <c r="E305" s="2">
        <v>8336.3664784456087</v>
      </c>
      <c r="F305" s="2" t="s">
        <v>281</v>
      </c>
      <c r="G305" s="2">
        <v>85.95</v>
      </c>
      <c r="H305" s="2">
        <v>2.3524379999999998</v>
      </c>
      <c r="I305" s="2">
        <v>0.56000000000000005</v>
      </c>
      <c r="J305" s="2">
        <v>1.7667567766328572E-2</v>
      </c>
      <c r="K305" s="2">
        <v>0.23508054944778733</v>
      </c>
      <c r="L305" s="2">
        <v>91.467699999999994</v>
      </c>
      <c r="M305" s="2">
        <v>90.366399999999999</v>
      </c>
      <c r="N305" s="2">
        <v>2.5473091074008636E-3</v>
      </c>
      <c r="O305" s="2">
        <v>-2.133412495616227E-2</v>
      </c>
      <c r="P305" s="2">
        <v>68.570578512396693</v>
      </c>
      <c r="Q305" s="2">
        <v>-3.6891067370472541E-2</v>
      </c>
      <c r="R305" s="2">
        <v>5.5843782939006634E-3</v>
      </c>
      <c r="S305" s="2">
        <v>2.3251946060229234E-2</v>
      </c>
      <c r="T305" s="2">
        <v>0</v>
      </c>
      <c r="U305" s="2">
        <v>0</v>
      </c>
      <c r="V305" s="2">
        <v>0</v>
      </c>
      <c r="W305" s="2">
        <v>0</v>
      </c>
      <c r="X305" s="2">
        <v>-9.5493605677903076E-3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1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1</v>
      </c>
      <c r="CT305" s="2">
        <v>0</v>
      </c>
    </row>
    <row r="306" spans="1:98" x14ac:dyDescent="0.2">
      <c r="A306" s="2" t="s">
        <v>585</v>
      </c>
      <c r="B306" s="2">
        <v>158.1</v>
      </c>
      <c r="C306" s="2">
        <v>-57.62</v>
      </c>
      <c r="D306" s="2">
        <v>-225.76981100569259</v>
      </c>
      <c r="E306" s="2">
        <v>4653.013199073288</v>
      </c>
      <c r="F306" s="2" t="s">
        <v>281</v>
      </c>
      <c r="G306" s="2">
        <v>91.8</v>
      </c>
      <c r="H306" s="2">
        <v>2.0188299999999999</v>
      </c>
      <c r="I306" s="2">
        <v>0.3</v>
      </c>
      <c r="J306" s="2">
        <v>1.6991709121587626E-2</v>
      </c>
      <c r="K306" s="2">
        <v>0.24089087453238939</v>
      </c>
      <c r="L306" s="2">
        <v>92.152500000000003</v>
      </c>
      <c r="M306" s="2">
        <v>91.286799999999999</v>
      </c>
      <c r="N306" s="2">
        <v>7.4589089317997903E-3</v>
      </c>
      <c r="O306" s="2">
        <v>1.01336819436737E-2</v>
      </c>
      <c r="P306" s="2">
        <v>73.237685950413223</v>
      </c>
      <c r="Q306" s="2">
        <v>6.5846565797586187E-2</v>
      </c>
      <c r="R306" s="2">
        <v>2.9955089797983709E-3</v>
      </c>
      <c r="S306" s="2">
        <v>1.9987218101385998E-2</v>
      </c>
      <c r="T306" s="2">
        <v>0</v>
      </c>
      <c r="U306" s="2">
        <v>0</v>
      </c>
      <c r="V306" s="2">
        <v>0</v>
      </c>
      <c r="W306" s="2">
        <v>0</v>
      </c>
      <c r="X306" s="2">
        <v>-3.264727958843236E-3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1</v>
      </c>
      <c r="CT306" s="2">
        <v>0</v>
      </c>
    </row>
    <row r="307" spans="1:98" x14ac:dyDescent="0.2">
      <c r="A307" s="2" t="s">
        <v>586</v>
      </c>
      <c r="B307" s="2">
        <v>159.71100000000001</v>
      </c>
      <c r="C307" s="2">
        <v>-3914.65</v>
      </c>
      <c r="D307" s="2">
        <v>-15183.87414392246</v>
      </c>
      <c r="E307" s="2">
        <v>-14958.104332916768</v>
      </c>
      <c r="F307" s="2" t="s">
        <v>281</v>
      </c>
      <c r="G307" s="2">
        <v>91.78</v>
      </c>
      <c r="H307" s="2">
        <v>1.671869</v>
      </c>
      <c r="I307" s="2">
        <v>0.19</v>
      </c>
      <c r="J307" s="2">
        <v>1.4682273850768656E-2</v>
      </c>
      <c r="K307" s="2">
        <v>0.23987603935384694</v>
      </c>
      <c r="L307" s="2">
        <v>92.004199999999997</v>
      </c>
      <c r="M307" s="2">
        <v>93.722399999999993</v>
      </c>
      <c r="N307" s="2">
        <v>-1.6105852467740434E-3</v>
      </c>
      <c r="O307" s="2">
        <v>2.6331022671114646E-2</v>
      </c>
      <c r="P307" s="2">
        <v>73.221730027548219</v>
      </c>
      <c r="Q307" s="2">
        <v>-2.1788865975747029E-4</v>
      </c>
      <c r="R307" s="2">
        <v>1.8981972830802655E-3</v>
      </c>
      <c r="S307" s="2">
        <v>1.6580471133848921E-2</v>
      </c>
      <c r="T307" s="2">
        <v>0</v>
      </c>
      <c r="U307" s="2">
        <v>0</v>
      </c>
      <c r="V307" s="2">
        <v>0</v>
      </c>
      <c r="W307" s="2">
        <v>0</v>
      </c>
      <c r="X307" s="2">
        <v>-3.4067469675370769E-3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</row>
    <row r="308" spans="1:98" x14ac:dyDescent="0.2">
      <c r="A308" s="2" t="s">
        <v>587</v>
      </c>
      <c r="B308" s="2">
        <v>162.25299999999999</v>
      </c>
      <c r="C308" s="2">
        <v>-3730.28</v>
      </c>
      <c r="D308" s="2">
        <v>-14242.072154474805</v>
      </c>
      <c r="E308" s="2">
        <v>941.80198944765471</v>
      </c>
      <c r="F308" s="2" t="s">
        <v>281</v>
      </c>
      <c r="G308" s="2">
        <v>93.83</v>
      </c>
      <c r="H308" s="2">
        <v>1.6587639999999999</v>
      </c>
      <c r="I308" s="2">
        <v>1.0900000000000001</v>
      </c>
      <c r="J308" s="2">
        <v>5.6105446045726128E-3</v>
      </c>
      <c r="K308" s="2">
        <v>0.22739205082357383</v>
      </c>
      <c r="L308" s="2">
        <v>92.576899999999995</v>
      </c>
      <c r="M308" s="2">
        <v>89.908500000000004</v>
      </c>
      <c r="N308" s="2">
        <v>6.2054223076799531E-3</v>
      </c>
      <c r="O308" s="2">
        <v>-4.1544734998836041E-2</v>
      </c>
      <c r="P308" s="2">
        <v>74.857212121212115</v>
      </c>
      <c r="Q308" s="2">
        <v>2.209022533527083E-2</v>
      </c>
      <c r="R308" s="2">
        <v>1.0841023177874769E-2</v>
      </c>
      <c r="S308" s="2">
        <v>1.6451567782447381E-2</v>
      </c>
      <c r="T308" s="2">
        <v>0</v>
      </c>
      <c r="U308" s="2">
        <v>0</v>
      </c>
      <c r="V308" s="2">
        <v>0</v>
      </c>
      <c r="W308" s="2">
        <v>0</v>
      </c>
      <c r="X308" s="2">
        <v>-1.2890335140153947E-4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</row>
    <row r="309" spans="1:98" x14ac:dyDescent="0.2">
      <c r="A309" s="2" t="s">
        <v>588</v>
      </c>
      <c r="B309" s="2">
        <v>164.61199999999999</v>
      </c>
      <c r="C309" s="2">
        <v>-2997.58</v>
      </c>
      <c r="D309" s="2">
        <v>-11280.640950112993</v>
      </c>
      <c r="E309" s="2">
        <v>2961.431204361812</v>
      </c>
      <c r="F309" s="2" t="s">
        <v>281</v>
      </c>
      <c r="G309" s="2">
        <v>97.18</v>
      </c>
      <c r="H309" s="2">
        <v>1.5684750000000001</v>
      </c>
      <c r="I309" s="2">
        <v>0.56000000000000005</v>
      </c>
      <c r="J309" s="2">
        <v>9.9786372808334401E-3</v>
      </c>
      <c r="K309" s="2">
        <v>0.2176023834987858</v>
      </c>
      <c r="L309" s="2">
        <v>92.951700000000002</v>
      </c>
      <c r="M309" s="2">
        <v>94.292599999999993</v>
      </c>
      <c r="N309" s="2">
        <v>4.0403529145036643E-3</v>
      </c>
      <c r="O309" s="2">
        <v>4.7610227094108559E-2</v>
      </c>
      <c r="P309" s="2">
        <v>77.529829201101933</v>
      </c>
      <c r="Q309" s="2">
        <v>3.5080294675799095E-2</v>
      </c>
      <c r="R309" s="2">
        <v>5.5843782939006634E-3</v>
      </c>
      <c r="S309" s="2">
        <v>1.5563015574734104E-2</v>
      </c>
      <c r="T309" s="2">
        <v>0</v>
      </c>
      <c r="U309" s="2">
        <v>0</v>
      </c>
      <c r="V309" s="2">
        <v>0</v>
      </c>
      <c r="W309" s="2">
        <v>0</v>
      </c>
      <c r="X309" s="2">
        <v>-8.8855220771327792E-4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</row>
    <row r="310" spans="1:98" x14ac:dyDescent="0.2">
      <c r="A310" s="2" t="s">
        <v>589</v>
      </c>
      <c r="B310" s="2">
        <v>167.02799999999999</v>
      </c>
      <c r="C310" s="2">
        <v>-3603.81</v>
      </c>
      <c r="D310" s="2">
        <v>-13365.865624685681</v>
      </c>
      <c r="E310" s="2">
        <v>-2085.2246745726879</v>
      </c>
      <c r="F310" s="2" t="s">
        <v>281</v>
      </c>
      <c r="G310" s="2">
        <v>96.12</v>
      </c>
      <c r="H310" s="2">
        <v>1.4871460000000001</v>
      </c>
      <c r="I310" s="2">
        <v>0.31</v>
      </c>
      <c r="J310" s="2">
        <v>1.1666759172787628E-2</v>
      </c>
      <c r="K310" s="2">
        <v>0.20249597736658514</v>
      </c>
      <c r="L310" s="2">
        <v>92.595399999999998</v>
      </c>
      <c r="M310" s="2">
        <v>93.817300000000003</v>
      </c>
      <c r="N310" s="2">
        <v>-3.8405390107874027E-3</v>
      </c>
      <c r="O310" s="2">
        <v>-5.0534396274466431E-3</v>
      </c>
      <c r="P310" s="2">
        <v>76.6841652892562</v>
      </c>
      <c r="Q310" s="2">
        <v>-1.0967518109488594E-2</v>
      </c>
      <c r="R310" s="2">
        <v>3.0952049073025216E-3</v>
      </c>
      <c r="S310" s="2">
        <v>1.476196408009015E-2</v>
      </c>
      <c r="T310" s="2">
        <v>0</v>
      </c>
      <c r="U310" s="2">
        <v>0</v>
      </c>
      <c r="V310" s="2">
        <v>0</v>
      </c>
      <c r="W310" s="2">
        <v>0</v>
      </c>
      <c r="X310" s="2">
        <v>-8.0105149464395307E-4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</row>
    <row r="311" spans="1:98" x14ac:dyDescent="0.2">
      <c r="A311" s="2" t="s">
        <v>590</v>
      </c>
      <c r="B311" s="2">
        <v>170.18199999999999</v>
      </c>
      <c r="C311" s="2">
        <v>-774.76</v>
      </c>
      <c r="D311" s="2">
        <v>-2820.187950312019</v>
      </c>
      <c r="E311" s="2">
        <v>10545.677674373663</v>
      </c>
      <c r="F311" s="2" t="s">
        <v>281</v>
      </c>
      <c r="G311" s="2">
        <v>97.88</v>
      </c>
      <c r="H311" s="2">
        <v>1.383896</v>
      </c>
      <c r="I311" s="2">
        <v>1.19</v>
      </c>
      <c r="J311" s="2">
        <v>1.9143242346802564E-3</v>
      </c>
      <c r="K311" s="2">
        <v>0.17562556644894611</v>
      </c>
      <c r="L311" s="2">
        <v>93.812799999999996</v>
      </c>
      <c r="M311" s="2">
        <v>94.794700000000006</v>
      </c>
      <c r="N311" s="2">
        <v>1.3061842864334317E-2</v>
      </c>
      <c r="O311" s="2">
        <v>1.0364226550957589E-2</v>
      </c>
      <c r="P311" s="2">
        <v>78.088286501377411</v>
      </c>
      <c r="Q311" s="2">
        <v>1.8144827706202626E-2</v>
      </c>
      <c r="R311" s="2">
        <v>1.1829751753577221E-2</v>
      </c>
      <c r="S311" s="2">
        <v>1.3744075988257477E-2</v>
      </c>
      <c r="T311" s="2">
        <v>0</v>
      </c>
      <c r="U311" s="2">
        <v>0</v>
      </c>
      <c r="V311" s="2">
        <v>0</v>
      </c>
      <c r="W311" s="2">
        <v>0</v>
      </c>
      <c r="X311" s="2">
        <v>-1.0178880918326732E-3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</row>
    <row r="312" spans="1:98" x14ac:dyDescent="0.2">
      <c r="A312" s="2" t="s">
        <v>591</v>
      </c>
      <c r="B312" s="2">
        <v>174.49600000000001</v>
      </c>
      <c r="C312" s="2">
        <v>-375.24</v>
      </c>
      <c r="D312" s="2">
        <v>-1332.1346864111499</v>
      </c>
      <c r="E312" s="2">
        <v>1488.0532639008691</v>
      </c>
      <c r="F312" s="2" t="s">
        <v>281</v>
      </c>
      <c r="G312" s="2">
        <v>95.57</v>
      </c>
      <c r="H312" s="2">
        <v>1.3864989999999999</v>
      </c>
      <c r="I312" s="2">
        <v>0.95</v>
      </c>
      <c r="J312" s="2">
        <v>4.3145915769190486E-3</v>
      </c>
      <c r="K312" s="2">
        <v>0.15275836747193028</v>
      </c>
      <c r="L312" s="2">
        <v>94.258700000000005</v>
      </c>
      <c r="M312" s="2">
        <v>94.173900000000003</v>
      </c>
      <c r="N312" s="2">
        <v>4.7418225036794936E-3</v>
      </c>
      <c r="O312" s="2">
        <v>-6.5704273974942495E-3</v>
      </c>
      <c r="P312" s="2">
        <v>76.245377410468322</v>
      </c>
      <c r="Q312" s="2">
        <v>-2.3883275296382678E-2</v>
      </c>
      <c r="R312" s="2">
        <v>9.4551587707551975E-3</v>
      </c>
      <c r="S312" s="2">
        <v>1.3769750347674246E-2</v>
      </c>
      <c r="T312" s="2">
        <v>0</v>
      </c>
      <c r="U312" s="2">
        <v>0</v>
      </c>
      <c r="V312" s="2">
        <v>0</v>
      </c>
      <c r="W312" s="2">
        <v>0</v>
      </c>
      <c r="X312" s="2">
        <v>2.5674359416768752E-5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</row>
    <row r="313" spans="1:98" x14ac:dyDescent="0.2">
      <c r="A313" s="2" t="s">
        <v>592</v>
      </c>
      <c r="B313" s="2">
        <v>176.64699999999999</v>
      </c>
      <c r="C313" s="2">
        <v>1345.79</v>
      </c>
      <c r="D313" s="2">
        <v>4719.4948458790695</v>
      </c>
      <c r="E313" s="2">
        <v>6051.6295322902197</v>
      </c>
      <c r="F313" s="2" t="s">
        <v>281</v>
      </c>
      <c r="G313" s="2">
        <v>86.06</v>
      </c>
      <c r="H313" s="2">
        <v>1.599629</v>
      </c>
      <c r="I313" s="2">
        <v>0.6</v>
      </c>
      <c r="J313" s="2">
        <v>9.8876258972724305E-3</v>
      </c>
      <c r="K313" s="2">
        <v>0.14220886780069458</v>
      </c>
      <c r="L313" s="2">
        <v>94.977699999999999</v>
      </c>
      <c r="M313" s="2">
        <v>94.250900000000001</v>
      </c>
      <c r="N313" s="2">
        <v>7.5989974430958895E-3</v>
      </c>
      <c r="O313" s="2">
        <v>8.1730222652431905E-4</v>
      </c>
      <c r="P313" s="2">
        <v>68.658336088154272</v>
      </c>
      <c r="Q313" s="2">
        <v>-0.10481423586763494</v>
      </c>
      <c r="R313" s="2">
        <v>5.9820716775474689E-3</v>
      </c>
      <c r="S313" s="2">
        <v>1.5869697574819899E-2</v>
      </c>
      <c r="T313" s="2">
        <v>0</v>
      </c>
      <c r="U313" s="2">
        <v>0</v>
      </c>
      <c r="V313" s="2">
        <v>0</v>
      </c>
      <c r="W313" s="2">
        <v>0</v>
      </c>
      <c r="X313" s="2">
        <v>2.0999472271456526E-3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</row>
    <row r="314" spans="1:98" x14ac:dyDescent="0.2">
      <c r="A314" s="2" t="s">
        <v>593</v>
      </c>
      <c r="B314" s="2">
        <v>178.45400000000001</v>
      </c>
      <c r="C314" s="2">
        <v>-1145.05</v>
      </c>
      <c r="D314" s="2">
        <v>-3974.8674381072992</v>
      </c>
      <c r="E314" s="2">
        <v>-8694.3622839863692</v>
      </c>
      <c r="F314" s="2" t="s">
        <v>281</v>
      </c>
      <c r="G314" s="2">
        <v>81.89</v>
      </c>
      <c r="H314" s="2">
        <v>1.4557329999999999</v>
      </c>
      <c r="I314" s="2">
        <v>0.62</v>
      </c>
      <c r="J314" s="2">
        <v>8.2715302083404933E-3</v>
      </c>
      <c r="K314" s="2">
        <v>0.13591025751933478</v>
      </c>
      <c r="L314" s="2">
        <v>94.986400000000003</v>
      </c>
      <c r="M314" s="2">
        <v>93.992199999999997</v>
      </c>
      <c r="N314" s="2">
        <v>9.1596254303993874E-5</v>
      </c>
      <c r="O314" s="2">
        <v>-2.7485752504707861E-3</v>
      </c>
      <c r="P314" s="2">
        <v>65.331526170798895</v>
      </c>
      <c r="Q314" s="2">
        <v>-4.9667844128356897E-2</v>
      </c>
      <c r="R314" s="2">
        <v>6.1808590750810988E-3</v>
      </c>
      <c r="S314" s="2">
        <v>1.4452389283421591E-2</v>
      </c>
      <c r="T314" s="2">
        <v>0</v>
      </c>
      <c r="U314" s="2">
        <v>0</v>
      </c>
      <c r="V314" s="2">
        <v>0</v>
      </c>
      <c r="W314" s="2">
        <v>0</v>
      </c>
      <c r="X314" s="2">
        <v>-1.4173082913983073E-3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</row>
    <row r="315" spans="1:98" x14ac:dyDescent="0.2">
      <c r="A315" s="2" t="s">
        <v>594</v>
      </c>
      <c r="B315" s="2">
        <v>178.8</v>
      </c>
      <c r="C315" s="2">
        <v>-2381.7399999999998</v>
      </c>
      <c r="D315" s="2">
        <v>-8251.8499342281866</v>
      </c>
      <c r="E315" s="2">
        <v>-4276.9824961208869</v>
      </c>
      <c r="F315" s="2" t="s">
        <v>281</v>
      </c>
      <c r="G315" s="2">
        <v>86.8</v>
      </c>
      <c r="H315" s="2">
        <v>1.450895</v>
      </c>
      <c r="I315" s="2">
        <v>0.13</v>
      </c>
      <c r="J315" s="2">
        <v>1.3105546593040187E-2</v>
      </c>
      <c r="K315" s="2">
        <v>0.13595247689681625</v>
      </c>
      <c r="L315" s="2">
        <v>95.257599999999996</v>
      </c>
      <c r="M315" s="2">
        <v>94.7928</v>
      </c>
      <c r="N315" s="2">
        <v>2.8510773922674204E-3</v>
      </c>
      <c r="O315" s="2">
        <v>8.4816569059134039E-3</v>
      </c>
      <c r="P315" s="2">
        <v>69.248705234159772</v>
      </c>
      <c r="Q315" s="2">
        <v>5.8229738384207863E-2</v>
      </c>
      <c r="R315" s="2">
        <v>1.2991557316201288E-3</v>
      </c>
      <c r="S315" s="2">
        <v>1.4404702324660316E-2</v>
      </c>
      <c r="T315" s="2">
        <v>0</v>
      </c>
      <c r="U315" s="2">
        <v>0</v>
      </c>
      <c r="V315" s="2">
        <v>0</v>
      </c>
      <c r="W315" s="2">
        <v>0</v>
      </c>
      <c r="X315" s="2">
        <v>-4.7686958761275142E-5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1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</row>
    <row r="316" spans="1:98" x14ac:dyDescent="0.2">
      <c r="A316" s="2" t="s">
        <v>595</v>
      </c>
      <c r="B316" s="2">
        <v>179.12799999999999</v>
      </c>
      <c r="C316" s="2">
        <v>-4952.01</v>
      </c>
      <c r="D316" s="2">
        <v>-17125.470874235187</v>
      </c>
      <c r="E316" s="2">
        <v>-8873.6209400070002</v>
      </c>
      <c r="F316" s="2" t="s">
        <v>281</v>
      </c>
      <c r="G316" s="2">
        <v>92.74</v>
      </c>
      <c r="H316" s="2">
        <v>1.4492620000000001</v>
      </c>
      <c r="I316" s="2">
        <v>0.22</v>
      </c>
      <c r="J316" s="2">
        <v>1.2191022194317974E-2</v>
      </c>
      <c r="K316" s="2">
        <v>0.12628213250144893</v>
      </c>
      <c r="L316" s="2">
        <v>95.640699999999995</v>
      </c>
      <c r="M316" s="2">
        <v>96.501300000000001</v>
      </c>
      <c r="N316" s="2">
        <v>4.0136608266791995E-3</v>
      </c>
      <c r="O316" s="2">
        <v>1.7863022747202528E-2</v>
      </c>
      <c r="P316" s="2">
        <v>73.987614325068861</v>
      </c>
      <c r="Q316" s="2">
        <v>6.6193257297010533E-2</v>
      </c>
      <c r="R316" s="2">
        <v>2.1975835434872013E-3</v>
      </c>
      <c r="S316" s="2">
        <v>1.4388605737805175E-2</v>
      </c>
      <c r="T316" s="2">
        <v>0</v>
      </c>
      <c r="U316" s="2">
        <v>0</v>
      </c>
      <c r="V316" s="2">
        <v>0</v>
      </c>
      <c r="W316" s="2">
        <v>0</v>
      </c>
      <c r="X316" s="2">
        <v>-1.6096586855141037E-5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</row>
    <row r="317" spans="1:98" x14ac:dyDescent="0.2">
      <c r="A317" s="2" t="s">
        <v>596</v>
      </c>
      <c r="B317" s="2">
        <v>179.357</v>
      </c>
      <c r="C317" s="2">
        <v>-2169.08</v>
      </c>
      <c r="D317" s="2">
        <v>-7491.7232228460562</v>
      </c>
      <c r="E317" s="2">
        <v>9633.7476513891306</v>
      </c>
      <c r="F317" s="2" t="s">
        <v>281</v>
      </c>
      <c r="G317" s="2">
        <v>88.91</v>
      </c>
      <c r="H317" s="2">
        <v>1.2956570000000001</v>
      </c>
      <c r="I317" s="2">
        <v>0.42</v>
      </c>
      <c r="J317" s="2">
        <v>8.6821470735409939E-3</v>
      </c>
      <c r="K317" s="2">
        <v>0.11729671180866133</v>
      </c>
      <c r="L317" s="2">
        <v>96.331800000000001</v>
      </c>
      <c r="M317" s="2">
        <v>95.156499999999994</v>
      </c>
      <c r="N317" s="2">
        <v>7.2000206859472726E-3</v>
      </c>
      <c r="O317" s="2">
        <v>-1.4033575158172162E-2</v>
      </c>
      <c r="P317" s="2">
        <v>70.932055096418722</v>
      </c>
      <c r="Q317" s="2">
        <v>-4.2175256830267571E-2</v>
      </c>
      <c r="R317" s="2">
        <v>4.1912046184680524E-3</v>
      </c>
      <c r="S317" s="2">
        <v>1.2873351692009045E-2</v>
      </c>
      <c r="T317" s="2">
        <v>0</v>
      </c>
      <c r="U317" s="2">
        <v>0</v>
      </c>
      <c r="V317" s="2">
        <v>0</v>
      </c>
      <c r="W317" s="2">
        <v>0</v>
      </c>
      <c r="X317" s="2">
        <v>-1.5152540457961296E-3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</row>
    <row r="318" spans="1:98" x14ac:dyDescent="0.2">
      <c r="A318" s="2" t="s">
        <v>597</v>
      </c>
      <c r="B318" s="2">
        <v>180.56299999999999</v>
      </c>
      <c r="C318" s="2">
        <v>-3189.73</v>
      </c>
      <c r="D318" s="2">
        <v>-10943.333803049352</v>
      </c>
      <c r="E318" s="2">
        <v>-3451.6105802032962</v>
      </c>
      <c r="F318" s="2" t="s">
        <v>281</v>
      </c>
      <c r="G318" s="2">
        <v>97.71</v>
      </c>
      <c r="H318" s="2">
        <v>1.4938629999999999</v>
      </c>
      <c r="I318" s="2">
        <v>0.01</v>
      </c>
      <c r="J318" s="2">
        <v>1.4728152611266084E-2</v>
      </c>
      <c r="K318" s="2">
        <v>0.11503315529833982</v>
      </c>
      <c r="L318" s="2">
        <v>96.513900000000007</v>
      </c>
      <c r="M318" s="2">
        <v>95.5304</v>
      </c>
      <c r="N318" s="2">
        <v>1.8885570601154811E-3</v>
      </c>
      <c r="O318" s="2">
        <v>3.9216168408673369E-3</v>
      </c>
      <c r="P318" s="2">
        <v>77.952661157024778</v>
      </c>
      <c r="Q318" s="2">
        <v>9.4379285823204206E-2</v>
      </c>
      <c r="R318" s="2">
        <v>9.9995000333297321E-5</v>
      </c>
      <c r="S318" s="2">
        <v>1.4828147611599382E-2</v>
      </c>
      <c r="T318" s="2">
        <v>0</v>
      </c>
      <c r="U318" s="2">
        <v>0</v>
      </c>
      <c r="V318" s="2">
        <v>0</v>
      </c>
      <c r="W318" s="2">
        <v>0</v>
      </c>
      <c r="X318" s="2">
        <v>1.9547959195903367E-3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</row>
    <row r="319" spans="1:98" x14ac:dyDescent="0.2">
      <c r="A319" s="2" t="s">
        <v>598</v>
      </c>
      <c r="B319" s="2">
        <v>182.23599999999999</v>
      </c>
      <c r="C319" s="2">
        <v>-1795.63</v>
      </c>
      <c r="D319" s="2">
        <v>-6103.896540090871</v>
      </c>
      <c r="E319" s="2">
        <v>4839.4372629584814</v>
      </c>
      <c r="F319" s="2" t="s">
        <v>281</v>
      </c>
      <c r="G319" s="2">
        <v>98.63</v>
      </c>
      <c r="H319" s="2">
        <v>1.391748</v>
      </c>
      <c r="I319" s="2">
        <v>0.23</v>
      </c>
      <c r="J319" s="2">
        <v>1.1524162138110007E-2</v>
      </c>
      <c r="K319" s="2">
        <v>0.11187504358568115</v>
      </c>
      <c r="L319" s="2">
        <v>96.585599999999999</v>
      </c>
      <c r="M319" s="2">
        <v>98.6524</v>
      </c>
      <c r="N319" s="2">
        <v>7.426223609598992E-4</v>
      </c>
      <c r="O319" s="2">
        <v>3.2158039167063279E-2</v>
      </c>
      <c r="P319" s="2">
        <v>78.686633608815413</v>
      </c>
      <c r="Q319" s="2">
        <v>9.3715670096505832E-3</v>
      </c>
      <c r="R319" s="2">
        <v>2.2973590486834584E-3</v>
      </c>
      <c r="S319" s="2">
        <v>1.3821521186793466E-2</v>
      </c>
      <c r="T319" s="2">
        <v>0</v>
      </c>
      <c r="U319" s="2">
        <v>0</v>
      </c>
      <c r="V319" s="2">
        <v>0</v>
      </c>
      <c r="W319" s="2">
        <v>0</v>
      </c>
      <c r="X319" s="2">
        <v>-1.0066264248059162E-3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</row>
    <row r="320" spans="1:98" x14ac:dyDescent="0.2">
      <c r="A320" s="2" t="s">
        <v>599</v>
      </c>
      <c r="B320" s="2">
        <v>186.35300000000001</v>
      </c>
      <c r="C320" s="2">
        <v>-396.98</v>
      </c>
      <c r="D320" s="2">
        <v>-1319.6438076124346</v>
      </c>
      <c r="E320" s="2">
        <v>4784.2527324784369</v>
      </c>
      <c r="F320" s="2" t="s">
        <v>281</v>
      </c>
      <c r="G320" s="2">
        <v>100.42</v>
      </c>
      <c r="H320" s="2">
        <v>1.306</v>
      </c>
      <c r="I320" s="2">
        <v>1.61</v>
      </c>
      <c r="J320" s="2">
        <v>-2.9963159873083716E-3</v>
      </c>
      <c r="K320" s="2">
        <v>0.10326818299380019</v>
      </c>
      <c r="L320" s="2">
        <v>96.462400000000002</v>
      </c>
      <c r="M320" s="2">
        <v>93.926900000000003</v>
      </c>
      <c r="N320" s="2">
        <v>-1.2763666728021761E-3</v>
      </c>
      <c r="O320" s="2">
        <v>-4.9085740445076631E-2</v>
      </c>
      <c r="P320" s="2">
        <v>80.114688705234144</v>
      </c>
      <c r="Q320" s="2">
        <v>1.7985915640656991E-2</v>
      </c>
      <c r="R320" s="2">
        <v>1.5971769509698665E-2</v>
      </c>
      <c r="S320" s="2">
        <v>1.2975453522390294E-2</v>
      </c>
      <c r="T320" s="2">
        <v>0</v>
      </c>
      <c r="U320" s="2">
        <v>0</v>
      </c>
      <c r="V320" s="2">
        <v>0</v>
      </c>
      <c r="W320" s="2">
        <v>0</v>
      </c>
      <c r="X320" s="2">
        <v>-8.4606766440317206E-4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1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</row>
    <row r="321" spans="1:98" x14ac:dyDescent="0.2">
      <c r="A321" s="2" t="s">
        <v>600</v>
      </c>
      <c r="B321" s="2">
        <v>189.74600000000001</v>
      </c>
      <c r="C321" s="2">
        <v>-4653.84</v>
      </c>
      <c r="D321" s="2">
        <v>-15193.691502534968</v>
      </c>
      <c r="E321" s="2">
        <v>-13874.047694922534</v>
      </c>
      <c r="F321" s="2" t="s">
        <v>281</v>
      </c>
      <c r="G321" s="2">
        <v>104.98</v>
      </c>
      <c r="H321" s="2">
        <v>1.405437</v>
      </c>
      <c r="I321" s="2">
        <v>1.31</v>
      </c>
      <c r="J321" s="2">
        <v>9.4158598342034341E-4</v>
      </c>
      <c r="K321" s="2">
        <v>9.4231131696387083E-2</v>
      </c>
      <c r="L321" s="2">
        <v>96.141400000000004</v>
      </c>
      <c r="M321" s="2">
        <v>97.557100000000005</v>
      </c>
      <c r="N321" s="2">
        <v>-3.3332706541715496E-3</v>
      </c>
      <c r="O321" s="2">
        <v>3.7921027447188393E-2</v>
      </c>
      <c r="P321" s="2">
        <v>83.752639118457296</v>
      </c>
      <c r="Q321" s="2">
        <v>4.4408465217594006E-2</v>
      </c>
      <c r="R321" s="2">
        <v>1.3014937077494763E-2</v>
      </c>
      <c r="S321" s="2">
        <v>1.3956523060915106E-2</v>
      </c>
      <c r="T321" s="2">
        <v>0</v>
      </c>
      <c r="U321" s="2">
        <v>0</v>
      </c>
      <c r="V321" s="2">
        <v>0</v>
      </c>
      <c r="W321" s="2">
        <v>0</v>
      </c>
      <c r="X321" s="2">
        <v>9.8106953852481263E-4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</row>
    <row r="322" spans="1:98" x14ac:dyDescent="0.2">
      <c r="A322" s="2" t="s">
        <v>601</v>
      </c>
      <c r="B322" s="2">
        <v>191.04900000000001</v>
      </c>
      <c r="C322" s="2">
        <v>-1769.48</v>
      </c>
      <c r="D322" s="2">
        <v>-5737.5353573167095</v>
      </c>
      <c r="E322" s="2">
        <v>9456.1561452182577</v>
      </c>
      <c r="F322" s="2" t="s">
        <v>281</v>
      </c>
      <c r="G322" s="2">
        <v>99.54</v>
      </c>
      <c r="H322" s="2">
        <v>1.223622</v>
      </c>
      <c r="I322" s="2">
        <v>0.23</v>
      </c>
      <c r="J322" s="2">
        <v>9.864603550952436E-3</v>
      </c>
      <c r="K322" s="2">
        <v>9.2428976074551875E-2</v>
      </c>
      <c r="L322" s="2">
        <v>96.531800000000004</v>
      </c>
      <c r="M322" s="2">
        <v>98.060299999999998</v>
      </c>
      <c r="N322" s="2">
        <v>4.0524632826688389E-3</v>
      </c>
      <c r="O322" s="2">
        <v>5.1447479611637092E-3</v>
      </c>
      <c r="P322" s="2">
        <v>79.41262809917356</v>
      </c>
      <c r="Q322" s="2">
        <v>-5.3210282393744812E-2</v>
      </c>
      <c r="R322" s="2">
        <v>2.2973590486834584E-3</v>
      </c>
      <c r="S322" s="2">
        <v>1.2161962599635895E-2</v>
      </c>
      <c r="T322" s="2">
        <v>0</v>
      </c>
      <c r="U322" s="2">
        <v>0</v>
      </c>
      <c r="V322" s="2">
        <v>0</v>
      </c>
      <c r="W322" s="2">
        <v>0</v>
      </c>
      <c r="X322" s="2">
        <v>-1.7945604612792116E-3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</row>
    <row r="323" spans="1:98" x14ac:dyDescent="0.2">
      <c r="A323" s="2" t="s">
        <v>602</v>
      </c>
      <c r="B323" s="2">
        <v>191.76300000000001</v>
      </c>
      <c r="C323" s="2">
        <v>1481.3</v>
      </c>
      <c r="D323" s="2">
        <v>4785.2286353467562</v>
      </c>
      <c r="E323" s="2">
        <v>10522.763992663466</v>
      </c>
      <c r="F323" s="2" t="s">
        <v>281</v>
      </c>
      <c r="G323" s="2">
        <v>105</v>
      </c>
      <c r="H323" s="2">
        <v>1.2877810000000001</v>
      </c>
      <c r="I323" s="2">
        <v>0.14000000000000001</v>
      </c>
      <c r="J323" s="2">
        <v>1.1396575162327E-2</v>
      </c>
      <c r="K323" s="2">
        <v>0.10191122700219864</v>
      </c>
      <c r="L323" s="2">
        <v>96.253200000000007</v>
      </c>
      <c r="M323" s="2">
        <v>97.144999999999996</v>
      </c>
      <c r="N323" s="2">
        <v>-2.8902683709199906E-3</v>
      </c>
      <c r="O323" s="2">
        <v>-9.3778878747485805E-3</v>
      </c>
      <c r="P323" s="2">
        <v>83.768595041322314</v>
      </c>
      <c r="Q323" s="2">
        <v>5.3400776727114518E-2</v>
      </c>
      <c r="R323" s="2">
        <v>1.3990209137074087E-3</v>
      </c>
      <c r="S323" s="2">
        <v>1.2795596076034409E-2</v>
      </c>
      <c r="T323" s="2">
        <v>0</v>
      </c>
      <c r="U323" s="2">
        <v>0</v>
      </c>
      <c r="V323" s="2">
        <v>0</v>
      </c>
      <c r="W323" s="2">
        <v>0</v>
      </c>
      <c r="X323" s="2">
        <v>6.3363347639851415E-4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</row>
    <row r="324" spans="1:98" x14ac:dyDescent="0.2">
      <c r="A324" s="2" t="s">
        <v>603</v>
      </c>
      <c r="B324" s="2">
        <v>192.506</v>
      </c>
      <c r="C324" s="2">
        <v>-2034.67</v>
      </c>
      <c r="D324" s="2">
        <v>-6547.4802495506628</v>
      </c>
      <c r="E324" s="2">
        <v>-11332.70888489742</v>
      </c>
      <c r="F324" s="2" t="s">
        <v>281</v>
      </c>
      <c r="G324" s="2">
        <v>100.61</v>
      </c>
      <c r="H324" s="2">
        <v>1.219897</v>
      </c>
      <c r="I324" s="2">
        <v>0.32</v>
      </c>
      <c r="J324" s="2">
        <v>8.9302713153461485E-3</v>
      </c>
      <c r="K324" s="2">
        <v>0.10652690674062573</v>
      </c>
      <c r="L324" s="2">
        <v>96.276899999999998</v>
      </c>
      <c r="M324" s="2">
        <v>96.061499999999995</v>
      </c>
      <c r="N324" s="2">
        <v>2.4619527148939113E-4</v>
      </c>
      <c r="O324" s="2">
        <v>-1.121609633984022E-2</v>
      </c>
      <c r="P324" s="2">
        <v>80.266269972451781</v>
      </c>
      <c r="Q324" s="2">
        <v>-4.2708693853564128E-2</v>
      </c>
      <c r="R324" s="2">
        <v>3.1948908965192886E-3</v>
      </c>
      <c r="S324" s="2">
        <v>1.2125162211865437E-2</v>
      </c>
      <c r="T324" s="2">
        <v>0</v>
      </c>
      <c r="U324" s="2">
        <v>0</v>
      </c>
      <c r="V324" s="2">
        <v>0</v>
      </c>
      <c r="W324" s="2">
        <v>0</v>
      </c>
      <c r="X324" s="2">
        <v>-6.7043386416897228E-4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</row>
    <row r="325" spans="1:98" x14ac:dyDescent="0.2">
      <c r="A325" s="2" t="s">
        <v>604</v>
      </c>
      <c r="B325" s="2">
        <v>193.97</v>
      </c>
      <c r="C325" s="2">
        <v>2576.3200000000002</v>
      </c>
      <c r="D325" s="2">
        <v>8227.9136377790401</v>
      </c>
      <c r="E325" s="2">
        <v>14775.393887329703</v>
      </c>
      <c r="F325" s="2" t="s">
        <v>281</v>
      </c>
      <c r="G325" s="2">
        <v>92.66</v>
      </c>
      <c r="H325" s="2">
        <v>1.198167</v>
      </c>
      <c r="I325" s="2">
        <v>0.59</v>
      </c>
      <c r="J325" s="2">
        <v>6.0277948948608976E-3</v>
      </c>
      <c r="K325" s="2">
        <v>0.10266707573821421</v>
      </c>
      <c r="L325" s="2">
        <v>96.016499999999994</v>
      </c>
      <c r="M325" s="2">
        <v>95.621799999999993</v>
      </c>
      <c r="N325" s="2">
        <v>-2.7083629409476728E-3</v>
      </c>
      <c r="O325" s="2">
        <v>-4.5877838207575294E-3</v>
      </c>
      <c r="P325" s="2">
        <v>73.923790633608803</v>
      </c>
      <c r="Q325" s="2">
        <v>-8.2314776315456584E-2</v>
      </c>
      <c r="R325" s="2">
        <v>5.8826631581555119E-3</v>
      </c>
      <c r="S325" s="2">
        <v>1.1910458053016409E-2</v>
      </c>
      <c r="T325" s="2">
        <v>0</v>
      </c>
      <c r="U325" s="2">
        <v>0</v>
      </c>
      <c r="V325" s="2">
        <v>0</v>
      </c>
      <c r="W325" s="2">
        <v>0</v>
      </c>
      <c r="X325" s="2">
        <v>-2.1470415884902727E-4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</row>
    <row r="326" spans="1:98" x14ac:dyDescent="0.2">
      <c r="A326" s="2" t="s">
        <v>605</v>
      </c>
      <c r="B326" s="2">
        <v>194.92</v>
      </c>
      <c r="C326" s="2">
        <v>-2629.62</v>
      </c>
      <c r="D326" s="2">
        <v>-8357.2054130925517</v>
      </c>
      <c r="E326" s="2">
        <v>-16585.119050871592</v>
      </c>
      <c r="F326" s="2" t="s">
        <v>281</v>
      </c>
      <c r="G326" s="2">
        <v>91.83</v>
      </c>
      <c r="H326" s="2">
        <v>1.265069</v>
      </c>
      <c r="I326" s="2">
        <v>0.56999999999999995</v>
      </c>
      <c r="J326" s="2">
        <v>6.8875220858585686E-3</v>
      </c>
      <c r="K326" s="2">
        <v>0.10128306761573228</v>
      </c>
      <c r="L326" s="2">
        <v>95.354200000000006</v>
      </c>
      <c r="M326" s="2">
        <v>94.373800000000003</v>
      </c>
      <c r="N326" s="2">
        <v>-6.921672379373689E-3</v>
      </c>
      <c r="O326" s="2">
        <v>-1.3137335277916939E-2</v>
      </c>
      <c r="P326" s="2">
        <v>73.261619834710729</v>
      </c>
      <c r="Q326" s="2">
        <v>-8.997838363071331E-3</v>
      </c>
      <c r="R326" s="2">
        <v>5.6838164682977092E-3</v>
      </c>
      <c r="S326" s="2">
        <v>1.2571338554156278E-2</v>
      </c>
      <c r="T326" s="2">
        <v>0</v>
      </c>
      <c r="U326" s="2">
        <v>0</v>
      </c>
      <c r="V326" s="2">
        <v>0</v>
      </c>
      <c r="W326" s="2">
        <v>0</v>
      </c>
      <c r="X326" s="2">
        <v>6.6088050113986829E-4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</row>
    <row r="327" spans="1:98" x14ac:dyDescent="0.2">
      <c r="A327" s="2" t="s">
        <v>606</v>
      </c>
      <c r="B327" s="2">
        <v>195.58</v>
      </c>
      <c r="C327" s="2">
        <v>-1053.24</v>
      </c>
      <c r="D327" s="2">
        <v>-3336.0103397075363</v>
      </c>
      <c r="E327" s="2">
        <v>5021.1950733850153</v>
      </c>
      <c r="F327" s="2" t="s">
        <v>281</v>
      </c>
      <c r="G327" s="2">
        <v>88.6</v>
      </c>
      <c r="H327" s="2">
        <v>1.015835</v>
      </c>
      <c r="I327" s="2">
        <v>0.46</v>
      </c>
      <c r="J327" s="2">
        <v>5.5176484085374122E-3</v>
      </c>
      <c r="K327" s="2">
        <v>9.3695169431229491E-2</v>
      </c>
      <c r="L327" s="2">
        <v>94.773600000000002</v>
      </c>
      <c r="M327" s="2">
        <v>94.546099999999996</v>
      </c>
      <c r="N327" s="2">
        <v>-6.107489854366932E-3</v>
      </c>
      <c r="O327" s="2">
        <v>1.8240539802594213E-3</v>
      </c>
      <c r="P327" s="2">
        <v>70.684738292011005</v>
      </c>
      <c r="Q327" s="2">
        <v>-3.5807184014395865E-2</v>
      </c>
      <c r="R327" s="2">
        <v>4.589452333807224E-3</v>
      </c>
      <c r="S327" s="2">
        <v>1.0107100742344636E-2</v>
      </c>
      <c r="T327" s="2">
        <v>0</v>
      </c>
      <c r="U327" s="2">
        <v>0</v>
      </c>
      <c r="V327" s="2">
        <v>0</v>
      </c>
      <c r="W327" s="2">
        <v>0</v>
      </c>
      <c r="X327" s="2">
        <v>-2.4642378118116415E-3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</row>
    <row r="328" spans="1:98" x14ac:dyDescent="0.2">
      <c r="A328" s="2" t="s">
        <v>607</v>
      </c>
      <c r="B328" s="2">
        <v>197.15100000000001</v>
      </c>
      <c r="C328" s="2">
        <v>-3884.62</v>
      </c>
      <c r="D328" s="2">
        <v>-12206.019036778915</v>
      </c>
      <c r="E328" s="2">
        <v>-8870.0086970713783</v>
      </c>
      <c r="F328" s="2" t="s">
        <v>281</v>
      </c>
      <c r="G328" s="2">
        <v>100.51</v>
      </c>
      <c r="H328" s="2">
        <v>1.2578549999999999</v>
      </c>
      <c r="I328" s="2">
        <v>0.38</v>
      </c>
      <c r="J328" s="2">
        <v>8.7072989975827166E-3</v>
      </c>
      <c r="K328" s="2">
        <v>9.0211446234494216E-2</v>
      </c>
      <c r="L328" s="2">
        <v>94.545599999999993</v>
      </c>
      <c r="M328" s="2">
        <v>95.468999999999994</v>
      </c>
      <c r="N328" s="2">
        <v>-2.4086316678779696E-3</v>
      </c>
      <c r="O328" s="2">
        <v>9.7140412236571549E-3</v>
      </c>
      <c r="P328" s="2">
        <v>80.186490358126719</v>
      </c>
      <c r="Q328" s="2">
        <v>0.12612536742561353</v>
      </c>
      <c r="R328" s="2">
        <v>3.7927982386962624E-3</v>
      </c>
      <c r="S328" s="2">
        <v>1.2500097236278979E-2</v>
      </c>
      <c r="T328" s="2">
        <v>0</v>
      </c>
      <c r="U328" s="2">
        <v>0</v>
      </c>
      <c r="V328" s="2">
        <v>0</v>
      </c>
      <c r="W328" s="2">
        <v>0</v>
      </c>
      <c r="X328" s="2">
        <v>2.3929964939343427E-3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</row>
    <row r="329" spans="1:98" x14ac:dyDescent="0.2">
      <c r="A329" s="2" t="s">
        <v>608</v>
      </c>
      <c r="B329" s="2">
        <v>199.374</v>
      </c>
      <c r="C329" s="2">
        <v>-6500.83</v>
      </c>
      <c r="D329" s="2">
        <v>-20198.762953444282</v>
      </c>
      <c r="E329" s="2">
        <v>-7992.7439166653676</v>
      </c>
      <c r="F329" s="2" t="s">
        <v>281</v>
      </c>
      <c r="G329" s="2">
        <v>94.43</v>
      </c>
      <c r="H329" s="2">
        <v>1.1863729999999999</v>
      </c>
      <c r="I329" s="2">
        <v>0.57999999999999996</v>
      </c>
      <c r="J329" s="2">
        <v>6.0106628926647719E-3</v>
      </c>
      <c r="K329" s="2">
        <v>8.7539962053618012E-2</v>
      </c>
      <c r="L329" s="2">
        <v>94.311099999999996</v>
      </c>
      <c r="M329" s="2">
        <v>92.240200000000002</v>
      </c>
      <c r="N329" s="2">
        <v>-2.4833656472393884E-3</v>
      </c>
      <c r="O329" s="2">
        <v>-3.4405543245303427E-2</v>
      </c>
      <c r="P329" s="2">
        <v>75.33588980716253</v>
      </c>
      <c r="Q329" s="2">
        <v>-6.2398405761670439E-2</v>
      </c>
      <c r="R329" s="2">
        <v>5.7832447557273608E-3</v>
      </c>
      <c r="S329" s="2">
        <v>1.1793907648392133E-2</v>
      </c>
      <c r="T329" s="2">
        <v>0</v>
      </c>
      <c r="U329" s="2">
        <v>0</v>
      </c>
      <c r="V329" s="2">
        <v>0</v>
      </c>
      <c r="W329" s="2">
        <v>0</v>
      </c>
      <c r="X329" s="2">
        <v>-7.0618958788684627E-4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</row>
    <row r="330" spans="1:98" x14ac:dyDescent="0.2">
      <c r="A330" s="2" t="s">
        <v>609</v>
      </c>
      <c r="B330" s="2">
        <v>200.251</v>
      </c>
      <c r="C330" s="2">
        <v>-4011.68</v>
      </c>
      <c r="D330" s="2">
        <v>-12410.122694418504</v>
      </c>
      <c r="E330" s="2">
        <v>7788.6402590257785</v>
      </c>
      <c r="F330" s="2" t="s">
        <v>281</v>
      </c>
      <c r="G330" s="2">
        <v>102.44</v>
      </c>
      <c r="H330" s="2">
        <v>1.33677</v>
      </c>
      <c r="I330" s="2">
        <v>0.41</v>
      </c>
      <c r="J330" s="2">
        <v>9.1875227453686228E-3</v>
      </c>
      <c r="K330" s="2">
        <v>8.1999332187720556E-2</v>
      </c>
      <c r="L330" s="2">
        <v>93.687600000000003</v>
      </c>
      <c r="M330" s="2">
        <v>93.028800000000004</v>
      </c>
      <c r="N330" s="2">
        <v>-6.6330489096637635E-3</v>
      </c>
      <c r="O330" s="2">
        <v>8.5130784172813279E-3</v>
      </c>
      <c r="P330" s="2">
        <v>81.726236914600548</v>
      </c>
      <c r="Q330" s="2">
        <v>8.1418442056346407E-2</v>
      </c>
      <c r="R330" s="2">
        <v>4.0916179032535575E-3</v>
      </c>
      <c r="S330" s="2">
        <v>1.327914064862218E-2</v>
      </c>
      <c r="T330" s="2">
        <v>0</v>
      </c>
      <c r="U330" s="2">
        <v>0</v>
      </c>
      <c r="V330" s="2">
        <v>0</v>
      </c>
      <c r="W330" s="2">
        <v>0</v>
      </c>
      <c r="X330" s="2">
        <v>1.4852330002300476E-3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</row>
    <row r="331" spans="1:98" x14ac:dyDescent="0.2">
      <c r="A331" s="2" t="s">
        <v>610</v>
      </c>
      <c r="B331" s="2">
        <v>203.167</v>
      </c>
      <c r="C331" s="2">
        <v>-1407.57</v>
      </c>
      <c r="D331" s="2">
        <v>-4291.818225007014</v>
      </c>
      <c r="E331" s="2">
        <v>8118.3044694114897</v>
      </c>
      <c r="F331" s="2" t="s">
        <v>281</v>
      </c>
      <c r="G331" s="2">
        <v>97.73</v>
      </c>
      <c r="H331" s="2">
        <v>1.2733159999999999</v>
      </c>
      <c r="I331" s="2">
        <v>0.52</v>
      </c>
      <c r="J331" s="2">
        <v>7.4662482820280181E-3</v>
      </c>
      <c r="K331" s="2">
        <v>7.7941418331638562E-2</v>
      </c>
      <c r="L331" s="2">
        <v>93.111400000000003</v>
      </c>
      <c r="M331" s="2">
        <v>95.281599999999997</v>
      </c>
      <c r="N331" s="2">
        <v>-6.1692174741505568E-3</v>
      </c>
      <c r="O331" s="2">
        <v>2.3927594884844972E-2</v>
      </c>
      <c r="P331" s="2">
        <v>77.96861707988981</v>
      </c>
      <c r="Q331" s="2">
        <v>-4.706868698058031E-2</v>
      </c>
      <c r="R331" s="2">
        <v>5.1865266873001538E-3</v>
      </c>
      <c r="S331" s="2">
        <v>1.2652774969328172E-2</v>
      </c>
      <c r="T331" s="2">
        <v>0</v>
      </c>
      <c r="U331" s="2">
        <v>0</v>
      </c>
      <c r="V331" s="2">
        <v>0</v>
      </c>
      <c r="W331" s="2">
        <v>0</v>
      </c>
      <c r="X331" s="2">
        <v>-6.2636567929400845E-4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</row>
    <row r="332" spans="1:98" x14ac:dyDescent="0.2">
      <c r="A332" s="2" t="s">
        <v>611</v>
      </c>
      <c r="B332" s="2">
        <v>206.45</v>
      </c>
      <c r="C332" s="2">
        <v>-1261.3800000000001</v>
      </c>
      <c r="D332" s="2">
        <v>-3784.9098419956413</v>
      </c>
      <c r="E332" s="2">
        <v>506.90838301137273</v>
      </c>
      <c r="F332" s="2" t="s">
        <v>281</v>
      </c>
      <c r="G332" s="2">
        <v>101.97</v>
      </c>
      <c r="H332" s="2">
        <v>1.4979819999999999</v>
      </c>
      <c r="I332" s="2">
        <v>1.33</v>
      </c>
      <c r="J332" s="2">
        <v>1.6563990505716417E-3</v>
      </c>
      <c r="K332" s="2">
        <v>8.2594133369518583E-2</v>
      </c>
      <c r="L332" s="2">
        <v>92.585999999999999</v>
      </c>
      <c r="M332" s="2">
        <v>90.755200000000002</v>
      </c>
      <c r="N332" s="2">
        <v>-5.6586834492255988E-3</v>
      </c>
      <c r="O332" s="2">
        <v>-4.8670945738456872E-2</v>
      </c>
      <c r="P332" s="2">
        <v>81.351272727272729</v>
      </c>
      <c r="Q332" s="2">
        <v>4.2470078025390379E-2</v>
      </c>
      <c r="R332" s="2">
        <v>1.32123314721349E-2</v>
      </c>
      <c r="S332" s="2">
        <v>1.4868730522706541E-2</v>
      </c>
      <c r="T332" s="2">
        <v>0</v>
      </c>
      <c r="U332" s="2">
        <v>0</v>
      </c>
      <c r="V332" s="2">
        <v>0</v>
      </c>
      <c r="W332" s="2">
        <v>0</v>
      </c>
      <c r="X332" s="2">
        <v>2.2159555533783695E-3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</row>
    <row r="333" spans="1:98" x14ac:dyDescent="0.2">
      <c r="A333" s="2" t="s">
        <v>612</v>
      </c>
      <c r="B333" s="2">
        <v>208.315</v>
      </c>
      <c r="C333" s="2">
        <v>-2471.0100000000002</v>
      </c>
      <c r="D333" s="2">
        <v>-7348.157313491588</v>
      </c>
      <c r="E333" s="2">
        <v>-3563.2474714959467</v>
      </c>
      <c r="F333" s="2" t="s">
        <v>281</v>
      </c>
      <c r="G333" s="2">
        <v>104.93</v>
      </c>
      <c r="H333" s="2">
        <v>1.600001</v>
      </c>
      <c r="I333" s="2">
        <v>0.7</v>
      </c>
      <c r="J333" s="2">
        <v>8.8977452623846022E-3</v>
      </c>
      <c r="K333" s="2">
        <v>9.0550292648482841E-2</v>
      </c>
      <c r="L333" s="2">
        <v>92.4101</v>
      </c>
      <c r="M333" s="2">
        <v>94.307299999999998</v>
      </c>
      <c r="N333" s="2">
        <v>-1.9016622837915165E-3</v>
      </c>
      <c r="O333" s="2">
        <v>3.8392827377628613E-2</v>
      </c>
      <c r="P333" s="2">
        <v>83.712749311294772</v>
      </c>
      <c r="Q333" s="2">
        <v>2.8614808793685498E-2</v>
      </c>
      <c r="R333" s="2">
        <v>6.9756137364251382E-3</v>
      </c>
      <c r="S333" s="2">
        <v>1.587335899880974E-2</v>
      </c>
      <c r="T333" s="2">
        <v>0</v>
      </c>
      <c r="U333" s="2">
        <v>0</v>
      </c>
      <c r="V333" s="2">
        <v>0</v>
      </c>
      <c r="W333" s="2">
        <v>0</v>
      </c>
      <c r="X333" s="2">
        <v>1.004628476103199E-3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</row>
    <row r="334" spans="1:98" x14ac:dyDescent="0.2">
      <c r="A334" s="2" t="s">
        <v>613</v>
      </c>
      <c r="B334" s="2">
        <v>209.11099999999999</v>
      </c>
      <c r="C334" s="2">
        <v>-1952.36</v>
      </c>
      <c r="D334" s="2">
        <v>-5783.7233017870885</v>
      </c>
      <c r="E334" s="2">
        <v>1564.4340117044994</v>
      </c>
      <c r="F334" s="2" t="s">
        <v>281</v>
      </c>
      <c r="G334" s="2">
        <v>98.12</v>
      </c>
      <c r="H334" s="2">
        <v>1.324311</v>
      </c>
      <c r="I334" s="2">
        <v>0.28000000000000003</v>
      </c>
      <c r="J334" s="2">
        <v>1.0360099299852474E-2</v>
      </c>
      <c r="K334" s="2">
        <v>9.1045788397382879E-2</v>
      </c>
      <c r="L334" s="2">
        <v>92.092399999999998</v>
      </c>
      <c r="M334" s="2">
        <v>93.504499999999993</v>
      </c>
      <c r="N334" s="2">
        <v>-3.4438591780361349E-3</v>
      </c>
      <c r="O334" s="2">
        <v>-8.5490356777171428E-3</v>
      </c>
      <c r="P334" s="2">
        <v>78.279757575757586</v>
      </c>
      <c r="Q334" s="2">
        <v>-6.7102241779531724E-2</v>
      </c>
      <c r="R334" s="2">
        <v>2.796087302001188E-3</v>
      </c>
      <c r="S334" s="2">
        <v>1.3156186601853663E-2</v>
      </c>
      <c r="T334" s="2">
        <v>0</v>
      </c>
      <c r="U334" s="2">
        <v>0</v>
      </c>
      <c r="V334" s="2">
        <v>0</v>
      </c>
      <c r="W334" s="2">
        <v>0</v>
      </c>
      <c r="X334" s="2">
        <v>-2.7171723969560777E-3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</row>
    <row r="335" spans="1:98" x14ac:dyDescent="0.2">
      <c r="A335" s="2" t="s">
        <v>614</v>
      </c>
      <c r="B335" s="2">
        <v>212.13499999999999</v>
      </c>
      <c r="C335" s="2">
        <v>-1890.87</v>
      </c>
      <c r="D335" s="2">
        <v>-5521.7129852216749</v>
      </c>
      <c r="E335" s="2">
        <v>262.01031656541363</v>
      </c>
      <c r="F335" s="2" t="s">
        <v>281</v>
      </c>
      <c r="G335" s="2">
        <v>101.85</v>
      </c>
      <c r="H335" s="2">
        <v>1.5349379999999999</v>
      </c>
      <c r="I335" s="2">
        <v>0.83</v>
      </c>
      <c r="J335" s="2">
        <v>6.9670255964927891E-3</v>
      </c>
      <c r="K335" s="2">
        <v>8.6616238831548661E-2</v>
      </c>
      <c r="L335" s="2">
        <v>91.685400000000001</v>
      </c>
      <c r="M335" s="2">
        <v>92.373099999999994</v>
      </c>
      <c r="N335" s="2">
        <v>-4.4292690998730677E-3</v>
      </c>
      <c r="O335" s="2">
        <v>-1.2173752757509426E-2</v>
      </c>
      <c r="P335" s="2">
        <v>81.255537190082649</v>
      </c>
      <c r="Q335" s="2">
        <v>3.7309923282526469E-2</v>
      </c>
      <c r="R335" s="2">
        <v>8.2657444170325927E-3</v>
      </c>
      <c r="S335" s="2">
        <v>1.5232770013525382E-2</v>
      </c>
      <c r="T335" s="2">
        <v>0</v>
      </c>
      <c r="U335" s="2">
        <v>0</v>
      </c>
      <c r="V335" s="2">
        <v>0</v>
      </c>
      <c r="W335" s="2">
        <v>0</v>
      </c>
      <c r="X335" s="2">
        <v>2.0765834116717192E-3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</row>
    <row r="336" spans="1:98" x14ac:dyDescent="0.2">
      <c r="A336" s="2" t="s">
        <v>615</v>
      </c>
      <c r="B336" s="2">
        <v>213.756</v>
      </c>
      <c r="C336" s="2">
        <v>-845.77</v>
      </c>
      <c r="D336" s="2">
        <v>-2451.0854269353845</v>
      </c>
      <c r="E336" s="2">
        <v>3070.6275582862904</v>
      </c>
      <c r="F336" s="2" t="s">
        <v>281</v>
      </c>
      <c r="G336" s="2">
        <v>98.93</v>
      </c>
      <c r="H336" s="2">
        <v>1.393438</v>
      </c>
      <c r="I336" s="2">
        <v>0.71</v>
      </c>
      <c r="J336" s="2">
        <v>6.76327539904319E-3</v>
      </c>
      <c r="K336" s="2">
        <v>8.4449242915245706E-2</v>
      </c>
      <c r="L336" s="2">
        <v>91.215500000000006</v>
      </c>
      <c r="M336" s="2">
        <v>90.792500000000004</v>
      </c>
      <c r="N336" s="2">
        <v>-5.138312975694781E-3</v>
      </c>
      <c r="O336" s="2">
        <v>-1.7259127644436489E-2</v>
      </c>
      <c r="P336" s="2">
        <v>78.925972451790642</v>
      </c>
      <c r="Q336" s="2">
        <v>-2.9088613337683533E-2</v>
      </c>
      <c r="R336" s="2">
        <v>7.0749136719619847E-3</v>
      </c>
      <c r="S336" s="2">
        <v>1.3838189071005175E-2</v>
      </c>
      <c r="T336" s="2">
        <v>0</v>
      </c>
      <c r="U336" s="2">
        <v>0</v>
      </c>
      <c r="V336" s="2">
        <v>0</v>
      </c>
      <c r="W336" s="2">
        <v>0</v>
      </c>
      <c r="X336" s="2">
        <v>-1.3945809425202071E-3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</row>
    <row r="337" spans="1:98" x14ac:dyDescent="0.2">
      <c r="A337" s="2" t="s">
        <v>616</v>
      </c>
      <c r="B337" s="2">
        <v>214.137</v>
      </c>
      <c r="C337" s="2">
        <v>5929.15</v>
      </c>
      <c r="D337" s="2">
        <v>17152.412359377406</v>
      </c>
      <c r="E337" s="2">
        <v>19603.49778631279</v>
      </c>
      <c r="F337" s="2" t="s">
        <v>281</v>
      </c>
      <c r="G337" s="2">
        <v>86.69</v>
      </c>
      <c r="H337" s="2">
        <v>1.3935420000000001</v>
      </c>
      <c r="I337" s="2">
        <v>0.65</v>
      </c>
      <c r="J337" s="2">
        <v>7.3602486801732361E-3</v>
      </c>
      <c r="K337" s="2">
        <v>8.5781696700558033E-2</v>
      </c>
      <c r="L337" s="2">
        <v>91.2654</v>
      </c>
      <c r="M337" s="2">
        <v>90.366</v>
      </c>
      <c r="N337" s="2">
        <v>5.4690656659239778E-4</v>
      </c>
      <c r="O337" s="2">
        <v>-4.7085926190435501E-3</v>
      </c>
      <c r="P337" s="2">
        <v>69.160947658402208</v>
      </c>
      <c r="Q337" s="2">
        <v>-0.13207399245458262</v>
      </c>
      <c r="R337" s="2">
        <v>6.4789660977090735E-3</v>
      </c>
      <c r="S337" s="2">
        <v>1.383921477788231E-2</v>
      </c>
      <c r="T337" s="2">
        <v>0</v>
      </c>
      <c r="U337" s="2">
        <v>0</v>
      </c>
      <c r="V337" s="2">
        <v>0</v>
      </c>
      <c r="W337" s="2">
        <v>0</v>
      </c>
      <c r="X337" s="2">
        <v>1.0257068771349354E-6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</row>
    <row r="338" spans="1:98" x14ac:dyDescent="0.2">
      <c r="A338" s="2" t="s">
        <v>617</v>
      </c>
      <c r="B338" s="2">
        <v>214.535</v>
      </c>
      <c r="C338" s="2">
        <v>-7039.63</v>
      </c>
      <c r="D338" s="2">
        <v>-20327.134658121053</v>
      </c>
      <c r="E338" s="2">
        <v>-37479.547017498458</v>
      </c>
      <c r="F338" s="2">
        <v>72.400000000000006</v>
      </c>
      <c r="G338" s="2">
        <v>90.75</v>
      </c>
      <c r="H338" s="2">
        <v>1.5339590000000001</v>
      </c>
      <c r="I338" s="2">
        <v>0.52</v>
      </c>
      <c r="J338" s="2">
        <v>1.0036601278482105E-2</v>
      </c>
      <c r="K338" s="2">
        <v>8.8930775893181574E-2</v>
      </c>
      <c r="L338" s="2">
        <v>91.784800000000004</v>
      </c>
      <c r="M338" s="2">
        <v>90.781800000000004</v>
      </c>
      <c r="N338" s="2">
        <v>5.6749612286353113E-3</v>
      </c>
      <c r="O338" s="2">
        <v>4.590734529959839E-3</v>
      </c>
      <c r="P338" s="2">
        <v>72.400000000000006</v>
      </c>
      <c r="Q338" s="2">
        <v>4.5769936264411726E-2</v>
      </c>
      <c r="R338" s="2">
        <v>5.1865266873001538E-3</v>
      </c>
      <c r="S338" s="2">
        <v>1.5223127965782259E-2</v>
      </c>
      <c r="T338" s="2">
        <v>0</v>
      </c>
      <c r="U338" s="2">
        <v>0</v>
      </c>
      <c r="V338" s="2">
        <v>0</v>
      </c>
      <c r="W338" s="2">
        <v>0</v>
      </c>
      <c r="X338" s="2">
        <v>1.3839131878999496E-3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</row>
    <row r="339" spans="1:98" x14ac:dyDescent="0.2">
      <c r="A339" s="2" t="s">
        <v>618</v>
      </c>
      <c r="B339" s="2">
        <v>214.92699999999999</v>
      </c>
      <c r="C339" s="2">
        <v>-2144.5300000000002</v>
      </c>
      <c r="D339" s="2">
        <v>-6181.0980764631713</v>
      </c>
      <c r="E339" s="2">
        <v>14146.036581657881</v>
      </c>
      <c r="F339" s="2">
        <v>69.7</v>
      </c>
      <c r="G339" s="2">
        <v>87.85</v>
      </c>
      <c r="H339" s="2">
        <v>1.2482150000000001</v>
      </c>
      <c r="I339" s="2">
        <v>0.36</v>
      </c>
      <c r="J339" s="2">
        <v>8.8113547033936389E-3</v>
      </c>
      <c r="K339" s="2">
        <v>9.2224482188037804E-2</v>
      </c>
      <c r="L339" s="2">
        <v>91.803399999999996</v>
      </c>
      <c r="M339" s="2">
        <v>91.490399999999994</v>
      </c>
      <c r="N339" s="2">
        <v>2.0262740267273927E-4</v>
      </c>
      <c r="O339" s="2">
        <v>7.7752237566803828E-3</v>
      </c>
      <c r="P339" s="2">
        <v>69.7</v>
      </c>
      <c r="Q339" s="2">
        <v>-3.8005981625192753E-2</v>
      </c>
      <c r="R339" s="2">
        <v>3.5935355101302181E-3</v>
      </c>
      <c r="S339" s="2">
        <v>1.2404890213523857E-2</v>
      </c>
      <c r="T339" s="2">
        <v>0</v>
      </c>
      <c r="U339" s="2">
        <v>0</v>
      </c>
      <c r="V339" s="2">
        <v>0</v>
      </c>
      <c r="W339" s="2">
        <v>0</v>
      </c>
      <c r="X339" s="2">
        <v>-2.8182377522584026E-3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</row>
    <row r="340" spans="1:98" x14ac:dyDescent="0.2">
      <c r="A340" s="2" t="s">
        <v>619</v>
      </c>
      <c r="B340" s="2">
        <v>215.17</v>
      </c>
      <c r="C340" s="2">
        <v>-2314.2399999999998</v>
      </c>
      <c r="D340" s="2">
        <v>-6662.7138459822454</v>
      </c>
      <c r="E340" s="2">
        <v>-481.61576951907409</v>
      </c>
      <c r="F340" s="2">
        <v>77.400000000000006</v>
      </c>
      <c r="G340" s="2">
        <v>97.04</v>
      </c>
      <c r="H340" s="2">
        <v>1.3713329999999999</v>
      </c>
      <c r="I340" s="2">
        <v>0.6</v>
      </c>
      <c r="J340" s="2">
        <v>7.6380814893058308E-3</v>
      </c>
      <c r="K340" s="2">
        <v>9.1155264679760928E-2</v>
      </c>
      <c r="L340" s="2">
        <v>92.529499999999999</v>
      </c>
      <c r="M340" s="2">
        <v>93.037000000000006</v>
      </c>
      <c r="N340" s="2">
        <v>7.8781786158419465E-3</v>
      </c>
      <c r="O340" s="2">
        <v>1.6763214750102229E-2</v>
      </c>
      <c r="P340" s="2">
        <v>77.400000000000006</v>
      </c>
      <c r="Q340" s="2">
        <v>0.10478646282920323</v>
      </c>
      <c r="R340" s="2">
        <v>5.9820716775474689E-3</v>
      </c>
      <c r="S340" s="2">
        <v>1.36201531668533E-2</v>
      </c>
      <c r="T340" s="2">
        <v>0</v>
      </c>
      <c r="U340" s="2">
        <v>0</v>
      </c>
      <c r="V340" s="2">
        <v>0</v>
      </c>
      <c r="W340" s="2">
        <v>0</v>
      </c>
      <c r="X340" s="2">
        <v>1.2152629533294431E-3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</row>
    <row r="341" spans="1:98" x14ac:dyDescent="0.2">
      <c r="A341" s="2" t="s">
        <v>620</v>
      </c>
      <c r="B341" s="2">
        <v>216.673</v>
      </c>
      <c r="C341" s="2">
        <v>-5732.5</v>
      </c>
      <c r="D341" s="2">
        <v>-16389.426324461285</v>
      </c>
      <c r="E341" s="2">
        <v>-9726.7124784790394</v>
      </c>
      <c r="F341" s="2">
        <v>79.599999999999994</v>
      </c>
      <c r="G341" s="2">
        <v>100.11</v>
      </c>
      <c r="H341" s="2">
        <v>1.4835670000000001</v>
      </c>
      <c r="I341" s="2">
        <v>0.8</v>
      </c>
      <c r="J341" s="2">
        <v>6.7585282592823124E-3</v>
      </c>
      <c r="K341" s="2">
        <v>9.190313004637847E-2</v>
      </c>
      <c r="L341" s="2">
        <v>92.920400000000001</v>
      </c>
      <c r="M341" s="2">
        <v>92.090800000000002</v>
      </c>
      <c r="N341" s="2">
        <v>4.2157000777764964E-3</v>
      </c>
      <c r="O341" s="2">
        <v>-1.0222216645095372E-2</v>
      </c>
      <c r="P341" s="2">
        <v>79.599999999999994</v>
      </c>
      <c r="Q341" s="2">
        <v>2.8027312254655712E-2</v>
      </c>
      <c r="R341" s="2">
        <v>7.9681696491768813E-3</v>
      </c>
      <c r="S341" s="2">
        <v>1.4726697908459194E-2</v>
      </c>
      <c r="T341" s="2">
        <v>0</v>
      </c>
      <c r="U341" s="2">
        <v>0</v>
      </c>
      <c r="V341" s="2">
        <v>0</v>
      </c>
      <c r="W341" s="2">
        <v>0</v>
      </c>
      <c r="X341" s="2">
        <v>1.106544741605894E-3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</row>
    <row r="342" spans="1:98" x14ac:dyDescent="0.2">
      <c r="A342" s="2" t="s">
        <v>621</v>
      </c>
      <c r="B342" s="2">
        <v>219.07</v>
      </c>
      <c r="C342" s="2">
        <v>-1848.04</v>
      </c>
      <c r="D342" s="2">
        <v>-5225.8019219427579</v>
      </c>
      <c r="E342" s="2">
        <v>11163.624402518526</v>
      </c>
      <c r="F342" s="2">
        <v>80.400000000000006</v>
      </c>
      <c r="G342" s="2">
        <v>100.48</v>
      </c>
      <c r="H342" s="2">
        <v>1.4149890000000001</v>
      </c>
      <c r="I342" s="2">
        <v>0.21</v>
      </c>
      <c r="J342" s="2">
        <v>1.1952916675290469E-2</v>
      </c>
      <c r="K342" s="2">
        <v>9.4668523976300323E-2</v>
      </c>
      <c r="L342" s="2">
        <v>93.299800000000005</v>
      </c>
      <c r="M342" s="2">
        <v>92.603399999999993</v>
      </c>
      <c r="N342" s="2">
        <v>4.0747515570318527E-3</v>
      </c>
      <c r="O342" s="2">
        <v>5.5508111913002978E-3</v>
      </c>
      <c r="P342" s="2">
        <v>80.400000000000006</v>
      </c>
      <c r="Q342" s="2">
        <v>1.0000083334583465E-2</v>
      </c>
      <c r="R342" s="2">
        <v>2.0977980821461199E-3</v>
      </c>
      <c r="S342" s="2">
        <v>1.4050714757436588E-2</v>
      </c>
      <c r="T342" s="2">
        <v>0</v>
      </c>
      <c r="U342" s="2">
        <v>0</v>
      </c>
      <c r="V342" s="2">
        <v>0</v>
      </c>
      <c r="W342" s="2">
        <v>0</v>
      </c>
      <c r="X342" s="2">
        <v>-6.7598315102260567E-4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</row>
    <row r="343" spans="1:98" x14ac:dyDescent="0.2">
      <c r="A343" s="2" t="s">
        <v>622</v>
      </c>
      <c r="B343" s="2">
        <v>222.87200000000001</v>
      </c>
      <c r="C343" s="2">
        <v>-1781.49</v>
      </c>
      <c r="D343" s="2">
        <v>-4951.6776411572555</v>
      </c>
      <c r="E343" s="2">
        <v>274.12428078550238</v>
      </c>
      <c r="F343" s="2">
        <v>77.5</v>
      </c>
      <c r="G343" s="2">
        <v>96.8</v>
      </c>
      <c r="H343" s="2">
        <v>1.3290329999999999</v>
      </c>
      <c r="I343" s="2">
        <v>0.42</v>
      </c>
      <c r="J343" s="2">
        <v>9.0115837310564238E-3</v>
      </c>
      <c r="K343" s="2">
        <v>9.6213859425328729E-2</v>
      </c>
      <c r="L343" s="2">
        <v>94.1905</v>
      </c>
      <c r="M343" s="2">
        <v>96.425700000000006</v>
      </c>
      <c r="N343" s="2">
        <v>9.5013630115108327E-3</v>
      </c>
      <c r="O343" s="2">
        <v>4.0446905555358015E-2</v>
      </c>
      <c r="P343" s="2">
        <v>77.5</v>
      </c>
      <c r="Q343" s="2">
        <v>-3.6736239825619244E-2</v>
      </c>
      <c r="R343" s="2">
        <v>4.1912046184680524E-3</v>
      </c>
      <c r="S343" s="2">
        <v>1.3202788349524475E-2</v>
      </c>
      <c r="T343" s="2">
        <v>0</v>
      </c>
      <c r="U343" s="2">
        <v>0</v>
      </c>
      <c r="V343" s="2">
        <v>0</v>
      </c>
      <c r="W343" s="2">
        <v>0</v>
      </c>
      <c r="X343" s="2">
        <v>-8.4792640791211266E-4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</row>
    <row r="344" spans="1:98" x14ac:dyDescent="0.2">
      <c r="A344" s="2" t="s">
        <v>623</v>
      </c>
      <c r="B344" s="2">
        <v>227.441</v>
      </c>
      <c r="C344" s="2">
        <v>-2089.59</v>
      </c>
      <c r="D344" s="2">
        <v>-5691.3698710434801</v>
      </c>
      <c r="E344" s="2">
        <v>-739.6922298862246</v>
      </c>
      <c r="F344" s="2">
        <v>83.3</v>
      </c>
      <c r="G344" s="2">
        <v>104.53</v>
      </c>
      <c r="H344" s="2">
        <v>1.5354350000000001</v>
      </c>
      <c r="I344" s="2">
        <v>1.19</v>
      </c>
      <c r="J344" s="2">
        <v>3.4079131147973247E-3</v>
      </c>
      <c r="K344" s="2">
        <v>9.7965373489554419E-2</v>
      </c>
      <c r="L344" s="2">
        <v>93.966399999999993</v>
      </c>
      <c r="M344" s="2">
        <v>91.649199999999993</v>
      </c>
      <c r="N344" s="2">
        <v>-2.382055677633943E-3</v>
      </c>
      <c r="O344" s="2">
        <v>-5.0804518208247273E-2</v>
      </c>
      <c r="P344" s="2">
        <v>83.3</v>
      </c>
      <c r="Q344" s="2">
        <v>7.2170612813495794E-2</v>
      </c>
      <c r="R344" s="2">
        <v>1.1829751753577221E-2</v>
      </c>
      <c r="S344" s="2">
        <v>1.5237664868374546E-2</v>
      </c>
      <c r="T344" s="2">
        <v>0</v>
      </c>
      <c r="U344" s="2">
        <v>0</v>
      </c>
      <c r="V344" s="2">
        <v>0</v>
      </c>
      <c r="W344" s="2">
        <v>0</v>
      </c>
      <c r="X344" s="2">
        <v>2.0348765188500702E-3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</row>
    <row r="345" spans="1:98" x14ac:dyDescent="0.2">
      <c r="A345" s="2" t="s">
        <v>624</v>
      </c>
      <c r="B345" s="2">
        <v>232.81800000000001</v>
      </c>
      <c r="C345" s="2">
        <v>-1417.87</v>
      </c>
      <c r="D345" s="2">
        <v>-3772.6311372831992</v>
      </c>
      <c r="E345" s="2">
        <v>1918.7387337602809</v>
      </c>
      <c r="F345" s="2">
        <v>83.6</v>
      </c>
      <c r="G345" s="2">
        <v>105.34</v>
      </c>
      <c r="H345" s="2">
        <v>1.4434039999999999</v>
      </c>
      <c r="I345" s="2">
        <v>0.65</v>
      </c>
      <c r="J345" s="2">
        <v>7.8518948224335465E-3</v>
      </c>
      <c r="K345" s="2">
        <v>9.6919523049603329E-2</v>
      </c>
      <c r="L345" s="2">
        <v>93.989699999999999</v>
      </c>
      <c r="M345" s="2">
        <v>95.8827</v>
      </c>
      <c r="N345" s="2">
        <v>2.4793023604274822E-4</v>
      </c>
      <c r="O345" s="2">
        <v>4.5157323982118136E-2</v>
      </c>
      <c r="P345" s="2">
        <v>83.6</v>
      </c>
      <c r="Q345" s="2">
        <v>3.5949709178586531E-3</v>
      </c>
      <c r="R345" s="2">
        <v>6.4789660977090735E-3</v>
      </c>
      <c r="S345" s="2">
        <v>1.4330860920142621E-2</v>
      </c>
      <c r="T345" s="2">
        <v>0</v>
      </c>
      <c r="U345" s="2">
        <v>0</v>
      </c>
      <c r="V345" s="2">
        <v>0</v>
      </c>
      <c r="W345" s="2">
        <v>0</v>
      </c>
      <c r="X345" s="2">
        <v>-9.068039482319247E-4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</row>
    <row r="346" spans="1:98" x14ac:dyDescent="0.2">
      <c r="A346" s="2" t="s">
        <v>625</v>
      </c>
      <c r="B346" s="2">
        <v>238.97300000000001</v>
      </c>
      <c r="C346" s="2">
        <v>-6043.9</v>
      </c>
      <c r="D346" s="2">
        <v>-15667.255281559004</v>
      </c>
      <c r="E346" s="2">
        <v>-11894.624144275806</v>
      </c>
      <c r="F346" s="2">
        <v>82.1</v>
      </c>
      <c r="G346" s="2">
        <v>103.82</v>
      </c>
      <c r="H346" s="2">
        <v>1.3812660000000001</v>
      </c>
      <c r="I346" s="2">
        <v>0.72</v>
      </c>
      <c r="J346" s="2">
        <v>6.5439309002930024E-3</v>
      </c>
      <c r="K346" s="2">
        <v>9.3103354650043865E-2</v>
      </c>
      <c r="L346" s="2">
        <v>94.127499999999998</v>
      </c>
      <c r="M346" s="2">
        <v>95.781999999999996</v>
      </c>
      <c r="N346" s="2">
        <v>1.4650443941048863E-3</v>
      </c>
      <c r="O346" s="2">
        <v>-1.050793487436863E-3</v>
      </c>
      <c r="P346" s="2">
        <v>82.1</v>
      </c>
      <c r="Q346" s="2">
        <v>-1.8105503632273034E-2</v>
      </c>
      <c r="R346" s="2">
        <v>7.1742037480004529E-3</v>
      </c>
      <c r="S346" s="2">
        <v>1.3718134648293455E-2</v>
      </c>
      <c r="T346" s="2">
        <v>0</v>
      </c>
      <c r="U346" s="2">
        <v>0</v>
      </c>
      <c r="V346" s="2">
        <v>0</v>
      </c>
      <c r="W346" s="2">
        <v>0</v>
      </c>
      <c r="X346" s="2">
        <v>-6.1272627184916564E-4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</row>
    <row r="347" spans="1:98" x14ac:dyDescent="0.2">
      <c r="A347" s="2" t="s">
        <v>626</v>
      </c>
      <c r="B347" s="2">
        <v>249.042</v>
      </c>
      <c r="C347" s="2">
        <v>-4312.8999999999996</v>
      </c>
      <c r="D347" s="2">
        <v>-10728.062095550147</v>
      </c>
      <c r="E347" s="2">
        <v>4939.1931860088571</v>
      </c>
      <c r="F347" s="2">
        <v>89.2</v>
      </c>
      <c r="G347" s="2">
        <v>113.18</v>
      </c>
      <c r="H347" s="2">
        <v>1.6459250000000001</v>
      </c>
      <c r="I347" s="2">
        <v>1.31</v>
      </c>
      <c r="J347" s="2">
        <v>3.3103276660978124E-3</v>
      </c>
      <c r="K347" s="2">
        <v>8.9446656719648895E-2</v>
      </c>
      <c r="L347" s="2">
        <v>93.7988</v>
      </c>
      <c r="M347" s="2">
        <v>94.534599999999998</v>
      </c>
      <c r="N347" s="2">
        <v>-3.4981834389293809E-3</v>
      </c>
      <c r="O347" s="2">
        <v>-1.3108870828673069E-2</v>
      </c>
      <c r="P347" s="2">
        <v>89.2</v>
      </c>
      <c r="Q347" s="2">
        <v>8.294302312758095E-2</v>
      </c>
      <c r="R347" s="2">
        <v>1.3014937077494763E-2</v>
      </c>
      <c r="S347" s="2">
        <v>1.6325264743592575E-2</v>
      </c>
      <c r="T347" s="2">
        <v>0</v>
      </c>
      <c r="U347" s="2">
        <v>0</v>
      </c>
      <c r="V347" s="2">
        <v>0</v>
      </c>
      <c r="W347" s="2">
        <v>0</v>
      </c>
      <c r="X347" s="2">
        <v>2.6071300952991202E-3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</row>
    <row r="348" spans="1:98" x14ac:dyDescent="0.2">
      <c r="A348" s="2" t="s">
        <v>627</v>
      </c>
      <c r="B348" s="2">
        <v>263.58</v>
      </c>
      <c r="C348" s="2">
        <v>-1560.54</v>
      </c>
      <c r="D348" s="2">
        <v>-3667.6419949920328</v>
      </c>
      <c r="E348" s="2">
        <v>7060.4201005581144</v>
      </c>
      <c r="F348" s="2">
        <v>83.9</v>
      </c>
      <c r="G348" s="2">
        <v>106.3</v>
      </c>
      <c r="H348" s="2">
        <v>1.5409310000000001</v>
      </c>
      <c r="I348" s="2">
        <v>3.02</v>
      </c>
      <c r="J348" s="2">
        <v>-1.4461165859751471E-2</v>
      </c>
      <c r="K348" s="2">
        <v>6.8222215460854232E-2</v>
      </c>
      <c r="L348" s="2">
        <v>94.288499999999999</v>
      </c>
      <c r="M348" s="2">
        <v>93.5441</v>
      </c>
      <c r="N348" s="2">
        <v>5.2071682298713284E-3</v>
      </c>
      <c r="O348" s="2">
        <v>-1.053292220073665E-2</v>
      </c>
      <c r="P348" s="2">
        <v>83.9</v>
      </c>
      <c r="Q348" s="2">
        <v>-6.125542611280288E-2</v>
      </c>
      <c r="R348" s="2">
        <v>2.9752958149347801E-2</v>
      </c>
      <c r="S348" s="2">
        <v>1.529179228959633E-2</v>
      </c>
      <c r="T348" s="2">
        <v>0</v>
      </c>
      <c r="U348" s="2">
        <v>0</v>
      </c>
      <c r="V348" s="2">
        <v>1</v>
      </c>
      <c r="W348" s="2">
        <v>0</v>
      </c>
      <c r="X348" s="2">
        <v>-1.0334724539962457E-3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</row>
    <row r="349" spans="1:98" x14ac:dyDescent="0.2">
      <c r="A349" s="2" t="s">
        <v>628</v>
      </c>
      <c r="B349" s="2">
        <v>270.69200000000001</v>
      </c>
      <c r="C349" s="2">
        <v>4366.13</v>
      </c>
      <c r="D349" s="2">
        <v>9991.8458908279517</v>
      </c>
      <c r="E349" s="2">
        <v>13659.487885819985</v>
      </c>
      <c r="F349" s="2">
        <v>74.599999999999994</v>
      </c>
      <c r="G349" s="2">
        <v>93.75</v>
      </c>
      <c r="H349" s="2">
        <v>1.7424489999999999</v>
      </c>
      <c r="I349" s="2">
        <v>2.1</v>
      </c>
      <c r="J349" s="2">
        <v>-3.5081149039216282E-3</v>
      </c>
      <c r="K349" s="2">
        <v>5.7353851876759371E-2</v>
      </c>
      <c r="L349" s="2">
        <v>93.833399999999997</v>
      </c>
      <c r="M349" s="2">
        <v>92.710800000000006</v>
      </c>
      <c r="N349" s="2">
        <v>-4.8383615922880097E-3</v>
      </c>
      <c r="O349" s="2">
        <v>-8.9480122130813911E-3</v>
      </c>
      <c r="P349" s="2">
        <v>74.599999999999994</v>
      </c>
      <c r="Q349" s="2">
        <v>-0.11748510626344544</v>
      </c>
      <c r="R349" s="2">
        <v>2.0782539182528412E-2</v>
      </c>
      <c r="S349" s="2">
        <v>1.7274424278606784E-2</v>
      </c>
      <c r="T349" s="2">
        <v>0</v>
      </c>
      <c r="U349" s="2">
        <v>0</v>
      </c>
      <c r="V349" s="2">
        <v>0</v>
      </c>
      <c r="W349" s="2">
        <v>0</v>
      </c>
      <c r="X349" s="2">
        <v>1.9826319890104537E-3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</row>
    <row r="350" spans="1:98" x14ac:dyDescent="0.2">
      <c r="A350" s="2" t="s">
        <v>629</v>
      </c>
      <c r="B350" s="2">
        <v>276.57799999999997</v>
      </c>
      <c r="C350" s="2">
        <v>-6718.25</v>
      </c>
      <c r="D350" s="2">
        <v>-15047.453655026793</v>
      </c>
      <c r="E350" s="2">
        <v>-25039.299545854745</v>
      </c>
      <c r="F350" s="2">
        <v>74</v>
      </c>
      <c r="G350" s="2">
        <v>92.22</v>
      </c>
      <c r="H350" s="2">
        <v>1.971266</v>
      </c>
      <c r="I350" s="2">
        <v>2.25</v>
      </c>
      <c r="J350" s="2">
        <v>-2.729727207548556E-3</v>
      </c>
      <c r="K350" s="2">
        <v>4.458752339072871E-2</v>
      </c>
      <c r="L350" s="2">
        <v>94.358400000000003</v>
      </c>
      <c r="M350" s="2">
        <v>93.242500000000007</v>
      </c>
      <c r="N350" s="2">
        <v>5.5794286673265248E-3</v>
      </c>
      <c r="O350" s="2">
        <v>5.7186556949053724E-3</v>
      </c>
      <c r="P350" s="2">
        <v>74</v>
      </c>
      <c r="Q350" s="2">
        <v>-8.0754140055452339E-3</v>
      </c>
      <c r="R350" s="2">
        <v>2.2250608934819723E-2</v>
      </c>
      <c r="S350" s="2">
        <v>1.9520881727271167E-2</v>
      </c>
      <c r="T350" s="2">
        <v>0</v>
      </c>
      <c r="U350" s="2">
        <v>0</v>
      </c>
      <c r="V350" s="2">
        <v>0</v>
      </c>
      <c r="W350" s="2">
        <v>0</v>
      </c>
      <c r="X350" s="2">
        <v>2.2464574486643837E-3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</row>
    <row r="351" spans="1:98" x14ac:dyDescent="0.2">
      <c r="A351" s="2" t="s">
        <v>630</v>
      </c>
      <c r="B351" s="2">
        <v>280.98399999999998</v>
      </c>
      <c r="C351" s="2">
        <v>-4607.22</v>
      </c>
      <c r="D351" s="2">
        <v>-10157.383398058253</v>
      </c>
      <c r="E351" s="2">
        <v>4890.07025696854</v>
      </c>
      <c r="F351" s="2">
        <v>71.8</v>
      </c>
      <c r="G351" s="2">
        <v>90.26</v>
      </c>
      <c r="H351" s="2">
        <v>1.8303799999999999</v>
      </c>
      <c r="I351" s="2">
        <v>1.57</v>
      </c>
      <c r="J351" s="2">
        <v>2.5602719349136684E-3</v>
      </c>
      <c r="K351" s="2">
        <v>3.8336440622248738E-2</v>
      </c>
      <c r="L351" s="2">
        <v>94.646799999999999</v>
      </c>
      <c r="M351" s="2">
        <v>94.432199999999995</v>
      </c>
      <c r="N351" s="2">
        <v>3.0517702563699345E-3</v>
      </c>
      <c r="O351" s="2">
        <v>1.2678490349492755E-2</v>
      </c>
      <c r="P351" s="2">
        <v>71.8</v>
      </c>
      <c r="Q351" s="2">
        <v>-3.0180617149992095E-2</v>
      </c>
      <c r="R351" s="2">
        <v>1.5578029963318462E-2</v>
      </c>
      <c r="S351" s="2">
        <v>1.813830189823213E-2</v>
      </c>
      <c r="T351" s="2">
        <v>0</v>
      </c>
      <c r="U351" s="2">
        <v>0</v>
      </c>
      <c r="V351" s="2">
        <v>0</v>
      </c>
      <c r="W351" s="2">
        <v>0</v>
      </c>
      <c r="X351" s="2">
        <v>-1.3825798290390372E-3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</row>
    <row r="352" spans="1:98" x14ac:dyDescent="0.2">
      <c r="A352" s="2" t="s">
        <v>631</v>
      </c>
      <c r="B352" s="2">
        <v>285.64</v>
      </c>
      <c r="C352" s="2">
        <v>-3452.79</v>
      </c>
      <c r="D352" s="2">
        <v>-7488.1688070298278</v>
      </c>
      <c r="E352" s="2">
        <v>2669.2145910284253</v>
      </c>
      <c r="F352" s="2">
        <v>77.400000000000006</v>
      </c>
      <c r="G352" s="2">
        <v>96.04</v>
      </c>
      <c r="H352" s="2">
        <v>1.7770189999999999</v>
      </c>
      <c r="I352" s="2">
        <v>1.23</v>
      </c>
      <c r="J352" s="2">
        <v>5.389176459285475E-3</v>
      </c>
      <c r="K352" s="2">
        <v>3.6087535592228374E-2</v>
      </c>
      <c r="L352" s="2">
        <v>94.439400000000006</v>
      </c>
      <c r="M352" s="2">
        <v>95.154499999999999</v>
      </c>
      <c r="N352" s="2">
        <v>-2.1937093576758215E-3</v>
      </c>
      <c r="O352" s="2">
        <v>7.6197696861477482E-3</v>
      </c>
      <c r="P352" s="2">
        <v>77.400000000000006</v>
      </c>
      <c r="Q352" s="2">
        <v>7.5102304541503351E-2</v>
      </c>
      <c r="R352" s="2">
        <v>1.2224969622568948E-2</v>
      </c>
      <c r="S352" s="2">
        <v>1.7614146081854423E-2</v>
      </c>
      <c r="T352" s="2">
        <v>0</v>
      </c>
      <c r="U352" s="2">
        <v>0</v>
      </c>
      <c r="V352" s="2">
        <v>0</v>
      </c>
      <c r="W352" s="2">
        <v>0</v>
      </c>
      <c r="X352" s="2">
        <v>-5.2415581637770686E-4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</row>
    <row r="353" spans="1:98" x14ac:dyDescent="0.2">
      <c r="A353" s="2" t="s">
        <v>632</v>
      </c>
      <c r="B353" s="2">
        <v>286.815</v>
      </c>
      <c r="C353" s="2">
        <v>-10309.92</v>
      </c>
      <c r="D353" s="2">
        <v>-22267.831187071806</v>
      </c>
      <c r="E353" s="2">
        <v>-14779.662380041978</v>
      </c>
      <c r="F353" s="2">
        <v>76.5</v>
      </c>
      <c r="G353" s="2">
        <v>95.38</v>
      </c>
      <c r="H353" s="2">
        <v>1.8715949999999999</v>
      </c>
      <c r="I353" s="2">
        <v>0.97</v>
      </c>
      <c r="J353" s="2">
        <v>8.8897046733422986E-3</v>
      </c>
      <c r="K353" s="2">
        <v>3.8218712006288354E-2</v>
      </c>
      <c r="L353" s="2">
        <v>93.763999999999996</v>
      </c>
      <c r="M353" s="2">
        <v>92.493899999999996</v>
      </c>
      <c r="N353" s="2">
        <v>-7.1773719222365528E-3</v>
      </c>
      <c r="O353" s="2">
        <v>-2.8359189972656296E-2</v>
      </c>
      <c r="P353" s="2">
        <v>76.5</v>
      </c>
      <c r="Q353" s="2">
        <v>-1.1696039763191557E-2</v>
      </c>
      <c r="R353" s="2">
        <v>9.653257028138346E-3</v>
      </c>
      <c r="S353" s="2">
        <v>1.8542961701480645E-2</v>
      </c>
      <c r="T353" s="2">
        <v>0</v>
      </c>
      <c r="U353" s="2">
        <v>0</v>
      </c>
      <c r="V353" s="2">
        <v>0</v>
      </c>
      <c r="W353" s="2">
        <v>0</v>
      </c>
      <c r="X353" s="2">
        <v>9.2881561962622136E-4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</row>
    <row r="354" spans="1:98" x14ac:dyDescent="0.2">
      <c r="A354" s="2" t="s">
        <v>633</v>
      </c>
      <c r="B354" s="2">
        <v>284.89999999999998</v>
      </c>
      <c r="C354" s="2">
        <v>-3361.47</v>
      </c>
      <c r="D354" s="2">
        <v>-7309.0557729729735</v>
      </c>
      <c r="E354" s="2">
        <v>14958.775414098833</v>
      </c>
      <c r="F354" s="2">
        <v>79.7</v>
      </c>
      <c r="G354" s="2">
        <v>99.26</v>
      </c>
      <c r="H354" s="2">
        <v>1.965352</v>
      </c>
      <c r="I354" s="2">
        <v>0.61</v>
      </c>
      <c r="J354" s="2">
        <v>1.3381412999351071E-2</v>
      </c>
      <c r="K354" s="2">
        <v>3.9647208330348967E-2</v>
      </c>
      <c r="L354" s="2">
        <v>93.779300000000006</v>
      </c>
      <c r="M354" s="2">
        <v>93.114999999999995</v>
      </c>
      <c r="N354" s="2">
        <v>1.6316232074409243E-4</v>
      </c>
      <c r="O354" s="2">
        <v>6.6925919855647109E-3</v>
      </c>
      <c r="P354" s="2">
        <v>79.7</v>
      </c>
      <c r="Q354" s="2">
        <v>4.0978844963679428E-2</v>
      </c>
      <c r="R354" s="2">
        <v>6.0814703158679536E-3</v>
      </c>
      <c r="S354" s="2">
        <v>1.9462883315219025E-2</v>
      </c>
      <c r="T354" s="2">
        <v>0</v>
      </c>
      <c r="U354" s="2">
        <v>0</v>
      </c>
      <c r="V354" s="2">
        <v>0</v>
      </c>
      <c r="W354" s="2">
        <v>0</v>
      </c>
      <c r="X354" s="2">
        <v>9.1992161373838019E-4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</row>
    <row r="355" spans="1:98" x14ac:dyDescent="0.2">
      <c r="A355" s="2" t="s">
        <v>634</v>
      </c>
      <c r="B355" s="2">
        <v>282.91300000000001</v>
      </c>
      <c r="C355" s="2">
        <v>-903.45</v>
      </c>
      <c r="D355" s="2">
        <v>-1978.2250805017798</v>
      </c>
      <c r="E355" s="2">
        <v>5330.8306924711942</v>
      </c>
      <c r="F355" s="2">
        <v>76.3</v>
      </c>
      <c r="G355" s="2">
        <v>95.02</v>
      </c>
      <c r="H355" s="2">
        <v>1.856679</v>
      </c>
      <c r="I355" s="2">
        <v>-0.15</v>
      </c>
      <c r="J355" s="2">
        <v>1.9897657489593875E-2</v>
      </c>
      <c r="K355" s="2">
        <v>5.0533282088886425E-2</v>
      </c>
      <c r="L355" s="2">
        <v>93.927700000000002</v>
      </c>
      <c r="M355" s="2">
        <v>96.022999999999996</v>
      </c>
      <c r="N355" s="2">
        <v>1.5811880315448334E-3</v>
      </c>
      <c r="O355" s="2">
        <v>3.0752457722196702E-2</v>
      </c>
      <c r="P355" s="2">
        <v>76.3</v>
      </c>
      <c r="Q355" s="2">
        <v>-4.3596647505758312E-2</v>
      </c>
      <c r="R355" s="2">
        <v>-1.5011261262670914E-3</v>
      </c>
      <c r="S355" s="2">
        <v>1.8396531363326783E-2</v>
      </c>
      <c r="T355" s="2">
        <v>0</v>
      </c>
      <c r="U355" s="2">
        <v>0</v>
      </c>
      <c r="V355" s="2">
        <v>0</v>
      </c>
      <c r="W355" s="2">
        <v>0</v>
      </c>
      <c r="X355" s="2">
        <v>-1.0663519518922422E-3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</row>
    <row r="356" spans="1:98" x14ac:dyDescent="0.2">
      <c r="A356" s="2" t="s">
        <v>635</v>
      </c>
      <c r="B356" s="2">
        <v>282.34899999999999</v>
      </c>
      <c r="C356" s="2">
        <v>-3326.17</v>
      </c>
      <c r="D356" s="2">
        <v>-7297.6440041225587</v>
      </c>
      <c r="E356" s="2">
        <v>-5319.4189236207785</v>
      </c>
      <c r="F356" s="2">
        <v>81.3</v>
      </c>
      <c r="G356" s="2">
        <v>101.9</v>
      </c>
      <c r="H356" s="2">
        <v>2.084247</v>
      </c>
      <c r="I356" s="2">
        <v>0.2</v>
      </c>
      <c r="J356" s="2">
        <v>1.8630234704091475E-2</v>
      </c>
      <c r="K356" s="2">
        <v>6.5755603678180577E-2</v>
      </c>
      <c r="L356" s="2">
        <v>94.311400000000006</v>
      </c>
      <c r="M356" s="2">
        <v>91.774699999999996</v>
      </c>
      <c r="N356" s="2">
        <v>4.0767357198063792E-3</v>
      </c>
      <c r="O356" s="2">
        <v>-4.525108559217994E-2</v>
      </c>
      <c r="P356" s="2">
        <v>81.3</v>
      </c>
      <c r="Q356" s="2">
        <v>6.3473078263354132E-2</v>
      </c>
      <c r="R356" s="2">
        <v>1.9980026626730579E-3</v>
      </c>
      <c r="S356" s="2">
        <v>2.0628237366764533E-2</v>
      </c>
      <c r="T356" s="2">
        <v>0</v>
      </c>
      <c r="U356" s="2">
        <v>0</v>
      </c>
      <c r="V356" s="2">
        <v>0</v>
      </c>
      <c r="W356" s="2">
        <v>0</v>
      </c>
      <c r="X356" s="2">
        <v>2.2317060034377501E-3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</row>
    <row r="357" spans="1:98" x14ac:dyDescent="0.2">
      <c r="A357" s="2" t="s">
        <v>636</v>
      </c>
      <c r="B357" s="2">
        <v>284.10500000000002</v>
      </c>
      <c r="C357" s="2">
        <v>-2600.7199999999998</v>
      </c>
      <c r="D357" s="2">
        <v>-5670.7330836134515</v>
      </c>
      <c r="E357" s="2">
        <v>1626.9109205091072</v>
      </c>
      <c r="F357" s="2">
        <v>81.599999999999994</v>
      </c>
      <c r="G357" s="2">
        <v>102.44</v>
      </c>
      <c r="H357" s="2">
        <v>1.7742610000000001</v>
      </c>
      <c r="I357" s="2">
        <v>0.34</v>
      </c>
      <c r="J357" s="2">
        <v>1.4192814191368402E-2</v>
      </c>
      <c r="K357" s="2">
        <v>7.2096523047115432E-2</v>
      </c>
      <c r="L357" s="2">
        <v>94.138000000000005</v>
      </c>
      <c r="M357" s="2">
        <v>96.146199999999993</v>
      </c>
      <c r="N357" s="2">
        <v>-1.840282313840369E-3</v>
      </c>
      <c r="O357" s="2">
        <v>4.6533289159441438E-2</v>
      </c>
      <c r="P357" s="2">
        <v>81.599999999999994</v>
      </c>
      <c r="Q357" s="2">
        <v>3.6832454162958328E-3</v>
      </c>
      <c r="R357" s="2">
        <v>3.394233068015617E-3</v>
      </c>
      <c r="S357" s="2">
        <v>1.7587047259384019E-2</v>
      </c>
      <c r="T357" s="2">
        <v>0</v>
      </c>
      <c r="U357" s="2">
        <v>0</v>
      </c>
      <c r="V357" s="2">
        <v>0</v>
      </c>
      <c r="W357" s="2">
        <v>0</v>
      </c>
      <c r="X357" s="2">
        <v>-3.0411901073805134E-3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</row>
    <row r="358" spans="1:98" x14ac:dyDescent="0.2">
      <c r="A358" s="2" t="s">
        <v>637</v>
      </c>
      <c r="B358" s="2">
        <v>287.08100000000002</v>
      </c>
      <c r="C358" s="2">
        <v>-4081.48</v>
      </c>
      <c r="D358" s="2">
        <v>-8807.1969391217099</v>
      </c>
      <c r="E358" s="2">
        <v>-3136.4638555082583</v>
      </c>
      <c r="F358" s="2">
        <v>85.7</v>
      </c>
      <c r="G358" s="2">
        <v>107.97</v>
      </c>
      <c r="H358" s="2">
        <v>1.6795089999999999</v>
      </c>
      <c r="I358" s="2">
        <v>0.78</v>
      </c>
      <c r="J358" s="2">
        <v>8.8858747421858546E-3</v>
      </c>
      <c r="K358" s="2">
        <v>7.4438466889008278E-2</v>
      </c>
      <c r="L358" s="2">
        <v>94.7363</v>
      </c>
      <c r="M358" s="2">
        <v>96.442499999999995</v>
      </c>
      <c r="N358" s="2">
        <v>6.3354516862252908E-3</v>
      </c>
      <c r="O358" s="2">
        <v>3.0770261576398283E-3</v>
      </c>
      <c r="P358" s="2">
        <v>85.7</v>
      </c>
      <c r="Q358" s="2">
        <v>4.9023563633673106E-2</v>
      </c>
      <c r="R358" s="2">
        <v>7.7697372643606936E-3</v>
      </c>
      <c r="S358" s="2">
        <v>1.6655612006546548E-2</v>
      </c>
      <c r="T358" s="2">
        <v>0</v>
      </c>
      <c r="U358" s="2">
        <v>0</v>
      </c>
      <c r="V358" s="2">
        <v>0</v>
      </c>
      <c r="W358" s="2">
        <v>0</v>
      </c>
      <c r="X358" s="2">
        <v>-9.31435252837471E-4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1</v>
      </c>
    </row>
    <row r="359" spans="1:98" x14ac:dyDescent="0.2">
      <c r="A359" s="2" t="s">
        <v>638</v>
      </c>
      <c r="B359" s="2">
        <v>288.33699999999999</v>
      </c>
      <c r="C359" s="2">
        <v>-4710.33</v>
      </c>
      <c r="D359" s="2">
        <v>-10119.881898889147</v>
      </c>
      <c r="E359" s="2">
        <v>-1312.6849597674372</v>
      </c>
      <c r="F359" s="2">
        <v>90</v>
      </c>
      <c r="G359" s="2">
        <v>113.92</v>
      </c>
      <c r="H359" s="2">
        <v>1.6420600000000001</v>
      </c>
      <c r="I359" s="2">
        <v>0.28999999999999998</v>
      </c>
      <c r="J359" s="2">
        <v>1.3391436757637952E-2</v>
      </c>
      <c r="K359" s="2">
        <v>8.4519575980548406E-2</v>
      </c>
      <c r="L359" s="2">
        <v>94.851399999999998</v>
      </c>
      <c r="M359" s="2">
        <v>95.513400000000004</v>
      </c>
      <c r="N359" s="2">
        <v>1.2142139404733854E-3</v>
      </c>
      <c r="O359" s="2">
        <v>-9.6804240508641115E-3</v>
      </c>
      <c r="P359" s="2">
        <v>90</v>
      </c>
      <c r="Q359" s="2">
        <v>4.8956844726530946E-2</v>
      </c>
      <c r="R359" s="2">
        <v>2.8958031120254681E-3</v>
      </c>
      <c r="S359" s="2">
        <v>1.628723986966342E-2</v>
      </c>
      <c r="T359" s="2">
        <v>0</v>
      </c>
      <c r="U359" s="2">
        <v>0</v>
      </c>
      <c r="V359" s="2">
        <v>0</v>
      </c>
      <c r="W359" s="2">
        <v>0</v>
      </c>
      <c r="X359" s="2">
        <v>-3.6837213688312859E-4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</row>
    <row r="360" spans="1:98" x14ac:dyDescent="0.2">
      <c r="A360" s="2" t="s">
        <v>639</v>
      </c>
      <c r="B360" s="2">
        <v>289.71800000000002</v>
      </c>
      <c r="C360" s="2">
        <v>-2182.7800000000002</v>
      </c>
      <c r="D360" s="2">
        <v>-4667.2275222112539</v>
      </c>
      <c r="E360" s="2">
        <v>5452.6543766778932</v>
      </c>
      <c r="F360" s="2">
        <v>84.6</v>
      </c>
      <c r="G360" s="2">
        <v>107.92</v>
      </c>
      <c r="H360" s="2">
        <v>1.343531</v>
      </c>
      <c r="I360" s="2">
        <v>0.34</v>
      </c>
      <c r="J360" s="2">
        <v>9.9516234870773781E-3</v>
      </c>
      <c r="K360" s="2">
        <v>0.10893236532737727</v>
      </c>
      <c r="L360" s="2">
        <v>95.633700000000005</v>
      </c>
      <c r="M360" s="2">
        <v>95.169700000000006</v>
      </c>
      <c r="N360" s="2">
        <v>8.213811980697372E-3</v>
      </c>
      <c r="O360" s="2">
        <v>-3.6049379542806292E-3</v>
      </c>
      <c r="P360" s="2">
        <v>84.6</v>
      </c>
      <c r="Q360" s="2">
        <v>-6.1875403718087085E-2</v>
      </c>
      <c r="R360" s="2">
        <v>3.394233068015617E-3</v>
      </c>
      <c r="S360" s="2">
        <v>1.3345856555092996E-2</v>
      </c>
      <c r="T360" s="2">
        <v>0</v>
      </c>
      <c r="U360" s="2">
        <v>0</v>
      </c>
      <c r="V360" s="2">
        <v>0</v>
      </c>
      <c r="W360" s="2">
        <v>1</v>
      </c>
      <c r="X360" s="2">
        <v>-2.9413833145704241E-3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</row>
    <row r="361" spans="1:98" x14ac:dyDescent="0.2">
      <c r="A361" s="2" t="s">
        <v>640</v>
      </c>
      <c r="B361" s="2">
        <v>291.46199999999999</v>
      </c>
      <c r="C361" s="2">
        <v>7510.7</v>
      </c>
      <c r="D361" s="2">
        <v>15963.310459682565</v>
      </c>
      <c r="E361" s="2">
        <v>20630.53798189382</v>
      </c>
      <c r="F361" s="2">
        <v>77.900000000000006</v>
      </c>
      <c r="G361" s="2">
        <v>98.23</v>
      </c>
      <c r="H361" s="2">
        <v>1.3732500000000001</v>
      </c>
      <c r="I361" s="2">
        <v>0.52</v>
      </c>
      <c r="J361" s="2">
        <v>8.452536972466701E-3</v>
      </c>
      <c r="K361" s="2">
        <v>0.12089301720376558</v>
      </c>
      <c r="L361" s="2">
        <v>95.563800000000001</v>
      </c>
      <c r="M361" s="2">
        <v>94.642499999999998</v>
      </c>
      <c r="N361" s="2">
        <v>-7.3118114111547783E-4</v>
      </c>
      <c r="O361" s="2">
        <v>-5.5549786123840761E-3</v>
      </c>
      <c r="P361" s="2">
        <v>77.900000000000006</v>
      </c>
      <c r="Q361" s="2">
        <v>-8.2508313735475625E-2</v>
      </c>
      <c r="R361" s="2">
        <v>5.1865266873001538E-3</v>
      </c>
      <c r="S361" s="2">
        <v>1.3639063659766856E-2</v>
      </c>
      <c r="T361" s="2">
        <v>0</v>
      </c>
      <c r="U361" s="2">
        <v>0</v>
      </c>
      <c r="V361" s="2">
        <v>0</v>
      </c>
      <c r="W361" s="2">
        <v>0</v>
      </c>
      <c r="X361" s="2">
        <v>2.9320710467386005E-4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</row>
    <row r="362" spans="1:98" x14ac:dyDescent="0.2">
      <c r="A362" s="2" t="s">
        <v>641</v>
      </c>
      <c r="B362" s="2">
        <v>293.79300000000001</v>
      </c>
      <c r="C362" s="2">
        <v>-7178.5</v>
      </c>
      <c r="D362" s="2">
        <v>-15136.196117674688</v>
      </c>
      <c r="E362" s="2">
        <v>-31099.506577357253</v>
      </c>
      <c r="F362" s="2">
        <v>76.8</v>
      </c>
      <c r="G362" s="2">
        <v>95.73</v>
      </c>
      <c r="H362" s="2">
        <v>1.2675510000000001</v>
      </c>
      <c r="I362" s="2">
        <v>0.76</v>
      </c>
      <c r="J362" s="2">
        <v>5.0245826899173382E-3</v>
      </c>
      <c r="K362" s="2">
        <v>0.1286473271012315</v>
      </c>
      <c r="L362" s="2">
        <v>95.747200000000007</v>
      </c>
      <c r="M362" s="2">
        <v>94.410200000000003</v>
      </c>
      <c r="N362" s="2">
        <v>1.9172975540557857E-3</v>
      </c>
      <c r="O362" s="2">
        <v>-2.4575170511980104E-3</v>
      </c>
      <c r="P362" s="2">
        <v>76.8</v>
      </c>
      <c r="Q362" s="2">
        <v>-1.4221312723075918E-2</v>
      </c>
      <c r="R362" s="2">
        <v>7.5712654963181261E-3</v>
      </c>
      <c r="S362" s="2">
        <v>1.2595848186235464E-2</v>
      </c>
      <c r="T362" s="2">
        <v>0</v>
      </c>
      <c r="U362" s="2">
        <v>0</v>
      </c>
      <c r="V362" s="2">
        <v>0</v>
      </c>
      <c r="W362" s="2">
        <v>0</v>
      </c>
      <c r="X362" s="2">
        <v>-1.0432154735313913E-3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</row>
    <row r="363" spans="1:98" x14ac:dyDescent="0.2">
      <c r="A363" s="2" t="s">
        <v>642</v>
      </c>
      <c r="B363" s="2">
        <v>296.976</v>
      </c>
      <c r="C363" s="2">
        <v>-4838.3500000000004</v>
      </c>
      <c r="D363" s="2">
        <v>-10092.538469775336</v>
      </c>
      <c r="E363" s="2">
        <v>5043.657647899352</v>
      </c>
      <c r="F363" s="2">
        <v>74</v>
      </c>
      <c r="G363" s="2">
        <v>92.09</v>
      </c>
      <c r="H363" s="2">
        <v>1.0843940000000001</v>
      </c>
      <c r="I363" s="2">
        <v>0.61</v>
      </c>
      <c r="J363" s="2">
        <v>4.7040957896198124E-3</v>
      </c>
      <c r="K363" s="2">
        <v>0.13079115095593763</v>
      </c>
      <c r="L363" s="2">
        <v>96.321399999999997</v>
      </c>
      <c r="M363" s="2">
        <v>96.258899999999997</v>
      </c>
      <c r="N363" s="2">
        <v>5.9791315252688548E-3</v>
      </c>
      <c r="O363" s="2">
        <v>1.9392318263662389E-2</v>
      </c>
      <c r="P363" s="2">
        <v>74</v>
      </c>
      <c r="Q363" s="2">
        <v>-3.7139546949456204E-2</v>
      </c>
      <c r="R363" s="2">
        <v>6.0814703158679536E-3</v>
      </c>
      <c r="S363" s="2">
        <v>1.0785566105487766E-2</v>
      </c>
      <c r="T363" s="2">
        <v>0</v>
      </c>
      <c r="U363" s="2">
        <v>0</v>
      </c>
      <c r="V363" s="2">
        <v>0</v>
      </c>
      <c r="W363" s="2">
        <v>0</v>
      </c>
      <c r="X363" s="2">
        <v>-1.8102820807476983E-3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</row>
    <row r="364" spans="1:98" x14ac:dyDescent="0.2">
      <c r="A364" s="2" t="s">
        <v>643</v>
      </c>
      <c r="B364" s="2">
        <v>299.74599999999998</v>
      </c>
      <c r="C364" s="2">
        <v>-5962.18</v>
      </c>
      <c r="D364" s="2">
        <v>-12321.857231389245</v>
      </c>
      <c r="E364" s="2">
        <v>-2229.3187616139094</v>
      </c>
      <c r="F364" s="2">
        <v>86.9</v>
      </c>
      <c r="G364" s="2">
        <v>108.9</v>
      </c>
      <c r="H364" s="2">
        <v>1.3791230000000001</v>
      </c>
      <c r="I364" s="2">
        <v>0.47</v>
      </c>
      <c r="J364" s="2">
        <v>9.0080069111393209E-3</v>
      </c>
      <c r="K364" s="2">
        <v>0.13440998140779148</v>
      </c>
      <c r="L364" s="2">
        <v>95.868399999999994</v>
      </c>
      <c r="M364" s="2">
        <v>96.618300000000005</v>
      </c>
      <c r="N364" s="2">
        <v>-4.7140986556781783E-3</v>
      </c>
      <c r="O364" s="2">
        <v>3.7267278450796582E-3</v>
      </c>
      <c r="P364" s="2">
        <v>86.9</v>
      </c>
      <c r="Q364" s="2">
        <v>0.16069293906717608</v>
      </c>
      <c r="R364" s="2">
        <v>4.6889894861314695E-3</v>
      </c>
      <c r="S364" s="2">
        <v>1.369699639727079E-2</v>
      </c>
      <c r="T364" s="2">
        <v>0</v>
      </c>
      <c r="U364" s="2">
        <v>0</v>
      </c>
      <c r="V364" s="2">
        <v>0</v>
      </c>
      <c r="W364" s="2">
        <v>0</v>
      </c>
      <c r="X364" s="2">
        <v>2.9114302917830244E-3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</row>
    <row r="365" spans="1:98" x14ac:dyDescent="0.2">
      <c r="A365" s="2" t="s">
        <v>644</v>
      </c>
      <c r="B365" s="2">
        <v>303.18400000000003</v>
      </c>
      <c r="C365" s="2">
        <v>-7561.17</v>
      </c>
      <c r="D365" s="2">
        <v>-15449.243188690696</v>
      </c>
      <c r="E365" s="2">
        <v>-3127.3859573014506</v>
      </c>
      <c r="F365" s="2">
        <v>82.2</v>
      </c>
      <c r="G365" s="2">
        <v>102.59</v>
      </c>
      <c r="H365" s="2">
        <v>1.1818500000000001</v>
      </c>
      <c r="I365" s="2">
        <v>0.37</v>
      </c>
      <c r="J365" s="2">
        <v>8.0560351168246259E-3</v>
      </c>
      <c r="K365" s="2">
        <v>0.1335763118512738</v>
      </c>
      <c r="L365" s="2">
        <v>96.267700000000005</v>
      </c>
      <c r="M365" s="2">
        <v>94.837100000000007</v>
      </c>
      <c r="N365" s="2">
        <v>4.156434682051291E-3</v>
      </c>
      <c r="O365" s="2">
        <v>-1.8607481356156086E-2</v>
      </c>
      <c r="P365" s="2">
        <v>82.2</v>
      </c>
      <c r="Q365" s="2">
        <v>-5.5602730209211693E-2</v>
      </c>
      <c r="R365" s="2">
        <v>3.6931718376176067E-3</v>
      </c>
      <c r="S365" s="2">
        <v>1.1749206954442233E-2</v>
      </c>
      <c r="T365" s="2">
        <v>0</v>
      </c>
      <c r="U365" s="2">
        <v>0</v>
      </c>
      <c r="V365" s="2">
        <v>0</v>
      </c>
      <c r="W365" s="2">
        <v>0</v>
      </c>
      <c r="X365" s="2">
        <v>-1.9477894428285569E-3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</row>
    <row r="366" spans="1:98" x14ac:dyDescent="0.2">
      <c r="A366" s="2" t="s">
        <v>645</v>
      </c>
      <c r="B366" s="2">
        <v>307.61599999999999</v>
      </c>
      <c r="C366" s="2">
        <v>-4691.97</v>
      </c>
      <c r="D366" s="2">
        <v>-9448.6723958441708</v>
      </c>
      <c r="E366" s="2">
        <v>6000.5707928465254</v>
      </c>
      <c r="F366" s="2">
        <v>86.3</v>
      </c>
      <c r="G366" s="2">
        <v>108.03</v>
      </c>
      <c r="H366" s="2">
        <v>1.227805</v>
      </c>
      <c r="I366" s="2">
        <v>0.51</v>
      </c>
      <c r="J366" s="2">
        <v>7.1162470434598711E-3</v>
      </c>
      <c r="K366" s="2">
        <v>0.12731114589538259</v>
      </c>
      <c r="L366" s="2">
        <v>97.072299999999998</v>
      </c>
      <c r="M366" s="2">
        <v>96.379199999999997</v>
      </c>
      <c r="N366" s="2">
        <v>8.323209319725855E-3</v>
      </c>
      <c r="O366" s="2">
        <v>1.6129727786034387E-2</v>
      </c>
      <c r="P366" s="2">
        <v>86.3</v>
      </c>
      <c r="Q366" s="2">
        <v>4.8674296027247266E-2</v>
      </c>
      <c r="R366" s="2">
        <v>5.0870390485572093E-3</v>
      </c>
      <c r="S366" s="2">
        <v>1.220328609201708E-2</v>
      </c>
      <c r="T366" s="2">
        <v>0</v>
      </c>
      <c r="U366" s="2">
        <v>0</v>
      </c>
      <c r="V366" s="2">
        <v>0</v>
      </c>
      <c r="W366" s="2">
        <v>0</v>
      </c>
      <c r="X366" s="2">
        <v>4.5407913757484694E-4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</row>
    <row r="367" spans="1:98" x14ac:dyDescent="0.2">
      <c r="A367" s="2" t="s">
        <v>646</v>
      </c>
      <c r="B367" s="2">
        <v>311.57600000000002</v>
      </c>
      <c r="C367" s="2">
        <v>-5354.14</v>
      </c>
      <c r="D367" s="2">
        <v>-10645.11140344571</v>
      </c>
      <c r="E367" s="2">
        <v>-1196.4390076015388</v>
      </c>
      <c r="F367" s="2">
        <v>86.1</v>
      </c>
      <c r="G367" s="2">
        <v>107.86</v>
      </c>
      <c r="H367" s="2">
        <v>1.229889</v>
      </c>
      <c r="I367" s="2">
        <v>0.71</v>
      </c>
      <c r="J367" s="2">
        <v>5.1489594371144417E-3</v>
      </c>
      <c r="K367" s="2">
        <v>0.11256244784290315</v>
      </c>
      <c r="L367" s="2">
        <v>96.256200000000007</v>
      </c>
      <c r="M367" s="2">
        <v>98.580600000000004</v>
      </c>
      <c r="N367" s="2">
        <v>-8.4426750069850343E-3</v>
      </c>
      <c r="O367" s="2">
        <v>2.25840769855159E-2</v>
      </c>
      <c r="P367" s="2">
        <v>86.1</v>
      </c>
      <c r="Q367" s="2">
        <v>-2.3201866556972206E-3</v>
      </c>
      <c r="R367" s="2">
        <v>7.0749136719619847E-3</v>
      </c>
      <c r="S367" s="2">
        <v>1.2223873109076426E-2</v>
      </c>
      <c r="T367" s="2">
        <v>0</v>
      </c>
      <c r="U367" s="2">
        <v>0</v>
      </c>
      <c r="V367" s="2">
        <v>0</v>
      </c>
      <c r="W367" s="2">
        <v>0</v>
      </c>
      <c r="X367" s="2">
        <v>2.0587017059345986E-5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</row>
    <row r="368" spans="1:98" x14ac:dyDescent="0.2">
      <c r="A368" s="2" t="s">
        <v>647</v>
      </c>
      <c r="B368" s="2">
        <v>315.113</v>
      </c>
      <c r="C368" s="2">
        <v>-4047.11</v>
      </c>
      <c r="D368" s="2">
        <v>-7956.1538697546603</v>
      </c>
      <c r="E368" s="2">
        <v>2688.9575336910493</v>
      </c>
      <c r="F368" s="2">
        <v>90.1</v>
      </c>
      <c r="G368" s="2">
        <v>112.58</v>
      </c>
      <c r="H368" s="2">
        <v>1.2868889999999999</v>
      </c>
      <c r="I368" s="2">
        <v>0.91</v>
      </c>
      <c r="J368" s="2">
        <v>3.7279449585079956E-3</v>
      </c>
      <c r="K368" s="2">
        <v>9.7660158097319663E-2</v>
      </c>
      <c r="L368" s="2">
        <v>97.003200000000007</v>
      </c>
      <c r="M368" s="2">
        <v>95.402799999999999</v>
      </c>
      <c r="N368" s="2">
        <v>7.7305809722414409E-3</v>
      </c>
      <c r="O368" s="2">
        <v>-3.2766559557619424E-2</v>
      </c>
      <c r="P368" s="2">
        <v>90.1</v>
      </c>
      <c r="Q368" s="2">
        <v>4.5410753180607166E-2</v>
      </c>
      <c r="R368" s="2">
        <v>9.0588444883461464E-3</v>
      </c>
      <c r="S368" s="2">
        <v>1.2786789446854142E-2</v>
      </c>
      <c r="T368" s="2">
        <v>0</v>
      </c>
      <c r="U368" s="2">
        <v>0</v>
      </c>
      <c r="V368" s="2">
        <v>0</v>
      </c>
      <c r="W368" s="2">
        <v>0</v>
      </c>
      <c r="X368" s="2">
        <v>5.6291633777771563E-4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</row>
    <row r="369" spans="1:98" x14ac:dyDescent="0.2">
      <c r="A369" s="2" t="s">
        <v>648</v>
      </c>
      <c r="B369" s="2">
        <v>319.24400000000003</v>
      </c>
      <c r="C369" s="2">
        <v>-3766.21</v>
      </c>
      <c r="D369" s="2">
        <v>-7308.1301636365915</v>
      </c>
      <c r="E369" s="2">
        <v>648.02370611806873</v>
      </c>
      <c r="F369" s="2">
        <v>92.1</v>
      </c>
      <c r="G369" s="2">
        <v>116.11</v>
      </c>
      <c r="H369" s="2">
        <v>1.2935859999999999</v>
      </c>
      <c r="I369" s="2">
        <v>0.69</v>
      </c>
      <c r="J369" s="2">
        <v>5.9766024419631737E-3</v>
      </c>
      <c r="K369" s="2">
        <v>8.9443946347914458E-2</v>
      </c>
      <c r="L369" s="2">
        <v>97.072299999999998</v>
      </c>
      <c r="M369" s="2">
        <v>98.990200000000002</v>
      </c>
      <c r="N369" s="2">
        <v>7.1209403474359334E-4</v>
      </c>
      <c r="O369" s="2">
        <v>3.6912927207419344E-2</v>
      </c>
      <c r="P369" s="2">
        <v>92.1</v>
      </c>
      <c r="Q369" s="2">
        <v>2.1954778646969153E-2</v>
      </c>
      <c r="R369" s="2">
        <v>6.8763039394320637E-3</v>
      </c>
      <c r="S369" s="2">
        <v>1.2852906381395237E-2</v>
      </c>
      <c r="T369" s="2">
        <v>0</v>
      </c>
      <c r="U369" s="2">
        <v>0</v>
      </c>
      <c r="V369" s="2">
        <v>0</v>
      </c>
      <c r="W369" s="2">
        <v>0</v>
      </c>
      <c r="X369" s="2">
        <v>6.6116934541095296E-5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</row>
    <row r="370" spans="1:98" x14ac:dyDescent="0.2">
      <c r="A370" s="2" t="s">
        <v>649</v>
      </c>
      <c r="B370" s="2">
        <v>320.78800000000001</v>
      </c>
      <c r="C370" s="2">
        <v>-4103.04</v>
      </c>
      <c r="D370" s="2">
        <v>-7923.409875182364</v>
      </c>
      <c r="E370" s="2">
        <v>-615.27971154577244</v>
      </c>
      <c r="F370" s="2">
        <v>92.1</v>
      </c>
      <c r="G370" s="2">
        <v>116.05</v>
      </c>
      <c r="H370" s="2">
        <v>1.2513270000000001</v>
      </c>
      <c r="I370" s="2">
        <v>0.33</v>
      </c>
      <c r="J370" s="2">
        <v>9.1410591360813268E-3</v>
      </c>
      <c r="K370" s="2">
        <v>8.9699130741809935E-2</v>
      </c>
      <c r="L370" s="2">
        <v>97.156499999999994</v>
      </c>
      <c r="M370" s="2">
        <v>98.380200000000002</v>
      </c>
      <c r="N370" s="2">
        <v>8.6701874567118864E-4</v>
      </c>
      <c r="O370" s="2">
        <v>-6.1812910371257246E-3</v>
      </c>
      <c r="P370" s="2">
        <v>92.1</v>
      </c>
      <c r="Q370" s="2">
        <v>0</v>
      </c>
      <c r="R370" s="2">
        <v>3.2945669494301114E-3</v>
      </c>
      <c r="S370" s="2">
        <v>1.2435626085511438E-2</v>
      </c>
      <c r="T370" s="2">
        <v>0</v>
      </c>
      <c r="U370" s="2">
        <v>0</v>
      </c>
      <c r="V370" s="2">
        <v>0</v>
      </c>
      <c r="W370" s="2">
        <v>0</v>
      </c>
      <c r="X370" s="2">
        <v>-4.1728029588379914E-4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</row>
    <row r="371" spans="1:98" x14ac:dyDescent="0.2">
      <c r="A371" s="2" t="s">
        <v>650</v>
      </c>
      <c r="B371" s="2">
        <v>322.49200000000002</v>
      </c>
      <c r="C371" s="2">
        <v>-5515.12</v>
      </c>
      <c r="D371" s="2">
        <v>-10594.013113875693</v>
      </c>
      <c r="E371" s="2">
        <v>-2670.6032386933293</v>
      </c>
      <c r="F371" s="2">
        <v>93.5</v>
      </c>
      <c r="G371" s="2">
        <v>117.62</v>
      </c>
      <c r="H371" s="2">
        <v>1.2132240000000001</v>
      </c>
      <c r="I371" s="2">
        <v>0.44</v>
      </c>
      <c r="J371" s="2">
        <v>7.6688859639058946E-3</v>
      </c>
      <c r="K371" s="2">
        <v>8.3976579948077876E-2</v>
      </c>
      <c r="L371" s="2">
        <v>98.070099999999996</v>
      </c>
      <c r="M371" s="2">
        <v>98.572999999999993</v>
      </c>
      <c r="N371" s="2">
        <v>9.3594486531580756E-3</v>
      </c>
      <c r="O371" s="2">
        <v>1.957826139253882E-3</v>
      </c>
      <c r="P371" s="2">
        <v>93.5</v>
      </c>
      <c r="Q371" s="2">
        <v>1.5086493033380499E-2</v>
      </c>
      <c r="R371" s="2">
        <v>4.390348301292854E-3</v>
      </c>
      <c r="S371" s="2">
        <v>1.2059234265198749E-2</v>
      </c>
      <c r="T371" s="2">
        <v>0</v>
      </c>
      <c r="U371" s="2">
        <v>0</v>
      </c>
      <c r="V371" s="2">
        <v>0</v>
      </c>
      <c r="W371" s="2">
        <v>0</v>
      </c>
      <c r="X371" s="2">
        <v>-3.7639182031268953E-4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</row>
    <row r="372" spans="1:98" x14ac:dyDescent="0.2">
      <c r="A372" s="2" t="s">
        <v>651</v>
      </c>
      <c r="B372" s="2">
        <v>325.14800000000002</v>
      </c>
      <c r="C372" s="2">
        <v>-2476.9</v>
      </c>
      <c r="D372" s="2">
        <v>-4719.0205826269876</v>
      </c>
      <c r="E372" s="2">
        <v>5874.9925312487057</v>
      </c>
      <c r="F372" s="2">
        <v>91.8</v>
      </c>
      <c r="G372" s="2">
        <v>116.29</v>
      </c>
      <c r="H372" s="2">
        <v>1.2509859999999999</v>
      </c>
      <c r="I372" s="2">
        <v>0.69</v>
      </c>
      <c r="J372" s="2">
        <v>5.555954283313352E-3</v>
      </c>
      <c r="K372" s="2">
        <v>7.9580910744313851E-2</v>
      </c>
      <c r="L372" s="2">
        <v>98.254099999999994</v>
      </c>
      <c r="M372" s="2">
        <v>97.627899999999997</v>
      </c>
      <c r="N372" s="2">
        <v>1.874451075055461E-3</v>
      </c>
      <c r="O372" s="2">
        <v>-9.6340772134926311E-3</v>
      </c>
      <c r="P372" s="2">
        <v>91.8</v>
      </c>
      <c r="Q372" s="2">
        <v>-1.8349138668196652E-2</v>
      </c>
      <c r="R372" s="2">
        <v>6.8763039394320637E-3</v>
      </c>
      <c r="S372" s="2">
        <v>1.2432258222745416E-2</v>
      </c>
      <c r="T372" s="2">
        <v>0</v>
      </c>
      <c r="U372" s="2">
        <v>0</v>
      </c>
      <c r="V372" s="2">
        <v>0</v>
      </c>
      <c r="W372" s="2">
        <v>0</v>
      </c>
      <c r="X372" s="2">
        <v>3.7302395754666706E-4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</row>
    <row r="373" spans="1:98" x14ac:dyDescent="0.2">
      <c r="A373" s="2" t="s">
        <v>652</v>
      </c>
      <c r="B373" s="2">
        <v>326.83300000000003</v>
      </c>
      <c r="C373" s="2">
        <v>3109.51</v>
      </c>
      <c r="D373" s="2">
        <v>5893.734160136828</v>
      </c>
      <c r="E373" s="2">
        <v>10612.754742763816</v>
      </c>
      <c r="F373" s="2">
        <v>84.7</v>
      </c>
      <c r="G373" s="2">
        <v>106.41</v>
      </c>
      <c r="H373" s="2">
        <v>1.482823</v>
      </c>
      <c r="I373" s="2">
        <v>0.86</v>
      </c>
      <c r="J373" s="2">
        <v>6.1561359848985985E-3</v>
      </c>
      <c r="K373" s="2">
        <v>7.7284509756745751E-2</v>
      </c>
      <c r="L373" s="2">
        <v>98.970299999999995</v>
      </c>
      <c r="M373" s="2">
        <v>98.001499999999993</v>
      </c>
      <c r="N373" s="2">
        <v>7.2628249670030343E-3</v>
      </c>
      <c r="O373" s="2">
        <v>3.8194714514716566E-3</v>
      </c>
      <c r="P373" s="2">
        <v>84.7</v>
      </c>
      <c r="Q373" s="2">
        <v>-8.0496695968435894E-2</v>
      </c>
      <c r="R373" s="2">
        <v>8.5632306604878135E-3</v>
      </c>
      <c r="S373" s="2">
        <v>1.4719366645386412E-2</v>
      </c>
      <c r="T373" s="2">
        <v>0</v>
      </c>
      <c r="U373" s="2">
        <v>0</v>
      </c>
      <c r="V373" s="2">
        <v>0</v>
      </c>
      <c r="W373" s="2">
        <v>0</v>
      </c>
      <c r="X373" s="2">
        <v>2.2871084226409964E-3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</row>
    <row r="374" spans="1:98" x14ac:dyDescent="0.2">
      <c r="A374" s="2" t="s">
        <v>653</v>
      </c>
      <c r="B374" s="2">
        <v>327.91500000000002</v>
      </c>
      <c r="C374" s="2">
        <v>-8506.9699999999993</v>
      </c>
      <c r="D374" s="2">
        <v>-16070.82246228443</v>
      </c>
      <c r="E374" s="2">
        <v>-21964.55662242126</v>
      </c>
      <c r="F374" s="2">
        <v>81</v>
      </c>
      <c r="G374" s="2">
        <v>101.45</v>
      </c>
      <c r="H374" s="2">
        <v>1.3838820000000001</v>
      </c>
      <c r="I374" s="2">
        <v>0.57999999999999996</v>
      </c>
      <c r="J374" s="2">
        <v>7.960693143528581E-3</v>
      </c>
      <c r="K374" s="2">
        <v>8.0220620210356988E-2</v>
      </c>
      <c r="L374" s="2">
        <v>99.417000000000002</v>
      </c>
      <c r="M374" s="2">
        <v>98.228899999999996</v>
      </c>
      <c r="N374" s="2">
        <v>4.5033200705759668E-3</v>
      </c>
      <c r="O374" s="2">
        <v>2.3176847399080103E-3</v>
      </c>
      <c r="P374" s="2">
        <v>81</v>
      </c>
      <c r="Q374" s="2">
        <v>-4.4666446985569763E-2</v>
      </c>
      <c r="R374" s="2">
        <v>5.7832447557273608E-3</v>
      </c>
      <c r="S374" s="2">
        <v>1.3743937899255942E-2</v>
      </c>
      <c r="T374" s="2">
        <v>0</v>
      </c>
      <c r="U374" s="2">
        <v>0</v>
      </c>
      <c r="V374" s="2">
        <v>0</v>
      </c>
      <c r="W374" s="2">
        <v>0</v>
      </c>
      <c r="X374" s="2">
        <v>-9.7542874613047031E-4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</row>
    <row r="375" spans="1:98" x14ac:dyDescent="0.2">
      <c r="A375" s="2" t="s">
        <v>654</v>
      </c>
      <c r="B375" s="2">
        <v>329.24099999999999</v>
      </c>
      <c r="C375" s="2">
        <v>-2127.2800000000002</v>
      </c>
      <c r="D375" s="2">
        <v>-4002.5358484514391</v>
      </c>
      <c r="E375" s="2">
        <v>12068.286613832992</v>
      </c>
      <c r="F375" s="2">
        <v>76.400000000000006</v>
      </c>
      <c r="G375" s="2">
        <v>95.89</v>
      </c>
      <c r="H375" s="2">
        <v>1.218186</v>
      </c>
      <c r="I375" s="2">
        <v>0.59</v>
      </c>
      <c r="J375" s="2">
        <v>6.2255951196805359E-3</v>
      </c>
      <c r="K375" s="2">
        <v>8.1742119540417699E-2</v>
      </c>
      <c r="L375" s="2">
        <v>100.0955</v>
      </c>
      <c r="M375" s="2">
        <v>99.461399999999998</v>
      </c>
      <c r="N375" s="2">
        <v>6.8016050695476338E-3</v>
      </c>
      <c r="O375" s="2">
        <v>1.2469159782191319E-2</v>
      </c>
      <c r="P375" s="2">
        <v>76.400000000000006</v>
      </c>
      <c r="Q375" s="2">
        <v>-5.8466458499964347E-2</v>
      </c>
      <c r="R375" s="2">
        <v>5.8826631581555119E-3</v>
      </c>
      <c r="S375" s="2">
        <v>1.2108258277836048E-2</v>
      </c>
      <c r="T375" s="2">
        <v>0</v>
      </c>
      <c r="U375" s="2">
        <v>0</v>
      </c>
      <c r="V375" s="2">
        <v>0</v>
      </c>
      <c r="W375" s="2">
        <v>0</v>
      </c>
      <c r="X375" s="2">
        <v>-1.635679621419894E-3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</row>
    <row r="376" spans="1:98" x14ac:dyDescent="0.2">
      <c r="A376" s="2" t="s">
        <v>655</v>
      </c>
      <c r="B376" s="2">
        <v>332.49</v>
      </c>
      <c r="C376" s="2">
        <v>-7204.99</v>
      </c>
      <c r="D376" s="2">
        <v>-13423.917667418567</v>
      </c>
      <c r="E376" s="2">
        <v>-9421.3818189671292</v>
      </c>
      <c r="F376" s="2">
        <v>88</v>
      </c>
      <c r="G376" s="2">
        <v>110.81</v>
      </c>
      <c r="H376" s="2">
        <v>1.528178</v>
      </c>
      <c r="I376" s="2">
        <v>0.61</v>
      </c>
      <c r="J376" s="2">
        <v>9.0847194133039481E-3</v>
      </c>
      <c r="K376" s="2">
        <v>8.1818832042582348E-2</v>
      </c>
      <c r="L376" s="2">
        <v>99.928299999999993</v>
      </c>
      <c r="M376" s="2">
        <v>99.956500000000005</v>
      </c>
      <c r="N376" s="2">
        <v>-1.6718014450534113E-3</v>
      </c>
      <c r="O376" s="2">
        <v>4.9654621501620255E-3</v>
      </c>
      <c r="P376" s="2">
        <v>88</v>
      </c>
      <c r="Q376" s="2">
        <v>0.14135411830573208</v>
      </c>
      <c r="R376" s="2">
        <v>6.0814703158679536E-3</v>
      </c>
      <c r="S376" s="2">
        <v>1.5166189729171902E-2</v>
      </c>
      <c r="T376" s="2">
        <v>0</v>
      </c>
      <c r="U376" s="2">
        <v>0</v>
      </c>
      <c r="V376" s="2">
        <v>0</v>
      </c>
      <c r="W376" s="2">
        <v>0</v>
      </c>
      <c r="X376" s="2">
        <v>3.057931451335854E-3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</row>
    <row r="377" spans="1:98" x14ac:dyDescent="0.2">
      <c r="A377" s="2" t="s">
        <v>656</v>
      </c>
      <c r="B377" s="2">
        <v>334.17</v>
      </c>
      <c r="C377" s="2">
        <v>-14307.88</v>
      </c>
      <c r="D377" s="2">
        <v>-26523.590600233412</v>
      </c>
      <c r="E377" s="2">
        <v>-13099.672932814845</v>
      </c>
      <c r="F377" s="2">
        <v>87</v>
      </c>
      <c r="G377" s="2">
        <v>109.12</v>
      </c>
      <c r="H377" s="2">
        <v>1.411529</v>
      </c>
      <c r="I377" s="2">
        <v>0.87</v>
      </c>
      <c r="J377" s="2">
        <v>5.3542238520375256E-3</v>
      </c>
      <c r="K377" s="2">
        <v>7.9117020777795255E-2</v>
      </c>
      <c r="L377" s="2">
        <v>100.0742</v>
      </c>
      <c r="M377" s="2">
        <v>99.208399999999997</v>
      </c>
      <c r="N377" s="2">
        <v>1.4589820215302751E-3</v>
      </c>
      <c r="O377" s="2">
        <v>-7.5124032228934823E-3</v>
      </c>
      <c r="P377" s="2">
        <v>87</v>
      </c>
      <c r="Q377" s="2">
        <v>-1.1428695823623158E-2</v>
      </c>
      <c r="R377" s="2">
        <v>8.6623730786525872E-3</v>
      </c>
      <c r="S377" s="2">
        <v>1.4016596930690113E-2</v>
      </c>
      <c r="T377" s="2">
        <v>0</v>
      </c>
      <c r="U377" s="2">
        <v>0</v>
      </c>
      <c r="V377" s="2">
        <v>0</v>
      </c>
      <c r="W377" s="2">
        <v>0</v>
      </c>
      <c r="X377" s="2">
        <v>-1.149592798481789E-3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</row>
    <row r="378" spans="1:98" x14ac:dyDescent="0.2">
      <c r="A378" s="2" t="s">
        <v>657</v>
      </c>
      <c r="B378" s="2">
        <v>333.32100000000003</v>
      </c>
      <c r="C378" s="2">
        <v>-2203.75</v>
      </c>
      <c r="D378" s="2">
        <v>-4095.6622445030457</v>
      </c>
      <c r="E378" s="2">
        <v>22427.928355730368</v>
      </c>
      <c r="F378" s="2">
        <v>91.1</v>
      </c>
      <c r="G378" s="2">
        <v>114.06</v>
      </c>
      <c r="H378" s="2">
        <v>1.5030650000000001</v>
      </c>
      <c r="I378" s="2">
        <v>0.49</v>
      </c>
      <c r="J378" s="2">
        <v>1.0030775009388123E-2</v>
      </c>
      <c r="K378" s="2">
        <v>8.2031548743723509E-2</v>
      </c>
      <c r="L378" s="2">
        <v>100.2414</v>
      </c>
      <c r="M378" s="2">
        <v>99.552499999999995</v>
      </c>
      <c r="N378" s="2">
        <v>1.6693661285414052E-3</v>
      </c>
      <c r="O378" s="2">
        <v>3.4624550781661156E-3</v>
      </c>
      <c r="P378" s="2">
        <v>91.1</v>
      </c>
      <c r="Q378" s="2">
        <v>4.6049685611328606E-2</v>
      </c>
      <c r="R378" s="2">
        <v>4.8880340727758664E-3</v>
      </c>
      <c r="S378" s="2">
        <v>1.4918809082163989E-2</v>
      </c>
      <c r="T378" s="2">
        <v>0</v>
      </c>
      <c r="U378" s="2">
        <v>0</v>
      </c>
      <c r="V378" s="2">
        <v>0</v>
      </c>
      <c r="W378" s="2">
        <v>0</v>
      </c>
      <c r="X378" s="2">
        <v>9.022121514738763E-4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</row>
    <row r="379" spans="1:98" x14ac:dyDescent="0.2">
      <c r="A379" s="2" t="s">
        <v>658</v>
      </c>
      <c r="B379" s="2">
        <v>331.82299999999998</v>
      </c>
      <c r="C379" s="2">
        <v>-6060.05</v>
      </c>
      <c r="D379" s="2">
        <v>-11313.427742501275</v>
      </c>
      <c r="E379" s="2">
        <v>-7217.765497998229</v>
      </c>
      <c r="F379" s="2">
        <v>91.4</v>
      </c>
      <c r="G379" s="2">
        <v>114.77</v>
      </c>
      <c r="H379" s="2">
        <v>1.5856030000000001</v>
      </c>
      <c r="I379" s="2">
        <v>-0.02</v>
      </c>
      <c r="J379" s="2">
        <v>1.5931656362267531E-2</v>
      </c>
      <c r="K379" s="2">
        <v>9.2814245668876583E-2</v>
      </c>
      <c r="L379" s="2">
        <v>100.6437</v>
      </c>
      <c r="M379" s="2">
        <v>102.9842</v>
      </c>
      <c r="N379" s="2">
        <v>4.0052800114782627E-3</v>
      </c>
      <c r="O379" s="2">
        <v>3.3890435201280766E-2</v>
      </c>
      <c r="P379" s="2">
        <v>91.4</v>
      </c>
      <c r="Q379" s="2">
        <v>3.2876741941922916E-3</v>
      </c>
      <c r="R379" s="2">
        <v>-2.000200026670447E-4</v>
      </c>
      <c r="S379" s="2">
        <v>1.5731636359600485E-2</v>
      </c>
      <c r="T379" s="2">
        <v>0</v>
      </c>
      <c r="U379" s="2">
        <v>0</v>
      </c>
      <c r="V379" s="2">
        <v>0</v>
      </c>
      <c r="W379" s="2">
        <v>0</v>
      </c>
      <c r="X379" s="2">
        <v>8.1282727743649599E-4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</row>
    <row r="380" spans="1:98" x14ac:dyDescent="0.2">
      <c r="A380" s="2" t="s">
        <v>659</v>
      </c>
      <c r="B380" s="2">
        <v>330.48399999999998</v>
      </c>
      <c r="C380" s="2">
        <v>-5614.79</v>
      </c>
      <c r="D380" s="2">
        <v>-10524.647638130742</v>
      </c>
      <c r="E380" s="2">
        <v>788.78010437053308</v>
      </c>
      <c r="F380" s="2">
        <v>90.5</v>
      </c>
      <c r="G380" s="2">
        <v>113.32</v>
      </c>
      <c r="H380" s="2">
        <v>1.5113449999999999</v>
      </c>
      <c r="I380" s="2">
        <v>0.25</v>
      </c>
      <c r="J380" s="2">
        <v>1.2503499447997439E-2</v>
      </c>
      <c r="K380" s="2">
        <v>0.10158980015836605</v>
      </c>
      <c r="L380" s="2">
        <v>100.3278</v>
      </c>
      <c r="M380" s="2">
        <v>99.074200000000005</v>
      </c>
      <c r="N380" s="2">
        <v>-3.143731923892723E-3</v>
      </c>
      <c r="O380" s="2">
        <v>-3.8706514051690455E-2</v>
      </c>
      <c r="P380" s="2">
        <v>90.5</v>
      </c>
      <c r="Q380" s="2">
        <v>-9.8956277542239235E-3</v>
      </c>
      <c r="R380" s="2">
        <v>2.4968801985871458E-3</v>
      </c>
      <c r="S380" s="2">
        <v>1.5000379646584586E-2</v>
      </c>
      <c r="T380" s="2">
        <v>0</v>
      </c>
      <c r="U380" s="2">
        <v>0</v>
      </c>
      <c r="V380" s="2">
        <v>0</v>
      </c>
      <c r="W380" s="2">
        <v>0</v>
      </c>
      <c r="X380" s="2">
        <v>-7.3125671301589937E-4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</row>
    <row r="381" spans="1:98" x14ac:dyDescent="0.2">
      <c r="A381" s="2" t="s">
        <v>660</v>
      </c>
      <c r="B381" s="2">
        <v>327.887</v>
      </c>
      <c r="C381" s="2">
        <v>-4508.49</v>
      </c>
      <c r="D381" s="2">
        <v>-8517.8776567536988</v>
      </c>
      <c r="E381" s="2">
        <v>2006.7699813770432</v>
      </c>
      <c r="F381" s="2">
        <v>95.6</v>
      </c>
      <c r="G381" s="2">
        <v>120.39</v>
      </c>
      <c r="H381" s="2">
        <v>1.6584829999999999</v>
      </c>
      <c r="I381" s="2">
        <v>0.17</v>
      </c>
      <c r="J381" s="2">
        <v>1.4750246993758858E-2</v>
      </c>
      <c r="K381" s="2">
        <v>0.11036344471016173</v>
      </c>
      <c r="L381" s="2">
        <v>100.5151</v>
      </c>
      <c r="M381" s="2">
        <v>102.61669999999999</v>
      </c>
      <c r="N381" s="2">
        <v>1.8651399108202682E-3</v>
      </c>
      <c r="O381" s="2">
        <v>3.5131623169571746E-2</v>
      </c>
      <c r="P381" s="2">
        <v>95.6</v>
      </c>
      <c r="Q381" s="2">
        <v>5.4822969351475237E-2</v>
      </c>
      <c r="R381" s="2">
        <v>1.6985566355815121E-3</v>
      </c>
      <c r="S381" s="2">
        <v>1.6448803629340369E-2</v>
      </c>
      <c r="T381" s="2">
        <v>0</v>
      </c>
      <c r="U381" s="2">
        <v>0</v>
      </c>
      <c r="V381" s="2">
        <v>0</v>
      </c>
      <c r="W381" s="2">
        <v>0</v>
      </c>
      <c r="X381" s="2">
        <v>1.4484239827557838E-3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</row>
    <row r="382" spans="1:98" x14ac:dyDescent="0.2">
      <c r="A382" s="2" t="s">
        <v>661</v>
      </c>
      <c r="B382" s="2">
        <v>327.45400000000001</v>
      </c>
      <c r="C382" s="2">
        <v>-2929.8</v>
      </c>
      <c r="D382" s="2">
        <v>-5542.5824231800498</v>
      </c>
      <c r="E382" s="2">
        <v>2975.2952335736491</v>
      </c>
      <c r="F382" s="2">
        <v>92</v>
      </c>
      <c r="G382" s="2">
        <v>115.99</v>
      </c>
      <c r="H382" s="2">
        <v>1.503136</v>
      </c>
      <c r="I382" s="2">
        <v>0.35</v>
      </c>
      <c r="J382" s="2">
        <v>1.142561931393038E-2</v>
      </c>
      <c r="K382" s="2">
        <v>0.11264800488801077</v>
      </c>
      <c r="L382" s="2">
        <v>98.606300000000005</v>
      </c>
      <c r="M382" s="2">
        <v>100.1392</v>
      </c>
      <c r="N382" s="2">
        <v>-1.9172810878386848E-2</v>
      </c>
      <c r="O382" s="2">
        <v>-2.4439469468349628E-2</v>
      </c>
      <c r="P382" s="2">
        <v>92</v>
      </c>
      <c r="Q382" s="2">
        <v>-3.8384243008315444E-2</v>
      </c>
      <c r="R382" s="2">
        <v>3.4938892542558382E-3</v>
      </c>
      <c r="S382" s="2">
        <v>1.4919508568186218E-2</v>
      </c>
      <c r="T382" s="2">
        <v>0</v>
      </c>
      <c r="U382" s="2">
        <v>0</v>
      </c>
      <c r="V382" s="2">
        <v>0</v>
      </c>
      <c r="W382" s="2">
        <v>0</v>
      </c>
      <c r="X382" s="2">
        <v>-1.5292950611541511E-3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</row>
    <row r="383" spans="1:98" x14ac:dyDescent="0.2">
      <c r="A383" s="2" t="s">
        <v>662</v>
      </c>
      <c r="B383" s="2">
        <v>329.529</v>
      </c>
      <c r="C383" s="2">
        <v>-6321.85</v>
      </c>
      <c r="D383" s="2">
        <v>-11884.339012954855</v>
      </c>
      <c r="E383" s="2">
        <v>-6341.7565897748054</v>
      </c>
      <c r="F383" s="2">
        <v>93.7</v>
      </c>
      <c r="G383" s="2">
        <v>117.94</v>
      </c>
      <c r="H383" s="2">
        <v>1.4071640000000001</v>
      </c>
      <c r="I383" s="2">
        <v>0.75</v>
      </c>
      <c r="J383" s="2">
        <v>6.5015387222079691E-3</v>
      </c>
      <c r="K383" s="2">
        <v>0.11148065764631285</v>
      </c>
      <c r="L383" s="2">
        <v>99.869500000000002</v>
      </c>
      <c r="M383" s="2">
        <v>100.23520000000001</v>
      </c>
      <c r="N383" s="2">
        <v>1.2729179643301336E-2</v>
      </c>
      <c r="O383" s="2">
        <v>9.5820631123810784E-4</v>
      </c>
      <c r="P383" s="2">
        <v>93.7</v>
      </c>
      <c r="Q383" s="2">
        <v>1.8309612195335667E-2</v>
      </c>
      <c r="R383" s="2">
        <v>7.4720148387010564E-3</v>
      </c>
      <c r="S383" s="2">
        <v>1.3973553560909025E-2</v>
      </c>
      <c r="T383" s="2">
        <v>0</v>
      </c>
      <c r="U383" s="2">
        <v>0</v>
      </c>
      <c r="V383" s="2">
        <v>0</v>
      </c>
      <c r="W383" s="2">
        <v>0</v>
      </c>
      <c r="X383" s="2">
        <v>-9.459550072771928E-4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</row>
    <row r="384" spans="1:98" x14ac:dyDescent="0.2">
      <c r="A384" s="2" t="s">
        <v>663</v>
      </c>
      <c r="B384" s="2">
        <v>330.61900000000003</v>
      </c>
      <c r="C384" s="2">
        <v>-346.07</v>
      </c>
      <c r="D384" s="2">
        <v>-648.42631343026255</v>
      </c>
      <c r="E384" s="2">
        <v>11235.912699524593</v>
      </c>
      <c r="F384" s="2">
        <v>92.4</v>
      </c>
      <c r="G384" s="2">
        <v>117.4</v>
      </c>
      <c r="H384" s="2">
        <v>1.381041</v>
      </c>
      <c r="I384" s="2">
        <v>0.55000000000000004</v>
      </c>
      <c r="J384" s="2">
        <v>8.2309850703182058E-3</v>
      </c>
      <c r="K384" s="2">
        <v>0.11415568843331769</v>
      </c>
      <c r="L384" s="2">
        <v>100.9014</v>
      </c>
      <c r="M384" s="2">
        <v>100.07040000000001</v>
      </c>
      <c r="N384" s="2">
        <v>1.027946865314E-2</v>
      </c>
      <c r="O384" s="2">
        <v>-1.645486069133284E-3</v>
      </c>
      <c r="P384" s="2">
        <v>92.4</v>
      </c>
      <c r="Q384" s="2">
        <v>-1.3971210596738004E-2</v>
      </c>
      <c r="R384" s="2">
        <v>5.4849302305697454E-3</v>
      </c>
      <c r="S384" s="2">
        <v>1.3715915300887952E-2</v>
      </c>
      <c r="T384" s="2">
        <v>0</v>
      </c>
      <c r="U384" s="2">
        <v>0</v>
      </c>
      <c r="V384" s="2">
        <v>0</v>
      </c>
      <c r="W384" s="2">
        <v>0</v>
      </c>
      <c r="X384" s="2">
        <v>-2.5763826002107339E-4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</row>
    <row r="385" spans="1:98" x14ac:dyDescent="0.2">
      <c r="A385" s="2" t="s">
        <v>664</v>
      </c>
      <c r="B385" s="2">
        <v>330.83499999999998</v>
      </c>
      <c r="C385" s="2">
        <v>4390.55</v>
      </c>
      <c r="D385" s="2">
        <v>8221.1384883703377</v>
      </c>
      <c r="E385" s="2">
        <v>8869.5648018005995</v>
      </c>
      <c r="F385" s="2">
        <v>86.6</v>
      </c>
      <c r="G385" s="2">
        <v>109.34</v>
      </c>
      <c r="H385" s="2">
        <v>1.4735720000000001</v>
      </c>
      <c r="I385" s="2">
        <v>0.36</v>
      </c>
      <c r="J385" s="2">
        <v>1.1034668696088847E-2</v>
      </c>
      <c r="K385" s="2">
        <v>0.11903422114450796</v>
      </c>
      <c r="L385" s="2">
        <v>101.4873</v>
      </c>
      <c r="M385" s="2">
        <v>100.57989999999999</v>
      </c>
      <c r="N385" s="2">
        <v>5.7898651133880819E-3</v>
      </c>
      <c r="O385" s="2">
        <v>5.0784982135434475E-3</v>
      </c>
      <c r="P385" s="2">
        <v>86.6</v>
      </c>
      <c r="Q385" s="2">
        <v>-6.4827163079248962E-2</v>
      </c>
      <c r="R385" s="2">
        <v>3.5935355101302181E-3</v>
      </c>
      <c r="S385" s="2">
        <v>1.4628204206219065E-2</v>
      </c>
      <c r="T385" s="2">
        <v>0</v>
      </c>
      <c r="U385" s="2">
        <v>0</v>
      </c>
      <c r="V385" s="2">
        <v>0</v>
      </c>
      <c r="W385" s="2">
        <v>0</v>
      </c>
      <c r="X385" s="2">
        <v>9.1228890533111284E-4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</row>
    <row r="386" spans="1:98" x14ac:dyDescent="0.2">
      <c r="A386" s="2" t="s">
        <v>665</v>
      </c>
      <c r="B386" s="2">
        <v>333.22199999999998</v>
      </c>
      <c r="C386" s="2">
        <v>-3310.52</v>
      </c>
      <c r="D386" s="2">
        <v>-6154.4186383852211</v>
      </c>
      <c r="E386" s="2">
        <v>-14375.557126755559</v>
      </c>
      <c r="F386" s="2">
        <v>83.7</v>
      </c>
      <c r="G386" s="2">
        <v>104.58</v>
      </c>
      <c r="H386" s="2">
        <v>1.4293169999999999</v>
      </c>
      <c r="I386" s="2">
        <v>0.59</v>
      </c>
      <c r="J386" s="2">
        <v>8.3093225110099436E-3</v>
      </c>
      <c r="K386" s="2">
        <v>0.11938285051198932</v>
      </c>
      <c r="L386" s="2">
        <v>101.6088</v>
      </c>
      <c r="M386" s="2">
        <v>99.902799999999999</v>
      </c>
      <c r="N386" s="2">
        <v>1.1964780662410135E-3</v>
      </c>
      <c r="O386" s="2">
        <v>-6.7547232201201624E-3</v>
      </c>
      <c r="P386" s="2">
        <v>83.7</v>
      </c>
      <c r="Q386" s="2">
        <v>-3.4060838072959676E-2</v>
      </c>
      <c r="R386" s="2">
        <v>5.8826631581555119E-3</v>
      </c>
      <c r="S386" s="2">
        <v>1.4191985669165456E-2</v>
      </c>
      <c r="T386" s="2">
        <v>0</v>
      </c>
      <c r="U386" s="2">
        <v>0</v>
      </c>
      <c r="V386" s="2">
        <v>0</v>
      </c>
      <c r="W386" s="2">
        <v>0</v>
      </c>
      <c r="X386" s="2">
        <v>-4.3621853705360855E-4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</row>
    <row r="387" spans="1:98" x14ac:dyDescent="0.2">
      <c r="A387" s="2" t="s">
        <v>666</v>
      </c>
      <c r="B387" s="2">
        <v>333.03</v>
      </c>
      <c r="C387" s="2">
        <v>-3271.33</v>
      </c>
      <c r="D387" s="2">
        <v>-6085.0686817403848</v>
      </c>
      <c r="E387" s="2">
        <v>69.349956644836311</v>
      </c>
      <c r="F387" s="2">
        <v>80.2</v>
      </c>
      <c r="G387" s="2">
        <v>101.07</v>
      </c>
      <c r="H387" s="2">
        <v>1.1450629999999999</v>
      </c>
      <c r="I387" s="2">
        <v>0.41</v>
      </c>
      <c r="J387" s="2">
        <v>7.2939498312755303E-3</v>
      </c>
      <c r="K387" s="2">
        <v>0.1204512052235843</v>
      </c>
      <c r="L387" s="2">
        <v>101.68389999999999</v>
      </c>
      <c r="M387" s="2">
        <v>100.7886</v>
      </c>
      <c r="N387" s="2">
        <v>7.3883620431303143E-4</v>
      </c>
      <c r="O387" s="2">
        <v>8.8275407136659823E-3</v>
      </c>
      <c r="P387" s="2">
        <v>80.2</v>
      </c>
      <c r="Q387" s="2">
        <v>-4.2715462622960665E-2</v>
      </c>
      <c r="R387" s="2">
        <v>4.0916179032535575E-3</v>
      </c>
      <c r="S387" s="2">
        <v>1.1385567734529088E-2</v>
      </c>
      <c r="T387" s="2">
        <v>0</v>
      </c>
      <c r="U387" s="2">
        <v>0</v>
      </c>
      <c r="V387" s="2">
        <v>0</v>
      </c>
      <c r="W387" s="2">
        <v>0</v>
      </c>
      <c r="X387" s="2">
        <v>-2.8064179346363686E-3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</row>
    <row r="388" spans="1:98" x14ac:dyDescent="0.2">
      <c r="A388" s="2" t="s">
        <v>667</v>
      </c>
      <c r="B388" s="2">
        <v>331.53100000000001</v>
      </c>
      <c r="C388" s="2">
        <v>-5614.45</v>
      </c>
      <c r="D388" s="2">
        <v>-10490.774703421399</v>
      </c>
      <c r="E388" s="2">
        <v>-4405.7060216810141</v>
      </c>
      <c r="F388" s="2">
        <v>92.4</v>
      </c>
      <c r="G388" s="2">
        <v>116.68</v>
      </c>
      <c r="H388" s="2">
        <v>1.422302</v>
      </c>
      <c r="I388" s="2">
        <v>0.43</v>
      </c>
      <c r="J388" s="2">
        <v>9.8320403967994043E-3</v>
      </c>
      <c r="K388" s="2">
        <v>0.12119852620707977</v>
      </c>
      <c r="L388" s="2">
        <v>101.8522</v>
      </c>
      <c r="M388" s="2">
        <v>102.1181</v>
      </c>
      <c r="N388" s="2">
        <v>1.6537610611324638E-3</v>
      </c>
      <c r="O388" s="2">
        <v>1.3104732634690031E-2</v>
      </c>
      <c r="P388" s="2">
        <v>92.4</v>
      </c>
      <c r="Q388" s="2">
        <v>0.1416034637751693</v>
      </c>
      <c r="R388" s="2">
        <v>4.2907814171562458E-3</v>
      </c>
      <c r="S388" s="2">
        <v>1.412282181395565E-2</v>
      </c>
      <c r="T388" s="2">
        <v>0</v>
      </c>
      <c r="U388" s="2">
        <v>0</v>
      </c>
      <c r="V388" s="2">
        <v>0</v>
      </c>
      <c r="W388" s="2">
        <v>0</v>
      </c>
      <c r="X388" s="2">
        <v>2.7372540794265623E-3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</row>
    <row r="389" spans="1:98" x14ac:dyDescent="0.2">
      <c r="A389" s="2" t="s">
        <v>668</v>
      </c>
      <c r="B389" s="2">
        <v>331.60700000000003</v>
      </c>
      <c r="C389" s="2">
        <v>-16311.85</v>
      </c>
      <c r="D389" s="2">
        <v>-30472.214370022346</v>
      </c>
      <c r="E389" s="2">
        <v>-19981.439666600949</v>
      </c>
      <c r="F389" s="2">
        <v>85.7</v>
      </c>
      <c r="G389" s="2">
        <v>107.21</v>
      </c>
      <c r="H389" s="2">
        <v>1.0778779999999999</v>
      </c>
      <c r="I389" s="2">
        <v>0.21</v>
      </c>
      <c r="J389" s="2">
        <v>8.6233049567389312E-3</v>
      </c>
      <c r="K389" s="2">
        <v>0.12446760731178116</v>
      </c>
      <c r="L389" s="2">
        <v>102.29519999999999</v>
      </c>
      <c r="M389" s="2">
        <v>100.13330000000001</v>
      </c>
      <c r="N389" s="2">
        <v>4.3400082033855369E-3</v>
      </c>
      <c r="O389" s="2">
        <v>-1.9627688305780211E-2</v>
      </c>
      <c r="P389" s="2">
        <v>85.7</v>
      </c>
      <c r="Q389" s="2">
        <v>-7.5274153043904057E-2</v>
      </c>
      <c r="R389" s="2">
        <v>2.0977980821461199E-3</v>
      </c>
      <c r="S389" s="2">
        <v>1.0721103038885051E-2</v>
      </c>
      <c r="T389" s="2">
        <v>0</v>
      </c>
      <c r="U389" s="2">
        <v>0</v>
      </c>
      <c r="V389" s="2">
        <v>0</v>
      </c>
      <c r="W389" s="2">
        <v>0</v>
      </c>
      <c r="X389" s="2">
        <v>-3.4017187750705995E-3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1</v>
      </c>
      <c r="CQ389" s="2">
        <v>0</v>
      </c>
      <c r="CR389" s="2">
        <v>0</v>
      </c>
      <c r="CS389" s="2">
        <v>0</v>
      </c>
      <c r="CT389" s="2">
        <v>0</v>
      </c>
    </row>
    <row r="390" spans="1:98" x14ac:dyDescent="0.2">
      <c r="A390" s="2" t="s">
        <v>669</v>
      </c>
      <c r="B390" s="2">
        <v>332.851</v>
      </c>
      <c r="C390" s="2">
        <v>-3145.73</v>
      </c>
      <c r="D390" s="2">
        <v>-5854.5842959161901</v>
      </c>
      <c r="E390" s="2">
        <v>24617.630074106157</v>
      </c>
      <c r="F390" s="2">
        <v>95.4</v>
      </c>
      <c r="G390" s="2">
        <v>119.55</v>
      </c>
      <c r="H390" s="2">
        <v>1.281366</v>
      </c>
      <c r="I390" s="2">
        <v>0.1</v>
      </c>
      <c r="J390" s="2">
        <v>1.1732759345506921E-2</v>
      </c>
      <c r="K390" s="2">
        <v>0.12616959164789995</v>
      </c>
      <c r="L390" s="2">
        <v>102.15309999999999</v>
      </c>
      <c r="M390" s="2">
        <v>101.6305</v>
      </c>
      <c r="N390" s="2">
        <v>-1.3900827043507036E-3</v>
      </c>
      <c r="O390" s="2">
        <v>1.4841388612382822E-2</v>
      </c>
      <c r="P390" s="2">
        <v>95.4</v>
      </c>
      <c r="Q390" s="2">
        <v>0.10722575285050695</v>
      </c>
      <c r="R390" s="2">
        <v>9.9950033308342321E-4</v>
      </c>
      <c r="S390" s="2">
        <v>1.2732259678590345E-2</v>
      </c>
      <c r="T390" s="2">
        <v>0</v>
      </c>
      <c r="U390" s="2">
        <v>0</v>
      </c>
      <c r="V390" s="2">
        <v>0</v>
      </c>
      <c r="W390" s="2">
        <v>0</v>
      </c>
      <c r="X390" s="2">
        <v>2.011156639705294E-3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</row>
    <row r="391" spans="1:98" x14ac:dyDescent="0.2">
      <c r="A391" s="2" t="s">
        <v>670</v>
      </c>
      <c r="B391" s="2">
        <v>335.06700000000001</v>
      </c>
      <c r="C391" s="2">
        <v>-6877.15</v>
      </c>
      <c r="D391" s="2">
        <v>-12714.559695225133</v>
      </c>
      <c r="E391" s="2">
        <v>-6859.9753993089425</v>
      </c>
      <c r="F391" s="2">
        <v>91.1</v>
      </c>
      <c r="G391" s="2">
        <v>114.13</v>
      </c>
      <c r="H391" s="2">
        <v>1.1843939999999999</v>
      </c>
      <c r="I391" s="2">
        <v>-0.21</v>
      </c>
      <c r="J391" s="2">
        <v>1.387655757947275E-2</v>
      </c>
      <c r="K391" s="2">
        <v>0.12411449286510517</v>
      </c>
      <c r="L391" s="2">
        <v>102.52200000000001</v>
      </c>
      <c r="M391" s="2">
        <v>105.0911</v>
      </c>
      <c r="N391" s="2">
        <v>3.6047413628921277E-3</v>
      </c>
      <c r="O391" s="2">
        <v>3.3483906096582139E-2</v>
      </c>
      <c r="P391" s="2">
        <v>91.1</v>
      </c>
      <c r="Q391" s="2">
        <v>-4.6120774188328717E-2</v>
      </c>
      <c r="R391" s="2">
        <v>-2.1022080918701985E-3</v>
      </c>
      <c r="S391" s="2">
        <v>1.1774349487602552E-2</v>
      </c>
      <c r="T391" s="2">
        <v>0</v>
      </c>
      <c r="U391" s="2">
        <v>0</v>
      </c>
      <c r="V391" s="2">
        <v>0</v>
      </c>
      <c r="W391" s="2">
        <v>0</v>
      </c>
      <c r="X391" s="2">
        <v>-9.5791019098779261E-4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</row>
    <row r="392" spans="1:98" x14ac:dyDescent="0.2">
      <c r="A392" s="2" t="s">
        <v>671</v>
      </c>
      <c r="B392" s="2">
        <v>335.637</v>
      </c>
      <c r="C392" s="2">
        <v>-3600.96</v>
      </c>
      <c r="D392" s="2">
        <v>-6646.1930507065663</v>
      </c>
      <c r="E392" s="2">
        <v>6068.3666445185663</v>
      </c>
      <c r="F392" s="2">
        <v>93.8</v>
      </c>
      <c r="G392" s="2">
        <v>117.27</v>
      </c>
      <c r="H392" s="2">
        <v>1.1699660000000001</v>
      </c>
      <c r="I392" s="2">
        <v>0.19</v>
      </c>
      <c r="J392" s="2">
        <v>9.7335508785666783E-3</v>
      </c>
      <c r="K392" s="2">
        <v>0.12134454429567443</v>
      </c>
      <c r="L392" s="2">
        <v>102.5057</v>
      </c>
      <c r="M392" s="2">
        <v>101.8612</v>
      </c>
      <c r="N392" s="2">
        <v>-1.5900290579651255E-4</v>
      </c>
      <c r="O392" s="2">
        <v>-3.1216490778522399E-2</v>
      </c>
      <c r="P392" s="2">
        <v>93.8</v>
      </c>
      <c r="Q392" s="2">
        <v>2.9207051746266366E-2</v>
      </c>
      <c r="R392" s="2">
        <v>1.8981972830802655E-3</v>
      </c>
      <c r="S392" s="2">
        <v>1.1631748161646943E-2</v>
      </c>
      <c r="T392" s="2">
        <v>0</v>
      </c>
      <c r="U392" s="2">
        <v>0</v>
      </c>
      <c r="V392" s="2">
        <v>0</v>
      </c>
      <c r="W392" s="2">
        <v>0</v>
      </c>
      <c r="X392" s="2">
        <v>-1.4260132595560887E-4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</row>
    <row r="393" spans="1:98" x14ac:dyDescent="0.2">
      <c r="A393" s="2" t="s">
        <v>672</v>
      </c>
      <c r="B393" s="2">
        <v>337.01100000000002</v>
      </c>
      <c r="C393" s="2">
        <v>-7227.57</v>
      </c>
      <c r="D393" s="2">
        <v>-13285.341289512804</v>
      </c>
      <c r="E393" s="2">
        <v>-6639.1482388062377</v>
      </c>
      <c r="F393" s="2">
        <v>98.6</v>
      </c>
      <c r="G393" s="2">
        <v>124.3</v>
      </c>
      <c r="H393" s="2">
        <v>1.256265</v>
      </c>
      <c r="I393" s="2">
        <v>0.05</v>
      </c>
      <c r="J393" s="2">
        <v>1.1984519585841711E-2</v>
      </c>
      <c r="K393" s="2">
        <v>0.11857881688775726</v>
      </c>
      <c r="L393" s="2">
        <v>102.8357</v>
      </c>
      <c r="M393" s="2">
        <v>105.29649999999999</v>
      </c>
      <c r="N393" s="2">
        <v>3.2141622108161627E-3</v>
      </c>
      <c r="O393" s="2">
        <v>3.3169077958175031E-2</v>
      </c>
      <c r="P393" s="2">
        <v>98.6</v>
      </c>
      <c r="Q393" s="2">
        <v>4.9906405596410686E-2</v>
      </c>
      <c r="R393" s="2">
        <v>4.9987504165099287E-4</v>
      </c>
      <c r="S393" s="2">
        <v>1.2484394627492705E-2</v>
      </c>
      <c r="T393" s="2">
        <v>0</v>
      </c>
      <c r="U393" s="2">
        <v>0</v>
      </c>
      <c r="V393" s="2">
        <v>0</v>
      </c>
      <c r="W393" s="2">
        <v>0</v>
      </c>
      <c r="X393" s="2">
        <v>8.5264646584576158E-4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</row>
    <row r="394" spans="1:98" x14ac:dyDescent="0.2">
      <c r="A394" s="2" t="s">
        <v>673</v>
      </c>
      <c r="B394" s="2">
        <v>337.81700000000001</v>
      </c>
      <c r="C394" s="2">
        <v>-64.63</v>
      </c>
      <c r="D394" s="2">
        <v>-118.5160423542924</v>
      </c>
      <c r="E394" s="2">
        <v>13166.825247158511</v>
      </c>
      <c r="F394" s="2">
        <v>93.2</v>
      </c>
      <c r="G394" s="2">
        <v>117.86</v>
      </c>
      <c r="H394" s="2">
        <v>1.05731</v>
      </c>
      <c r="I394" s="2">
        <v>0.21</v>
      </c>
      <c r="J394" s="2">
        <v>8.4197975884820458E-3</v>
      </c>
      <c r="K394" s="2">
        <v>0.11557299516230893</v>
      </c>
      <c r="L394" s="2">
        <v>102.6606</v>
      </c>
      <c r="M394" s="2">
        <v>104.31959999999999</v>
      </c>
      <c r="N394" s="2">
        <v>-1.7041673487740994E-3</v>
      </c>
      <c r="O394" s="2">
        <v>-9.3209164057883598E-3</v>
      </c>
      <c r="P394" s="2">
        <v>93.2</v>
      </c>
      <c r="Q394" s="2">
        <v>-5.6323539917043419E-2</v>
      </c>
      <c r="R394" s="2">
        <v>2.0977980821461199E-3</v>
      </c>
      <c r="S394" s="2">
        <v>1.0517595670628165E-2</v>
      </c>
      <c r="T394" s="2">
        <v>0</v>
      </c>
      <c r="U394" s="2">
        <v>0</v>
      </c>
      <c r="V394" s="2">
        <v>0</v>
      </c>
      <c r="W394" s="2">
        <v>0</v>
      </c>
      <c r="X394" s="2">
        <v>-1.9667989568645395E-3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</row>
    <row r="395" spans="1:98" x14ac:dyDescent="0.2">
      <c r="A395" s="2" t="s">
        <v>674</v>
      </c>
      <c r="B395" s="2">
        <v>340.541</v>
      </c>
      <c r="C395" s="2">
        <v>-7766.57</v>
      </c>
      <c r="D395" s="2">
        <v>-14128.118838319026</v>
      </c>
      <c r="E395" s="2">
        <v>-14009.602795964733</v>
      </c>
      <c r="F395" s="2">
        <v>97.5</v>
      </c>
      <c r="G395" s="2">
        <v>123.78</v>
      </c>
      <c r="H395" s="2">
        <v>1.094244</v>
      </c>
      <c r="I395" s="2">
        <v>0.33</v>
      </c>
      <c r="J395" s="2">
        <v>7.5884377391367778E-3</v>
      </c>
      <c r="K395" s="2">
        <v>0.11665989417923775</v>
      </c>
      <c r="L395" s="2">
        <v>102.6297</v>
      </c>
      <c r="M395" s="2">
        <v>103.0231</v>
      </c>
      <c r="N395" s="2">
        <v>-3.0103711898021857E-4</v>
      </c>
      <c r="O395" s="2">
        <v>-1.250602888603769E-2</v>
      </c>
      <c r="P395" s="2">
        <v>97.5</v>
      </c>
      <c r="Q395" s="2">
        <v>4.5104656312255464E-2</v>
      </c>
      <c r="R395" s="2">
        <v>3.2945669494301114E-3</v>
      </c>
      <c r="S395" s="2">
        <v>1.0883004688566889E-2</v>
      </c>
      <c r="T395" s="2">
        <v>0</v>
      </c>
      <c r="U395" s="2">
        <v>0</v>
      </c>
      <c r="V395" s="2">
        <v>0</v>
      </c>
      <c r="W395" s="2">
        <v>0</v>
      </c>
      <c r="X395" s="2">
        <v>3.6540901793872399E-4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</row>
    <row r="396" spans="1:98" x14ac:dyDescent="0.2">
      <c r="A396" s="2" t="s">
        <v>675</v>
      </c>
      <c r="B396" s="2">
        <v>342.48200000000003</v>
      </c>
      <c r="C396" s="2">
        <v>75.98</v>
      </c>
      <c r="D396" s="2">
        <v>137.43141677518818</v>
      </c>
      <c r="E396" s="2">
        <v>14265.550255094215</v>
      </c>
      <c r="F396" s="2">
        <v>95.9</v>
      </c>
      <c r="G396" s="2">
        <v>122.25</v>
      </c>
      <c r="H396" s="2">
        <v>1.020605</v>
      </c>
      <c r="I396" s="2">
        <v>0.31</v>
      </c>
      <c r="J396" s="2">
        <v>7.0591150396657528E-3</v>
      </c>
      <c r="K396" s="2">
        <v>0.11548802414858528</v>
      </c>
      <c r="L396" s="2">
        <v>102.539</v>
      </c>
      <c r="M396" s="2">
        <v>101.8533</v>
      </c>
      <c r="N396" s="2">
        <v>-8.8415051524481925E-4</v>
      </c>
      <c r="O396" s="2">
        <v>-1.1419692192096598E-2</v>
      </c>
      <c r="P396" s="2">
        <v>95.9</v>
      </c>
      <c r="Q396" s="2">
        <v>-1.6546396114408779E-2</v>
      </c>
      <c r="R396" s="2">
        <v>3.0952049073025216E-3</v>
      </c>
      <c r="S396" s="2">
        <v>1.0154319946968275E-2</v>
      </c>
      <c r="T396" s="2">
        <v>0</v>
      </c>
      <c r="U396" s="2">
        <v>0</v>
      </c>
      <c r="V396" s="2">
        <v>0</v>
      </c>
      <c r="W396" s="2">
        <v>0</v>
      </c>
      <c r="X396" s="2">
        <v>-7.2868474159861439E-4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</row>
    <row r="397" spans="1:98" x14ac:dyDescent="0.2">
      <c r="A397" s="2" t="s">
        <v>676</v>
      </c>
      <c r="B397" s="2">
        <v>343.38400000000001</v>
      </c>
      <c r="C397" s="2">
        <v>5763.22</v>
      </c>
      <c r="D397" s="2">
        <v>10397.037930480163</v>
      </c>
      <c r="E397" s="2">
        <v>10259.606513704974</v>
      </c>
      <c r="F397" s="2">
        <v>87</v>
      </c>
      <c r="G397" s="2">
        <v>109.65</v>
      </c>
      <c r="H397" s="2">
        <v>0.98788600000000004</v>
      </c>
      <c r="I397" s="2">
        <v>0.48</v>
      </c>
      <c r="J397" s="2">
        <v>5.0418663338632685E-3</v>
      </c>
      <c r="K397" s="2">
        <v>0.1094952217863597</v>
      </c>
      <c r="L397" s="2">
        <v>103.6229</v>
      </c>
      <c r="M397" s="2">
        <v>102.89060000000001</v>
      </c>
      <c r="N397" s="2">
        <v>1.0515133853925995E-2</v>
      </c>
      <c r="O397" s="2">
        <v>1.0132745104189489E-2</v>
      </c>
      <c r="P397" s="2">
        <v>87</v>
      </c>
      <c r="Q397" s="2">
        <v>-9.7397863234808923E-2</v>
      </c>
      <c r="R397" s="2">
        <v>4.7885167317970939E-3</v>
      </c>
      <c r="S397" s="2">
        <v>9.8303830656603624E-3</v>
      </c>
      <c r="T397" s="2">
        <v>0</v>
      </c>
      <c r="U397" s="2">
        <v>0</v>
      </c>
      <c r="V397" s="2">
        <v>0</v>
      </c>
      <c r="W397" s="2">
        <v>0</v>
      </c>
      <c r="X397" s="2">
        <v>-3.2393688130791243E-4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</row>
    <row r="398" spans="1:98" x14ac:dyDescent="0.2">
      <c r="A398" s="2" t="s">
        <v>677</v>
      </c>
      <c r="B398" s="2">
        <v>344.85</v>
      </c>
      <c r="C398" s="2">
        <v>-11805.29</v>
      </c>
      <c r="D398" s="2">
        <v>-21206.593672727271</v>
      </c>
      <c r="E398" s="2">
        <v>-31603.631603207432</v>
      </c>
      <c r="F398" s="2">
        <v>87</v>
      </c>
      <c r="G398" s="2">
        <v>109.22</v>
      </c>
      <c r="H398" s="2">
        <v>1.0827983082619901</v>
      </c>
      <c r="I398" s="2">
        <v>0.44</v>
      </c>
      <c r="J398" s="2">
        <v>6.3794319418121574E-3</v>
      </c>
      <c r="K398" s="2">
        <v>0.10756533121716191</v>
      </c>
      <c r="L398" s="2">
        <v>103.11709999999999</v>
      </c>
      <c r="M398" s="2">
        <v>101.7402</v>
      </c>
      <c r="N398" s="2">
        <v>-4.8931122102935376E-3</v>
      </c>
      <c r="O398" s="2">
        <v>-1.124378265336734E-2</v>
      </c>
      <c r="P398" s="2">
        <v>87</v>
      </c>
      <c r="Q398" s="2">
        <v>0</v>
      </c>
      <c r="R398" s="2">
        <v>4.390348301292854E-3</v>
      </c>
      <c r="S398" s="2">
        <v>1.0769780243105011E-2</v>
      </c>
      <c r="T398" s="2">
        <v>0</v>
      </c>
      <c r="U398" s="2">
        <v>0</v>
      </c>
      <c r="V398" s="2">
        <v>0</v>
      </c>
      <c r="W398" s="2">
        <v>0</v>
      </c>
      <c r="X398" s="2">
        <v>9.3939717744464905E-4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</row>
    <row r="399" spans="1:98" x14ac:dyDescent="0.2">
      <c r="A399" s="2" t="s">
        <v>678</v>
      </c>
      <c r="B399" s="2">
        <v>345.65199999999999</v>
      </c>
      <c r="C399" s="2">
        <v>-2659.94</v>
      </c>
      <c r="D399" s="2">
        <v>-4767.1328140441838</v>
      </c>
      <c r="E399" s="2">
        <v>16439.460858683087</v>
      </c>
      <c r="F399" s="2">
        <v>82.6</v>
      </c>
      <c r="G399" s="2">
        <v>104.07</v>
      </c>
      <c r="H399" s="2">
        <v>0.872481617322585</v>
      </c>
      <c r="I399" s="2">
        <v>0.44</v>
      </c>
      <c r="J399" s="2">
        <v>4.296626609386605E-3</v>
      </c>
      <c r="K399" s="2">
        <v>0.10456800799527299</v>
      </c>
      <c r="L399" s="2">
        <v>104.172</v>
      </c>
      <c r="M399" s="2">
        <v>103.3257</v>
      </c>
      <c r="N399" s="2">
        <v>1.0178143537826756E-2</v>
      </c>
      <c r="O399" s="2">
        <v>1.5463629926895095E-2</v>
      </c>
      <c r="P399" s="2">
        <v>82.6</v>
      </c>
      <c r="Q399" s="2">
        <v>-5.1898438127651048E-2</v>
      </c>
      <c r="R399" s="2">
        <v>4.390348301292854E-3</v>
      </c>
      <c r="S399" s="2">
        <v>8.686974910679459E-3</v>
      </c>
      <c r="T399" s="2">
        <v>0</v>
      </c>
      <c r="U399" s="2">
        <v>0</v>
      </c>
      <c r="V399" s="2">
        <v>0</v>
      </c>
      <c r="W399" s="2">
        <v>0</v>
      </c>
      <c r="X399" s="2">
        <v>-2.0828053324255524E-3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</row>
    <row r="400" spans="1:98" x14ac:dyDescent="0.2">
      <c r="A400" s="2" t="s">
        <v>679</v>
      </c>
      <c r="B400" s="2">
        <v>346.40699999999998</v>
      </c>
      <c r="C400" s="2">
        <v>-3913.18</v>
      </c>
      <c r="D400" s="2">
        <v>-6997.8986962734589</v>
      </c>
      <c r="E400" s="2">
        <v>-2230.7658822292751</v>
      </c>
      <c r="F400" s="2">
        <v>96.4</v>
      </c>
      <c r="G400" s="2">
        <v>121.21</v>
      </c>
      <c r="H400" s="2">
        <v>1.0522219117631699</v>
      </c>
      <c r="I400" s="2">
        <v>0.37</v>
      </c>
      <c r="J400" s="2">
        <v>6.7740740232833966E-3</v>
      </c>
      <c r="K400" s="2">
        <v>0.101510041621757</v>
      </c>
      <c r="L400" s="2">
        <v>104.3501</v>
      </c>
      <c r="M400" s="2">
        <v>104.4967</v>
      </c>
      <c r="N400" s="2">
        <v>1.7082126384480034E-3</v>
      </c>
      <c r="O400" s="2">
        <v>1.1269356844126222E-2</v>
      </c>
      <c r="P400" s="2">
        <v>96.4</v>
      </c>
      <c r="Q400" s="2">
        <v>0.15449652108956702</v>
      </c>
      <c r="R400" s="2">
        <v>3.6931718376176067E-3</v>
      </c>
      <c r="S400" s="2">
        <v>1.0467245860901003E-2</v>
      </c>
      <c r="T400" s="2">
        <v>0</v>
      </c>
      <c r="U400" s="2">
        <v>0</v>
      </c>
      <c r="V400" s="2">
        <v>0</v>
      </c>
      <c r="W400" s="2">
        <v>0</v>
      </c>
      <c r="X400" s="2">
        <v>1.7802709502215443E-3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</row>
    <row r="401" spans="1:98" x14ac:dyDescent="0.2">
      <c r="A401" s="2" t="s">
        <v>680</v>
      </c>
      <c r="B401" s="2">
        <v>346.87799999999999</v>
      </c>
      <c r="C401" s="2">
        <v>-14919.06</v>
      </c>
      <c r="D401" s="2">
        <v>-26643.372057495722</v>
      </c>
      <c r="E401" s="2">
        <v>-19645.473361222263</v>
      </c>
      <c r="F401" s="2">
        <v>90.6</v>
      </c>
      <c r="G401" s="2">
        <v>113.58</v>
      </c>
      <c r="H401" s="2">
        <v>0.94482335002950002</v>
      </c>
      <c r="I401" s="2">
        <v>0.25</v>
      </c>
      <c r="J401" s="2">
        <v>6.9069979114186096E-3</v>
      </c>
      <c r="K401" s="2">
        <v>9.9793734576436671E-2</v>
      </c>
      <c r="L401" s="2">
        <v>105.0975</v>
      </c>
      <c r="M401" s="2">
        <v>103.5013</v>
      </c>
      <c r="N401" s="2">
        <v>7.1368988942257516E-3</v>
      </c>
      <c r="O401" s="2">
        <v>-9.5713189458557224E-3</v>
      </c>
      <c r="P401" s="2">
        <v>90.6</v>
      </c>
      <c r="Q401" s="2">
        <v>-6.2051988567565886E-2</v>
      </c>
      <c r="R401" s="2">
        <v>2.4968801985871458E-3</v>
      </c>
      <c r="S401" s="2">
        <v>9.4038781100057554E-3</v>
      </c>
      <c r="T401" s="2">
        <v>0</v>
      </c>
      <c r="U401" s="2">
        <v>0</v>
      </c>
      <c r="V401" s="2">
        <v>0</v>
      </c>
      <c r="W401" s="2">
        <v>0</v>
      </c>
      <c r="X401" s="2">
        <v>-1.0633677508952478E-3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</row>
    <row r="402" spans="1:98" x14ac:dyDescent="0.2">
      <c r="A402" s="2" t="s">
        <v>681</v>
      </c>
      <c r="B402" s="2">
        <v>347.42099999999999</v>
      </c>
      <c r="C402" s="2">
        <v>-5344.96</v>
      </c>
      <c r="D402" s="2">
        <v>-9530.4384045869429</v>
      </c>
      <c r="E402" s="2">
        <v>17112.933652908781</v>
      </c>
      <c r="F402" s="2">
        <v>99.9</v>
      </c>
      <c r="G402" s="2">
        <v>125.48</v>
      </c>
      <c r="H402" s="2">
        <v>1.02807960201667</v>
      </c>
      <c r="I402" s="2">
        <v>0.28000000000000003</v>
      </c>
      <c r="J402" s="2">
        <v>7.4322207734698669E-3</v>
      </c>
      <c r="K402" s="2">
        <v>9.5493196004399594E-2</v>
      </c>
      <c r="L402" s="2">
        <v>105.14360000000001</v>
      </c>
      <c r="M402" s="2">
        <v>104.5625</v>
      </c>
      <c r="N402" s="2">
        <v>4.3854413565114214E-4</v>
      </c>
      <c r="O402" s="2">
        <v>1.0200805734026375E-2</v>
      </c>
      <c r="P402" s="2">
        <v>99.9</v>
      </c>
      <c r="Q402" s="2">
        <v>9.7715472605574227E-2</v>
      </c>
      <c r="R402" s="2">
        <v>2.796087302001188E-3</v>
      </c>
      <c r="S402" s="2">
        <v>1.0228308075471055E-2</v>
      </c>
      <c r="T402" s="2">
        <v>0</v>
      </c>
      <c r="U402" s="2">
        <v>0</v>
      </c>
      <c r="V402" s="2">
        <v>0</v>
      </c>
      <c r="W402" s="2">
        <v>0</v>
      </c>
      <c r="X402" s="2">
        <v>8.2442996546529951E-4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</row>
    <row r="403" spans="1:98" x14ac:dyDescent="0.2">
      <c r="A403" s="2" t="s">
        <v>682</v>
      </c>
      <c r="B403" s="2">
        <v>348.32799999999997</v>
      </c>
      <c r="C403" s="2">
        <v>-5473.79</v>
      </c>
      <c r="D403" s="2">
        <v>-9734.7371846076112</v>
      </c>
      <c r="E403" s="2">
        <v>-204.29878002066835</v>
      </c>
      <c r="F403" s="2">
        <v>96.9</v>
      </c>
      <c r="G403" s="2">
        <v>121.61</v>
      </c>
      <c r="H403" s="2">
        <v>0.905623126333155</v>
      </c>
      <c r="I403" s="2">
        <v>0.28000000000000003</v>
      </c>
      <c r="J403" s="2">
        <v>6.2193822126958434E-3</v>
      </c>
      <c r="K403" s="2">
        <v>8.7836020637622705E-2</v>
      </c>
      <c r="L403" s="2">
        <v>105.1474</v>
      </c>
      <c r="M403" s="2">
        <v>107.67910000000001</v>
      </c>
      <c r="N403" s="2">
        <v>3.6140395931028024E-5</v>
      </c>
      <c r="O403" s="2">
        <v>2.9370529016377489E-2</v>
      </c>
      <c r="P403" s="2">
        <v>96.9</v>
      </c>
      <c r="Q403" s="2">
        <v>-3.0490166757787485E-2</v>
      </c>
      <c r="R403" s="2">
        <v>2.796087302001188E-3</v>
      </c>
      <c r="S403" s="2">
        <v>9.0154695146970314E-3</v>
      </c>
      <c r="T403" s="2">
        <v>0</v>
      </c>
      <c r="U403" s="2">
        <v>0</v>
      </c>
      <c r="V403" s="2">
        <v>0</v>
      </c>
      <c r="W403" s="2">
        <v>0</v>
      </c>
      <c r="X403" s="2">
        <v>-1.2128385607740235E-3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</row>
    <row r="404" spans="1:98" x14ac:dyDescent="0.2">
      <c r="A404" s="2" t="s">
        <v>683</v>
      </c>
      <c r="B404" s="2">
        <v>349.62799999999999</v>
      </c>
      <c r="C404" s="2">
        <v>-4951.8900000000003</v>
      </c>
      <c r="D404" s="2">
        <v>-8773.8310708524496</v>
      </c>
      <c r="E404" s="2">
        <v>960.90611375516164</v>
      </c>
      <c r="F404" s="2">
        <v>99.8</v>
      </c>
      <c r="G404" s="2">
        <v>125.5</v>
      </c>
      <c r="H404" s="2">
        <v>0.97262935851203403</v>
      </c>
      <c r="I404" s="2">
        <v>0.24</v>
      </c>
      <c r="J404" s="2">
        <v>7.2821730768974115E-3</v>
      </c>
      <c r="K404" s="2">
        <v>8.5384642835953428E-2</v>
      </c>
      <c r="L404" s="2">
        <v>105.11490000000001</v>
      </c>
      <c r="M404" s="2">
        <v>104.2692</v>
      </c>
      <c r="N404" s="2">
        <v>-3.0913768430007593E-4</v>
      </c>
      <c r="O404" s="2">
        <v>-3.2179491380341929E-2</v>
      </c>
      <c r="P404" s="2">
        <v>99.8</v>
      </c>
      <c r="Q404" s="2">
        <v>2.9488664420697752E-2</v>
      </c>
      <c r="R404" s="2">
        <v>2.3971245997214514E-3</v>
      </c>
      <c r="S404" s="2">
        <v>9.6792976766188633E-3</v>
      </c>
      <c r="T404" s="2">
        <v>0</v>
      </c>
      <c r="U404" s="2">
        <v>0</v>
      </c>
      <c r="V404" s="2">
        <v>0</v>
      </c>
      <c r="W404" s="2">
        <v>0</v>
      </c>
      <c r="X404" s="2">
        <v>6.6382816192183183E-4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</row>
    <row r="405" spans="1:98" x14ac:dyDescent="0.2">
      <c r="A405" s="2" t="s">
        <v>684</v>
      </c>
      <c r="B405" s="2">
        <v>354.495</v>
      </c>
      <c r="C405" s="2">
        <v>-3445.68</v>
      </c>
      <c r="D405" s="2">
        <v>-6021.2867986290348</v>
      </c>
      <c r="E405" s="2">
        <v>2752.5442722234147</v>
      </c>
      <c r="F405" s="2">
        <v>104.9</v>
      </c>
      <c r="G405" s="2">
        <v>132.52000000000001</v>
      </c>
      <c r="H405" s="2">
        <v>0.99263937025584303</v>
      </c>
      <c r="I405" s="2">
        <v>0.47</v>
      </c>
      <c r="J405" s="2">
        <v>5.18846118912159E-3</v>
      </c>
      <c r="K405" s="2">
        <v>7.8588584439233319E-2</v>
      </c>
      <c r="L405" s="2">
        <v>105.31659999999999</v>
      </c>
      <c r="M405" s="2">
        <v>107.7355</v>
      </c>
      <c r="N405" s="2">
        <v>1.917013961974412E-3</v>
      </c>
      <c r="O405" s="2">
        <v>3.270313277965986E-2</v>
      </c>
      <c r="P405" s="2">
        <v>104.9</v>
      </c>
      <c r="Q405" s="2">
        <v>4.9839332084832932E-2</v>
      </c>
      <c r="R405" s="2">
        <v>4.6889894861314695E-3</v>
      </c>
      <c r="S405" s="2">
        <v>9.8774506752530595E-3</v>
      </c>
      <c r="T405" s="2">
        <v>0</v>
      </c>
      <c r="U405" s="2">
        <v>0</v>
      </c>
      <c r="V405" s="2">
        <v>0</v>
      </c>
      <c r="W405" s="2">
        <v>0</v>
      </c>
      <c r="X405" s="2">
        <v>1.9815299863419622E-4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</row>
    <row r="406" spans="1:98" x14ac:dyDescent="0.2">
      <c r="A406" s="2" t="s">
        <v>685</v>
      </c>
      <c r="B406" s="2">
        <v>358.63299999999998</v>
      </c>
      <c r="C406" s="2">
        <v>-811.79</v>
      </c>
      <c r="D406" s="2">
        <v>-1402.2257350550565</v>
      </c>
      <c r="E406" s="2">
        <v>4619.0610635739786</v>
      </c>
      <c r="F406" s="2">
        <v>98.4</v>
      </c>
      <c r="G406" s="2">
        <v>124.19</v>
      </c>
      <c r="H406" s="2">
        <v>0.80495437783756296</v>
      </c>
      <c r="I406" s="2">
        <v>0.18</v>
      </c>
      <c r="J406" s="2">
        <v>6.2189370737329537E-3</v>
      </c>
      <c r="K406" s="2">
        <v>7.638772392448423E-2</v>
      </c>
      <c r="L406" s="2">
        <v>105.66289999999999</v>
      </c>
      <c r="M406" s="2">
        <v>107.2204</v>
      </c>
      <c r="N406" s="2">
        <v>3.2827863465136886E-3</v>
      </c>
      <c r="O406" s="2">
        <v>-4.7926201230383825E-3</v>
      </c>
      <c r="P406" s="2">
        <v>98.4</v>
      </c>
      <c r="Q406" s="2">
        <v>-6.3966711344043858E-2</v>
      </c>
      <c r="R406" s="2">
        <v>1.7983819413793973E-3</v>
      </c>
      <c r="S406" s="2">
        <v>8.0173190151123508E-3</v>
      </c>
      <c r="T406" s="2">
        <v>0</v>
      </c>
      <c r="U406" s="2">
        <v>0</v>
      </c>
      <c r="V406" s="2">
        <v>0</v>
      </c>
      <c r="W406" s="2">
        <v>0</v>
      </c>
      <c r="X406" s="2">
        <v>-1.8601316601407087E-3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</row>
    <row r="407" spans="1:98" x14ac:dyDescent="0.2">
      <c r="A407" s="2" t="s">
        <v>686</v>
      </c>
      <c r="B407" s="2">
        <v>361.30799999999999</v>
      </c>
      <c r="C407" s="2">
        <v>-10017.66</v>
      </c>
      <c r="D407" s="2">
        <v>-17175.65054236275</v>
      </c>
      <c r="E407" s="2">
        <v>-15773.424807307692</v>
      </c>
      <c r="F407" s="2">
        <v>107.8</v>
      </c>
      <c r="G407" s="2">
        <v>136.83000000000001</v>
      </c>
      <c r="H407" s="2">
        <v>0.92948245925954498</v>
      </c>
      <c r="I407" s="2">
        <v>0.3</v>
      </c>
      <c r="J407" s="2">
        <v>6.256384550119439E-3</v>
      </c>
      <c r="K407" s="2">
        <v>7.5055670735466901E-2</v>
      </c>
      <c r="L407" s="2">
        <v>105.15949999999999</v>
      </c>
      <c r="M407" s="2">
        <v>105.3873</v>
      </c>
      <c r="N407" s="2">
        <v>-4.7755926953048089E-3</v>
      </c>
      <c r="O407" s="2">
        <v>-1.7244393550980064E-2</v>
      </c>
      <c r="P407" s="2">
        <v>107.8</v>
      </c>
      <c r="Q407" s="2">
        <v>9.1236854416689717E-2</v>
      </c>
      <c r="R407" s="2">
        <v>2.9955089797983709E-3</v>
      </c>
      <c r="S407" s="2">
        <v>9.2518935299178099E-3</v>
      </c>
      <c r="T407" s="2">
        <v>0</v>
      </c>
      <c r="U407" s="2">
        <v>0</v>
      </c>
      <c r="V407" s="2">
        <v>0</v>
      </c>
      <c r="W407" s="2">
        <v>0</v>
      </c>
      <c r="X407" s="2">
        <v>1.2345745148054591E-3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</row>
    <row r="408" spans="1:98" x14ac:dyDescent="0.2">
      <c r="A408" s="2" t="s">
        <v>687</v>
      </c>
      <c r="B408" s="2">
        <v>365.1</v>
      </c>
      <c r="C408" s="2">
        <v>-4783.62</v>
      </c>
      <c r="D408" s="2">
        <v>-8116.5099510271157</v>
      </c>
      <c r="E408" s="2">
        <v>9059.1405913356339</v>
      </c>
      <c r="F408" s="2">
        <v>102.4</v>
      </c>
      <c r="G408" s="2">
        <v>130.47</v>
      </c>
      <c r="H408" s="2">
        <v>0.84466097860351796</v>
      </c>
      <c r="I408" s="2">
        <v>0.38</v>
      </c>
      <c r="J408" s="2">
        <v>4.6183385499729626E-3</v>
      </c>
      <c r="K408" s="2">
        <v>7.2614894245774109E-2</v>
      </c>
      <c r="L408" s="2">
        <v>105.729</v>
      </c>
      <c r="M408" s="2">
        <v>104.9072</v>
      </c>
      <c r="N408" s="2">
        <v>5.4009714553648891E-3</v>
      </c>
      <c r="O408" s="2">
        <v>-4.5659856449162817E-3</v>
      </c>
      <c r="P408" s="2">
        <v>102.4</v>
      </c>
      <c r="Q408" s="2">
        <v>-5.139094586948989E-2</v>
      </c>
      <c r="R408" s="2">
        <v>3.7927982386962624E-3</v>
      </c>
      <c r="S408" s="2">
        <v>8.411136788669225E-3</v>
      </c>
      <c r="T408" s="2">
        <v>0</v>
      </c>
      <c r="U408" s="2">
        <v>0</v>
      </c>
      <c r="V408" s="2">
        <v>0</v>
      </c>
      <c r="W408" s="2">
        <v>0</v>
      </c>
      <c r="X408" s="2">
        <v>-8.4075674124858488E-4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</row>
    <row r="409" spans="1:98" x14ac:dyDescent="0.2">
      <c r="A409" s="2" t="s">
        <v>688</v>
      </c>
      <c r="B409" s="2">
        <v>370.48500000000001</v>
      </c>
      <c r="C409" s="2">
        <v>8688.15</v>
      </c>
      <c r="D409" s="2">
        <v>14527.174944734605</v>
      </c>
      <c r="E409" s="2">
        <v>22643.684895761719</v>
      </c>
      <c r="F409" s="2">
        <v>92.6</v>
      </c>
      <c r="G409" s="2">
        <v>116.58</v>
      </c>
      <c r="H409" s="2">
        <v>0.84466097860351796</v>
      </c>
      <c r="I409" s="2">
        <v>0.74</v>
      </c>
      <c r="J409" s="2">
        <v>1.0383824592560681E-3</v>
      </c>
      <c r="K409" s="2">
        <v>6.86114103711669E-2</v>
      </c>
      <c r="L409" s="2">
        <v>105.7256</v>
      </c>
      <c r="M409" s="2">
        <v>104.9109</v>
      </c>
      <c r="N409" s="2">
        <v>-3.2158203230103766E-5</v>
      </c>
      <c r="O409" s="2">
        <v>3.5268644605679356E-5</v>
      </c>
      <c r="P409" s="2">
        <v>92.6</v>
      </c>
      <c r="Q409" s="2">
        <v>-0.1005975709532736</v>
      </c>
      <c r="R409" s="2">
        <v>7.3727543294131569E-3</v>
      </c>
      <c r="S409" s="2">
        <v>8.411136788669225E-3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</row>
    <row r="410" spans="1:98" x14ac:dyDescent="0.2">
      <c r="A410" s="2" t="s">
        <v>689</v>
      </c>
      <c r="B410" s="2">
        <v>374.13900000000001</v>
      </c>
      <c r="C410" s="2">
        <v>-16705.32</v>
      </c>
      <c r="D410" s="2">
        <v>-27659.626000817876</v>
      </c>
      <c r="E410" s="2">
        <v>-42186.800945552481</v>
      </c>
      <c r="F410" s="2">
        <v>94.8</v>
      </c>
      <c r="G410" s="2">
        <v>118.75</v>
      </c>
      <c r="H410" s="2">
        <v>0.92937438273017503</v>
      </c>
      <c r="I410" s="2">
        <v>0.54</v>
      </c>
      <c r="J410" s="2">
        <v>3.8653504407252246E-3</v>
      </c>
      <c r="K410" s="2">
        <v>6.6097328870079977E-2</v>
      </c>
      <c r="L410" s="2">
        <v>105.40689999999999</v>
      </c>
      <c r="M410" s="2">
        <v>104.0921</v>
      </c>
      <c r="N410" s="2">
        <v>-3.0189595827803117E-3</v>
      </c>
      <c r="O410" s="2">
        <v>-7.8353343158532596E-3</v>
      </c>
      <c r="P410" s="2">
        <v>94.8</v>
      </c>
      <c r="Q410" s="2">
        <v>2.3480267608842809E-2</v>
      </c>
      <c r="R410" s="2">
        <v>5.385472276337888E-3</v>
      </c>
      <c r="S410" s="2">
        <v>9.2508227170631126E-3</v>
      </c>
      <c r="T410" s="2">
        <v>0</v>
      </c>
      <c r="U410" s="2">
        <v>0</v>
      </c>
      <c r="V410" s="2">
        <v>0</v>
      </c>
      <c r="W410" s="2">
        <v>0</v>
      </c>
      <c r="X410" s="2">
        <v>8.3968592839388755E-4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</row>
    <row r="411" spans="1:98" x14ac:dyDescent="0.2">
      <c r="A411" s="2" t="s">
        <v>690</v>
      </c>
      <c r="B411" s="2">
        <v>375.55799999999999</v>
      </c>
      <c r="C411" s="2">
        <v>-4088.21</v>
      </c>
      <c r="D411" s="2">
        <v>-6743.4270551020081</v>
      </c>
      <c r="E411" s="2">
        <v>20916.198945715867</v>
      </c>
      <c r="F411" s="2">
        <v>91.1</v>
      </c>
      <c r="G411" s="2">
        <v>114.18</v>
      </c>
      <c r="H411" s="2">
        <v>0.80222300344627895</v>
      </c>
      <c r="I411" s="2">
        <v>0.49</v>
      </c>
      <c r="J411" s="2">
        <v>3.1021889388416646E-3</v>
      </c>
      <c r="K411" s="2">
        <v>6.4902891199535032E-2</v>
      </c>
      <c r="L411" s="2">
        <v>105.054</v>
      </c>
      <c r="M411" s="2">
        <v>103.9701</v>
      </c>
      <c r="N411" s="2">
        <v>-3.3535951879297698E-3</v>
      </c>
      <c r="O411" s="2">
        <v>-1.1727263672316468E-3</v>
      </c>
      <c r="P411" s="2">
        <v>91.1</v>
      </c>
      <c r="Q411" s="2">
        <v>-3.9811604995064087E-2</v>
      </c>
      <c r="R411" s="2">
        <v>4.8880340727758664E-3</v>
      </c>
      <c r="S411" s="2">
        <v>7.990223011617531E-3</v>
      </c>
      <c r="T411" s="2">
        <v>0</v>
      </c>
      <c r="U411" s="2">
        <v>0</v>
      </c>
      <c r="V411" s="2">
        <v>0</v>
      </c>
      <c r="W411" s="2">
        <v>0</v>
      </c>
      <c r="X411" s="2">
        <v>-1.2605997054455816E-3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</row>
    <row r="412" spans="1:98" x14ac:dyDescent="0.2">
      <c r="A412" s="2" t="s">
        <v>691</v>
      </c>
      <c r="B412" s="2">
        <v>378.19400000000002</v>
      </c>
      <c r="C412" s="2">
        <v>-11039.3</v>
      </c>
      <c r="D412" s="2">
        <v>-18082.204918110809</v>
      </c>
      <c r="E412" s="2">
        <v>-11338.7778630088</v>
      </c>
      <c r="F412" s="2">
        <v>97.7</v>
      </c>
      <c r="G412" s="2">
        <v>123.05</v>
      </c>
      <c r="H412" s="2">
        <v>0.84458898812300698</v>
      </c>
      <c r="I412" s="2">
        <v>0.48</v>
      </c>
      <c r="J412" s="2">
        <v>3.6219061816356269E-3</v>
      </c>
      <c r="K412" s="2">
        <v>6.1750723357887255E-2</v>
      </c>
      <c r="L412" s="2">
        <v>104.7987</v>
      </c>
      <c r="M412" s="2">
        <v>104.3638</v>
      </c>
      <c r="N412" s="2">
        <v>-2.4331364423835211E-3</v>
      </c>
      <c r="O412" s="2">
        <v>3.7795142188388198E-3</v>
      </c>
      <c r="P412" s="2">
        <v>97.7</v>
      </c>
      <c r="Q412" s="2">
        <v>6.9943754782824996E-2</v>
      </c>
      <c r="R412" s="2">
        <v>4.7885167317970939E-3</v>
      </c>
      <c r="S412" s="2">
        <v>8.4104229134327208E-3</v>
      </c>
      <c r="T412" s="2">
        <v>0</v>
      </c>
      <c r="U412" s="2">
        <v>0</v>
      </c>
      <c r="V412" s="2">
        <v>0</v>
      </c>
      <c r="W412" s="2">
        <v>0</v>
      </c>
      <c r="X412" s="2">
        <v>4.2019990181518981E-4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</row>
    <row r="413" spans="1:98" x14ac:dyDescent="0.2">
      <c r="A413" s="2" t="s">
        <v>692</v>
      </c>
      <c r="B413" s="2">
        <v>382.41399999999999</v>
      </c>
      <c r="C413" s="2">
        <v>-16860.580000000002</v>
      </c>
      <c r="D413" s="2">
        <v>-27312.610563629994</v>
      </c>
      <c r="E413" s="2">
        <v>-9230.4056455191858</v>
      </c>
      <c r="F413" s="2">
        <v>99.2</v>
      </c>
      <c r="G413" s="2">
        <v>124.96</v>
      </c>
      <c r="H413" s="2">
        <v>0.90141991545593703</v>
      </c>
      <c r="I413" s="2">
        <v>0.55000000000000004</v>
      </c>
      <c r="J413" s="2">
        <v>3.4888835439264273E-3</v>
      </c>
      <c r="K413" s="2">
        <v>5.8332608990395066E-2</v>
      </c>
      <c r="L413" s="2">
        <v>104.02070000000001</v>
      </c>
      <c r="M413" s="2">
        <v>102.8907</v>
      </c>
      <c r="N413" s="2">
        <v>-7.4514494324668945E-3</v>
      </c>
      <c r="O413" s="2">
        <v>-1.4215612277334699E-2</v>
      </c>
      <c r="P413" s="2">
        <v>99.2</v>
      </c>
      <c r="Q413" s="2">
        <v>1.5236455242090052E-2</v>
      </c>
      <c r="R413" s="2">
        <v>5.4849302305697454E-3</v>
      </c>
      <c r="S413" s="2">
        <v>8.9738137744961727E-3</v>
      </c>
      <c r="T413" s="2">
        <v>0</v>
      </c>
      <c r="U413" s="2">
        <v>0</v>
      </c>
      <c r="V413" s="2">
        <v>0</v>
      </c>
      <c r="W413" s="2">
        <v>0</v>
      </c>
      <c r="X413" s="2">
        <v>5.6339086106345186E-4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</row>
    <row r="414" spans="1:98" x14ac:dyDescent="0.2">
      <c r="A414" s="2" t="s">
        <v>693</v>
      </c>
      <c r="B414" s="2">
        <v>389.58499999999998</v>
      </c>
      <c r="C414" s="2">
        <v>-4916.41</v>
      </c>
      <c r="D414" s="2">
        <v>-7817.5443129483947</v>
      </c>
      <c r="E414" s="2">
        <v>19495.066250681601</v>
      </c>
      <c r="F414" s="2">
        <v>102.5</v>
      </c>
      <c r="G414" s="2">
        <v>128.54</v>
      </c>
      <c r="H414" s="2">
        <v>0.87677982000640098</v>
      </c>
      <c r="I414" s="2">
        <v>0.79</v>
      </c>
      <c r="J414" s="2">
        <v>8.6062588434416935E-4</v>
      </c>
      <c r="K414" s="2">
        <v>5.1761014101269383E-2</v>
      </c>
      <c r="L414" s="2">
        <v>103.4941</v>
      </c>
      <c r="M414" s="2">
        <v>102.678</v>
      </c>
      <c r="N414" s="2">
        <v>-5.0753115477162325E-3</v>
      </c>
      <c r="O414" s="2">
        <v>-2.0693819234587352E-3</v>
      </c>
      <c r="P414" s="2">
        <v>102.5</v>
      </c>
      <c r="Q414" s="2">
        <v>3.27247842876357E-2</v>
      </c>
      <c r="R414" s="2">
        <v>7.8689583786951973E-3</v>
      </c>
      <c r="S414" s="2">
        <v>8.7295842630393666E-3</v>
      </c>
      <c r="T414" s="2">
        <v>0</v>
      </c>
      <c r="U414" s="2">
        <v>0</v>
      </c>
      <c r="V414" s="2">
        <v>0</v>
      </c>
      <c r="W414" s="2">
        <v>0</v>
      </c>
      <c r="X414" s="2">
        <v>-2.4422951145680605E-4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</row>
    <row r="415" spans="1:98" x14ac:dyDescent="0.2">
      <c r="A415" s="2" t="s">
        <v>694</v>
      </c>
      <c r="B415" s="2">
        <v>396.95400000000001</v>
      </c>
      <c r="C415" s="2">
        <v>-7067.13</v>
      </c>
      <c r="D415" s="2">
        <v>-11028.777701899968</v>
      </c>
      <c r="E415" s="2">
        <v>-3211.233388951573</v>
      </c>
      <c r="F415" s="2">
        <v>103.3</v>
      </c>
      <c r="G415" s="2">
        <v>129.52000000000001</v>
      </c>
      <c r="H415" s="2">
        <v>0.95558969719871101</v>
      </c>
      <c r="I415" s="2">
        <v>0.74</v>
      </c>
      <c r="J415" s="2">
        <v>2.1377738564089116E-3</v>
      </c>
      <c r="K415" s="2">
        <v>4.7679405744982445E-2</v>
      </c>
      <c r="L415" s="2">
        <v>103.3216</v>
      </c>
      <c r="M415" s="2">
        <v>105.55159999999999</v>
      </c>
      <c r="N415" s="2">
        <v>-1.6681522727886033E-3</v>
      </c>
      <c r="O415" s="2">
        <v>2.7602055048630447E-2</v>
      </c>
      <c r="P415" s="2">
        <v>103.3</v>
      </c>
      <c r="Q415" s="2">
        <v>7.7745775471296241E-3</v>
      </c>
      <c r="R415" s="2">
        <v>7.3727543294131569E-3</v>
      </c>
      <c r="S415" s="2">
        <v>9.5105281858220685E-3</v>
      </c>
      <c r="T415" s="2">
        <v>0</v>
      </c>
      <c r="U415" s="2">
        <v>0</v>
      </c>
      <c r="V415" s="2">
        <v>0</v>
      </c>
      <c r="W415" s="2">
        <v>0</v>
      </c>
      <c r="X415" s="2">
        <v>7.809439227827019E-4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</row>
    <row r="416" spans="1:98" x14ac:dyDescent="0.2">
      <c r="A416" s="2" t="s">
        <v>695</v>
      </c>
      <c r="B416" s="2">
        <v>401.40600000000001</v>
      </c>
      <c r="C416" s="2">
        <v>-7774.08</v>
      </c>
      <c r="D416" s="2">
        <v>-11997.468852184571</v>
      </c>
      <c r="E416" s="2">
        <v>-968.69115028460328</v>
      </c>
      <c r="F416" s="2">
        <v>108.5</v>
      </c>
      <c r="G416" s="2">
        <v>136.51</v>
      </c>
      <c r="H416" s="2">
        <v>1.06966875620191</v>
      </c>
      <c r="I416" s="2">
        <v>0.53</v>
      </c>
      <c r="J416" s="2">
        <v>5.3538782937512259E-3</v>
      </c>
      <c r="K416" s="2">
        <v>4.5751110961836261E-2</v>
      </c>
      <c r="L416" s="2">
        <v>102.7625</v>
      </c>
      <c r="M416" s="2">
        <v>102.5579</v>
      </c>
      <c r="N416" s="2">
        <v>-5.4259534986282887E-3</v>
      </c>
      <c r="O416" s="2">
        <v>-2.8772415728305134E-2</v>
      </c>
      <c r="P416" s="2">
        <v>108.5</v>
      </c>
      <c r="Q416" s="2">
        <v>4.9112796854921648E-2</v>
      </c>
      <c r="R416" s="2">
        <v>5.2860044292374377E-3</v>
      </c>
      <c r="S416" s="2">
        <v>1.0639882722988664E-2</v>
      </c>
      <c r="T416" s="2">
        <v>0</v>
      </c>
      <c r="U416" s="2">
        <v>0</v>
      </c>
      <c r="V416" s="2">
        <v>0</v>
      </c>
      <c r="W416" s="2">
        <v>0</v>
      </c>
      <c r="X416" s="2">
        <v>1.129354537166595E-3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</row>
    <row r="417" spans="1:98" x14ac:dyDescent="0.2">
      <c r="A417" s="2" t="s">
        <v>696</v>
      </c>
      <c r="B417" s="2">
        <v>399.87</v>
      </c>
      <c r="C417" s="2">
        <v>-7253</v>
      </c>
      <c r="D417" s="2">
        <v>-11236.300367619477</v>
      </c>
      <c r="E417" s="2">
        <v>761.16848456509433</v>
      </c>
      <c r="F417" s="2">
        <v>106.9</v>
      </c>
      <c r="G417" s="2">
        <v>135.1</v>
      </c>
      <c r="H417" s="2">
        <v>1.0176513988492799</v>
      </c>
      <c r="I417" s="2">
        <v>0.28000000000000003</v>
      </c>
      <c r="J417" s="2">
        <v>7.3289946065521914E-3</v>
      </c>
      <c r="K417" s="2">
        <v>4.7891644379266851E-2</v>
      </c>
      <c r="L417" s="2">
        <v>101.22450000000001</v>
      </c>
      <c r="M417" s="2">
        <v>103.3784</v>
      </c>
      <c r="N417" s="2">
        <v>-1.5079678063458779E-2</v>
      </c>
      <c r="O417" s="2">
        <v>7.9685256230215273E-3</v>
      </c>
      <c r="P417" s="2">
        <v>106.9</v>
      </c>
      <c r="Q417" s="2">
        <v>-1.4856354949515094E-2</v>
      </c>
      <c r="R417" s="2">
        <v>2.796087302001188E-3</v>
      </c>
      <c r="S417" s="2">
        <v>1.0125081908553379E-2</v>
      </c>
      <c r="T417" s="2">
        <v>0</v>
      </c>
      <c r="U417" s="2">
        <v>0</v>
      </c>
      <c r="V417" s="2">
        <v>0</v>
      </c>
      <c r="W417" s="2">
        <v>0</v>
      </c>
      <c r="X417" s="2">
        <v>-5.1480081443528412E-4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</row>
    <row r="418" spans="1:98" x14ac:dyDescent="0.2">
      <c r="A418" s="2" t="s">
        <v>697</v>
      </c>
      <c r="B418" s="2">
        <v>401.327</v>
      </c>
      <c r="C418" s="2">
        <v>-5173.45</v>
      </c>
      <c r="D418" s="2">
        <v>-7985.5781250700793</v>
      </c>
      <c r="E418" s="2">
        <v>3250.7222425493974</v>
      </c>
      <c r="F418" s="2">
        <v>107.3</v>
      </c>
      <c r="G418" s="2">
        <v>136.18</v>
      </c>
      <c r="H418" s="2">
        <v>1.1030892946223101</v>
      </c>
      <c r="I418" s="2">
        <v>0.26</v>
      </c>
      <c r="J418" s="2">
        <v>8.3738705454082692E-3</v>
      </c>
      <c r="K418" s="2">
        <v>5.0046577850942173E-2</v>
      </c>
      <c r="L418" s="2">
        <v>96.868899999999996</v>
      </c>
      <c r="M418" s="2">
        <v>98.274100000000004</v>
      </c>
      <c r="N418" s="2">
        <v>-4.3982304465768784E-2</v>
      </c>
      <c r="O418" s="2">
        <v>-5.0635529475797192E-2</v>
      </c>
      <c r="P418" s="2">
        <v>107.3</v>
      </c>
      <c r="Q418" s="2">
        <v>3.7348316056533548E-3</v>
      </c>
      <c r="R418" s="2">
        <v>2.5966258472659141E-3</v>
      </c>
      <c r="S418" s="2">
        <v>1.0970496392674183E-2</v>
      </c>
      <c r="T418" s="2">
        <v>0</v>
      </c>
      <c r="U418" s="2">
        <v>0</v>
      </c>
      <c r="V418" s="2">
        <v>0</v>
      </c>
      <c r="W418" s="2">
        <v>0</v>
      </c>
      <c r="X418" s="2">
        <v>8.454144841208034E-4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</row>
    <row r="419" spans="1:98" x14ac:dyDescent="0.2">
      <c r="A419" s="2" t="s">
        <v>698</v>
      </c>
      <c r="B419" s="2">
        <v>405.70699999999999</v>
      </c>
      <c r="C419" s="2">
        <v>-14465.58</v>
      </c>
      <c r="D419" s="2">
        <v>-22087.564759986886</v>
      </c>
      <c r="E419" s="2">
        <v>-14101.986634916808</v>
      </c>
      <c r="F419" s="2">
        <v>108.4</v>
      </c>
      <c r="G419" s="2">
        <v>138.29</v>
      </c>
      <c r="H419" s="2">
        <v>1.17587508428119</v>
      </c>
      <c r="I419" s="2">
        <v>0.45</v>
      </c>
      <c r="J419" s="2">
        <v>7.2002486781226642E-3</v>
      </c>
      <c r="K419" s="2">
        <v>5.0990441978945394E-2</v>
      </c>
      <c r="L419" s="2">
        <v>97.761700000000005</v>
      </c>
      <c r="M419" s="2">
        <v>97.801599999999993</v>
      </c>
      <c r="N419" s="2">
        <v>9.1743668484332019E-3</v>
      </c>
      <c r="O419" s="2">
        <v>-4.8195764657696927E-3</v>
      </c>
      <c r="P419" s="2">
        <v>108.4</v>
      </c>
      <c r="Q419" s="2">
        <v>1.0199439368893337E-2</v>
      </c>
      <c r="R419" s="2">
        <v>4.4899052728520012E-3</v>
      </c>
      <c r="S419" s="2">
        <v>1.1690153950974665E-2</v>
      </c>
      <c r="T419" s="2">
        <v>0</v>
      </c>
      <c r="U419" s="2">
        <v>0</v>
      </c>
      <c r="V419" s="2">
        <v>0</v>
      </c>
      <c r="W419" s="2">
        <v>0</v>
      </c>
      <c r="X419" s="2">
        <v>7.1965755830048252E-4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</row>
    <row r="420" spans="1:98" x14ac:dyDescent="0.2">
      <c r="A420" s="2" t="s">
        <v>699</v>
      </c>
      <c r="B420" s="2">
        <v>405.98200000000003</v>
      </c>
      <c r="C420" s="2">
        <v>3282.72</v>
      </c>
      <c r="D420" s="2">
        <v>5009.0059527762305</v>
      </c>
      <c r="E420" s="2">
        <v>27096.570712763118</v>
      </c>
      <c r="F420" s="2">
        <v>96.2</v>
      </c>
      <c r="G420" s="2">
        <v>122.11</v>
      </c>
      <c r="H420" s="2">
        <v>1.0199711195819201</v>
      </c>
      <c r="I420" s="2">
        <v>0.36</v>
      </c>
      <c r="J420" s="2">
        <v>6.5545096535221028E-3</v>
      </c>
      <c r="K420" s="2">
        <v>5.292661308249455E-2</v>
      </c>
      <c r="L420" s="2">
        <v>96.557199999999995</v>
      </c>
      <c r="M420" s="2">
        <v>95.787199999999999</v>
      </c>
      <c r="N420" s="2">
        <v>-1.2397305943116166E-2</v>
      </c>
      <c r="O420" s="2">
        <v>-2.0811872466194536E-2</v>
      </c>
      <c r="P420" s="2">
        <v>96.2</v>
      </c>
      <c r="Q420" s="2">
        <v>-0.11939873133388534</v>
      </c>
      <c r="R420" s="2">
        <v>3.5935355101302181E-3</v>
      </c>
      <c r="S420" s="2">
        <v>1.014804516365232E-2</v>
      </c>
      <c r="T420" s="2">
        <v>0</v>
      </c>
      <c r="U420" s="2">
        <v>0</v>
      </c>
      <c r="V420" s="2">
        <v>0</v>
      </c>
      <c r="W420" s="2">
        <v>0</v>
      </c>
      <c r="X420" s="2">
        <v>-1.5421087873223448E-3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</row>
    <row r="421" spans="1:98" x14ac:dyDescent="0.2">
      <c r="A421" s="2" t="s">
        <v>700</v>
      </c>
      <c r="B421" s="2">
        <v>404.185</v>
      </c>
      <c r="C421" s="2">
        <v>20752.400000000001</v>
      </c>
      <c r="D421" s="2">
        <v>31806.261346660569</v>
      </c>
      <c r="E421" s="2">
        <v>26797.255393884338</v>
      </c>
      <c r="F421" s="2">
        <v>79.099999999999994</v>
      </c>
      <c r="G421" s="2">
        <v>99.4</v>
      </c>
      <c r="H421" s="2">
        <v>1.12409227205128</v>
      </c>
      <c r="I421" s="2">
        <v>0.28000000000000003</v>
      </c>
      <c r="J421" s="2">
        <v>8.3821257521205679E-3</v>
      </c>
      <c r="K421" s="2">
        <v>6.0270356375359047E-2</v>
      </c>
      <c r="L421" s="2">
        <v>93.718299999999999</v>
      </c>
      <c r="M421" s="2">
        <v>93.643500000000003</v>
      </c>
      <c r="N421" s="2">
        <v>-2.9842104517119772E-2</v>
      </c>
      <c r="O421" s="2">
        <v>-2.2634045245519374E-2</v>
      </c>
      <c r="P421" s="2">
        <v>79.099999999999994</v>
      </c>
      <c r="Q421" s="2">
        <v>-0.19571648289805221</v>
      </c>
      <c r="R421" s="2">
        <v>2.796087302001188E-3</v>
      </c>
      <c r="S421" s="2">
        <v>1.1178213054121757E-2</v>
      </c>
      <c r="T421" s="2">
        <v>0</v>
      </c>
      <c r="U421" s="2">
        <v>0</v>
      </c>
      <c r="V421" s="2">
        <v>0</v>
      </c>
      <c r="W421" s="2">
        <v>0</v>
      </c>
      <c r="X421" s="2">
        <v>1.0301678904694363E-3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</row>
    <row r="422" spans="1:98" x14ac:dyDescent="0.2">
      <c r="A422" s="2" t="s">
        <v>701</v>
      </c>
      <c r="B422" s="2">
        <v>404.24400000000003</v>
      </c>
      <c r="C422" s="2">
        <v>-4795.83</v>
      </c>
      <c r="D422" s="2">
        <v>-7349.2781218274104</v>
      </c>
      <c r="E422" s="2">
        <v>-39155.539468487979</v>
      </c>
      <c r="F422" s="2">
        <v>78.7</v>
      </c>
      <c r="G422" s="2">
        <v>98.01</v>
      </c>
      <c r="H422" s="2">
        <v>1.0478098544406</v>
      </c>
      <c r="I422" s="2">
        <v>0.48</v>
      </c>
      <c r="J422" s="2">
        <v>5.6350670150040671E-3</v>
      </c>
      <c r="K422" s="2">
        <v>6.2040072949637898E-2</v>
      </c>
      <c r="L422" s="2">
        <v>91.505799999999994</v>
      </c>
      <c r="M422" s="2">
        <v>90.985100000000003</v>
      </c>
      <c r="N422" s="2">
        <v>-2.3891116086536712E-2</v>
      </c>
      <c r="O422" s="2">
        <v>-2.8799262266567816E-2</v>
      </c>
      <c r="P422" s="2">
        <v>78.7</v>
      </c>
      <c r="Q422" s="2">
        <v>-5.069719350251134E-3</v>
      </c>
      <c r="R422" s="2">
        <v>4.7885167317970939E-3</v>
      </c>
      <c r="S422" s="2">
        <v>1.0423583746801161E-2</v>
      </c>
      <c r="T422" s="2">
        <v>0</v>
      </c>
      <c r="U422" s="2">
        <v>0</v>
      </c>
      <c r="V422" s="2">
        <v>0</v>
      </c>
      <c r="W422" s="2">
        <v>0</v>
      </c>
      <c r="X422" s="2">
        <v>-7.5462930732059577E-4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</row>
    <row r="423" spans="1:98" x14ac:dyDescent="0.2">
      <c r="A423" s="2" t="s">
        <v>702</v>
      </c>
      <c r="B423" s="2">
        <v>403.73700000000002</v>
      </c>
      <c r="C423" s="2">
        <v>-903.39</v>
      </c>
      <c r="D423" s="2">
        <v>-1386.1212215873204</v>
      </c>
      <c r="E423" s="2">
        <v>5963.1569002400902</v>
      </c>
      <c r="F423" s="2">
        <v>76.099999999999994</v>
      </c>
      <c r="G423" s="2">
        <v>94.98</v>
      </c>
      <c r="H423" s="2">
        <v>0.85509413209004004</v>
      </c>
      <c r="I423" s="2">
        <v>0.55000000000000004</v>
      </c>
      <c r="J423" s="2">
        <v>3.029658875035624E-3</v>
      </c>
      <c r="K423" s="2">
        <v>6.1967542885831853E-2</v>
      </c>
      <c r="L423" s="2">
        <v>90.933999999999997</v>
      </c>
      <c r="M423" s="2">
        <v>90.284599999999998</v>
      </c>
      <c r="N423" s="2">
        <v>-6.2683895980626403E-3</v>
      </c>
      <c r="O423" s="2">
        <v>-7.7288536036359545E-3</v>
      </c>
      <c r="P423" s="2">
        <v>76.099999999999994</v>
      </c>
      <c r="Q423" s="2">
        <v>-3.3594890555717072E-2</v>
      </c>
      <c r="R423" s="2">
        <v>5.4849302305697454E-3</v>
      </c>
      <c r="S423" s="2">
        <v>8.5145891056053694E-3</v>
      </c>
      <c r="T423" s="2">
        <v>0</v>
      </c>
      <c r="U423" s="2">
        <v>0</v>
      </c>
      <c r="V423" s="2">
        <v>0</v>
      </c>
      <c r="W423" s="2">
        <v>0</v>
      </c>
      <c r="X423" s="2">
        <v>-1.9089946411957916E-3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</row>
    <row r="424" spans="1:98" x14ac:dyDescent="0.2">
      <c r="A424" s="2" t="s">
        <v>703</v>
      </c>
      <c r="B424" s="2">
        <v>400.35300000000001</v>
      </c>
      <c r="C424" s="2">
        <v>-5815.7</v>
      </c>
      <c r="D424" s="2">
        <v>-8998.7750140500993</v>
      </c>
      <c r="E424" s="2">
        <v>-7612.6537924627792</v>
      </c>
      <c r="F424" s="2">
        <v>88.6</v>
      </c>
      <c r="G424" s="2">
        <v>111.07</v>
      </c>
      <c r="H424" s="2">
        <v>0.970889130166119</v>
      </c>
      <c r="I424" s="2">
        <v>0.2</v>
      </c>
      <c r="J424" s="2">
        <v>7.6640602112744323E-3</v>
      </c>
      <c r="K424" s="2">
        <v>6.600969691547065E-2</v>
      </c>
      <c r="L424" s="2">
        <v>89.501199999999997</v>
      </c>
      <c r="M424" s="2">
        <v>89.3215</v>
      </c>
      <c r="N424" s="2">
        <v>-1.5881935640467582E-2</v>
      </c>
      <c r="O424" s="2">
        <v>-1.0724682861008361E-2</v>
      </c>
      <c r="P424" s="2">
        <v>88.6</v>
      </c>
      <c r="Q424" s="2">
        <v>0.152083592743395</v>
      </c>
      <c r="R424" s="2">
        <v>1.9980026626730579E-3</v>
      </c>
      <c r="S424" s="2">
        <v>9.6620628739474898E-3</v>
      </c>
      <c r="T424" s="2">
        <v>0</v>
      </c>
      <c r="U424" s="2">
        <v>0</v>
      </c>
      <c r="V424" s="2">
        <v>0</v>
      </c>
      <c r="W424" s="2">
        <v>0</v>
      </c>
      <c r="X424" s="2">
        <v>1.1474737683421204E-3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</row>
    <row r="425" spans="1:98" x14ac:dyDescent="0.2">
      <c r="A425" s="2" t="s">
        <v>704</v>
      </c>
      <c r="B425" s="2">
        <v>400.53</v>
      </c>
      <c r="C425" s="2">
        <v>-10861.57</v>
      </c>
      <c r="D425" s="2">
        <v>-16798.946239532619</v>
      </c>
      <c r="E425" s="2">
        <v>-7800.1712254825197</v>
      </c>
      <c r="F425" s="2">
        <v>85.2</v>
      </c>
      <c r="G425" s="2">
        <v>106.45</v>
      </c>
      <c r="H425" s="2">
        <v>0.83956892882328704</v>
      </c>
      <c r="I425" s="2">
        <v>0.48</v>
      </c>
      <c r="J425" s="2">
        <v>3.5721247872751967E-3</v>
      </c>
      <c r="K425" s="2">
        <v>6.609293815881942E-2</v>
      </c>
      <c r="L425" s="2">
        <v>88.705799999999996</v>
      </c>
      <c r="M425" s="2">
        <v>86.760999999999996</v>
      </c>
      <c r="N425" s="2">
        <v>-8.9267568828628185E-3</v>
      </c>
      <c r="O425" s="2">
        <v>-2.9085008441104065E-2</v>
      </c>
      <c r="P425" s="2">
        <v>85.2</v>
      </c>
      <c r="Q425" s="2">
        <v>-3.9130423775764811E-2</v>
      </c>
      <c r="R425" s="2">
        <v>4.7885167317970939E-3</v>
      </c>
      <c r="S425" s="2">
        <v>8.3606415190722906E-3</v>
      </c>
      <c r="T425" s="2">
        <v>0</v>
      </c>
      <c r="U425" s="2">
        <v>0</v>
      </c>
      <c r="V425" s="2">
        <v>0</v>
      </c>
      <c r="W425" s="2">
        <v>0</v>
      </c>
      <c r="X425" s="2">
        <v>-1.3014213548751992E-3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</row>
    <row r="426" spans="1:98" x14ac:dyDescent="0.2">
      <c r="A426" s="2" t="s">
        <v>705</v>
      </c>
      <c r="B426" s="2">
        <v>401.23200000000003</v>
      </c>
      <c r="C426" s="2">
        <v>290.76</v>
      </c>
      <c r="D426" s="2">
        <v>448.91444790046654</v>
      </c>
      <c r="E426" s="2">
        <v>17247.860687433087</v>
      </c>
      <c r="F426" s="2">
        <v>91.3</v>
      </c>
      <c r="G426" s="2">
        <v>114.15</v>
      </c>
      <c r="H426" s="2">
        <v>0.77088573972663399</v>
      </c>
      <c r="I426" s="2">
        <v>0.47</v>
      </c>
      <c r="J426" s="2">
        <v>2.9903064959085814E-3</v>
      </c>
      <c r="K426" s="2">
        <v>6.8222618770383825E-2</v>
      </c>
      <c r="L426" s="2">
        <v>87.775800000000004</v>
      </c>
      <c r="M426" s="2">
        <v>86.953400000000002</v>
      </c>
      <c r="N426" s="2">
        <v>-1.0539439903854309E-2</v>
      </c>
      <c r="O426" s="2">
        <v>2.2151310273930136E-3</v>
      </c>
      <c r="P426" s="2">
        <v>91.3</v>
      </c>
      <c r="Q426" s="2">
        <v>6.9149353765652677E-2</v>
      </c>
      <c r="R426" s="2">
        <v>4.6889894861314695E-3</v>
      </c>
      <c r="S426" s="2">
        <v>7.6792959820400509E-3</v>
      </c>
      <c r="T426" s="2">
        <v>0</v>
      </c>
      <c r="U426" s="2">
        <v>0</v>
      </c>
      <c r="V426" s="2">
        <v>0</v>
      </c>
      <c r="W426" s="2">
        <v>0</v>
      </c>
      <c r="X426" s="2">
        <v>-6.8134553703223973E-4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</row>
    <row r="427" spans="1:98" x14ac:dyDescent="0.2">
      <c r="A427" s="2" t="s">
        <v>706</v>
      </c>
      <c r="B427" s="2">
        <v>399.96600000000001</v>
      </c>
      <c r="C427" s="2">
        <v>1136.67</v>
      </c>
      <c r="D427" s="2">
        <v>1760.4991047239016</v>
      </c>
      <c r="E427" s="2">
        <v>1311.5846568234351</v>
      </c>
      <c r="F427" s="2">
        <v>92.2</v>
      </c>
      <c r="G427" s="2">
        <v>115.42</v>
      </c>
      <c r="H427" s="2">
        <v>0.76217447599313803</v>
      </c>
      <c r="I427" s="2">
        <v>0.36</v>
      </c>
      <c r="J427" s="2">
        <v>3.9993104995867095E-3</v>
      </c>
      <c r="K427" s="2">
        <v>7.0084155413561625E-2</v>
      </c>
      <c r="L427" s="2">
        <v>87.412499999999994</v>
      </c>
      <c r="M427" s="2">
        <v>89.227999999999994</v>
      </c>
      <c r="N427" s="2">
        <v>-4.1475431954518527E-3</v>
      </c>
      <c r="O427" s="2">
        <v>2.582254870602263E-2</v>
      </c>
      <c r="P427" s="2">
        <v>92.2</v>
      </c>
      <c r="Q427" s="2">
        <v>9.809342961625056E-3</v>
      </c>
      <c r="R427" s="2">
        <v>3.5935355101302181E-3</v>
      </c>
      <c r="S427" s="2">
        <v>7.5928460097169281E-3</v>
      </c>
      <c r="T427" s="2">
        <v>0</v>
      </c>
      <c r="U427" s="2">
        <v>0</v>
      </c>
      <c r="V427" s="2">
        <v>0</v>
      </c>
      <c r="W427" s="2">
        <v>0</v>
      </c>
      <c r="X427" s="2">
        <v>-8.6449972323122785E-5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</row>
    <row r="428" spans="1:98" x14ac:dyDescent="0.2">
      <c r="A428" s="2" t="s">
        <v>707</v>
      </c>
      <c r="B428" s="2">
        <v>397.39299999999997</v>
      </c>
      <c r="C428" s="2">
        <v>-1690.76</v>
      </c>
      <c r="D428" s="2">
        <v>-2635.6408939261642</v>
      </c>
      <c r="E428" s="2">
        <v>-4396.1399986500655</v>
      </c>
      <c r="F428" s="2">
        <v>97.7</v>
      </c>
      <c r="G428" s="2">
        <v>122.93</v>
      </c>
      <c r="H428" s="2">
        <v>0.79013671294521104</v>
      </c>
      <c r="I428" s="2">
        <v>0.24</v>
      </c>
      <c r="J428" s="2">
        <v>5.4731901918370195E-3</v>
      </c>
      <c r="K428" s="2">
        <v>7.0203467311647422E-2</v>
      </c>
      <c r="L428" s="2">
        <v>88.320899999999995</v>
      </c>
      <c r="M428" s="2">
        <v>88.433599999999998</v>
      </c>
      <c r="N428" s="2">
        <v>1.0338479664270928E-2</v>
      </c>
      <c r="O428" s="2">
        <v>-8.9429037492942953E-3</v>
      </c>
      <c r="P428" s="2">
        <v>97.7</v>
      </c>
      <c r="Q428" s="2">
        <v>5.7941428486189217E-2</v>
      </c>
      <c r="R428" s="2">
        <v>2.3971245997214514E-3</v>
      </c>
      <c r="S428" s="2">
        <v>7.8703147915584713E-3</v>
      </c>
      <c r="T428" s="2">
        <v>0</v>
      </c>
      <c r="U428" s="2">
        <v>0</v>
      </c>
      <c r="V428" s="2">
        <v>0</v>
      </c>
      <c r="W428" s="2">
        <v>0</v>
      </c>
      <c r="X428" s="2">
        <v>2.7746878184154323E-4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</row>
    <row r="429" spans="1:98" x14ac:dyDescent="0.2">
      <c r="A429" s="2" t="s">
        <v>708</v>
      </c>
      <c r="B429" s="2">
        <v>397.75799999999998</v>
      </c>
      <c r="C429" s="2">
        <v>-3898.51</v>
      </c>
      <c r="D429" s="2">
        <v>-6071.6148531519175</v>
      </c>
      <c r="E429" s="2">
        <v>-3435.9739592257533</v>
      </c>
      <c r="F429" s="2">
        <v>99.6</v>
      </c>
      <c r="G429" s="2">
        <v>125.56</v>
      </c>
      <c r="H429" s="2">
        <v>0.69374131923856097</v>
      </c>
      <c r="I429" s="2">
        <v>0.15</v>
      </c>
      <c r="J429" s="2">
        <v>5.4145839357929212E-3</v>
      </c>
      <c r="K429" s="2">
        <v>6.8289056640888149E-2</v>
      </c>
      <c r="L429" s="2">
        <v>89.299599999999998</v>
      </c>
      <c r="M429" s="2">
        <v>91.532200000000003</v>
      </c>
      <c r="N429" s="2">
        <v>1.1020235894850572E-2</v>
      </c>
      <c r="O429" s="2">
        <v>3.4438835017835956E-2</v>
      </c>
      <c r="P429" s="2">
        <v>99.6</v>
      </c>
      <c r="Q429" s="2">
        <v>1.9260605541814968E-2</v>
      </c>
      <c r="R429" s="2">
        <v>1.4988761237359487E-3</v>
      </c>
      <c r="S429" s="2">
        <v>6.9134600595288703E-3</v>
      </c>
      <c r="T429" s="2">
        <v>0</v>
      </c>
      <c r="U429" s="2">
        <v>0</v>
      </c>
      <c r="V429" s="2">
        <v>0</v>
      </c>
      <c r="W429" s="2">
        <v>0</v>
      </c>
      <c r="X429" s="2">
        <v>-9.5685473202960104E-4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</row>
    <row r="430" spans="1:98" x14ac:dyDescent="0.2">
      <c r="A430" s="2" t="s">
        <v>709</v>
      </c>
      <c r="B430" s="2">
        <v>398.738</v>
      </c>
      <c r="C430" s="2">
        <v>8019.91</v>
      </c>
      <c r="D430" s="2">
        <v>12459.664659901991</v>
      </c>
      <c r="E430" s="2">
        <v>18531.279513053909</v>
      </c>
      <c r="F430" s="2">
        <v>99.4</v>
      </c>
      <c r="G430" s="2">
        <v>125.89</v>
      </c>
      <c r="H430" s="2">
        <v>0.69374131923856097</v>
      </c>
      <c r="I430" s="2">
        <v>0.24</v>
      </c>
      <c r="J430" s="2">
        <v>4.5163354598074194E-3</v>
      </c>
      <c r="K430" s="2">
        <v>6.4431521555287322E-2</v>
      </c>
      <c r="L430" s="2">
        <v>89.990799999999993</v>
      </c>
      <c r="M430" s="2">
        <v>90.794200000000004</v>
      </c>
      <c r="N430" s="2">
        <v>7.7104342938882908E-3</v>
      </c>
      <c r="O430" s="2">
        <v>-8.0954160280120036E-3</v>
      </c>
      <c r="P430" s="2">
        <v>99.4</v>
      </c>
      <c r="Q430" s="2">
        <v>-2.0100509280238654E-3</v>
      </c>
      <c r="R430" s="2">
        <v>2.3971245997214514E-3</v>
      </c>
      <c r="S430" s="2">
        <v>6.9134600595288703E-3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</row>
    <row r="431" spans="1:98" x14ac:dyDescent="0.2">
      <c r="A431" s="2" t="s">
        <v>710</v>
      </c>
      <c r="B431" s="2">
        <v>398.57499999999999</v>
      </c>
      <c r="C431" s="2">
        <v>-11377.06</v>
      </c>
      <c r="D431" s="2">
        <v>-17682.533075481402</v>
      </c>
      <c r="E431" s="2">
        <v>-30142.197735383394</v>
      </c>
      <c r="F431" s="2">
        <v>105.6</v>
      </c>
      <c r="G431" s="2">
        <v>134.02000000000001</v>
      </c>
      <c r="H431" s="2">
        <v>0.69374131923856097</v>
      </c>
      <c r="I431" s="2">
        <v>0.28000000000000003</v>
      </c>
      <c r="J431" s="2">
        <v>4.1173727575276823E-3</v>
      </c>
      <c r="K431" s="2">
        <v>6.1348645634692334E-2</v>
      </c>
      <c r="L431" s="2">
        <v>90.252700000000004</v>
      </c>
      <c r="M431" s="2">
        <v>90.240600000000001</v>
      </c>
      <c r="N431" s="2">
        <v>2.9060707800008245E-3</v>
      </c>
      <c r="O431" s="2">
        <v>-6.1159702512503245E-3</v>
      </c>
      <c r="P431" s="2">
        <v>105.6</v>
      </c>
      <c r="Q431" s="2">
        <v>6.0506257609632463E-2</v>
      </c>
      <c r="R431" s="2">
        <v>2.796087302001188E-3</v>
      </c>
      <c r="S431" s="2">
        <v>6.9134600595288703E-3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</row>
    <row r="432" spans="1:98" x14ac:dyDescent="0.2">
      <c r="A432" s="2" t="s">
        <v>711</v>
      </c>
      <c r="B432" s="2">
        <v>398.85700000000003</v>
      </c>
      <c r="C432" s="2">
        <v>-10712.45</v>
      </c>
      <c r="D432" s="2">
        <v>-16637.806723211579</v>
      </c>
      <c r="E432" s="2">
        <v>1044.7263522698231</v>
      </c>
      <c r="F432" s="2">
        <v>101.4</v>
      </c>
      <c r="G432" s="2">
        <v>128.6</v>
      </c>
      <c r="H432" s="2">
        <v>0.66</v>
      </c>
      <c r="I432" s="2">
        <v>0.41</v>
      </c>
      <c r="J432" s="2">
        <v>2.4866974568689493E-3</v>
      </c>
      <c r="K432" s="2">
        <v>5.7280833438039164E-2</v>
      </c>
      <c r="L432" s="2">
        <v>90.633099999999999</v>
      </c>
      <c r="M432" s="2">
        <v>89.951499999999996</v>
      </c>
      <c r="N432" s="2">
        <v>4.2059748280953713E-3</v>
      </c>
      <c r="O432" s="2">
        <v>-3.2088004752415245E-3</v>
      </c>
      <c r="P432" s="2">
        <v>101.4</v>
      </c>
      <c r="Q432" s="2">
        <v>-4.0585280115077893E-2</v>
      </c>
      <c r="R432" s="2">
        <v>4.0916179032535575E-3</v>
      </c>
      <c r="S432" s="2">
        <v>6.5783153601225068E-3</v>
      </c>
      <c r="T432" s="2">
        <v>0</v>
      </c>
      <c r="U432" s="2">
        <v>0</v>
      </c>
      <c r="V432" s="2">
        <v>0</v>
      </c>
      <c r="W432" s="2">
        <v>0</v>
      </c>
      <c r="X432" s="2">
        <v>-3.3514469940636345E-4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</row>
    <row r="433" spans="1:98" x14ac:dyDescent="0.2">
      <c r="A433" s="2" t="s">
        <v>712</v>
      </c>
      <c r="B433" s="2">
        <v>398.40699999999998</v>
      </c>
      <c r="C433" s="2">
        <v>-1835.29</v>
      </c>
      <c r="D433" s="2">
        <v>-2853.6599709342458</v>
      </c>
      <c r="E433" s="2">
        <v>13784.146752277333</v>
      </c>
      <c r="F433" s="2">
        <v>94.1</v>
      </c>
      <c r="G433" s="2">
        <v>118.28</v>
      </c>
      <c r="H433" s="2">
        <v>0.73</v>
      </c>
      <c r="I433" s="2">
        <v>0.37</v>
      </c>
      <c r="J433" s="2">
        <v>3.580312128880863E-3</v>
      </c>
      <c r="K433" s="2">
        <v>5.2479019814799466E-2</v>
      </c>
      <c r="L433" s="2">
        <v>90.889499999999998</v>
      </c>
      <c r="M433" s="2">
        <v>90.735900000000001</v>
      </c>
      <c r="N433" s="2">
        <v>2.8249944692140261E-3</v>
      </c>
      <c r="O433" s="2">
        <v>8.6824529840967557E-3</v>
      </c>
      <c r="P433" s="2">
        <v>94.1</v>
      </c>
      <c r="Q433" s="2">
        <v>-7.4715044565748734E-2</v>
      </c>
      <c r="R433" s="2">
        <v>3.6931718376176067E-3</v>
      </c>
      <c r="S433" s="2">
        <v>7.2734839664984697E-3</v>
      </c>
      <c r="T433" s="2">
        <v>0</v>
      </c>
      <c r="U433" s="2">
        <v>0</v>
      </c>
      <c r="V433" s="2">
        <v>0</v>
      </c>
      <c r="W433" s="2">
        <v>0</v>
      </c>
      <c r="X433" s="2">
        <v>6.9516860637596281E-4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</row>
    <row r="434" spans="1:98" x14ac:dyDescent="0.2">
      <c r="A434" s="2" t="s">
        <v>713</v>
      </c>
      <c r="B434" s="2">
        <v>402.42500000000001</v>
      </c>
      <c r="C434" s="2">
        <v>-13537.87</v>
      </c>
      <c r="D434" s="2">
        <v>-20839.623671789774</v>
      </c>
      <c r="E434" s="2">
        <v>-17985.963700855529</v>
      </c>
      <c r="F434" s="2">
        <v>91.2</v>
      </c>
      <c r="G434" s="2">
        <v>113.77</v>
      </c>
      <c r="H434" s="2">
        <v>0.66</v>
      </c>
      <c r="I434" s="2">
        <v>0.75</v>
      </c>
      <c r="J434" s="2">
        <v>-8.9369947857854959E-4</v>
      </c>
      <c r="K434" s="2">
        <v>4.5950253321216855E-2</v>
      </c>
      <c r="L434" s="2">
        <v>91.906499999999994</v>
      </c>
      <c r="M434" s="2">
        <v>91.588399999999993</v>
      </c>
      <c r="N434" s="2">
        <v>1.1127272953473266E-2</v>
      </c>
      <c r="O434" s="2">
        <v>9.3515369336172327E-3</v>
      </c>
      <c r="P434" s="2">
        <v>91.2</v>
      </c>
      <c r="Q434" s="2">
        <v>-3.1303149511048289E-2</v>
      </c>
      <c r="R434" s="2">
        <v>7.4720148387010564E-3</v>
      </c>
      <c r="S434" s="2">
        <v>6.5783153601225068E-3</v>
      </c>
      <c r="T434" s="2">
        <v>0</v>
      </c>
      <c r="U434" s="2">
        <v>0</v>
      </c>
      <c r="V434" s="2">
        <v>0</v>
      </c>
      <c r="W434" s="2">
        <v>0</v>
      </c>
      <c r="X434" s="2">
        <v>-6.9516860637596281E-4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</row>
    <row r="435" spans="1:98" x14ac:dyDescent="0.2">
      <c r="A435" s="2" t="s">
        <v>714</v>
      </c>
      <c r="B435" s="2">
        <v>406.82600000000002</v>
      </c>
      <c r="C435" s="2">
        <v>700.99</v>
      </c>
      <c r="D435" s="2">
        <v>1067.4010049505193</v>
      </c>
      <c r="E435" s="2">
        <v>21907.024676740293</v>
      </c>
      <c r="F435" s="2">
        <v>89</v>
      </c>
      <c r="G435" s="2">
        <v>112.24</v>
      </c>
      <c r="H435" s="2">
        <v>0.59</v>
      </c>
      <c r="I435" s="2">
        <v>0.78</v>
      </c>
      <c r="J435" s="2">
        <v>-1.8870741062051817E-3</v>
      </c>
      <c r="K435" s="2">
        <v>4.1033520339976044E-2</v>
      </c>
      <c r="L435" s="2">
        <v>92.213499999999996</v>
      </c>
      <c r="M435" s="2">
        <v>91.694900000000004</v>
      </c>
      <c r="N435" s="2">
        <v>3.334784754581932E-3</v>
      </c>
      <c r="O435" s="2">
        <v>1.1621354699116182E-3</v>
      </c>
      <c r="P435" s="2">
        <v>89</v>
      </c>
      <c r="Q435" s="2">
        <v>-2.4418527348146313E-2</v>
      </c>
      <c r="R435" s="2">
        <v>7.7697372643606936E-3</v>
      </c>
      <c r="S435" s="2">
        <v>5.8826631581555119E-3</v>
      </c>
      <c r="T435" s="2">
        <v>0</v>
      </c>
      <c r="U435" s="2">
        <v>0</v>
      </c>
      <c r="V435" s="2">
        <v>0</v>
      </c>
      <c r="W435" s="2">
        <v>0</v>
      </c>
      <c r="X435" s="2">
        <v>-6.9565220196699494E-4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</row>
    <row r="436" spans="1:98" x14ac:dyDescent="0.2">
      <c r="A436" s="2" t="s">
        <v>715</v>
      </c>
      <c r="B436" s="2">
        <v>409.399</v>
      </c>
      <c r="C436" s="2">
        <v>3912.28</v>
      </c>
      <c r="D436" s="2">
        <v>5919.8082195608686</v>
      </c>
      <c r="E436" s="2">
        <v>4852.407214610349</v>
      </c>
      <c r="F436" s="2">
        <v>105.1</v>
      </c>
      <c r="G436" s="2">
        <v>133.46</v>
      </c>
      <c r="H436" s="2">
        <v>0.76</v>
      </c>
      <c r="I436" s="2">
        <v>0.52</v>
      </c>
      <c r="J436" s="2">
        <v>2.3847388090179724E-3</v>
      </c>
      <c r="K436" s="2">
        <v>3.575419893771959E-2</v>
      </c>
      <c r="L436" s="2">
        <v>92.813299999999998</v>
      </c>
      <c r="M436" s="2">
        <v>92.855500000000006</v>
      </c>
      <c r="N436" s="2">
        <v>6.483407820129905E-3</v>
      </c>
      <c r="O436" s="2">
        <v>1.257775979396758E-2</v>
      </c>
      <c r="P436" s="2">
        <v>105.1</v>
      </c>
      <c r="Q436" s="2">
        <v>0.16627590815076587</v>
      </c>
      <c r="R436" s="2">
        <v>5.1865266873001538E-3</v>
      </c>
      <c r="S436" s="2">
        <v>7.5712654963181261E-3</v>
      </c>
      <c r="T436" s="2">
        <v>0</v>
      </c>
      <c r="U436" s="2">
        <v>0</v>
      </c>
      <c r="V436" s="2">
        <v>0</v>
      </c>
      <c r="W436" s="2">
        <v>0</v>
      </c>
      <c r="X436" s="2">
        <v>1.6886023381626142E-3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</row>
    <row r="437" spans="1:98" x14ac:dyDescent="0.2">
      <c r="A437" s="2" t="s">
        <v>716</v>
      </c>
      <c r="B437" s="2">
        <v>412.34100000000001</v>
      </c>
      <c r="C437" s="2">
        <v>-16528.16</v>
      </c>
      <c r="D437" s="2">
        <v>-24830.900745159954</v>
      </c>
      <c r="E437" s="2">
        <v>-30750.708964720823</v>
      </c>
      <c r="F437" s="2">
        <v>99.3</v>
      </c>
      <c r="G437" s="2">
        <v>124.88</v>
      </c>
      <c r="H437" s="2">
        <v>0.67</v>
      </c>
      <c r="I437" s="2">
        <v>0.56999999999999995</v>
      </c>
      <c r="J437" s="2">
        <v>9.9383828494278761E-4</v>
      </c>
      <c r="K437" s="2">
        <v>3.3175912435387173E-2</v>
      </c>
      <c r="L437" s="2">
        <v>93.198400000000007</v>
      </c>
      <c r="M437" s="2">
        <v>91.785700000000006</v>
      </c>
      <c r="N437" s="2">
        <v>4.140605673719655E-3</v>
      </c>
      <c r="O437" s="2">
        <v>-1.1588009298139745E-2</v>
      </c>
      <c r="P437" s="2">
        <v>99.3</v>
      </c>
      <c r="Q437" s="2">
        <v>-5.6766706831778535E-2</v>
      </c>
      <c r="R437" s="2">
        <v>5.6838164682977092E-3</v>
      </c>
      <c r="S437" s="2">
        <v>6.6776547532404968E-3</v>
      </c>
      <c r="T437" s="2">
        <v>0</v>
      </c>
      <c r="U437" s="2">
        <v>0</v>
      </c>
      <c r="V437" s="2">
        <v>0</v>
      </c>
      <c r="W437" s="2">
        <v>0</v>
      </c>
      <c r="X437" s="2">
        <v>-8.9361074307762935E-4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</row>
    <row r="438" spans="1:98" x14ac:dyDescent="0.2">
      <c r="A438" s="2" t="s">
        <v>717</v>
      </c>
      <c r="B438" s="2">
        <v>418.81099999999998</v>
      </c>
      <c r="C438" s="2">
        <v>1431.4</v>
      </c>
      <c r="D438" s="2">
        <v>2117.2269744586461</v>
      </c>
      <c r="E438" s="2">
        <v>26948.127719618598</v>
      </c>
      <c r="F438" s="2">
        <v>104.3</v>
      </c>
      <c r="G438" s="2">
        <v>131.05000000000001</v>
      </c>
      <c r="H438" s="2">
        <v>0.75</v>
      </c>
      <c r="I438" s="2">
        <v>0.43</v>
      </c>
      <c r="J438" s="2">
        <v>3.1812334215448107E-3</v>
      </c>
      <c r="K438" s="2">
        <v>3.3366839361023401E-2</v>
      </c>
      <c r="L438" s="2">
        <v>94.649199999999993</v>
      </c>
      <c r="M438" s="2">
        <v>93.748900000000006</v>
      </c>
      <c r="N438" s="2">
        <v>1.5446871265114126E-2</v>
      </c>
      <c r="O438" s="2">
        <v>2.1163419376324377E-2</v>
      </c>
      <c r="P438" s="2">
        <v>104.3</v>
      </c>
      <c r="Q438" s="2">
        <v>4.9125790955599768E-2</v>
      </c>
      <c r="R438" s="2">
        <v>4.2907814171562458E-3</v>
      </c>
      <c r="S438" s="2">
        <v>7.4720148387010564E-3</v>
      </c>
      <c r="T438" s="2">
        <v>0</v>
      </c>
      <c r="U438" s="2">
        <v>0</v>
      </c>
      <c r="V438" s="2">
        <v>0</v>
      </c>
      <c r="W438" s="2">
        <v>0</v>
      </c>
      <c r="X438" s="2">
        <v>7.9436008546055967E-4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</row>
    <row r="439" spans="1:98" x14ac:dyDescent="0.2">
      <c r="A439" s="2" t="s">
        <v>718</v>
      </c>
      <c r="B439" s="2">
        <v>420.24099999999999</v>
      </c>
      <c r="C439" s="2">
        <v>-745.68</v>
      </c>
      <c r="D439" s="2">
        <v>-1099.2046556142784</v>
      </c>
      <c r="E439" s="2">
        <v>-3216.4316300729242</v>
      </c>
      <c r="F439" s="2">
        <v>102.5</v>
      </c>
      <c r="G439" s="2">
        <v>128.16</v>
      </c>
      <c r="H439" s="2">
        <v>0.79</v>
      </c>
      <c r="I439" s="2">
        <v>0</v>
      </c>
      <c r="J439" s="2">
        <v>7.8689583786951973E-3</v>
      </c>
      <c r="K439" s="2">
        <v>3.7236487240131892E-2</v>
      </c>
      <c r="L439" s="2">
        <v>94.832800000000006</v>
      </c>
      <c r="M439" s="2">
        <v>96.776700000000005</v>
      </c>
      <c r="N439" s="2">
        <v>1.9379155535554915E-3</v>
      </c>
      <c r="O439" s="2">
        <v>3.178633138135023E-2</v>
      </c>
      <c r="P439" s="2">
        <v>102.5</v>
      </c>
      <c r="Q439" s="2">
        <v>-1.740856342826369E-2</v>
      </c>
      <c r="R439" s="2">
        <v>0</v>
      </c>
      <c r="S439" s="2">
        <v>7.8689583786951973E-3</v>
      </c>
      <c r="T439" s="2">
        <v>0</v>
      </c>
      <c r="U439" s="2">
        <v>0</v>
      </c>
      <c r="V439" s="2">
        <v>0</v>
      </c>
      <c r="W439" s="2">
        <v>0</v>
      </c>
      <c r="X439" s="2">
        <v>3.9694353999414084E-4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</row>
    <row r="440" spans="1:98" x14ac:dyDescent="0.2">
      <c r="A440" s="2" t="s">
        <v>719</v>
      </c>
      <c r="B440" s="2">
        <v>421.154</v>
      </c>
      <c r="C440" s="2">
        <v>-612.79</v>
      </c>
      <c r="D440" s="2">
        <v>-901.35365695208873</v>
      </c>
      <c r="E440" s="2">
        <v>197.85099866218968</v>
      </c>
      <c r="F440" s="2">
        <v>106.9</v>
      </c>
      <c r="G440" s="2">
        <v>133.66999999999999</v>
      </c>
      <c r="H440" s="2">
        <v>0.86</v>
      </c>
      <c r="I440" s="2">
        <v>0.01</v>
      </c>
      <c r="J440" s="2">
        <v>8.4632356601545156E-3</v>
      </c>
      <c r="K440" s="2">
        <v>4.0226532708449385E-2</v>
      </c>
      <c r="L440" s="2">
        <v>95.253900000000002</v>
      </c>
      <c r="M440" s="2">
        <v>94.9923</v>
      </c>
      <c r="N440" s="2">
        <v>4.4306170696017944E-3</v>
      </c>
      <c r="O440" s="2">
        <v>-1.8610427145681285E-2</v>
      </c>
      <c r="P440" s="2">
        <v>106.9</v>
      </c>
      <c r="Q440" s="2">
        <v>4.2031019452536178E-2</v>
      </c>
      <c r="R440" s="2">
        <v>9.9995000333297321E-5</v>
      </c>
      <c r="S440" s="2">
        <v>8.5632306604878135E-3</v>
      </c>
      <c r="T440" s="2">
        <v>0</v>
      </c>
      <c r="U440" s="2">
        <v>0</v>
      </c>
      <c r="V440" s="2">
        <v>0</v>
      </c>
      <c r="W440" s="2">
        <v>0</v>
      </c>
      <c r="X440" s="2">
        <v>6.9427228179261627E-4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</row>
    <row r="441" spans="1:98" x14ac:dyDescent="0.2">
      <c r="A441" s="2" t="s">
        <v>720</v>
      </c>
      <c r="B441" s="2">
        <v>425.78800000000001</v>
      </c>
      <c r="C441" s="2">
        <v>-3457.86</v>
      </c>
      <c r="D441" s="2">
        <v>-5030.8164658468531</v>
      </c>
      <c r="E441" s="2">
        <v>-4129.4628088947647</v>
      </c>
      <c r="F441" s="2">
        <v>108.1</v>
      </c>
      <c r="G441" s="2">
        <v>136.41</v>
      </c>
      <c r="H441" s="2">
        <v>0.89</v>
      </c>
      <c r="I441" s="2">
        <v>0.04</v>
      </c>
      <c r="J441" s="2">
        <v>8.4607084108695753E-3</v>
      </c>
      <c r="K441" s="2">
        <v>4.3272657183526034E-2</v>
      </c>
      <c r="L441" s="2">
        <v>95.609200000000001</v>
      </c>
      <c r="M441" s="2">
        <v>97.721900000000005</v>
      </c>
      <c r="N441" s="2">
        <v>3.7230916862736052E-3</v>
      </c>
      <c r="O441" s="2">
        <v>2.8329853823910511E-2</v>
      </c>
      <c r="P441" s="2">
        <v>108.1</v>
      </c>
      <c r="Q441" s="2">
        <v>1.1162906614162971E-2</v>
      </c>
      <c r="R441" s="2">
        <v>3.9992002132689132E-4</v>
      </c>
      <c r="S441" s="2">
        <v>8.8606284321964667E-3</v>
      </c>
      <c r="T441" s="2">
        <v>0</v>
      </c>
      <c r="U441" s="2">
        <v>0</v>
      </c>
      <c r="V441" s="2">
        <v>0</v>
      </c>
      <c r="W441" s="2">
        <v>0</v>
      </c>
      <c r="X441" s="2">
        <v>2.9739777170865317E-4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</row>
    <row r="442" spans="1:98" x14ac:dyDescent="0.2">
      <c r="A442" s="2" t="s">
        <v>721</v>
      </c>
      <c r="B442" s="2">
        <v>430.45299999999997</v>
      </c>
      <c r="C442" s="2">
        <v>-25593.51</v>
      </c>
      <c r="D442" s="2">
        <v>-36832.279484078404</v>
      </c>
      <c r="E442" s="2">
        <v>-31801.463018231552</v>
      </c>
      <c r="F442" s="2">
        <v>105.8</v>
      </c>
      <c r="G442" s="2">
        <v>134.31</v>
      </c>
      <c r="H442" s="2">
        <v>0.85</v>
      </c>
      <c r="I442" s="2">
        <v>0.45</v>
      </c>
      <c r="J442" s="2">
        <v>3.9741731392773623E-3</v>
      </c>
      <c r="K442" s="2">
        <v>4.2730494862995988E-2</v>
      </c>
      <c r="L442" s="2">
        <v>95.879400000000004</v>
      </c>
      <c r="M442" s="2">
        <v>96.682000000000002</v>
      </c>
      <c r="N442" s="2">
        <v>2.8221019875704911E-3</v>
      </c>
      <c r="O442" s="2">
        <v>-1.0698447084796392E-2</v>
      </c>
      <c r="P442" s="2">
        <v>105.8</v>
      </c>
      <c r="Q442" s="2">
        <v>-2.1506205220963359E-2</v>
      </c>
      <c r="R442" s="2">
        <v>4.4899052728520012E-3</v>
      </c>
      <c r="S442" s="2">
        <v>8.4640784121293635E-3</v>
      </c>
      <c r="T442" s="2">
        <v>0</v>
      </c>
      <c r="U442" s="2">
        <v>0</v>
      </c>
      <c r="V442" s="2">
        <v>0</v>
      </c>
      <c r="W442" s="2">
        <v>0</v>
      </c>
      <c r="X442" s="2">
        <v>-3.9655002006710321E-4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</row>
    <row r="443" spans="1:98" x14ac:dyDescent="0.2">
      <c r="A443" s="2" t="s">
        <v>722</v>
      </c>
      <c r="B443" s="2">
        <v>434.88200000000001</v>
      </c>
      <c r="C443" s="2">
        <v>-7232.97</v>
      </c>
      <c r="D443" s="2">
        <v>-10303.142746124237</v>
      </c>
      <c r="E443" s="2">
        <v>26529.13673795417</v>
      </c>
      <c r="F443" s="2">
        <v>107.7</v>
      </c>
      <c r="G443" s="2">
        <v>136.6</v>
      </c>
      <c r="H443" s="2">
        <v>0.81</v>
      </c>
      <c r="I443" s="2">
        <v>0.75</v>
      </c>
      <c r="J443" s="2">
        <v>5.9535623905773629E-4</v>
      </c>
      <c r="K443" s="2">
        <v>3.9208478344526038E-2</v>
      </c>
      <c r="L443" s="2">
        <v>95.636200000000002</v>
      </c>
      <c r="M443" s="2">
        <v>95.526700000000005</v>
      </c>
      <c r="N443" s="2">
        <v>-2.5397422531208136E-3</v>
      </c>
      <c r="O443" s="2">
        <v>-1.2021452860143889E-2</v>
      </c>
      <c r="P443" s="2">
        <v>107.7</v>
      </c>
      <c r="Q443" s="2">
        <v>1.7799064738143855E-2</v>
      </c>
      <c r="R443" s="2">
        <v>7.4720148387010564E-3</v>
      </c>
      <c r="S443" s="2">
        <v>8.0673710777587927E-3</v>
      </c>
      <c r="T443" s="2">
        <v>0</v>
      </c>
      <c r="U443" s="2">
        <v>0</v>
      </c>
      <c r="V443" s="2">
        <v>0</v>
      </c>
      <c r="W443" s="2">
        <v>0</v>
      </c>
      <c r="X443" s="2">
        <v>-3.9670733437057078E-4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</row>
    <row r="444" spans="1:98" x14ac:dyDescent="0.2">
      <c r="A444" s="2" t="s">
        <v>723</v>
      </c>
      <c r="B444" s="2">
        <v>441.75400000000002</v>
      </c>
      <c r="C444" s="2">
        <v>-1654.91</v>
      </c>
      <c r="D444" s="2">
        <v>-2320.6966482703042</v>
      </c>
      <c r="E444" s="2">
        <v>7982.4460978539319</v>
      </c>
      <c r="F444" s="2">
        <v>106.8</v>
      </c>
      <c r="G444" s="2">
        <v>135.56</v>
      </c>
      <c r="H444" s="2">
        <v>0.81</v>
      </c>
      <c r="I444" s="2">
        <v>0.83</v>
      </c>
      <c r="J444" s="2">
        <v>-1.9837333927379998E-4</v>
      </c>
      <c r="K444" s="2">
        <v>3.6523407548383298E-2</v>
      </c>
      <c r="L444" s="2">
        <v>95.700199999999995</v>
      </c>
      <c r="M444" s="2">
        <v>94.681200000000004</v>
      </c>
      <c r="N444" s="2">
        <v>6.6897884967875854E-4</v>
      </c>
      <c r="O444" s="2">
        <v>-8.8903307262953035E-3</v>
      </c>
      <c r="P444" s="2">
        <v>106.8</v>
      </c>
      <c r="Q444" s="2">
        <v>-8.3916576362481621E-3</v>
      </c>
      <c r="R444" s="2">
        <v>8.2657444170325927E-3</v>
      </c>
      <c r="S444" s="2">
        <v>8.0673710777587927E-3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</row>
    <row r="445" spans="1:98" x14ac:dyDescent="0.2">
      <c r="A445" s="2" t="s">
        <v>724</v>
      </c>
      <c r="B445" s="2">
        <v>443.42700000000002</v>
      </c>
      <c r="C445" s="2">
        <v>-15404.18</v>
      </c>
      <c r="D445" s="2">
        <v>-21519.934080874642</v>
      </c>
      <c r="E445" s="2">
        <v>-19199.237432604339</v>
      </c>
      <c r="F445" s="2">
        <v>96.6</v>
      </c>
      <c r="G445" s="2">
        <v>121.28</v>
      </c>
      <c r="H445" s="2">
        <v>0.907338309729111</v>
      </c>
      <c r="I445" s="2">
        <v>0.63</v>
      </c>
      <c r="J445" s="2">
        <v>2.752229310156641E-3</v>
      </c>
      <c r="K445" s="2">
        <v>3.569532472965907E-2</v>
      </c>
      <c r="L445" s="2">
        <v>96.495900000000006</v>
      </c>
      <c r="M445" s="2">
        <v>96.134600000000006</v>
      </c>
      <c r="N445" s="2">
        <v>8.2801320748249196E-3</v>
      </c>
      <c r="O445" s="2">
        <v>1.5233833963429255E-2</v>
      </c>
      <c r="P445" s="2">
        <v>96.6</v>
      </c>
      <c r="Q445" s="2">
        <v>-0.10037918530762191</v>
      </c>
      <c r="R445" s="2">
        <v>6.2802379571504563E-3</v>
      </c>
      <c r="S445" s="2">
        <v>9.0324672673070972E-3</v>
      </c>
      <c r="T445" s="2">
        <v>0</v>
      </c>
      <c r="U445" s="2">
        <v>0</v>
      </c>
      <c r="V445" s="2">
        <v>0</v>
      </c>
      <c r="W445" s="2">
        <v>0</v>
      </c>
      <c r="X445" s="2">
        <v>9.6509618954830449E-4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</row>
    <row r="446" spans="1:98" x14ac:dyDescent="0.2">
      <c r="A446" s="2" t="s">
        <v>725</v>
      </c>
      <c r="B446" s="2">
        <v>447.76400000000001</v>
      </c>
      <c r="C446" s="2">
        <v>-13806.98</v>
      </c>
      <c r="D446" s="2">
        <v>-19101.787420337499</v>
      </c>
      <c r="E446" s="2">
        <v>2418.1466605371425</v>
      </c>
      <c r="F446" s="2">
        <v>93.2</v>
      </c>
      <c r="G446" s="2">
        <v>116.72</v>
      </c>
      <c r="H446" s="2">
        <v>0.86232519058235801</v>
      </c>
      <c r="I446" s="2">
        <v>0.83</v>
      </c>
      <c r="J446" s="2">
        <v>3.2053962220514667E-4</v>
      </c>
      <c r="K446" s="2">
        <v>3.6909563830442763E-2</v>
      </c>
      <c r="L446" s="2">
        <v>96.428299999999993</v>
      </c>
      <c r="M446" s="2">
        <v>96.006299999999996</v>
      </c>
      <c r="N446" s="2">
        <v>-7.0079339726802914E-4</v>
      </c>
      <c r="O446" s="2">
        <v>-1.3354784855135193E-3</v>
      </c>
      <c r="P446" s="2">
        <v>93.2</v>
      </c>
      <c r="Q446" s="2">
        <v>-3.5831019526926688E-2</v>
      </c>
      <c r="R446" s="2">
        <v>8.2657444170325927E-3</v>
      </c>
      <c r="S446" s="2">
        <v>8.5862840392377394E-3</v>
      </c>
      <c r="T446" s="2">
        <v>0</v>
      </c>
      <c r="U446" s="2">
        <v>0</v>
      </c>
      <c r="V446" s="2">
        <v>0</v>
      </c>
      <c r="W446" s="2">
        <v>0</v>
      </c>
      <c r="X446" s="2">
        <v>-4.4618322806935784E-4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</row>
    <row r="447" spans="1:98" x14ac:dyDescent="0.2">
      <c r="A447" s="2" t="s">
        <v>726</v>
      </c>
      <c r="B447" s="2">
        <v>452.04700000000003</v>
      </c>
      <c r="C447" s="2">
        <v>-2530.3000000000002</v>
      </c>
      <c r="D447" s="2">
        <v>-3467.4715744159344</v>
      </c>
      <c r="E447" s="2">
        <v>15634.315845921565</v>
      </c>
      <c r="F447" s="2">
        <v>95.4</v>
      </c>
      <c r="G447" s="2">
        <v>120.64</v>
      </c>
      <c r="H447" s="2">
        <v>0.84390507788336699</v>
      </c>
      <c r="I447" s="2">
        <v>0.8</v>
      </c>
      <c r="J447" s="2">
        <v>4.3547141740026864E-4</v>
      </c>
      <c r="K447" s="2">
        <v>3.9232109354048215E-2</v>
      </c>
      <c r="L447" s="2">
        <v>96.011099999999999</v>
      </c>
      <c r="M447" s="2">
        <v>95.217299999999994</v>
      </c>
      <c r="N447" s="2">
        <v>-4.3359172146590907E-3</v>
      </c>
      <c r="O447" s="2">
        <v>-8.252166337783251E-3</v>
      </c>
      <c r="P447" s="2">
        <v>95.4</v>
      </c>
      <c r="Q447" s="2">
        <v>2.3330856762695085E-2</v>
      </c>
      <c r="R447" s="2">
        <v>7.9681696491768813E-3</v>
      </c>
      <c r="S447" s="2">
        <v>8.4036410665771499E-3</v>
      </c>
      <c r="T447" s="2">
        <v>0</v>
      </c>
      <c r="U447" s="2">
        <v>0</v>
      </c>
      <c r="V447" s="2">
        <v>0</v>
      </c>
      <c r="W447" s="2">
        <v>0</v>
      </c>
      <c r="X447" s="2">
        <v>-1.8264297266058944E-4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</row>
    <row r="448" spans="1:98" x14ac:dyDescent="0.2">
      <c r="A448" s="2" t="s">
        <v>727</v>
      </c>
      <c r="B448" s="2">
        <v>454.80500000000001</v>
      </c>
      <c r="C448" s="2">
        <v>-9675.69</v>
      </c>
      <c r="D448" s="2">
        <v>-13178.961837358869</v>
      </c>
      <c r="E448" s="2">
        <v>-9711.4902629429344</v>
      </c>
      <c r="F448" s="2">
        <v>104.4</v>
      </c>
      <c r="G448" s="2">
        <v>132.07</v>
      </c>
      <c r="H448" s="2">
        <v>0.92046482204137803</v>
      </c>
      <c r="I448" s="2">
        <v>0.79</v>
      </c>
      <c r="J448" s="2">
        <v>1.2935852420883839E-3</v>
      </c>
      <c r="K448" s="2">
        <v>3.8140955787118624E-2</v>
      </c>
      <c r="L448" s="2">
        <v>96.840699999999998</v>
      </c>
      <c r="M448" s="2">
        <v>96.804599999999994</v>
      </c>
      <c r="N448" s="2">
        <v>8.603550677960925E-3</v>
      </c>
      <c r="O448" s="2">
        <v>1.6532865837790567E-2</v>
      </c>
      <c r="P448" s="2">
        <v>104.4</v>
      </c>
      <c r="Q448" s="2">
        <v>9.0151096994297575E-2</v>
      </c>
      <c r="R448" s="2">
        <v>7.8689583786951973E-3</v>
      </c>
      <c r="S448" s="2">
        <v>9.1625436207835812E-3</v>
      </c>
      <c r="T448" s="2">
        <v>0</v>
      </c>
      <c r="U448" s="2">
        <v>0</v>
      </c>
      <c r="V448" s="2">
        <v>0</v>
      </c>
      <c r="W448" s="2">
        <v>0</v>
      </c>
      <c r="X448" s="2">
        <v>7.5890255420643128E-4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</row>
    <row r="449" spans="1:98" x14ac:dyDescent="0.2">
      <c r="A449" s="2" t="s">
        <v>728</v>
      </c>
      <c r="B449" s="2">
        <v>457.05900000000003</v>
      </c>
      <c r="C449" s="2">
        <v>-15220.07</v>
      </c>
      <c r="D449" s="2">
        <v>-20628.557983367573</v>
      </c>
      <c r="E449" s="2">
        <v>-7449.5961460087037</v>
      </c>
      <c r="F449" s="2">
        <v>97.5</v>
      </c>
      <c r="G449" s="2">
        <v>122.74</v>
      </c>
      <c r="H449" s="2">
        <v>0.84016106835924598</v>
      </c>
      <c r="I449" s="2">
        <v>0.77</v>
      </c>
      <c r="J449" s="2">
        <v>6.9600729268575433E-4</v>
      </c>
      <c r="K449" s="2">
        <v>3.7843124794861592E-2</v>
      </c>
      <c r="L449" s="2">
        <v>96.433700000000002</v>
      </c>
      <c r="M449" s="2">
        <v>94.841499999999996</v>
      </c>
      <c r="N449" s="2">
        <v>-4.2116348736227494E-3</v>
      </c>
      <c r="O449" s="2">
        <v>-2.0487436631141165E-2</v>
      </c>
      <c r="P449" s="2">
        <v>97.5</v>
      </c>
      <c r="Q449" s="2">
        <v>-6.8377297444737195E-2</v>
      </c>
      <c r="R449" s="2">
        <v>7.6705063042197402E-3</v>
      </c>
      <c r="S449" s="2">
        <v>8.3665135969054946E-3</v>
      </c>
      <c r="T449" s="2">
        <v>0</v>
      </c>
      <c r="U449" s="2">
        <v>0</v>
      </c>
      <c r="V449" s="2">
        <v>0</v>
      </c>
      <c r="W449" s="2">
        <v>0</v>
      </c>
      <c r="X449" s="2">
        <v>-7.9603002387808666E-4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</row>
    <row r="450" spans="1:98" x14ac:dyDescent="0.2">
      <c r="A450" s="2" t="s">
        <v>729</v>
      </c>
      <c r="B450" s="2">
        <v>457.09</v>
      </c>
      <c r="C450" s="2">
        <v>-4452.1000000000004</v>
      </c>
      <c r="D450" s="2">
        <v>-6033.7550583036173</v>
      </c>
      <c r="E450" s="2">
        <v>14594.802925063956</v>
      </c>
      <c r="F450" s="2">
        <v>107.1</v>
      </c>
      <c r="G450" s="2">
        <v>134.31</v>
      </c>
      <c r="H450" s="2">
        <v>0.98798804733837298</v>
      </c>
      <c r="I450" s="2">
        <v>0.47</v>
      </c>
      <c r="J450" s="2">
        <v>5.1424040699041499E-3</v>
      </c>
      <c r="K450" s="2">
        <v>3.9804295443220922E-2</v>
      </c>
      <c r="L450" s="2">
        <v>96.622699999999995</v>
      </c>
      <c r="M450" s="2">
        <v>95.5946</v>
      </c>
      <c r="N450" s="2">
        <v>1.957977672643274E-3</v>
      </c>
      <c r="O450" s="2">
        <v>7.9092559228728376E-3</v>
      </c>
      <c r="P450" s="2">
        <v>107.1</v>
      </c>
      <c r="Q450" s="2">
        <v>9.3910599449901433E-2</v>
      </c>
      <c r="R450" s="2">
        <v>4.6889894861314695E-3</v>
      </c>
      <c r="S450" s="2">
        <v>9.8313935560356194E-3</v>
      </c>
      <c r="T450" s="2">
        <v>0</v>
      </c>
      <c r="U450" s="2">
        <v>0</v>
      </c>
      <c r="V450" s="2">
        <v>0</v>
      </c>
      <c r="W450" s="2">
        <v>0</v>
      </c>
      <c r="X450" s="2">
        <v>1.4648799591301248E-3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</row>
    <row r="451" spans="1:98" x14ac:dyDescent="0.2">
      <c r="A451" s="2" t="s">
        <v>730</v>
      </c>
      <c r="B451" s="2">
        <v>456.49</v>
      </c>
      <c r="C451" s="2">
        <v>-9703.98</v>
      </c>
      <c r="D451" s="2">
        <v>-13168.706246533331</v>
      </c>
      <c r="E451" s="2">
        <v>-7134.9511882297138</v>
      </c>
      <c r="F451" s="2">
        <v>102.8</v>
      </c>
      <c r="G451" s="2">
        <v>129.34</v>
      </c>
      <c r="H451" s="2">
        <v>0.95627581231574299</v>
      </c>
      <c r="I451" s="2">
        <v>0.15</v>
      </c>
      <c r="J451" s="2">
        <v>8.0184482463054423E-3</v>
      </c>
      <c r="K451" s="2">
        <v>3.9953785310831172E-2</v>
      </c>
      <c r="L451" s="2">
        <v>96.857299999999995</v>
      </c>
      <c r="M451" s="2">
        <v>98.664199999999994</v>
      </c>
      <c r="N451" s="2">
        <v>2.4250580418820888E-3</v>
      </c>
      <c r="O451" s="2">
        <v>3.160583223709601E-2</v>
      </c>
      <c r="P451" s="2">
        <v>102.8</v>
      </c>
      <c r="Q451" s="2">
        <v>-4.097762443263786E-2</v>
      </c>
      <c r="R451" s="2">
        <v>1.4988761237359487E-3</v>
      </c>
      <c r="S451" s="2">
        <v>9.5173243700413905E-3</v>
      </c>
      <c r="T451" s="2">
        <v>0</v>
      </c>
      <c r="U451" s="2">
        <v>0</v>
      </c>
      <c r="V451" s="2">
        <v>0</v>
      </c>
      <c r="W451" s="2">
        <v>0</v>
      </c>
      <c r="X451" s="2">
        <v>-3.1406918599422885E-4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</row>
    <row r="452" spans="1:98" x14ac:dyDescent="0.2">
      <c r="A452" s="2" t="s">
        <v>731</v>
      </c>
      <c r="B452" s="2">
        <v>456.25799999999998</v>
      </c>
      <c r="C452" s="2">
        <v>-10918.21</v>
      </c>
      <c r="D452" s="2">
        <v>-14824.001021264285</v>
      </c>
      <c r="E452" s="2">
        <v>-1655.2947747309536</v>
      </c>
      <c r="F452" s="2">
        <v>106.1</v>
      </c>
      <c r="G452" s="2">
        <v>133.13</v>
      </c>
      <c r="H452" s="2">
        <v>0.96788302321930697</v>
      </c>
      <c r="I452" s="2">
        <v>0.16</v>
      </c>
      <c r="J452" s="2">
        <v>8.0335690508561309E-3</v>
      </c>
      <c r="K452" s="2">
        <v>3.9524118701532787E-2</v>
      </c>
      <c r="L452" s="2">
        <v>97.316900000000004</v>
      </c>
      <c r="M452" s="2">
        <v>97.370900000000006</v>
      </c>
      <c r="N452" s="2">
        <v>4.7339024267518681E-3</v>
      </c>
      <c r="O452" s="2">
        <v>-1.3194767302142196E-2</v>
      </c>
      <c r="P452" s="2">
        <v>106.1</v>
      </c>
      <c r="Q452" s="2">
        <v>3.1596692598871989E-2</v>
      </c>
      <c r="R452" s="2">
        <v>1.5987213636970735E-3</v>
      </c>
      <c r="S452" s="2">
        <v>9.6322904145532042E-3</v>
      </c>
      <c r="T452" s="2">
        <v>0</v>
      </c>
      <c r="U452" s="2">
        <v>0</v>
      </c>
      <c r="V452" s="2">
        <v>0</v>
      </c>
      <c r="W452" s="2">
        <v>0</v>
      </c>
      <c r="X452" s="2">
        <v>1.1496604451181371E-4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</row>
    <row r="453" spans="1:98" x14ac:dyDescent="0.2">
      <c r="A453" s="2" t="s">
        <v>732</v>
      </c>
      <c r="B453" s="2">
        <v>459.05500000000001</v>
      </c>
      <c r="C453" s="2">
        <v>-2031</v>
      </c>
      <c r="D453" s="2">
        <v>-2740.7516659223843</v>
      </c>
      <c r="E453" s="2">
        <v>12083.249355341901</v>
      </c>
      <c r="F453" s="2">
        <v>110.8</v>
      </c>
      <c r="G453" s="2">
        <v>139.61000000000001</v>
      </c>
      <c r="H453" s="2">
        <v>1.07406186078178</v>
      </c>
      <c r="I453" s="2">
        <v>0.37</v>
      </c>
      <c r="J453" s="2">
        <v>6.9901760432283166E-3</v>
      </c>
      <c r="K453" s="2">
        <v>3.8053586333891533E-2</v>
      </c>
      <c r="L453" s="2">
        <v>97.795599999999993</v>
      </c>
      <c r="M453" s="2">
        <v>99.853300000000004</v>
      </c>
      <c r="N453" s="2">
        <v>4.9069225242535097E-3</v>
      </c>
      <c r="O453" s="2">
        <v>2.5174710848757442E-2</v>
      </c>
      <c r="P453" s="2">
        <v>110.8</v>
      </c>
      <c r="Q453" s="2">
        <v>4.3344728693246459E-2</v>
      </c>
      <c r="R453" s="2">
        <v>3.6931718376176067E-3</v>
      </c>
      <c r="S453" s="2">
        <v>1.0683347880845923E-2</v>
      </c>
      <c r="T453" s="2">
        <v>0</v>
      </c>
      <c r="U453" s="2">
        <v>0</v>
      </c>
      <c r="V453" s="2">
        <v>0</v>
      </c>
      <c r="W453" s="2">
        <v>0</v>
      </c>
      <c r="X453" s="2">
        <v>1.0510574662927191E-3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</row>
    <row r="454" spans="1:98" x14ac:dyDescent="0.2">
      <c r="A454" s="2" t="s">
        <v>733</v>
      </c>
      <c r="B454" s="2">
        <v>462.50900000000001</v>
      </c>
      <c r="C454" s="2">
        <v>-5982.2</v>
      </c>
      <c r="D454" s="2">
        <v>-8012.4480327950378</v>
      </c>
      <c r="E454" s="2">
        <v>-5271.696366872653</v>
      </c>
      <c r="F454" s="2">
        <v>104.8</v>
      </c>
      <c r="G454" s="2">
        <v>132.37</v>
      </c>
      <c r="H454" s="2">
        <v>0.94175888348995196</v>
      </c>
      <c r="I454" s="2">
        <v>0.53</v>
      </c>
      <c r="J454" s="2">
        <v>4.087515382501232E-3</v>
      </c>
      <c r="K454" s="2">
        <v>3.81669285771154E-2</v>
      </c>
      <c r="L454" s="2">
        <v>97.747399999999999</v>
      </c>
      <c r="M454" s="2">
        <v>98.747299999999996</v>
      </c>
      <c r="N454" s="2">
        <v>-4.9298620739346433E-4</v>
      </c>
      <c r="O454" s="2">
        <v>-1.1138047254774186E-2</v>
      </c>
      <c r="P454" s="2">
        <v>104.8</v>
      </c>
      <c r="Q454" s="2">
        <v>-5.5673002426241958E-2</v>
      </c>
      <c r="R454" s="2">
        <v>5.2860044292374377E-3</v>
      </c>
      <c r="S454" s="2">
        <v>9.3735198117386696E-3</v>
      </c>
      <c r="T454" s="2">
        <v>0</v>
      </c>
      <c r="U454" s="2">
        <v>0</v>
      </c>
      <c r="V454" s="2">
        <v>0</v>
      </c>
      <c r="W454" s="2">
        <v>0</v>
      </c>
      <c r="X454" s="2">
        <v>-1.3098280691072536E-3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</row>
    <row r="455" spans="1:98" x14ac:dyDescent="0.2">
      <c r="A455" s="2" t="s">
        <v>734</v>
      </c>
      <c r="B455" s="2">
        <v>464.34899999999999</v>
      </c>
      <c r="C455" s="2">
        <v>-11403.92</v>
      </c>
      <c r="D455" s="2">
        <v>-15213.674942597056</v>
      </c>
      <c r="E455" s="2">
        <v>-7201.2269098020179</v>
      </c>
      <c r="F455" s="2">
        <v>106.3</v>
      </c>
      <c r="G455" s="2">
        <v>134.28</v>
      </c>
      <c r="H455" s="2">
        <v>0.88195896691560804</v>
      </c>
      <c r="I455" s="2">
        <v>0.43</v>
      </c>
      <c r="J455" s="2">
        <v>4.4901428467324905E-3</v>
      </c>
      <c r="K455" s="2">
        <v>4.2061715184790162E-2</v>
      </c>
      <c r="L455" s="2">
        <v>98.409599999999998</v>
      </c>
      <c r="M455" s="2">
        <v>98.287700000000001</v>
      </c>
      <c r="N455" s="2">
        <v>6.7517602287985312E-3</v>
      </c>
      <c r="O455" s="2">
        <v>-4.6651694729717974E-3</v>
      </c>
      <c r="P455" s="2">
        <v>106.3</v>
      </c>
      <c r="Q455" s="2">
        <v>1.421151346096039E-2</v>
      </c>
      <c r="R455" s="2">
        <v>4.2907814171562458E-3</v>
      </c>
      <c r="S455" s="2">
        <v>8.7809242638887362E-3</v>
      </c>
      <c r="T455" s="2">
        <v>0</v>
      </c>
      <c r="U455" s="2">
        <v>0</v>
      </c>
      <c r="V455" s="2">
        <v>0</v>
      </c>
      <c r="W455" s="2">
        <v>0</v>
      </c>
      <c r="X455" s="2">
        <v>-5.925955478499334E-4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</row>
    <row r="456" spans="1:98" x14ac:dyDescent="0.2">
      <c r="A456" s="2" t="s">
        <v>735</v>
      </c>
      <c r="B456" s="2">
        <v>466.33100000000002</v>
      </c>
      <c r="C456" s="2">
        <v>-4808.12</v>
      </c>
      <c r="D456" s="2">
        <v>-6387.1261938837433</v>
      </c>
      <c r="E456" s="2">
        <v>8826.5487487133123</v>
      </c>
      <c r="F456" s="2">
        <v>104.2</v>
      </c>
      <c r="G456" s="2">
        <v>132.09</v>
      </c>
      <c r="H456" s="2">
        <v>0.86048377041032498</v>
      </c>
      <c r="I456" s="2">
        <v>0.52</v>
      </c>
      <c r="J456" s="2">
        <v>3.3815004162785134E-3</v>
      </c>
      <c r="K456" s="2">
        <v>4.5641588940342474E-2</v>
      </c>
      <c r="L456" s="2">
        <v>98.281000000000006</v>
      </c>
      <c r="M456" s="2">
        <v>97.549199999999999</v>
      </c>
      <c r="N456" s="2">
        <v>-1.3076376636664833E-3</v>
      </c>
      <c r="O456" s="2">
        <v>-7.5420260494256652E-3</v>
      </c>
      <c r="P456" s="2">
        <v>104.2</v>
      </c>
      <c r="Q456" s="2">
        <v>-1.9953156028635455E-2</v>
      </c>
      <c r="R456" s="2">
        <v>5.1865266873001538E-3</v>
      </c>
      <c r="S456" s="2">
        <v>8.5680271035786671E-3</v>
      </c>
      <c r="T456" s="2">
        <v>0</v>
      </c>
      <c r="U456" s="2">
        <v>0</v>
      </c>
      <c r="V456" s="2">
        <v>0</v>
      </c>
      <c r="W456" s="2">
        <v>0</v>
      </c>
      <c r="X456" s="2">
        <v>-2.1289716031006913E-4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</row>
    <row r="457" spans="1:98" x14ac:dyDescent="0.2">
      <c r="A457" s="2" t="s">
        <v>736</v>
      </c>
      <c r="B457" s="2">
        <v>465.58600000000001</v>
      </c>
      <c r="C457" s="2">
        <v>-2502.92</v>
      </c>
      <c r="D457" s="2">
        <v>-3330.2093918631572</v>
      </c>
      <c r="E457" s="2">
        <v>3056.9168020205861</v>
      </c>
      <c r="F457" s="2">
        <v>95.7</v>
      </c>
      <c r="G457" s="2">
        <v>119.76</v>
      </c>
      <c r="H457" s="2">
        <v>0.90733830972924401</v>
      </c>
      <c r="I457" s="2">
        <v>0.5</v>
      </c>
      <c r="J457" s="2">
        <v>4.0449257562694494E-3</v>
      </c>
      <c r="K457" s="2">
        <v>4.6934285386455277E-2</v>
      </c>
      <c r="L457" s="2">
        <v>98.673900000000003</v>
      </c>
      <c r="M457" s="2">
        <v>98.481399999999994</v>
      </c>
      <c r="N457" s="2">
        <v>3.9897511682669418E-3</v>
      </c>
      <c r="O457" s="2">
        <v>9.5108317467458292E-3</v>
      </c>
      <c r="P457" s="2">
        <v>95.7</v>
      </c>
      <c r="Q457" s="2">
        <v>-8.5093830860357933E-2</v>
      </c>
      <c r="R457" s="2">
        <v>4.9875415110389679E-3</v>
      </c>
      <c r="S457" s="2">
        <v>9.0324672673084173E-3</v>
      </c>
      <c r="T457" s="2">
        <v>0</v>
      </c>
      <c r="U457" s="2">
        <v>0</v>
      </c>
      <c r="V457" s="2">
        <v>0</v>
      </c>
      <c r="W457" s="2">
        <v>0</v>
      </c>
      <c r="X457" s="2">
        <v>4.6444016372975024E-4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</row>
    <row r="458" spans="1:98" x14ac:dyDescent="0.2">
      <c r="A458" s="2" t="s">
        <v>737</v>
      </c>
      <c r="B458" s="2">
        <v>466.97899999999998</v>
      </c>
      <c r="C458" s="2">
        <v>-20233.16</v>
      </c>
      <c r="D458" s="2">
        <v>-26840.515363988532</v>
      </c>
      <c r="E458" s="2">
        <v>-23510.305972125374</v>
      </c>
      <c r="F458" s="2">
        <v>88.7</v>
      </c>
      <c r="G458" s="2">
        <v>113.31</v>
      </c>
      <c r="H458" s="2">
        <v>0.89101866367493598</v>
      </c>
      <c r="I458" s="2">
        <v>0.56000000000000005</v>
      </c>
      <c r="J458" s="2">
        <v>3.286346862771676E-3</v>
      </c>
      <c r="K458" s="2">
        <v>4.9900092627021816E-2</v>
      </c>
      <c r="L458" s="2">
        <v>99.378699999999995</v>
      </c>
      <c r="M458" s="2">
        <v>98.854600000000005</v>
      </c>
      <c r="N458" s="2">
        <v>7.1173312061230121E-3</v>
      </c>
      <c r="O458" s="2">
        <v>3.7823858285381817E-3</v>
      </c>
      <c r="P458" s="2">
        <v>88.7</v>
      </c>
      <c r="Q458" s="2">
        <v>-7.5958409143374261E-2</v>
      </c>
      <c r="R458" s="2">
        <v>5.5843782939006634E-3</v>
      </c>
      <c r="S458" s="2">
        <v>8.8707251566723395E-3</v>
      </c>
      <c r="T458" s="2">
        <v>0</v>
      </c>
      <c r="U458" s="2">
        <v>0</v>
      </c>
      <c r="V458" s="2">
        <v>0</v>
      </c>
      <c r="W458" s="2">
        <v>0</v>
      </c>
      <c r="X458" s="2">
        <v>-1.6174211063607787E-4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</row>
    <row r="459" spans="1:98" x14ac:dyDescent="0.2">
      <c r="A459" s="2" t="s">
        <v>738</v>
      </c>
      <c r="B459" s="2">
        <v>467.30799999999999</v>
      </c>
      <c r="C459" s="2">
        <v>-5316.54</v>
      </c>
      <c r="D459" s="2">
        <v>-7047.7478088113194</v>
      </c>
      <c r="E459" s="2">
        <v>19792.767555177212</v>
      </c>
      <c r="F459" s="2">
        <v>89.8</v>
      </c>
      <c r="G459" s="2">
        <v>115.25</v>
      </c>
      <c r="H459" s="2">
        <v>0.74876512836736797</v>
      </c>
      <c r="I459" s="2">
        <v>0.45</v>
      </c>
      <c r="J459" s="2">
        <v>2.9698527003355919E-3</v>
      </c>
      <c r="K459" s="2">
        <v>5.2434473909957133E-2</v>
      </c>
      <c r="L459" s="2">
        <v>99.657799999999995</v>
      </c>
      <c r="M459" s="2">
        <v>99.123800000000003</v>
      </c>
      <c r="N459" s="2">
        <v>2.80451256863401E-3</v>
      </c>
      <c r="O459" s="2">
        <v>2.7194902667018184E-3</v>
      </c>
      <c r="P459" s="2">
        <v>89.8</v>
      </c>
      <c r="Q459" s="2">
        <v>1.2325085992619833E-2</v>
      </c>
      <c r="R459" s="2">
        <v>4.4899052728520012E-3</v>
      </c>
      <c r="S459" s="2">
        <v>7.459757973187593E-3</v>
      </c>
      <c r="T459" s="2">
        <v>0</v>
      </c>
      <c r="U459" s="2">
        <v>0</v>
      </c>
      <c r="V459" s="2">
        <v>0</v>
      </c>
      <c r="W459" s="2">
        <v>0</v>
      </c>
      <c r="X459" s="2">
        <v>-1.4109671834847464E-3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</row>
    <row r="460" spans="1:98" x14ac:dyDescent="0.2">
      <c r="A460" s="2" t="s">
        <v>739</v>
      </c>
      <c r="B460" s="2">
        <v>469.91</v>
      </c>
      <c r="C460" s="2">
        <v>-7456.06</v>
      </c>
      <c r="D460" s="2">
        <v>-9829.223094975634</v>
      </c>
      <c r="E460" s="2">
        <v>-2781.4752861643146</v>
      </c>
      <c r="F460" s="2">
        <v>99.7</v>
      </c>
      <c r="G460" s="2">
        <v>129.12</v>
      </c>
      <c r="H460" s="2">
        <v>0.821128973571006</v>
      </c>
      <c r="I460" s="2">
        <v>0.21</v>
      </c>
      <c r="J460" s="2">
        <v>6.0799624343760329E-3</v>
      </c>
      <c r="K460" s="2">
        <v>5.7220851102244785E-2</v>
      </c>
      <c r="L460" s="2">
        <v>98.957899999999995</v>
      </c>
      <c r="M460" s="2">
        <v>99.084500000000006</v>
      </c>
      <c r="N460" s="2">
        <v>-7.047810390572451E-3</v>
      </c>
      <c r="O460" s="2">
        <v>-3.9655252090842197E-4</v>
      </c>
      <c r="P460" s="2">
        <v>99.7</v>
      </c>
      <c r="Q460" s="2">
        <v>0.10458070165963829</v>
      </c>
      <c r="R460" s="2">
        <v>2.0977980821461199E-3</v>
      </c>
      <c r="S460" s="2">
        <v>8.1777605165221524E-3</v>
      </c>
      <c r="T460" s="2">
        <v>0</v>
      </c>
      <c r="U460" s="2">
        <v>0</v>
      </c>
      <c r="V460" s="2">
        <v>0</v>
      </c>
      <c r="W460" s="2">
        <v>0</v>
      </c>
      <c r="X460" s="2">
        <v>7.1800254333455934E-4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</row>
    <row r="461" spans="1:98" x14ac:dyDescent="0.2">
      <c r="A461" s="2" t="s">
        <v>740</v>
      </c>
      <c r="B461" s="2">
        <v>474.68299999999999</v>
      </c>
      <c r="C461" s="2">
        <v>-11479.07</v>
      </c>
      <c r="D461" s="2">
        <v>-14980.541471508353</v>
      </c>
      <c r="E461" s="2">
        <v>-5151.3183765327194</v>
      </c>
      <c r="F461" s="2">
        <v>92.8</v>
      </c>
      <c r="G461" s="2">
        <v>118.64</v>
      </c>
      <c r="H461" s="2">
        <v>0.71187033506123798</v>
      </c>
      <c r="I461" s="2">
        <v>0.64</v>
      </c>
      <c r="J461" s="2">
        <v>7.1387802848684161E-4</v>
      </c>
      <c r="K461" s="2">
        <v>5.7238721838045861E-2</v>
      </c>
      <c r="L461" s="2">
        <v>99.839600000000004</v>
      </c>
      <c r="M461" s="2">
        <v>98.294799999999995</v>
      </c>
      <c r="N461" s="2">
        <v>8.8703910389948959E-3</v>
      </c>
      <c r="O461" s="2">
        <v>-8.0018949679567797E-3</v>
      </c>
      <c r="P461" s="2">
        <v>92.8</v>
      </c>
      <c r="Q461" s="2">
        <v>-7.1719037175637546E-2</v>
      </c>
      <c r="R461" s="2">
        <v>6.3796069640389879E-3</v>
      </c>
      <c r="S461" s="2">
        <v>7.0934849925258295E-3</v>
      </c>
      <c r="T461" s="2">
        <v>0</v>
      </c>
      <c r="U461" s="2">
        <v>0</v>
      </c>
      <c r="V461" s="2">
        <v>0</v>
      </c>
      <c r="W461" s="2">
        <v>0</v>
      </c>
      <c r="X461" s="2">
        <v>-1.0842755239963229E-3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</row>
    <row r="462" spans="1:98" x14ac:dyDescent="0.2">
      <c r="A462" s="2" t="s">
        <v>741</v>
      </c>
      <c r="B462" s="2">
        <v>479.01900000000001</v>
      </c>
      <c r="C462" s="2">
        <v>-1557.95</v>
      </c>
      <c r="D462" s="2">
        <v>-2014.7690054047962</v>
      </c>
      <c r="E462" s="2">
        <v>12965.772466103557</v>
      </c>
      <c r="F462" s="2">
        <v>102.5</v>
      </c>
      <c r="G462" s="2">
        <v>128.72</v>
      </c>
      <c r="H462" s="2">
        <v>0.74471835203446801</v>
      </c>
      <c r="I462" s="2">
        <v>0.36</v>
      </c>
      <c r="J462" s="2">
        <v>3.8260546495525014E-3</v>
      </c>
      <c r="K462" s="2">
        <v>5.5922372417694224E-2</v>
      </c>
      <c r="L462" s="2">
        <v>100.0042</v>
      </c>
      <c r="M462" s="2">
        <v>99.116799999999998</v>
      </c>
      <c r="N462" s="2">
        <v>1.6472869032808646E-3</v>
      </c>
      <c r="O462" s="2">
        <v>8.3278262336534681E-3</v>
      </c>
      <c r="P462" s="2">
        <v>102.5</v>
      </c>
      <c r="Q462" s="2">
        <v>9.9416158786308273E-2</v>
      </c>
      <c r="R462" s="2">
        <v>3.5935355101302181E-3</v>
      </c>
      <c r="S462" s="2">
        <v>7.4195901596827195E-3</v>
      </c>
      <c r="T462" s="2">
        <v>0</v>
      </c>
      <c r="U462" s="2">
        <v>0</v>
      </c>
      <c r="V462" s="2">
        <v>0</v>
      </c>
      <c r="W462" s="2">
        <v>0</v>
      </c>
      <c r="X462" s="2">
        <v>3.2610516715689004E-4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</row>
    <row r="463" spans="1:98" x14ac:dyDescent="0.2">
      <c r="A463" s="2" t="s">
        <v>742</v>
      </c>
      <c r="B463" s="2">
        <v>482.31099999999998</v>
      </c>
      <c r="C463" s="2">
        <v>-2018.97</v>
      </c>
      <c r="D463" s="2">
        <v>-2593.1472840553088</v>
      </c>
      <c r="E463" s="2">
        <v>-578.37827865051258</v>
      </c>
      <c r="F463" s="2">
        <v>98.3</v>
      </c>
      <c r="G463" s="2">
        <v>122.65</v>
      </c>
      <c r="H463" s="2">
        <v>0.64149533661528302</v>
      </c>
      <c r="I463" s="2">
        <v>0.08</v>
      </c>
      <c r="J463" s="2">
        <v>5.5947849562960582E-3</v>
      </c>
      <c r="K463" s="2">
        <v>5.349870912768484E-2</v>
      </c>
      <c r="L463" s="2">
        <v>100.0318</v>
      </c>
      <c r="M463" s="2">
        <v>101.8729</v>
      </c>
      <c r="N463" s="2">
        <v>2.7595033069172104E-4</v>
      </c>
      <c r="O463" s="2">
        <v>2.742700515196983E-2</v>
      </c>
      <c r="P463" s="2">
        <v>98.3</v>
      </c>
      <c r="Q463" s="2">
        <v>-4.1838771425342536E-2</v>
      </c>
      <c r="R463" s="2">
        <v>7.9968017056424414E-4</v>
      </c>
      <c r="S463" s="2">
        <v>6.394465126860302E-3</v>
      </c>
      <c r="T463" s="2">
        <v>0</v>
      </c>
      <c r="U463" s="2">
        <v>0</v>
      </c>
      <c r="V463" s="2">
        <v>0</v>
      </c>
      <c r="W463" s="2">
        <v>0</v>
      </c>
      <c r="X463" s="2">
        <v>-1.0251250328224175E-3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</row>
    <row r="464" spans="1:98" x14ac:dyDescent="0.2">
      <c r="A464" s="2" t="s">
        <v>743</v>
      </c>
      <c r="B464" s="2">
        <v>489.62099999999998</v>
      </c>
      <c r="C464" s="2">
        <v>-3834.69</v>
      </c>
      <c r="D464" s="2">
        <v>-4851.7086122531509</v>
      </c>
      <c r="E464" s="2">
        <v>-2258.5613281978422</v>
      </c>
      <c r="F464" s="2">
        <v>104.5</v>
      </c>
      <c r="G464" s="2">
        <v>129.91999999999999</v>
      </c>
      <c r="H464" s="2">
        <v>0.679965319123643</v>
      </c>
      <c r="I464" s="2">
        <v>0.43</v>
      </c>
      <c r="J464" s="2">
        <v>2.4858583954160754E-3</v>
      </c>
      <c r="K464" s="2">
        <v>4.7950998472244787E-2</v>
      </c>
      <c r="L464" s="2">
        <v>100.31319999999999</v>
      </c>
      <c r="M464" s="2">
        <v>100.18210000000001</v>
      </c>
      <c r="N464" s="2">
        <v>2.8091560563261453E-3</v>
      </c>
      <c r="O464" s="2">
        <v>-1.6736427873949467E-2</v>
      </c>
      <c r="P464" s="2">
        <v>104.5</v>
      </c>
      <c r="Q464" s="2">
        <v>6.1163044251745013E-2</v>
      </c>
      <c r="R464" s="2">
        <v>4.2907814171562458E-3</v>
      </c>
      <c r="S464" s="2">
        <v>6.7766398125723212E-3</v>
      </c>
      <c r="T464" s="2">
        <v>0</v>
      </c>
      <c r="U464" s="2">
        <v>0</v>
      </c>
      <c r="V464" s="2">
        <v>0</v>
      </c>
      <c r="W464" s="2">
        <v>0</v>
      </c>
      <c r="X464" s="2">
        <v>3.8217468571201917E-4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</row>
    <row r="465" spans="1:98" x14ac:dyDescent="0.2">
      <c r="A465" s="2" t="s">
        <v>744</v>
      </c>
      <c r="B465" s="2">
        <v>495.94900000000001</v>
      </c>
      <c r="C465" s="2">
        <v>-1172.5899999999999</v>
      </c>
      <c r="D465" s="2">
        <v>-1464.649314425475</v>
      </c>
      <c r="E465" s="2">
        <v>3387.0592978276759</v>
      </c>
      <c r="F465" s="2">
        <v>111.5</v>
      </c>
      <c r="G465" s="2">
        <v>137.54</v>
      </c>
      <c r="H465" s="2">
        <v>0.69181692992583699</v>
      </c>
      <c r="I465" s="2">
        <v>0.41</v>
      </c>
      <c r="J465" s="2">
        <v>2.8027306635792799E-3</v>
      </c>
      <c r="K465" s="2">
        <v>4.376355309259574E-2</v>
      </c>
      <c r="L465" s="2">
        <v>99.838899999999995</v>
      </c>
      <c r="M465" s="2">
        <v>101.8822</v>
      </c>
      <c r="N465" s="2">
        <v>-4.7394045609161495E-3</v>
      </c>
      <c r="O465" s="2">
        <v>1.6827713932619837E-2</v>
      </c>
      <c r="P465" s="2">
        <v>111.5</v>
      </c>
      <c r="Q465" s="2">
        <v>6.4837519495307916E-2</v>
      </c>
      <c r="R465" s="2">
        <v>4.0916179032535575E-3</v>
      </c>
      <c r="S465" s="2">
        <v>6.8943485668328374E-3</v>
      </c>
      <c r="T465" s="2">
        <v>0</v>
      </c>
      <c r="U465" s="2">
        <v>0</v>
      </c>
      <c r="V465" s="2">
        <v>0</v>
      </c>
      <c r="W465" s="2">
        <v>0</v>
      </c>
      <c r="X465" s="2">
        <v>1.1770875426051625E-4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</row>
    <row r="466" spans="1:98" x14ac:dyDescent="0.2">
      <c r="A466" s="2" t="s">
        <v>745</v>
      </c>
      <c r="B466" s="2">
        <v>500.31400000000002</v>
      </c>
      <c r="C466" s="2">
        <v>-930.56</v>
      </c>
      <c r="D466" s="2">
        <v>-1152.1955942867878</v>
      </c>
      <c r="E466" s="2">
        <v>312.45372013868723</v>
      </c>
      <c r="F466" s="2">
        <v>103.4</v>
      </c>
      <c r="G466" s="2">
        <v>128.38999999999999</v>
      </c>
      <c r="H466" s="2">
        <v>0.539003279356987</v>
      </c>
      <c r="I466" s="2">
        <v>0.56999999999999995</v>
      </c>
      <c r="J466" s="2">
        <v>-3.0825791369877391E-4</v>
      </c>
      <c r="K466" s="2">
        <v>3.9367779796395733E-2</v>
      </c>
      <c r="L466" s="2">
        <v>99.959900000000005</v>
      </c>
      <c r="M466" s="2">
        <v>100.9534</v>
      </c>
      <c r="N466" s="2">
        <v>1.2112186338733011E-3</v>
      </c>
      <c r="O466" s="2">
        <v>-9.15821967899344E-3</v>
      </c>
      <c r="P466" s="2">
        <v>103.4</v>
      </c>
      <c r="Q466" s="2">
        <v>-7.5419628825844853E-2</v>
      </c>
      <c r="R466" s="2">
        <v>5.6838164682977092E-3</v>
      </c>
      <c r="S466" s="2">
        <v>5.3755585545989353E-3</v>
      </c>
      <c r="T466" s="2">
        <v>0</v>
      </c>
      <c r="U466" s="2">
        <v>0</v>
      </c>
      <c r="V466" s="2">
        <v>0</v>
      </c>
      <c r="W466" s="2">
        <v>0</v>
      </c>
      <c r="X466" s="2">
        <v>-1.5187900122339022E-3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</row>
    <row r="467" spans="1:98" x14ac:dyDescent="0.2">
      <c r="A467" s="2" t="s">
        <v>746</v>
      </c>
      <c r="B467" s="2">
        <v>498.73899999999998</v>
      </c>
      <c r="C467" s="2">
        <v>-10060.73</v>
      </c>
      <c r="D467" s="2">
        <v>-12496.277165972582</v>
      </c>
      <c r="E467" s="2">
        <v>-11344.081571685794</v>
      </c>
      <c r="F467" s="2">
        <v>111.8</v>
      </c>
      <c r="G467" s="2">
        <v>138.32</v>
      </c>
      <c r="H467" s="2">
        <v>0.61134602626242696</v>
      </c>
      <c r="I467" s="2">
        <v>0.59</v>
      </c>
      <c r="J467" s="2">
        <v>2.1218572106100446E-4</v>
      </c>
      <c r="K467" s="2">
        <v>3.5089822670724247E-2</v>
      </c>
      <c r="L467" s="2">
        <v>100.2146</v>
      </c>
      <c r="M467" s="2">
        <v>100.026</v>
      </c>
      <c r="N467" s="2">
        <v>2.5447810530430104E-3</v>
      </c>
      <c r="O467" s="2">
        <v>-9.2288720373607802E-3</v>
      </c>
      <c r="P467" s="2">
        <v>111.8</v>
      </c>
      <c r="Q467" s="2">
        <v>7.8106598646670022E-2</v>
      </c>
      <c r="R467" s="2">
        <v>5.8826631581555119E-3</v>
      </c>
      <c r="S467" s="2">
        <v>6.0948488792165164E-3</v>
      </c>
      <c r="T467" s="2">
        <v>0</v>
      </c>
      <c r="U467" s="2">
        <v>0</v>
      </c>
      <c r="V467" s="2">
        <v>0</v>
      </c>
      <c r="W467" s="2">
        <v>0</v>
      </c>
      <c r="X467" s="2">
        <v>7.1929032461758111E-4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</row>
    <row r="468" spans="1:98" x14ac:dyDescent="0.2">
      <c r="A468" s="2" t="s">
        <v>747</v>
      </c>
      <c r="B468" s="2">
        <v>499.98899999999998</v>
      </c>
      <c r="C468" s="2">
        <v>5875.28</v>
      </c>
      <c r="D468" s="2">
        <v>7279.3500522611503</v>
      </c>
      <c r="E468" s="2">
        <v>19775.627218233734</v>
      </c>
      <c r="F468" s="2">
        <v>104.8</v>
      </c>
      <c r="G468" s="2">
        <v>131.1</v>
      </c>
      <c r="H468" s="2">
        <v>0.54885153052015601</v>
      </c>
      <c r="I468" s="2">
        <v>0.6</v>
      </c>
      <c r="J468" s="2">
        <v>-5.0856338669664266E-4</v>
      </c>
      <c r="K468" s="2">
        <v>3.1199758867749096E-2</v>
      </c>
      <c r="L468" s="2">
        <v>100.7651</v>
      </c>
      <c r="M468" s="2">
        <v>100.0301</v>
      </c>
      <c r="N468" s="2">
        <v>5.4781789079045851E-3</v>
      </c>
      <c r="O468" s="2">
        <v>4.0988502730598952E-5</v>
      </c>
      <c r="P468" s="2">
        <v>104.8</v>
      </c>
      <c r="Q468" s="2">
        <v>-6.465778883405715E-2</v>
      </c>
      <c r="R468" s="2">
        <v>5.9820716775474689E-3</v>
      </c>
      <c r="S468" s="2">
        <v>5.4735082908508263E-3</v>
      </c>
      <c r="T468" s="2">
        <v>0</v>
      </c>
      <c r="U468" s="2">
        <v>0</v>
      </c>
      <c r="V468" s="2">
        <v>0</v>
      </c>
      <c r="W468" s="2">
        <v>0</v>
      </c>
      <c r="X468" s="2">
        <v>-6.2134058836569011E-4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</row>
    <row r="469" spans="1:98" x14ac:dyDescent="0.2">
      <c r="A469" s="2" t="s">
        <v>748</v>
      </c>
      <c r="B469" s="2">
        <v>503.28300000000002</v>
      </c>
      <c r="C469" s="2">
        <v>-27900.93</v>
      </c>
      <c r="D469" s="2">
        <v>-34342.420691102227</v>
      </c>
      <c r="E469" s="2">
        <v>-41621.770743363377</v>
      </c>
      <c r="F469" s="2">
        <v>92.2</v>
      </c>
      <c r="G469" s="2">
        <v>115.7</v>
      </c>
      <c r="H469" s="2">
        <v>0.55015379161562605</v>
      </c>
      <c r="I469" s="2">
        <v>0.79</v>
      </c>
      <c r="J469" s="2">
        <v>-2.3824986454103062E-3</v>
      </c>
      <c r="K469" s="2">
        <v>2.4772334466069336E-2</v>
      </c>
      <c r="L469" s="2">
        <v>101.0382</v>
      </c>
      <c r="M469" s="2">
        <v>100.5789</v>
      </c>
      <c r="N469" s="2">
        <v>2.7065976296718475E-3</v>
      </c>
      <c r="O469" s="2">
        <v>5.4713534194279489E-3</v>
      </c>
      <c r="P469" s="2">
        <v>92.2</v>
      </c>
      <c r="Q469" s="2">
        <v>-0.12809364132439338</v>
      </c>
      <c r="R469" s="2">
        <v>7.8689583786951973E-3</v>
      </c>
      <c r="S469" s="2">
        <v>5.4864597332848911E-3</v>
      </c>
      <c r="T469" s="2">
        <v>0</v>
      </c>
      <c r="U469" s="2">
        <v>0</v>
      </c>
      <c r="V469" s="2">
        <v>0</v>
      </c>
      <c r="W469" s="2">
        <v>0</v>
      </c>
      <c r="X469" s="2">
        <v>1.295144243406484E-5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</row>
    <row r="470" spans="1:98" x14ac:dyDescent="0.2">
      <c r="A470" s="2" t="s">
        <v>749</v>
      </c>
      <c r="B470" s="2">
        <v>504.83</v>
      </c>
      <c r="C470" s="2">
        <v>-26088.37</v>
      </c>
      <c r="D470" s="2">
        <v>-32012.992678961236</v>
      </c>
      <c r="E470" s="2">
        <v>2329.4280121409902</v>
      </c>
      <c r="F470" s="2">
        <v>94.5</v>
      </c>
      <c r="G470" s="2">
        <v>120.04</v>
      </c>
      <c r="H470" s="2">
        <v>0.60144250599902804</v>
      </c>
      <c r="I470" s="2">
        <v>0.86</v>
      </c>
      <c r="J470" s="2">
        <v>-2.5668200599079294E-3</v>
      </c>
      <c r="K470" s="2">
        <v>1.891916754338973E-2</v>
      </c>
      <c r="L470" s="2">
        <v>100.9614</v>
      </c>
      <c r="M470" s="2">
        <v>100.5607</v>
      </c>
      <c r="N470" s="2">
        <v>-7.6039758198032104E-4</v>
      </c>
      <c r="O470" s="2">
        <v>-1.8096884004581426E-4</v>
      </c>
      <c r="P470" s="2">
        <v>94.5</v>
      </c>
      <c r="Q470" s="2">
        <v>2.4639703937149093E-2</v>
      </c>
      <c r="R470" s="2">
        <v>8.5632306604878135E-3</v>
      </c>
      <c r="S470" s="2">
        <v>5.9964106005798842E-3</v>
      </c>
      <c r="T470" s="2">
        <v>0</v>
      </c>
      <c r="U470" s="2">
        <v>0</v>
      </c>
      <c r="V470" s="2">
        <v>0</v>
      </c>
      <c r="W470" s="2">
        <v>0</v>
      </c>
      <c r="X470" s="2">
        <v>5.099508672949931E-4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</row>
    <row r="471" spans="1:98" x14ac:dyDescent="0.2">
      <c r="A471" s="2" t="s">
        <v>750</v>
      </c>
      <c r="B471" s="2">
        <v>505.83199999999999</v>
      </c>
      <c r="C471" s="2">
        <v>7143.8</v>
      </c>
      <c r="D471" s="2">
        <v>8748.779533125622</v>
      </c>
      <c r="E471" s="2">
        <v>40761.772212086857</v>
      </c>
      <c r="F471" s="2">
        <v>88.1</v>
      </c>
      <c r="G471" s="2">
        <v>112.26</v>
      </c>
      <c r="H471" s="2">
        <v>0.49327219824422103</v>
      </c>
      <c r="I471" s="2">
        <v>0.6</v>
      </c>
      <c r="J471" s="2">
        <v>-1.0614757083637037E-3</v>
      </c>
      <c r="K471" s="2">
        <v>1.4887839134690436E-2</v>
      </c>
      <c r="L471" s="2">
        <v>101.4781</v>
      </c>
      <c r="M471" s="2">
        <v>100.8241</v>
      </c>
      <c r="N471" s="2">
        <v>5.1047460800113242E-3</v>
      </c>
      <c r="O471" s="2">
        <v>2.6158890859795392E-3</v>
      </c>
      <c r="P471" s="2">
        <v>88.1</v>
      </c>
      <c r="Q471" s="2">
        <v>-7.0127301557563193E-2</v>
      </c>
      <c r="R471" s="2">
        <v>5.9820716775474689E-3</v>
      </c>
      <c r="S471" s="2">
        <v>4.9205959691837652E-3</v>
      </c>
      <c r="T471" s="2">
        <v>0</v>
      </c>
      <c r="U471" s="2">
        <v>0</v>
      </c>
      <c r="V471" s="2">
        <v>0</v>
      </c>
      <c r="W471" s="2">
        <v>0</v>
      </c>
      <c r="X471" s="2">
        <v>-1.075814631396119E-3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</row>
    <row r="472" spans="1:98" x14ac:dyDescent="0.2">
      <c r="A472" s="2" t="s">
        <v>751</v>
      </c>
      <c r="B472" s="2">
        <v>507.375</v>
      </c>
      <c r="C472" s="2">
        <v>-1059.3800000000001</v>
      </c>
      <c r="D472" s="2">
        <v>-1293.442690081301</v>
      </c>
      <c r="E472" s="2">
        <v>-10042.222223206923</v>
      </c>
      <c r="F472" s="2">
        <v>97.7</v>
      </c>
      <c r="G472" s="2">
        <v>124.92</v>
      </c>
      <c r="H472" s="2">
        <v>0.54941004916479996</v>
      </c>
      <c r="I472" s="2">
        <v>0.47</v>
      </c>
      <c r="J472" s="2">
        <v>7.9007348868587613E-4</v>
      </c>
      <c r="K472" s="2">
        <v>9.5979501890002816E-3</v>
      </c>
      <c r="L472" s="2">
        <v>101.6302</v>
      </c>
      <c r="M472" s="2">
        <v>101.4091</v>
      </c>
      <c r="N472" s="2">
        <v>1.4977234158548569E-3</v>
      </c>
      <c r="O472" s="2">
        <v>5.7854163580701723E-3</v>
      </c>
      <c r="P472" s="2">
        <v>97.7</v>
      </c>
      <c r="Q472" s="2">
        <v>0.10342902610660332</v>
      </c>
      <c r="R472" s="2">
        <v>4.6889894861314695E-3</v>
      </c>
      <c r="S472" s="2">
        <v>5.4790629748173456E-3</v>
      </c>
      <c r="T472" s="2">
        <v>0</v>
      </c>
      <c r="U472" s="2">
        <v>0</v>
      </c>
      <c r="V472" s="2">
        <v>0</v>
      </c>
      <c r="W472" s="2">
        <v>0</v>
      </c>
      <c r="X472" s="2">
        <v>5.584670056335804E-4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</row>
    <row r="473" spans="1:98" x14ac:dyDescent="0.2">
      <c r="A473" s="2" t="s">
        <v>752</v>
      </c>
      <c r="B473" s="2">
        <v>507.08699999999999</v>
      </c>
      <c r="C473" s="2">
        <v>-7064.55</v>
      </c>
      <c r="D473" s="2">
        <v>-8630.3123049890855</v>
      </c>
      <c r="E473" s="2">
        <v>-7336.8696149077841</v>
      </c>
      <c r="F473" s="2">
        <v>101.8</v>
      </c>
      <c r="G473" s="2">
        <v>128.84</v>
      </c>
      <c r="H473" s="2">
        <v>0.61365429310757902</v>
      </c>
      <c r="I473" s="2">
        <v>0.55000000000000004</v>
      </c>
      <c r="J473" s="2">
        <v>6.3286079640763673E-4</v>
      </c>
      <c r="K473" s="2">
        <v>9.5169329569210759E-3</v>
      </c>
      <c r="L473" s="2">
        <v>101.5825</v>
      </c>
      <c r="M473" s="2">
        <v>100.50449999999999</v>
      </c>
      <c r="N473" s="2">
        <v>-4.6945885642113439E-4</v>
      </c>
      <c r="O473" s="2">
        <v>-8.96032810399916E-3</v>
      </c>
      <c r="P473" s="2">
        <v>101.8</v>
      </c>
      <c r="Q473" s="2">
        <v>4.1108545067684688E-2</v>
      </c>
      <c r="R473" s="2">
        <v>5.4849302305697454E-3</v>
      </c>
      <c r="S473" s="2">
        <v>6.1177910269773822E-3</v>
      </c>
      <c r="T473" s="2">
        <v>0</v>
      </c>
      <c r="U473" s="2">
        <v>0</v>
      </c>
      <c r="V473" s="2">
        <v>0</v>
      </c>
      <c r="W473" s="2">
        <v>0</v>
      </c>
      <c r="X473" s="2">
        <v>6.3872805216003657E-4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</row>
    <row r="474" spans="1:98" x14ac:dyDescent="0.2">
      <c r="A474" s="2" t="s">
        <v>753</v>
      </c>
      <c r="B474" s="2">
        <v>508.71499999999997</v>
      </c>
      <c r="C474" s="2">
        <v>-5235.57</v>
      </c>
      <c r="D474" s="2">
        <v>-6375.4950440226839</v>
      </c>
      <c r="E474" s="2">
        <v>2254.8172609664016</v>
      </c>
      <c r="F474" s="2">
        <v>105</v>
      </c>
      <c r="G474" s="2">
        <v>130.51</v>
      </c>
      <c r="H474" s="2">
        <v>0.59854392345013396</v>
      </c>
      <c r="I474" s="2">
        <v>0.37</v>
      </c>
      <c r="J474" s="2">
        <v>2.2744258132147829E-3</v>
      </c>
      <c r="K474" s="2">
        <v>7.9653041205833587E-3</v>
      </c>
      <c r="L474" s="2">
        <v>101.6016</v>
      </c>
      <c r="M474" s="2">
        <v>100.64790000000001</v>
      </c>
      <c r="N474" s="2">
        <v>1.8800683770336946E-4</v>
      </c>
      <c r="O474" s="2">
        <v>1.4257848705039322E-3</v>
      </c>
      <c r="P474" s="2">
        <v>105</v>
      </c>
      <c r="Q474" s="2">
        <v>3.0950246041101082E-2</v>
      </c>
      <c r="R474" s="2">
        <v>3.6931718376176067E-3</v>
      </c>
      <c r="S474" s="2">
        <v>5.9675976508323895E-3</v>
      </c>
      <c r="T474" s="2">
        <v>0</v>
      </c>
      <c r="U474" s="2">
        <v>0</v>
      </c>
      <c r="V474" s="2">
        <v>0</v>
      </c>
      <c r="W474" s="2">
        <v>0</v>
      </c>
      <c r="X474" s="2">
        <v>-1.5019337614499261E-4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</row>
    <row r="475" spans="1:98" x14ac:dyDescent="0.2">
      <c r="A475" s="2" t="s">
        <v>754</v>
      </c>
      <c r="B475" s="2">
        <v>512.59799999999996</v>
      </c>
      <c r="C475" s="2">
        <v>-1424.33</v>
      </c>
      <c r="D475" s="2">
        <v>-1721.3064644809383</v>
      </c>
      <c r="E475" s="2">
        <v>4654.1885795417456</v>
      </c>
      <c r="F475" s="2">
        <v>101.7</v>
      </c>
      <c r="G475" s="2">
        <v>126.2</v>
      </c>
      <c r="H475" s="2">
        <v>0.60527431792243302</v>
      </c>
      <c r="I475" s="2">
        <v>0.26</v>
      </c>
      <c r="J475" s="2">
        <v>3.4378730635289951E-3</v>
      </c>
      <c r="K475" s="2">
        <v>5.8083922278162944E-3</v>
      </c>
      <c r="L475" s="2">
        <v>101.82210000000001</v>
      </c>
      <c r="M475" s="2">
        <v>103.4528</v>
      </c>
      <c r="N475" s="2">
        <v>2.16788984132954E-3</v>
      </c>
      <c r="O475" s="2">
        <v>2.7487182554215117E-2</v>
      </c>
      <c r="P475" s="2">
        <v>101.7</v>
      </c>
      <c r="Q475" s="2">
        <v>-3.1933047103009038E-2</v>
      </c>
      <c r="R475" s="2">
        <v>2.5966258472659141E-3</v>
      </c>
      <c r="S475" s="2">
        <v>6.0344989107949092E-3</v>
      </c>
      <c r="T475" s="2">
        <v>0</v>
      </c>
      <c r="U475" s="2">
        <v>0</v>
      </c>
      <c r="V475" s="2">
        <v>0</v>
      </c>
      <c r="W475" s="2">
        <v>0</v>
      </c>
      <c r="X475" s="2">
        <v>6.690125996251968E-5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</row>
    <row r="476" spans="1:98" x14ac:dyDescent="0.2">
      <c r="A476" s="2" t="s">
        <v>755</v>
      </c>
      <c r="B476" s="2">
        <v>513.31299999999999</v>
      </c>
      <c r="C476" s="2">
        <v>-3767.59</v>
      </c>
      <c r="D476" s="2">
        <v>-4546.8000670935671</v>
      </c>
      <c r="E476" s="2">
        <v>-2825.4936026126288</v>
      </c>
      <c r="F476" s="2">
        <v>108</v>
      </c>
      <c r="G476" s="2">
        <v>132.32</v>
      </c>
      <c r="H476" s="2">
        <v>0.72409550673591105</v>
      </c>
      <c r="I476" s="2">
        <v>0.03</v>
      </c>
      <c r="J476" s="2">
        <v>6.9149102111212505E-3</v>
      </c>
      <c r="K476" s="2">
        <v>1.0237444043521469E-2</v>
      </c>
      <c r="L476" s="2">
        <v>101.2443</v>
      </c>
      <c r="M476" s="2">
        <v>101.25579999999999</v>
      </c>
      <c r="N476" s="2">
        <v>-5.6907647875519274E-3</v>
      </c>
      <c r="O476" s="2">
        <v>-2.1465481744228576E-2</v>
      </c>
      <c r="P476" s="2">
        <v>108</v>
      </c>
      <c r="Q476" s="2">
        <v>6.0103924069705883E-2</v>
      </c>
      <c r="R476" s="2">
        <v>2.9995500899794244E-4</v>
      </c>
      <c r="S476" s="2">
        <v>7.2148652201191928E-3</v>
      </c>
      <c r="T476" s="2">
        <v>0</v>
      </c>
      <c r="U476" s="2">
        <v>0</v>
      </c>
      <c r="V476" s="2">
        <v>0</v>
      </c>
      <c r="W476" s="2">
        <v>0</v>
      </c>
      <c r="X476" s="2">
        <v>1.1803663093242836E-3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</row>
    <row r="477" spans="1:98" x14ac:dyDescent="0.2">
      <c r="A477" s="2" t="s">
        <v>756</v>
      </c>
      <c r="B477" s="2">
        <v>515.68799999999999</v>
      </c>
      <c r="C477" s="2">
        <v>54.57</v>
      </c>
      <c r="D477" s="2">
        <v>65.552825196630522</v>
      </c>
      <c r="E477" s="2">
        <v>4612.3528922901978</v>
      </c>
      <c r="F477" s="2">
        <v>112</v>
      </c>
      <c r="G477" s="2">
        <v>136.13999999999999</v>
      </c>
      <c r="H477" s="2">
        <v>0.71031951613671496</v>
      </c>
      <c r="I477" s="2">
        <v>0.24</v>
      </c>
      <c r="J477" s="2">
        <v>4.6809617028616361E-3</v>
      </c>
      <c r="K477" s="2">
        <v>1.2115675082803826E-2</v>
      </c>
      <c r="L477" s="2">
        <v>101.9928</v>
      </c>
      <c r="M477" s="2">
        <v>104.0902</v>
      </c>
      <c r="N477" s="2">
        <v>7.3658144518535806E-3</v>
      </c>
      <c r="O477" s="2">
        <v>2.7607842643089242E-2</v>
      </c>
      <c r="P477" s="2">
        <v>112</v>
      </c>
      <c r="Q477" s="2">
        <v>3.6367644170874236E-2</v>
      </c>
      <c r="R477" s="2">
        <v>2.3971245997214514E-3</v>
      </c>
      <c r="S477" s="2">
        <v>7.078086302583087E-3</v>
      </c>
      <c r="T477" s="2">
        <v>0</v>
      </c>
      <c r="U477" s="2">
        <v>0</v>
      </c>
      <c r="V477" s="2">
        <v>0</v>
      </c>
      <c r="W477" s="2">
        <v>0</v>
      </c>
      <c r="X477" s="2">
        <v>-1.3677891753610585E-4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</row>
    <row r="478" spans="1:98" x14ac:dyDescent="0.2">
      <c r="A478" s="2" t="s">
        <v>757</v>
      </c>
      <c r="B478" s="2">
        <v>522.69000000000005</v>
      </c>
      <c r="C478" s="2">
        <v>10760.03</v>
      </c>
      <c r="D478" s="2">
        <v>12752.454311886588</v>
      </c>
      <c r="E478" s="2">
        <v>12686.901486689958</v>
      </c>
      <c r="F478" s="2">
        <v>107.3</v>
      </c>
      <c r="G478" s="2">
        <v>130.99</v>
      </c>
      <c r="H478" s="2">
        <v>0.71302872999581302</v>
      </c>
      <c r="I478" s="2">
        <v>0.35</v>
      </c>
      <c r="J478" s="2">
        <v>3.6110977416465811E-3</v>
      </c>
      <c r="K478" s="2">
        <v>1.6035030738149179E-2</v>
      </c>
      <c r="L478" s="2">
        <v>102.4847</v>
      </c>
      <c r="M478" s="2">
        <v>103.42270000000001</v>
      </c>
      <c r="N478" s="2">
        <v>4.8112965866495827E-3</v>
      </c>
      <c r="O478" s="2">
        <v>-6.4333571764514375E-3</v>
      </c>
      <c r="P478" s="2">
        <v>107.3</v>
      </c>
      <c r="Q478" s="2">
        <v>-4.2870221658441565E-2</v>
      </c>
      <c r="R478" s="2">
        <v>3.4938892542558382E-3</v>
      </c>
      <c r="S478" s="2">
        <v>7.1049869959024193E-3</v>
      </c>
      <c r="T478" s="2">
        <v>0</v>
      </c>
      <c r="U478" s="2">
        <v>0</v>
      </c>
      <c r="V478" s="2">
        <v>0</v>
      </c>
      <c r="W478" s="2">
        <v>0</v>
      </c>
      <c r="X478" s="2">
        <v>2.6900693319332342E-5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</row>
    <row r="479" spans="1:98" x14ac:dyDescent="0.2">
      <c r="A479" s="2" t="s">
        <v>758</v>
      </c>
      <c r="B479" s="2">
        <v>525.96600000000001</v>
      </c>
      <c r="C479" s="2">
        <v>-5256.93</v>
      </c>
      <c r="D479" s="2">
        <v>-6191.5446410604491</v>
      </c>
      <c r="E479" s="2">
        <v>-18943.998952947037</v>
      </c>
      <c r="F479" s="2">
        <v>112.6</v>
      </c>
      <c r="G479" s="2">
        <v>139.75</v>
      </c>
      <c r="H479" s="2">
        <v>0.81051711664521497</v>
      </c>
      <c r="I479" s="2">
        <v>0.56999999999999995</v>
      </c>
      <c r="J479" s="2">
        <v>2.3886842128626809E-3</v>
      </c>
      <c r="K479" s="2">
        <v>1.8211529229950858E-2</v>
      </c>
      <c r="L479" s="2">
        <v>102.42870000000001</v>
      </c>
      <c r="M479" s="2">
        <v>102.298</v>
      </c>
      <c r="N479" s="2">
        <v>-5.4657237051447538E-4</v>
      </c>
      <c r="O479" s="2">
        <v>-1.0934351338900861E-2</v>
      </c>
      <c r="P479" s="2">
        <v>112.6</v>
      </c>
      <c r="Q479" s="2">
        <v>4.8213066068937493E-2</v>
      </c>
      <c r="R479" s="2">
        <v>5.6838164682977092E-3</v>
      </c>
      <c r="S479" s="2">
        <v>8.0725006811603901E-3</v>
      </c>
      <c r="T479" s="2">
        <v>0</v>
      </c>
      <c r="U479" s="2">
        <v>0</v>
      </c>
      <c r="V479" s="2">
        <v>0</v>
      </c>
      <c r="W479" s="2">
        <v>0</v>
      </c>
      <c r="X479" s="2">
        <v>9.6751368525797073E-4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</row>
    <row r="480" spans="1:98" x14ac:dyDescent="0.2">
      <c r="A480" s="2" t="s">
        <v>759</v>
      </c>
      <c r="B480" s="2">
        <v>527.42200000000003</v>
      </c>
      <c r="C480" s="2">
        <v>-28608</v>
      </c>
      <c r="D480" s="2">
        <v>-33601.119043195009</v>
      </c>
      <c r="E480" s="2">
        <v>-27409.57440213456</v>
      </c>
      <c r="F480" s="2">
        <v>106.1</v>
      </c>
      <c r="G480" s="2">
        <v>131.5</v>
      </c>
      <c r="H480" s="2">
        <v>0.71921449831187101</v>
      </c>
      <c r="I480" s="2">
        <v>0.54</v>
      </c>
      <c r="J480" s="2">
        <v>1.7809325761982547E-3</v>
      </c>
      <c r="K480" s="2">
        <v>2.0501025192845756E-2</v>
      </c>
      <c r="L480" s="2">
        <v>102.7732</v>
      </c>
      <c r="M480" s="2">
        <v>102.1056</v>
      </c>
      <c r="N480" s="2">
        <v>3.3576718700611963E-3</v>
      </c>
      <c r="O480" s="2">
        <v>-1.8825505697757094E-3</v>
      </c>
      <c r="P480" s="2">
        <v>106.1</v>
      </c>
      <c r="Q480" s="2">
        <v>-5.9459670085653116E-2</v>
      </c>
      <c r="R480" s="2">
        <v>5.385472276337888E-3</v>
      </c>
      <c r="S480" s="2">
        <v>7.1664048525361427E-3</v>
      </c>
      <c r="T480" s="2">
        <v>0</v>
      </c>
      <c r="U480" s="2">
        <v>0</v>
      </c>
      <c r="V480" s="2">
        <v>0</v>
      </c>
      <c r="W480" s="2">
        <v>0</v>
      </c>
      <c r="X480" s="2">
        <v>-9.0609582862424733E-4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</row>
    <row r="481" spans="1:98" x14ac:dyDescent="0.2">
      <c r="A481" s="2" t="s">
        <v>760</v>
      </c>
      <c r="B481" s="2">
        <v>531.05600000000004</v>
      </c>
      <c r="C481" s="2">
        <v>-14744.37</v>
      </c>
      <c r="D481" s="2">
        <v>-17199.284727260401</v>
      </c>
      <c r="E481" s="2">
        <v>16401.834315934608</v>
      </c>
      <c r="F481" s="2">
        <v>90.1</v>
      </c>
      <c r="G481" s="2">
        <v>112.75</v>
      </c>
      <c r="H481" s="2">
        <v>0.78973829689286101</v>
      </c>
      <c r="I481" s="2">
        <v>0.92</v>
      </c>
      <c r="J481" s="2">
        <v>-1.2915759280161532E-3</v>
      </c>
      <c r="K481" s="2">
        <v>2.1591947910239908E-2</v>
      </c>
      <c r="L481" s="2">
        <v>102.9513</v>
      </c>
      <c r="M481" s="2">
        <v>102.3793</v>
      </c>
      <c r="N481" s="2">
        <v>1.73144223943833E-3</v>
      </c>
      <c r="O481" s="2">
        <v>2.6769718785937258E-3</v>
      </c>
      <c r="P481" s="2">
        <v>90.1</v>
      </c>
      <c r="Q481" s="2">
        <v>-0.16346188100564518</v>
      </c>
      <c r="R481" s="2">
        <v>9.1579377847657243E-3</v>
      </c>
      <c r="S481" s="2">
        <v>7.8663618567495711E-3</v>
      </c>
      <c r="T481" s="2">
        <v>0</v>
      </c>
      <c r="U481" s="2">
        <v>0</v>
      </c>
      <c r="V481" s="2">
        <v>0</v>
      </c>
      <c r="W481" s="2">
        <v>0</v>
      </c>
      <c r="X481" s="2">
        <v>6.999570042134284E-4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</row>
    <row r="482" spans="1:98" x14ac:dyDescent="0.2">
      <c r="A482" s="2" t="s">
        <v>761</v>
      </c>
      <c r="B482" s="2">
        <v>533.197</v>
      </c>
      <c r="C482" s="2">
        <v>-12549.08</v>
      </c>
      <c r="D482" s="2">
        <v>-14579.702965470549</v>
      </c>
      <c r="E482" s="2">
        <v>2619.581761789852</v>
      </c>
      <c r="F482" s="2">
        <v>92.6</v>
      </c>
      <c r="G482" s="2">
        <v>117.35</v>
      </c>
      <c r="H482" s="2">
        <v>0.84933501995057004</v>
      </c>
      <c r="I482" s="2">
        <v>0.55000000000000004</v>
      </c>
      <c r="J482" s="2">
        <v>2.9725544062319817E-3</v>
      </c>
      <c r="K482" s="2">
        <v>2.7131322376379823E-2</v>
      </c>
      <c r="L482" s="2">
        <v>102.46210000000001</v>
      </c>
      <c r="M482" s="2">
        <v>102.1683</v>
      </c>
      <c r="N482" s="2">
        <v>-4.7630867788841513E-3</v>
      </c>
      <c r="O482" s="2">
        <v>-2.0630902033627052E-3</v>
      </c>
      <c r="P482" s="2">
        <v>92.6</v>
      </c>
      <c r="Q482" s="2">
        <v>2.7368977037841802E-2</v>
      </c>
      <c r="R482" s="2">
        <v>5.4849302305697454E-3</v>
      </c>
      <c r="S482" s="2">
        <v>8.4574846368017272E-3</v>
      </c>
      <c r="T482" s="2">
        <v>0</v>
      </c>
      <c r="U482" s="2">
        <v>0</v>
      </c>
      <c r="V482" s="2">
        <v>0</v>
      </c>
      <c r="W482" s="2">
        <v>0</v>
      </c>
      <c r="X482" s="2">
        <v>5.9112278005215603E-4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</row>
    <row r="483" spans="1:98" x14ac:dyDescent="0.2">
      <c r="A483" s="2" t="s">
        <v>762</v>
      </c>
      <c r="B483" s="2">
        <v>537.70299999999997</v>
      </c>
      <c r="C483" s="2">
        <v>3389.48</v>
      </c>
      <c r="D483" s="2">
        <v>3904.9466201230048</v>
      </c>
      <c r="E483" s="2">
        <v>18484.649585593554</v>
      </c>
      <c r="F483" s="2">
        <v>92.3</v>
      </c>
      <c r="G483" s="2">
        <v>117.91</v>
      </c>
      <c r="H483" s="2">
        <v>0.79013811078185703</v>
      </c>
      <c r="I483" s="2">
        <v>0.69</v>
      </c>
      <c r="J483" s="2">
        <v>9.9402472091042124E-4</v>
      </c>
      <c r="K483" s="2">
        <v>2.9186822805653944E-2</v>
      </c>
      <c r="L483" s="2">
        <v>103.2919</v>
      </c>
      <c r="M483" s="2">
        <v>102.7889</v>
      </c>
      <c r="N483" s="2">
        <v>8.0659865558265764E-3</v>
      </c>
      <c r="O483" s="2">
        <v>6.0559170076741609E-3</v>
      </c>
      <c r="P483" s="2">
        <v>92.3</v>
      </c>
      <c r="Q483" s="2">
        <v>-3.2450001433268483E-3</v>
      </c>
      <c r="R483" s="2">
        <v>6.8763039394320637E-3</v>
      </c>
      <c r="S483" s="2">
        <v>7.8703286603424849E-3</v>
      </c>
      <c r="T483" s="2">
        <v>0</v>
      </c>
      <c r="U483" s="2">
        <v>0</v>
      </c>
      <c r="V483" s="2">
        <v>0</v>
      </c>
      <c r="W483" s="2">
        <v>0</v>
      </c>
      <c r="X483" s="2">
        <v>-5.8715597645924225E-4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</row>
    <row r="484" spans="1:98" x14ac:dyDescent="0.2">
      <c r="A484" s="2" t="s">
        <v>763</v>
      </c>
      <c r="B484" s="2">
        <v>545.68399999999997</v>
      </c>
      <c r="C484" s="2">
        <v>-3161.53</v>
      </c>
      <c r="D484" s="2">
        <v>-3589.0587927811707</v>
      </c>
      <c r="E484" s="2">
        <v>-7494.0054129041755</v>
      </c>
      <c r="F484" s="2">
        <v>97.3</v>
      </c>
      <c r="G484" s="2" t="s">
        <v>281</v>
      </c>
      <c r="H484" s="2">
        <v>0.76594854402314305</v>
      </c>
      <c r="I484" s="2">
        <v>0.92</v>
      </c>
      <c r="J484" s="2">
        <v>-1.5276372701996544E-3</v>
      </c>
      <c r="K484" s="2">
        <v>2.6869112046768416E-2</v>
      </c>
      <c r="L484" s="2">
        <v>104.0896</v>
      </c>
      <c r="M484" s="2">
        <v>104.2804</v>
      </c>
      <c r="N484" s="2">
        <v>7.6931060315850175E-3</v>
      </c>
      <c r="O484" s="2">
        <v>1.4406054347095854E-2</v>
      </c>
      <c r="P484" s="2">
        <v>97.3</v>
      </c>
      <c r="Q484" s="2">
        <v>5.2754847683152306E-2</v>
      </c>
      <c r="R484" s="2">
        <v>9.1579377847657243E-3</v>
      </c>
      <c r="S484" s="2">
        <v>7.6303005145660699E-3</v>
      </c>
      <c r="T484" s="2">
        <v>0</v>
      </c>
      <c r="U484" s="2">
        <v>0</v>
      </c>
      <c r="V484" s="2">
        <v>0</v>
      </c>
      <c r="W484" s="2">
        <v>0</v>
      </c>
      <c r="X484" s="2">
        <v>-2.4002814577641501E-4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</row>
    <row r="485" spans="1:98" x14ac:dyDescent="0.2">
      <c r="A485" s="2" t="s">
        <v>764</v>
      </c>
      <c r="B485" s="2">
        <v>548.14499999999998</v>
      </c>
      <c r="C485" s="2">
        <v>-16854.34</v>
      </c>
      <c r="D485" s="2">
        <v>-19047.622665243689</v>
      </c>
      <c r="E485" s="2">
        <v>-15458.563872462519</v>
      </c>
      <c r="F485" s="2">
        <v>96</v>
      </c>
      <c r="G485" s="2" t="s">
        <v>281</v>
      </c>
      <c r="H485" s="2">
        <v>0.82267525407142605</v>
      </c>
      <c r="I485" s="2">
        <v>0.67</v>
      </c>
      <c r="J485" s="2">
        <v>1.5154425151979638E-3</v>
      </c>
      <c r="K485" s="2">
        <v>2.7751693765558739E-2</v>
      </c>
      <c r="L485" s="2">
        <v>104.2409</v>
      </c>
      <c r="M485" s="2">
        <v>102.9064</v>
      </c>
      <c r="N485" s="2">
        <v>1.452500009365032E-3</v>
      </c>
      <c r="O485" s="2">
        <v>-1.3263587671577426E-2</v>
      </c>
      <c r="P485" s="2">
        <v>96</v>
      </c>
      <c r="Q485" s="2">
        <v>-1.3450797724122943E-2</v>
      </c>
      <c r="R485" s="2">
        <v>6.6776547532404968E-3</v>
      </c>
      <c r="S485" s="2">
        <v>8.1930972684384606E-3</v>
      </c>
      <c r="T485" s="2">
        <v>0</v>
      </c>
      <c r="U485" s="2">
        <v>0</v>
      </c>
      <c r="V485" s="2">
        <v>0</v>
      </c>
      <c r="W485" s="2">
        <v>0</v>
      </c>
      <c r="X485" s="2">
        <v>5.6279675387239068E-4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</row>
    <row r="486" spans="1:98" x14ac:dyDescent="0.2">
      <c r="A486" s="2" t="s">
        <v>765</v>
      </c>
      <c r="B486" s="2">
        <v>545.65200000000004</v>
      </c>
      <c r="C486" s="2">
        <v>11073.37</v>
      </c>
      <c r="D486" s="2">
        <v>12571.541851069913</v>
      </c>
      <c r="E486" s="2">
        <v>31619.164516313602</v>
      </c>
      <c r="F486" s="2">
        <v>101.7</v>
      </c>
      <c r="G486" s="2" t="s">
        <v>281</v>
      </c>
      <c r="H486" s="2">
        <v>0.86588317099451895</v>
      </c>
      <c r="I486" s="2">
        <v>0.46</v>
      </c>
      <c r="J486" s="2">
        <v>4.0321066968799276E-3</v>
      </c>
      <c r="K486" s="2">
        <v>2.9509374649223881E-2</v>
      </c>
      <c r="L486" s="2">
        <v>104.6541</v>
      </c>
      <c r="M486" s="2">
        <v>103.72709999999999</v>
      </c>
      <c r="N486" s="2">
        <v>3.9560596366170486E-3</v>
      </c>
      <c r="O486" s="2">
        <v>7.9435746433711429E-3</v>
      </c>
      <c r="P486" s="2">
        <v>101.7</v>
      </c>
      <c r="Q486" s="2">
        <v>5.7679111586677934E-2</v>
      </c>
      <c r="R486" s="2">
        <v>4.589452333807224E-3</v>
      </c>
      <c r="S486" s="2">
        <v>8.6215590306871516E-3</v>
      </c>
      <c r="T486" s="2">
        <v>0</v>
      </c>
      <c r="U486" s="2">
        <v>0</v>
      </c>
      <c r="V486" s="2">
        <v>0</v>
      </c>
      <c r="W486" s="2">
        <v>0</v>
      </c>
      <c r="X486" s="2">
        <v>4.2846176224869102E-4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</row>
    <row r="487" spans="1:98" x14ac:dyDescent="0.2">
      <c r="A487" s="2" t="s">
        <v>766</v>
      </c>
      <c r="B487" s="2">
        <v>542.19399999999996</v>
      </c>
      <c r="C487" s="2">
        <v>2732.22</v>
      </c>
      <c r="D487" s="2">
        <v>3121.6588835730386</v>
      </c>
      <c r="E487" s="2">
        <v>-9449.8829674968747</v>
      </c>
      <c r="F487" s="2">
        <v>94.8</v>
      </c>
      <c r="G487" s="2" t="s">
        <v>281</v>
      </c>
      <c r="H487" s="2">
        <v>0.82448113867565898</v>
      </c>
      <c r="I487" s="2">
        <v>0.4</v>
      </c>
      <c r="J487" s="2">
        <v>4.218987331117011E-3</v>
      </c>
      <c r="K487" s="2">
        <v>3.0290488916811895E-2</v>
      </c>
      <c r="L487" s="2">
        <v>105.1223</v>
      </c>
      <c r="M487" s="2">
        <v>106.80759999999999</v>
      </c>
      <c r="N487" s="2">
        <v>4.4638079157568455E-3</v>
      </c>
      <c r="O487" s="2">
        <v>2.9265673186597674E-2</v>
      </c>
      <c r="P487" s="2">
        <v>94.8</v>
      </c>
      <c r="Q487" s="2">
        <v>-7.025789379353764E-2</v>
      </c>
      <c r="R487" s="2">
        <v>3.9920212695374567E-3</v>
      </c>
      <c r="S487" s="2">
        <v>8.2110086006544677E-3</v>
      </c>
      <c r="T487" s="2">
        <v>0</v>
      </c>
      <c r="U487" s="2">
        <v>0</v>
      </c>
      <c r="V487" s="2">
        <v>0</v>
      </c>
      <c r="W487" s="2">
        <v>0</v>
      </c>
      <c r="X487" s="2">
        <v>-4.1055043003268392E-4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</row>
    <row r="488" spans="1:98" x14ac:dyDescent="0.2">
      <c r="A488" s="2" t="s">
        <v>767</v>
      </c>
      <c r="B488" s="2">
        <v>539.21</v>
      </c>
      <c r="C488" s="2">
        <v>1894.96</v>
      </c>
      <c r="D488" s="2">
        <v>2177.0409320301924</v>
      </c>
      <c r="E488" s="2">
        <v>-944.61795154284619</v>
      </c>
      <c r="F488" s="2">
        <v>104.4</v>
      </c>
      <c r="G488" s="2" t="s">
        <v>281</v>
      </c>
      <c r="H488" s="2">
        <v>0.948738245949032</v>
      </c>
      <c r="I488" s="2">
        <v>0.01</v>
      </c>
      <c r="J488" s="2">
        <v>9.3426648904194557E-3</v>
      </c>
      <c r="K488" s="2">
        <v>3.2718243596110107E-2</v>
      </c>
      <c r="L488" s="2">
        <v>105.2073</v>
      </c>
      <c r="M488" s="2">
        <v>104.8018</v>
      </c>
      <c r="N488" s="2">
        <v>8.0825527769157191E-4</v>
      </c>
      <c r="O488" s="2">
        <v>-1.8958137730994196E-2</v>
      </c>
      <c r="P488" s="2">
        <v>104.4</v>
      </c>
      <c r="Q488" s="2">
        <v>9.6460266187562205E-2</v>
      </c>
      <c r="R488" s="2">
        <v>9.9995000333297321E-5</v>
      </c>
      <c r="S488" s="2">
        <v>9.4426598907527536E-3</v>
      </c>
      <c r="T488" s="2">
        <v>0</v>
      </c>
      <c r="U488" s="2">
        <v>0</v>
      </c>
      <c r="V488" s="2">
        <v>0</v>
      </c>
      <c r="W488" s="2">
        <v>0</v>
      </c>
      <c r="X488" s="2">
        <v>1.2316512900982859E-3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</row>
    <row r="489" spans="1:98" x14ac:dyDescent="0.2">
      <c r="A489" s="2" t="s">
        <v>768</v>
      </c>
      <c r="B489" s="2">
        <v>539.54999999999995</v>
      </c>
      <c r="C489" s="2">
        <v>11950.77</v>
      </c>
      <c r="D489" s="2">
        <v>13721.092014678901</v>
      </c>
      <c r="E489" s="2">
        <v>11544.051082648708</v>
      </c>
      <c r="F489" s="2">
        <v>106.3</v>
      </c>
      <c r="G489" s="2" t="s">
        <v>281</v>
      </c>
      <c r="H489" s="2">
        <v>0.86599144248531401</v>
      </c>
      <c r="I489" s="2">
        <v>0.25</v>
      </c>
      <c r="J489" s="2">
        <v>6.1257522518657478E-3</v>
      </c>
      <c r="K489" s="2">
        <v>3.4163034145114221E-2</v>
      </c>
      <c r="L489" s="2">
        <v>105.19889999999999</v>
      </c>
      <c r="M489" s="2">
        <v>107.4252</v>
      </c>
      <c r="N489" s="2">
        <v>-7.9845555924329403E-5</v>
      </c>
      <c r="O489" s="2">
        <v>2.4723844111385063E-2</v>
      </c>
      <c r="P489" s="2">
        <v>106.3</v>
      </c>
      <c r="Q489" s="2">
        <v>1.8035609899363259E-2</v>
      </c>
      <c r="R489" s="2">
        <v>2.4968801985871458E-3</v>
      </c>
      <c r="S489" s="2">
        <v>8.6226324504528936E-3</v>
      </c>
      <c r="T489" s="2">
        <v>0</v>
      </c>
      <c r="U489" s="2">
        <v>0</v>
      </c>
      <c r="V489" s="2">
        <v>0</v>
      </c>
      <c r="W489" s="2">
        <v>0</v>
      </c>
      <c r="X489" s="2">
        <v>-8.2002744029986002E-4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</row>
    <row r="490" spans="1:98" x14ac:dyDescent="0.2">
      <c r="A490" s="2" t="s">
        <v>769</v>
      </c>
      <c r="B490" s="2">
        <v>539.649</v>
      </c>
      <c r="C490" s="2">
        <v>20994.74</v>
      </c>
      <c r="D490" s="2">
        <v>24100.364415092034</v>
      </c>
      <c r="E490" s="2">
        <v>10379.272400413132</v>
      </c>
      <c r="F490" s="2">
        <v>105.5</v>
      </c>
      <c r="G490" s="2" t="s">
        <v>281</v>
      </c>
      <c r="H490" s="2">
        <v>0.90730220442523102</v>
      </c>
      <c r="I490" s="2">
        <v>0.56999999999999995</v>
      </c>
      <c r="J490" s="2">
        <v>3.3482929924222339E-3</v>
      </c>
      <c r="K490" s="2">
        <v>3.3900229395889867E-2</v>
      </c>
      <c r="L490" s="2">
        <v>105.575</v>
      </c>
      <c r="M490" s="2">
        <v>106.6147</v>
      </c>
      <c r="N490" s="2">
        <v>3.5687568448290463E-3</v>
      </c>
      <c r="O490" s="2">
        <v>-7.573390512074063E-3</v>
      </c>
      <c r="P490" s="2">
        <v>105.5</v>
      </c>
      <c r="Q490" s="2">
        <v>-7.5543324317806082E-3</v>
      </c>
      <c r="R490" s="2">
        <v>5.6838164682977092E-3</v>
      </c>
      <c r="S490" s="2">
        <v>9.0321094607199431E-3</v>
      </c>
      <c r="T490" s="2">
        <v>0</v>
      </c>
      <c r="U490" s="2">
        <v>0</v>
      </c>
      <c r="V490" s="2">
        <v>0</v>
      </c>
      <c r="W490" s="2">
        <v>0</v>
      </c>
      <c r="X490" s="2">
        <v>4.0947701026704947E-4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</row>
    <row r="491" spans="1:98" x14ac:dyDescent="0.2">
      <c r="A491" s="2" t="s">
        <v>770</v>
      </c>
      <c r="B491" s="2">
        <v>542.85299999999995</v>
      </c>
      <c r="C491" s="2">
        <v>-4903.1099999999997</v>
      </c>
      <c r="D491" s="2">
        <v>-5595.177645439926</v>
      </c>
      <c r="E491" s="2">
        <v>-29695.54206053196</v>
      </c>
      <c r="F491" s="2">
        <v>109.1</v>
      </c>
      <c r="G491" s="2" t="s">
        <v>281</v>
      </c>
      <c r="H491" s="2">
        <v>0.95054231701359204</v>
      </c>
      <c r="I491" s="2">
        <v>0.42</v>
      </c>
      <c r="J491" s="2">
        <v>5.2693262727120148E-3</v>
      </c>
      <c r="K491" s="2">
        <v>3.678087145573921E-2</v>
      </c>
      <c r="L491" s="2">
        <v>105.64409999999999</v>
      </c>
      <c r="M491" s="2">
        <v>105.4789</v>
      </c>
      <c r="N491" s="2">
        <v>6.5429691221297048E-4</v>
      </c>
      <c r="O491" s="2">
        <v>-1.0710467997819606E-2</v>
      </c>
      <c r="P491" s="2">
        <v>109.1</v>
      </c>
      <c r="Q491" s="2">
        <v>3.3553939922903453E-2</v>
      </c>
      <c r="R491" s="2">
        <v>4.1912046184680524E-3</v>
      </c>
      <c r="S491" s="2">
        <v>9.4605308911800672E-3</v>
      </c>
      <c r="T491" s="2">
        <v>0</v>
      </c>
      <c r="U491" s="2">
        <v>0</v>
      </c>
      <c r="V491" s="2">
        <v>0</v>
      </c>
      <c r="W491" s="2">
        <v>0</v>
      </c>
      <c r="X491" s="2">
        <v>4.2842143046012415E-4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</row>
    <row r="492" spans="1:98" x14ac:dyDescent="0.2">
      <c r="A492" s="2" t="s">
        <v>771</v>
      </c>
      <c r="B492" s="2">
        <v>549.04</v>
      </c>
      <c r="C492" s="2">
        <v>6658.88</v>
      </c>
      <c r="D492" s="2">
        <v>7513.1435721987473</v>
      </c>
      <c r="E492" s="2">
        <v>13108.321217638673</v>
      </c>
      <c r="F492" s="2">
        <v>99.8</v>
      </c>
      <c r="G492" s="2" t="s">
        <v>281</v>
      </c>
      <c r="H492" s="2">
        <v>0.84250109225620895</v>
      </c>
      <c r="I492" s="2">
        <v>0.51</v>
      </c>
      <c r="J492" s="2">
        <v>3.3026795563742542E-3</v>
      </c>
      <c r="K492" s="2">
        <v>3.8302618435915203E-2</v>
      </c>
      <c r="L492" s="2">
        <v>106.68680000000001</v>
      </c>
      <c r="M492" s="2">
        <v>105.91500000000001</v>
      </c>
      <c r="N492" s="2">
        <v>9.8215415824025598E-3</v>
      </c>
      <c r="O492" s="2">
        <v>4.1259527229664528E-3</v>
      </c>
      <c r="P492" s="2">
        <v>99.8</v>
      </c>
      <c r="Q492" s="2">
        <v>-8.9096709521606421E-2</v>
      </c>
      <c r="R492" s="2">
        <v>5.0870390485572093E-3</v>
      </c>
      <c r="S492" s="2">
        <v>8.3897186049314634E-3</v>
      </c>
      <c r="T492" s="2">
        <v>0</v>
      </c>
      <c r="U492" s="2">
        <v>0</v>
      </c>
      <c r="V492" s="2">
        <v>0</v>
      </c>
      <c r="W492" s="2">
        <v>0</v>
      </c>
      <c r="X492" s="2">
        <v>-1.0708122862486038E-3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</row>
    <row r="493" spans="1:98" x14ac:dyDescent="0.2">
      <c r="A493" s="2" t="s">
        <v>772</v>
      </c>
      <c r="B493" s="2">
        <v>551.149</v>
      </c>
      <c r="C493" s="2">
        <v>-754.65</v>
      </c>
      <c r="D493" s="2">
        <v>-848.20540978936731</v>
      </c>
      <c r="E493" s="2">
        <v>-8361.3489819881142</v>
      </c>
      <c r="F493" s="2">
        <v>87.7</v>
      </c>
      <c r="G493" s="2" t="s">
        <v>281</v>
      </c>
      <c r="H493" s="2">
        <v>0.96130078588079204</v>
      </c>
      <c r="I493" s="2">
        <v>0.78</v>
      </c>
      <c r="J493" s="2">
        <v>1.7973596282192927E-3</v>
      </c>
      <c r="K493" s="2">
        <v>4.1391553992150651E-2</v>
      </c>
      <c r="L493" s="2">
        <v>106.51819999999999</v>
      </c>
      <c r="M493" s="2">
        <v>105.777</v>
      </c>
      <c r="N493" s="2">
        <v>-1.5815767467408648E-3</v>
      </c>
      <c r="O493" s="2">
        <v>-1.3037811494838181E-3</v>
      </c>
      <c r="P493" s="2">
        <v>87.7</v>
      </c>
      <c r="Q493" s="2">
        <v>-0.12924628393928117</v>
      </c>
      <c r="R493" s="2">
        <v>7.7697372643606936E-3</v>
      </c>
      <c r="S493" s="2">
        <v>9.5670968925799862E-3</v>
      </c>
      <c r="T493" s="2">
        <v>0</v>
      </c>
      <c r="U493" s="2">
        <v>0</v>
      </c>
      <c r="V493" s="2">
        <v>0</v>
      </c>
      <c r="W493" s="2">
        <v>0</v>
      </c>
      <c r="X493" s="2">
        <v>1.1773782876485228E-3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</row>
    <row r="494" spans="1:98" x14ac:dyDescent="0.2">
      <c r="A494" s="2" t="s">
        <v>773</v>
      </c>
      <c r="B494" s="2">
        <v>554.83500000000004</v>
      </c>
      <c r="C494" s="2">
        <v>-10075.09</v>
      </c>
      <c r="D494" s="2">
        <v>-11248.887422098462</v>
      </c>
      <c r="E494" s="2">
        <v>-10400.682012309095</v>
      </c>
      <c r="F494" s="2">
        <v>88</v>
      </c>
      <c r="G494" s="2" t="s">
        <v>281</v>
      </c>
      <c r="H494" s="2">
        <v>0.93507997431883105</v>
      </c>
      <c r="I494" s="2">
        <v>1.24</v>
      </c>
      <c r="J494" s="2">
        <v>-3.0163980339887528E-3</v>
      </c>
      <c r="K494" s="2">
        <v>3.5402601551929917E-2</v>
      </c>
      <c r="L494" s="2">
        <v>105.9906</v>
      </c>
      <c r="M494" s="2">
        <v>105.3085</v>
      </c>
      <c r="N494" s="2">
        <v>-4.9654516333346166E-3</v>
      </c>
      <c r="O494" s="2">
        <v>-4.4389668574433827E-3</v>
      </c>
      <c r="P494" s="2">
        <v>88</v>
      </c>
      <c r="Q494" s="2">
        <v>3.4149151000697486E-3</v>
      </c>
      <c r="R494" s="2">
        <v>1.2323749688831903E-2</v>
      </c>
      <c r="S494" s="2">
        <v>9.3073516548431504E-3</v>
      </c>
      <c r="T494" s="2">
        <v>0</v>
      </c>
      <c r="U494" s="2">
        <v>0</v>
      </c>
      <c r="V494" s="2">
        <v>0</v>
      </c>
      <c r="W494" s="2">
        <v>0</v>
      </c>
      <c r="X494" s="2">
        <v>-2.5974523773683589E-4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</row>
    <row r="495" spans="1:98" x14ac:dyDescent="0.2">
      <c r="A495" s="2" t="s">
        <v>774</v>
      </c>
      <c r="B495" s="2">
        <v>557.803</v>
      </c>
      <c r="C495" s="2">
        <v>6671.41</v>
      </c>
      <c r="D495" s="2">
        <v>7409.0286017823501</v>
      </c>
      <c r="E495" s="2">
        <v>18657.916023880811</v>
      </c>
      <c r="F495" s="2">
        <v>83.7</v>
      </c>
      <c r="G495" s="2" t="s">
        <v>281</v>
      </c>
      <c r="H495" s="2">
        <v>0.82241393082187497</v>
      </c>
      <c r="I495" s="2">
        <v>1.22</v>
      </c>
      <c r="J495" s="2">
        <v>-3.9356744422585615E-3</v>
      </c>
      <c r="K495" s="2">
        <v>3.0472902388760936E-2</v>
      </c>
      <c r="L495" s="2">
        <v>105.85760000000001</v>
      </c>
      <c r="M495" s="2">
        <v>105.3511</v>
      </c>
      <c r="N495" s="2">
        <v>-1.2556162145695993E-3</v>
      </c>
      <c r="O495" s="2">
        <v>4.0444395205074812E-4</v>
      </c>
      <c r="P495" s="2">
        <v>83.7</v>
      </c>
      <c r="Q495" s="2">
        <v>-5.0097836982777366E-2</v>
      </c>
      <c r="R495" s="2">
        <v>1.2126179797840555E-2</v>
      </c>
      <c r="S495" s="2">
        <v>8.1905053555819934E-3</v>
      </c>
      <c r="T495" s="2">
        <v>0</v>
      </c>
      <c r="U495" s="2">
        <v>0</v>
      </c>
      <c r="V495" s="2">
        <v>0</v>
      </c>
      <c r="W495" s="2">
        <v>0</v>
      </c>
      <c r="X495" s="2">
        <v>-1.116846299261157E-3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</row>
    <row r="496" spans="1:98" x14ac:dyDescent="0.2">
      <c r="A496" s="2" t="s">
        <v>775</v>
      </c>
      <c r="B496" s="2">
        <v>564.56799999999998</v>
      </c>
      <c r="C496" s="2">
        <v>-1482.66</v>
      </c>
      <c r="D496" s="2">
        <v>-1626.858564707883</v>
      </c>
      <c r="E496" s="2">
        <v>-9035.8871664902326</v>
      </c>
      <c r="F496" s="2">
        <v>94.2</v>
      </c>
      <c r="G496" s="2" t="s">
        <v>281</v>
      </c>
      <c r="H496" s="2">
        <v>1.0399718387941399</v>
      </c>
      <c r="I496" s="2">
        <v>1.32</v>
      </c>
      <c r="J496" s="2">
        <v>-2.7676258047165756E-3</v>
      </c>
      <c r="K496" s="2">
        <v>2.9232913854244015E-2</v>
      </c>
      <c r="L496" s="2">
        <v>105.515</v>
      </c>
      <c r="M496" s="2">
        <v>105.7556</v>
      </c>
      <c r="N496" s="2">
        <v>-3.2416718157017854E-3</v>
      </c>
      <c r="O496" s="2">
        <v>3.8321900255153807E-3</v>
      </c>
      <c r="P496" s="2">
        <v>94.2</v>
      </c>
      <c r="Q496" s="2">
        <v>0.1181812040868877</v>
      </c>
      <c r="R496" s="2">
        <v>1.3113639145383204E-2</v>
      </c>
      <c r="S496" s="2">
        <v>1.0346013340666628E-2</v>
      </c>
      <c r="T496" s="2">
        <v>0</v>
      </c>
      <c r="U496" s="2">
        <v>0</v>
      </c>
      <c r="V496" s="2">
        <v>0</v>
      </c>
      <c r="W496" s="2">
        <v>0</v>
      </c>
      <c r="X496" s="2">
        <v>2.1555079850846346E-3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</row>
    <row r="497" spans="1:98" x14ac:dyDescent="0.2">
      <c r="A497" s="2" t="s">
        <v>776</v>
      </c>
      <c r="B497" s="2">
        <v>569.73800000000006</v>
      </c>
      <c r="C497" s="2">
        <v>-10637.65</v>
      </c>
      <c r="D497" s="2">
        <v>-11566.314466298543</v>
      </c>
      <c r="E497" s="2">
        <v>-9939.4559015906598</v>
      </c>
      <c r="F497" s="2">
        <v>88.6</v>
      </c>
      <c r="G497" s="2" t="s">
        <v>281</v>
      </c>
      <c r="H497" s="2">
        <v>0.951795535885824</v>
      </c>
      <c r="I497" s="2">
        <v>0.71</v>
      </c>
      <c r="J497" s="2">
        <v>2.398031328787846E-3</v>
      </c>
      <c r="K497" s="2">
        <v>3.0115502667833895E-2</v>
      </c>
      <c r="L497" s="2">
        <v>105.2732</v>
      </c>
      <c r="M497" s="2">
        <v>103.7886</v>
      </c>
      <c r="N497" s="2">
        <v>-2.2942470789244496E-3</v>
      </c>
      <c r="O497" s="2">
        <v>-1.8774633496247972E-2</v>
      </c>
      <c r="P497" s="2">
        <v>88.6</v>
      </c>
      <c r="Q497" s="2">
        <v>-6.1288323971282033E-2</v>
      </c>
      <c r="R497" s="2">
        <v>7.0749136719619847E-3</v>
      </c>
      <c r="S497" s="2">
        <v>9.4729450007498307E-3</v>
      </c>
      <c r="T497" s="2">
        <v>0</v>
      </c>
      <c r="U497" s="2">
        <v>0</v>
      </c>
      <c r="V497" s="2">
        <v>0</v>
      </c>
      <c r="W497" s="2">
        <v>0</v>
      </c>
      <c r="X497" s="2">
        <v>-8.7306833991679725E-4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</row>
    <row r="498" spans="1:98" x14ac:dyDescent="0.2">
      <c r="A498" s="2" t="s">
        <v>777</v>
      </c>
      <c r="B498" s="2">
        <v>572.03399999999999</v>
      </c>
      <c r="C498" s="2">
        <v>8868.7000000000007</v>
      </c>
      <c r="D498" s="2">
        <v>9604.2312191233395</v>
      </c>
      <c r="E498" s="2">
        <v>21170.545685421883</v>
      </c>
      <c r="F498" s="2">
        <v>92.8</v>
      </c>
      <c r="G498" s="2" t="s">
        <v>281</v>
      </c>
      <c r="H498" s="2">
        <v>0.98533215656893003</v>
      </c>
      <c r="I498" s="2">
        <v>0.74</v>
      </c>
      <c r="J498" s="2">
        <v>2.4323398048283901E-3</v>
      </c>
      <c r="K498" s="2">
        <v>2.8515735775782355E-2</v>
      </c>
      <c r="L498" s="2">
        <v>105.02589999999999</v>
      </c>
      <c r="M498" s="2">
        <v>104.22190000000001</v>
      </c>
      <c r="N498" s="2">
        <v>-2.351889418381603E-3</v>
      </c>
      <c r="O498" s="2">
        <v>4.1661418699803221E-3</v>
      </c>
      <c r="P498" s="2">
        <v>92.8</v>
      </c>
      <c r="Q498" s="2">
        <v>4.6314782181119618E-2</v>
      </c>
      <c r="R498" s="2">
        <v>7.3727543294131569E-3</v>
      </c>
      <c r="S498" s="2">
        <v>9.805094134241547E-3</v>
      </c>
      <c r="T498" s="2">
        <v>0</v>
      </c>
      <c r="U498" s="2">
        <v>0</v>
      </c>
      <c r="V498" s="2">
        <v>0</v>
      </c>
      <c r="W498" s="2">
        <v>0</v>
      </c>
      <c r="X498" s="2">
        <v>3.3214913349171628E-4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</row>
    <row r="499" spans="1:98" x14ac:dyDescent="0.2">
      <c r="A499" s="2" t="s">
        <v>778</v>
      </c>
      <c r="B499" s="2">
        <v>575.93799999999999</v>
      </c>
      <c r="C499" s="2">
        <v>8566.16</v>
      </c>
      <c r="D499" s="2">
        <v>9213.7183727415104</v>
      </c>
      <c r="E499" s="2">
        <v>-390.51284638182915</v>
      </c>
      <c r="F499" s="2">
        <v>92.1</v>
      </c>
      <c r="G499" s="2" t="s">
        <v>281</v>
      </c>
      <c r="H499" s="2">
        <v>1.06667788812933</v>
      </c>
      <c r="I499" s="2">
        <v>0.79</v>
      </c>
      <c r="J499" s="2">
        <v>2.7413317636175733E-3</v>
      </c>
      <c r="K499" s="2">
        <v>2.7038080208282918E-2</v>
      </c>
      <c r="L499" s="2">
        <v>104.8599</v>
      </c>
      <c r="M499" s="2">
        <v>106.8813</v>
      </c>
      <c r="N499" s="2">
        <v>-1.5818129155267258E-3</v>
      </c>
      <c r="O499" s="2">
        <v>2.5196592907225757E-2</v>
      </c>
      <c r="P499" s="2">
        <v>92.1</v>
      </c>
      <c r="Q499" s="2">
        <v>-7.5716965308938455E-3</v>
      </c>
      <c r="R499" s="2">
        <v>7.8689583786951973E-3</v>
      </c>
      <c r="S499" s="2">
        <v>1.0610290142312771E-2</v>
      </c>
      <c r="T499" s="2">
        <v>0</v>
      </c>
      <c r="U499" s="2">
        <v>0</v>
      </c>
      <c r="V499" s="2">
        <v>0</v>
      </c>
      <c r="W499" s="2">
        <v>0</v>
      </c>
      <c r="X499" s="2">
        <v>8.0519600807122359E-4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</row>
    <row r="500" spans="1:98" x14ac:dyDescent="0.2">
      <c r="A500" s="2" t="s">
        <v>779</v>
      </c>
      <c r="B500" s="2">
        <v>579.29300000000001</v>
      </c>
      <c r="C500" s="2">
        <v>6039.9</v>
      </c>
      <c r="D500" s="2">
        <v>6458.8612194519865</v>
      </c>
      <c r="E500" s="2">
        <v>-2754.8571532895239</v>
      </c>
      <c r="F500" s="2">
        <v>95</v>
      </c>
      <c r="G500" s="2" t="s">
        <v>281</v>
      </c>
      <c r="H500" s="2">
        <v>1.17819903604626</v>
      </c>
      <c r="I500" s="2">
        <v>0.62</v>
      </c>
      <c r="J500" s="2">
        <v>5.5322640379949538E-3</v>
      </c>
      <c r="K500" s="2">
        <v>2.3227679355858417E-2</v>
      </c>
      <c r="L500" s="2">
        <v>105.4755</v>
      </c>
      <c r="M500" s="2">
        <v>105.4284</v>
      </c>
      <c r="N500" s="2">
        <v>5.853524967547763E-3</v>
      </c>
      <c r="O500" s="2">
        <v>-1.3686823360440137E-2</v>
      </c>
      <c r="P500" s="2">
        <v>95</v>
      </c>
      <c r="Q500" s="2">
        <v>3.1001948339279828E-2</v>
      </c>
      <c r="R500" s="2">
        <v>6.1808590750810988E-3</v>
      </c>
      <c r="S500" s="2">
        <v>1.1713123113076053E-2</v>
      </c>
      <c r="T500" s="2">
        <v>0</v>
      </c>
      <c r="U500" s="2">
        <v>0</v>
      </c>
      <c r="V500" s="2">
        <v>0</v>
      </c>
      <c r="W500" s="2">
        <v>0</v>
      </c>
      <c r="X500" s="2">
        <v>1.102832970763282E-3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</row>
    <row r="501" spans="1:98" x14ac:dyDescent="0.2">
      <c r="A501" s="2" t="s">
        <v>780</v>
      </c>
      <c r="B501" s="2">
        <v>581.61800000000005</v>
      </c>
      <c r="C501" s="2">
        <v>6933.74</v>
      </c>
      <c r="D501" s="2">
        <v>7385.0629111203571</v>
      </c>
      <c r="E501" s="2">
        <v>926.20169166837059</v>
      </c>
      <c r="F501" s="2">
        <v>97</v>
      </c>
      <c r="G501" s="2" t="s">
        <v>281</v>
      </c>
      <c r="H501" s="2">
        <v>1.1089638098505701</v>
      </c>
      <c r="I501" s="2">
        <v>0.22</v>
      </c>
      <c r="J501" s="2">
        <v>8.8310153721546242E-3</v>
      </c>
      <c r="K501" s="2">
        <v>2.5932942476147296E-2</v>
      </c>
      <c r="L501" s="2">
        <v>105.5783</v>
      </c>
      <c r="M501" s="2">
        <v>108.03879999999999</v>
      </c>
      <c r="N501" s="2">
        <v>9.741592724665793E-4</v>
      </c>
      <c r="O501" s="2">
        <v>2.4458372337746503E-2</v>
      </c>
      <c r="P501" s="2">
        <v>97</v>
      </c>
      <c r="Q501" s="2">
        <v>2.0834086902842053E-2</v>
      </c>
      <c r="R501" s="2">
        <v>2.1975835434872013E-3</v>
      </c>
      <c r="S501" s="2">
        <v>1.1028598915641825E-2</v>
      </c>
      <c r="T501" s="2">
        <v>0</v>
      </c>
      <c r="U501" s="2">
        <v>0</v>
      </c>
      <c r="V501" s="2">
        <v>0</v>
      </c>
      <c r="W501" s="2">
        <v>0</v>
      </c>
      <c r="X501" s="2">
        <v>-6.8452419743422754E-4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</row>
    <row r="502" spans="1:98" x14ac:dyDescent="0.2">
      <c r="A502" s="2" t="s">
        <v>781</v>
      </c>
      <c r="B502" s="2">
        <v>589.89700000000005</v>
      </c>
      <c r="C502" s="2">
        <v>6840.14</v>
      </c>
      <c r="D502" s="2">
        <v>7183.1227598038304</v>
      </c>
      <c r="E502" s="2">
        <v>-201.94015131652668</v>
      </c>
      <c r="F502" s="2">
        <v>94.1</v>
      </c>
      <c r="G502" s="2" t="s">
        <v>281</v>
      </c>
      <c r="H502" s="2">
        <v>1.05587821684314</v>
      </c>
      <c r="I502" s="2">
        <v>0.54</v>
      </c>
      <c r="J502" s="2">
        <v>5.1179552623686177E-3</v>
      </c>
      <c r="K502" s="2">
        <v>2.7702604746093672E-2</v>
      </c>
      <c r="L502" s="2">
        <v>105.30719999999999</v>
      </c>
      <c r="M502" s="2">
        <v>105.99930000000001</v>
      </c>
      <c r="N502" s="2">
        <v>-2.5710648606880326E-3</v>
      </c>
      <c r="O502" s="2">
        <v>-1.9057931548646323E-2</v>
      </c>
      <c r="P502" s="2">
        <v>94.1</v>
      </c>
      <c r="Q502" s="2">
        <v>-3.0352931912048575E-2</v>
      </c>
      <c r="R502" s="2">
        <v>5.385472276337888E-3</v>
      </c>
      <c r="S502" s="2">
        <v>1.0503427538706506E-2</v>
      </c>
      <c r="T502" s="2">
        <v>0</v>
      </c>
      <c r="U502" s="2">
        <v>0</v>
      </c>
      <c r="V502" s="2">
        <v>0</v>
      </c>
      <c r="W502" s="2">
        <v>0</v>
      </c>
      <c r="X502" s="2">
        <v>-5.2517137693531939E-4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</row>
    <row r="503" spans="1:98" x14ac:dyDescent="0.2">
      <c r="A503" s="2" t="s">
        <v>782</v>
      </c>
      <c r="B503" s="2">
        <v>600.26900000000001</v>
      </c>
      <c r="C503" s="2">
        <v>12316.38</v>
      </c>
      <c r="D503" s="2">
        <v>12710.471166893509</v>
      </c>
      <c r="E503" s="2">
        <v>5527.3484070896784</v>
      </c>
      <c r="F503" s="2" t="s">
        <v>281</v>
      </c>
      <c r="G503" s="2" t="s">
        <v>281</v>
      </c>
      <c r="H503" s="2">
        <v>1.108965</v>
      </c>
      <c r="I503" s="2">
        <v>0.82</v>
      </c>
      <c r="J503" s="2">
        <v>2.8620480202069185E-3</v>
      </c>
      <c r="K503" s="2">
        <v>2.529532649358858E-2</v>
      </c>
      <c r="L503" s="2">
        <v>105.2021</v>
      </c>
      <c r="M503" s="2">
        <v>105.11</v>
      </c>
      <c r="N503" s="2">
        <v>-9.985307892108608E-4</v>
      </c>
      <c r="O503" s="2">
        <v>-8.4250694814143046E-3</v>
      </c>
      <c r="P503" s="2" t="s">
        <v>281</v>
      </c>
      <c r="Q503" s="2" t="s">
        <v>281</v>
      </c>
      <c r="R503" s="2">
        <v>1.108965</v>
      </c>
      <c r="S503" s="2">
        <v>0.82</v>
      </c>
      <c r="T503" s="2">
        <v>0</v>
      </c>
      <c r="U503" s="2">
        <v>0</v>
      </c>
      <c r="V503" s="2">
        <v>0</v>
      </c>
      <c r="W503" s="2">
        <v>0</v>
      </c>
      <c r="X503" s="2">
        <v>0.80949657246129347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</row>
    <row r="504" spans="1:98" x14ac:dyDescent="0.2">
      <c r="A504" s="2" t="s">
        <v>783</v>
      </c>
      <c r="B504" s="2">
        <v>607.44100000000003</v>
      </c>
      <c r="C504" s="2">
        <v>21670.57</v>
      </c>
      <c r="D504" s="2">
        <v>22099.920850452963</v>
      </c>
      <c r="E504" s="2">
        <v>9389.4496835594546</v>
      </c>
      <c r="F504" s="2" t="s">
        <v>281</v>
      </c>
      <c r="G504" s="2" t="s">
        <v>281</v>
      </c>
      <c r="H504" s="2" t="s">
        <v>281</v>
      </c>
      <c r="I504" s="2" t="s">
        <v>281</v>
      </c>
      <c r="J504" s="2" t="s">
        <v>281</v>
      </c>
      <c r="K504" s="2" t="s">
        <v>281</v>
      </c>
      <c r="L504" s="2">
        <v>104.50830000000001</v>
      </c>
      <c r="M504" s="2">
        <v>103.7603</v>
      </c>
      <c r="N504" s="2">
        <v>-6.6167679934370227E-3</v>
      </c>
      <c r="O504" s="2">
        <v>-1.2923989543667247E-2</v>
      </c>
      <c r="P504" s="2" t="s">
        <v>281</v>
      </c>
      <c r="Q504" s="2" t="s">
        <v>281</v>
      </c>
      <c r="R504" s="2" t="s">
        <v>281</v>
      </c>
      <c r="S504" s="2" t="s">
        <v>281</v>
      </c>
      <c r="T504" s="2">
        <v>0</v>
      </c>
      <c r="U504" s="2">
        <v>0</v>
      </c>
      <c r="V504" s="2">
        <v>0</v>
      </c>
      <c r="W504" s="2">
        <v>0</v>
      </c>
      <c r="X504" s="2" t="s">
        <v>281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</row>
    <row r="505" spans="1:98" x14ac:dyDescent="0.2">
      <c r="A505" s="2" t="s">
        <v>784</v>
      </c>
      <c r="B505" s="2">
        <v>610.12800000000004</v>
      </c>
      <c r="C505" s="2">
        <v>60943.99</v>
      </c>
      <c r="D505" s="2">
        <v>61877.735736173388</v>
      </c>
      <c r="E505" s="2">
        <v>39777.814885720421</v>
      </c>
      <c r="F505" s="2" t="s">
        <v>281</v>
      </c>
      <c r="G505" s="2" t="s">
        <v>281</v>
      </c>
      <c r="H505" s="2" t="s">
        <v>281</v>
      </c>
      <c r="I505" s="2" t="s">
        <v>281</v>
      </c>
      <c r="J505" s="2" t="s">
        <v>281</v>
      </c>
      <c r="K505" s="2" t="s">
        <v>281</v>
      </c>
      <c r="L505" s="2">
        <v>104.0693</v>
      </c>
      <c r="M505" s="2">
        <v>103.0189</v>
      </c>
      <c r="N505" s="2">
        <v>-4.2094707029267653E-3</v>
      </c>
      <c r="O505" s="2">
        <v>-7.1709647495037387E-3</v>
      </c>
      <c r="P505" s="2" t="s">
        <v>281</v>
      </c>
      <c r="Q505" s="2" t="s">
        <v>281</v>
      </c>
      <c r="R505" s="2" t="s">
        <v>281</v>
      </c>
      <c r="S505" s="2" t="s">
        <v>281</v>
      </c>
      <c r="T505" s="2">
        <v>0</v>
      </c>
      <c r="U505" s="2">
        <v>0</v>
      </c>
      <c r="V505" s="2">
        <v>0</v>
      </c>
      <c r="W505" s="2">
        <v>0</v>
      </c>
      <c r="X505" s="2" t="s">
        <v>281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</row>
    <row r="506" spans="1:98" x14ac:dyDescent="0.2">
      <c r="A506" s="2" t="s">
        <v>785</v>
      </c>
      <c r="B506" s="2">
        <v>619.476</v>
      </c>
      <c r="C506" s="2">
        <v>-20898.52</v>
      </c>
      <c r="D506" s="2">
        <v>-20898.52</v>
      </c>
      <c r="E506" s="2">
        <v>-82776.255736173393</v>
      </c>
      <c r="F506" s="2" t="s">
        <v>281</v>
      </c>
      <c r="G506" s="2" t="s">
        <v>281</v>
      </c>
      <c r="H506" s="2" t="s">
        <v>281</v>
      </c>
      <c r="I506" s="2" t="s">
        <v>281</v>
      </c>
      <c r="J506" s="2" t="s">
        <v>281</v>
      </c>
      <c r="K506" s="2" t="s">
        <v>281</v>
      </c>
      <c r="L506" s="2">
        <v>104.7304</v>
      </c>
      <c r="M506" s="2">
        <v>103.9329</v>
      </c>
      <c r="N506" s="2">
        <v>6.3324057375480081E-3</v>
      </c>
      <c r="O506" s="2">
        <v>8.8330320654623762E-3</v>
      </c>
      <c r="P506" s="2" t="s">
        <v>281</v>
      </c>
      <c r="Q506" s="2" t="s">
        <v>281</v>
      </c>
      <c r="R506" s="2" t="s">
        <v>281</v>
      </c>
      <c r="S506" s="2" t="s">
        <v>281</v>
      </c>
      <c r="T506" s="2">
        <v>0</v>
      </c>
      <c r="U506" s="2">
        <v>0</v>
      </c>
      <c r="V506" s="2">
        <v>0</v>
      </c>
      <c r="W506" s="2">
        <v>0</v>
      </c>
      <c r="X506" s="2" t="s">
        <v>281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</row>
    <row r="507" spans="1:98" x14ac:dyDescent="0.2">
      <c r="A507" s="2" t="s">
        <v>786</v>
      </c>
      <c r="B507" s="2" t="s">
        <v>281</v>
      </c>
      <c r="C507" s="2">
        <v>26432.76</v>
      </c>
      <c r="D507" s="2" t="s">
        <v>281</v>
      </c>
      <c r="E507" s="2" t="s">
        <v>281</v>
      </c>
      <c r="F507" s="2" t="s">
        <v>281</v>
      </c>
      <c r="G507" s="2" t="s">
        <v>281</v>
      </c>
      <c r="H507" s="2" t="s">
        <v>281</v>
      </c>
      <c r="I507" s="2" t="s">
        <v>281</v>
      </c>
      <c r="J507" s="2" t="s">
        <v>281</v>
      </c>
      <c r="K507" s="2" t="s">
        <v>281</v>
      </c>
      <c r="L507" s="2">
        <v>104.1893</v>
      </c>
      <c r="M507" s="2">
        <v>103.3847</v>
      </c>
      <c r="N507" s="2">
        <v>-5.1799922162762968E-3</v>
      </c>
      <c r="O507" s="2">
        <v>-5.2885165339500162E-3</v>
      </c>
      <c r="P507" s="2" t="s">
        <v>281</v>
      </c>
      <c r="Q507" s="2" t="s">
        <v>281</v>
      </c>
      <c r="R507" s="2" t="s">
        <v>281</v>
      </c>
      <c r="S507" s="2" t="s">
        <v>281</v>
      </c>
      <c r="T507" s="2">
        <v>0</v>
      </c>
      <c r="U507" s="2">
        <v>0</v>
      </c>
      <c r="V507" s="2">
        <v>0</v>
      </c>
      <c r="W507" s="2">
        <v>0</v>
      </c>
      <c r="X507" s="2" t="s">
        <v>281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</row>
    <row r="508" spans="1:98" x14ac:dyDescent="0.2">
      <c r="A508" s="2" t="s">
        <v>787</v>
      </c>
      <c r="B508" s="2" t="s">
        <v>281</v>
      </c>
      <c r="C508" s="2" t="s">
        <v>281</v>
      </c>
      <c r="D508" s="2" t="s">
        <v>281</v>
      </c>
      <c r="E508" s="2" t="s">
        <v>281</v>
      </c>
      <c r="F508" s="2" t="s">
        <v>281</v>
      </c>
      <c r="G508" s="2" t="s">
        <v>281</v>
      </c>
      <c r="H508" s="2" t="s">
        <v>281</v>
      </c>
      <c r="I508" s="2" t="s">
        <v>281</v>
      </c>
      <c r="J508" s="2" t="s">
        <v>281</v>
      </c>
      <c r="K508" s="2" t="s">
        <v>281</v>
      </c>
      <c r="L508" s="2" t="s">
        <v>281</v>
      </c>
      <c r="M508" s="2" t="s">
        <v>281</v>
      </c>
      <c r="N508" s="2" t="s">
        <v>281</v>
      </c>
      <c r="O508" s="2" t="s">
        <v>281</v>
      </c>
      <c r="P508" s="2" t="s">
        <v>281</v>
      </c>
      <c r="Q508" s="2" t="s">
        <v>281</v>
      </c>
      <c r="R508" s="2" t="s">
        <v>281</v>
      </c>
      <c r="S508" s="2" t="s">
        <v>281</v>
      </c>
      <c r="T508" s="2">
        <v>0</v>
      </c>
      <c r="U508" s="2">
        <v>0</v>
      </c>
      <c r="V508" s="2">
        <v>0</v>
      </c>
      <c r="W508" s="2">
        <v>0</v>
      </c>
      <c r="X508" s="2" t="s">
        <v>281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</row>
    <row r="509" spans="1:98" x14ac:dyDescent="0.2">
      <c r="A509" s="2" t="s">
        <v>788</v>
      </c>
      <c r="B509" s="2" t="s">
        <v>281</v>
      </c>
      <c r="C509" s="2" t="s">
        <v>281</v>
      </c>
      <c r="D509" s="2" t="s">
        <v>281</v>
      </c>
      <c r="E509" s="2" t="s">
        <v>281</v>
      </c>
      <c r="F509" s="2" t="s">
        <v>281</v>
      </c>
      <c r="G509" s="2" t="s">
        <v>281</v>
      </c>
      <c r="H509" s="2" t="s">
        <v>281</v>
      </c>
      <c r="I509" s="2" t="s">
        <v>281</v>
      </c>
      <c r="J509" s="2" t="s">
        <v>281</v>
      </c>
      <c r="K509" s="2" t="s">
        <v>281</v>
      </c>
      <c r="L509" s="2" t="s">
        <v>281</v>
      </c>
      <c r="M509" s="2" t="s">
        <v>281</v>
      </c>
      <c r="N509" s="2" t="s">
        <v>281</v>
      </c>
      <c r="O509" s="2" t="s">
        <v>281</v>
      </c>
      <c r="P509" s="2" t="s">
        <v>281</v>
      </c>
      <c r="Q509" s="2" t="s">
        <v>281</v>
      </c>
      <c r="R509" s="2" t="s">
        <v>281</v>
      </c>
      <c r="S509" s="2" t="s">
        <v>281</v>
      </c>
      <c r="T509" s="2">
        <v>0</v>
      </c>
      <c r="U509" s="2">
        <v>0</v>
      </c>
      <c r="V509" s="2">
        <v>0</v>
      </c>
      <c r="W509" s="2">
        <v>0</v>
      </c>
      <c r="X509" s="2" t="s">
        <v>281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</row>
    <row r="510" spans="1:98" x14ac:dyDescent="0.2">
      <c r="A510" s="2" t="s">
        <v>789</v>
      </c>
      <c r="B510" s="2" t="s">
        <v>281</v>
      </c>
      <c r="C510" s="2" t="s">
        <v>281</v>
      </c>
      <c r="D510" s="2" t="s">
        <v>281</v>
      </c>
      <c r="E510" s="2" t="s">
        <v>281</v>
      </c>
      <c r="F510" s="2" t="s">
        <v>281</v>
      </c>
      <c r="G510" s="2" t="s">
        <v>281</v>
      </c>
      <c r="H510" s="2" t="s">
        <v>281</v>
      </c>
      <c r="I510" s="2" t="s">
        <v>281</v>
      </c>
      <c r="J510" s="2" t="s">
        <v>281</v>
      </c>
      <c r="K510" s="2" t="s">
        <v>281</v>
      </c>
      <c r="L510" s="2" t="s">
        <v>281</v>
      </c>
      <c r="M510" s="2" t="s">
        <v>281</v>
      </c>
      <c r="N510" s="2" t="s">
        <v>281</v>
      </c>
      <c r="O510" s="2" t="s">
        <v>281</v>
      </c>
      <c r="P510" s="2" t="s">
        <v>281</v>
      </c>
      <c r="Q510" s="2" t="s">
        <v>281</v>
      </c>
      <c r="R510" s="2" t="s">
        <v>281</v>
      </c>
      <c r="S510" s="2" t="s">
        <v>281</v>
      </c>
      <c r="T510" s="2">
        <v>0</v>
      </c>
      <c r="U510" s="2">
        <v>0</v>
      </c>
      <c r="V510" s="2">
        <v>0</v>
      </c>
      <c r="W510" s="2">
        <v>0</v>
      </c>
      <c r="X510" s="2" t="s">
        <v>281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</row>
    <row r="511" spans="1:98" x14ac:dyDescent="0.2">
      <c r="A511" s="2" t="s">
        <v>790</v>
      </c>
      <c r="B511" s="2" t="s">
        <v>281</v>
      </c>
      <c r="C511" s="2" t="s">
        <v>281</v>
      </c>
      <c r="D511" s="2" t="s">
        <v>281</v>
      </c>
      <c r="E511" s="2" t="s">
        <v>281</v>
      </c>
      <c r="F511" s="2" t="s">
        <v>281</v>
      </c>
      <c r="G511" s="2" t="s">
        <v>281</v>
      </c>
      <c r="H511" s="2" t="s">
        <v>281</v>
      </c>
      <c r="I511" s="2" t="s">
        <v>281</v>
      </c>
      <c r="J511" s="2" t="s">
        <v>281</v>
      </c>
      <c r="K511" s="2" t="s">
        <v>281</v>
      </c>
      <c r="L511" s="2" t="s">
        <v>281</v>
      </c>
      <c r="M511" s="2" t="s">
        <v>281</v>
      </c>
      <c r="N511" s="2" t="s">
        <v>281</v>
      </c>
      <c r="O511" s="2" t="s">
        <v>281</v>
      </c>
      <c r="P511" s="2" t="s">
        <v>281</v>
      </c>
      <c r="Q511" s="2" t="s">
        <v>281</v>
      </c>
      <c r="R511" s="2" t="s">
        <v>281</v>
      </c>
      <c r="S511" s="2" t="s">
        <v>281</v>
      </c>
      <c r="T511" s="2">
        <v>0</v>
      </c>
      <c r="U511" s="2">
        <v>0</v>
      </c>
      <c r="V511" s="2">
        <v>0</v>
      </c>
      <c r="W511" s="2">
        <v>0</v>
      </c>
      <c r="X511" s="2" t="s">
        <v>281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</row>
    <row r="512" spans="1:98" x14ac:dyDescent="0.2">
      <c r="A512" s="2" t="s">
        <v>791</v>
      </c>
      <c r="B512" s="2" t="s">
        <v>281</v>
      </c>
      <c r="C512" s="2" t="s">
        <v>281</v>
      </c>
      <c r="D512" s="2" t="s">
        <v>281</v>
      </c>
      <c r="E512" s="2" t="s">
        <v>281</v>
      </c>
      <c r="F512" s="2" t="s">
        <v>281</v>
      </c>
      <c r="G512" s="2" t="s">
        <v>281</v>
      </c>
      <c r="H512" s="2" t="s">
        <v>281</v>
      </c>
      <c r="I512" s="2" t="s">
        <v>281</v>
      </c>
      <c r="J512" s="2" t="s">
        <v>281</v>
      </c>
      <c r="K512" s="2" t="s">
        <v>281</v>
      </c>
      <c r="L512" s="2" t="s">
        <v>281</v>
      </c>
      <c r="M512" s="2" t="s">
        <v>281</v>
      </c>
      <c r="N512" s="2" t="s">
        <v>281</v>
      </c>
      <c r="O512" s="2" t="s">
        <v>281</v>
      </c>
      <c r="P512" s="2" t="s">
        <v>281</v>
      </c>
      <c r="Q512" s="2" t="s">
        <v>281</v>
      </c>
      <c r="R512" s="2" t="s">
        <v>281</v>
      </c>
      <c r="S512" s="2" t="s">
        <v>281</v>
      </c>
      <c r="T512" s="2">
        <v>0</v>
      </c>
      <c r="U512" s="2">
        <v>0</v>
      </c>
      <c r="V512" s="2">
        <v>0</v>
      </c>
      <c r="W512" s="2">
        <v>0</v>
      </c>
      <c r="X512" s="2" t="s">
        <v>281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</row>
    <row r="513" spans="1:98" x14ac:dyDescent="0.2">
      <c r="A513" s="2" t="s">
        <v>792</v>
      </c>
      <c r="B513" s="2" t="s">
        <v>281</v>
      </c>
      <c r="C513" s="2" t="s">
        <v>281</v>
      </c>
      <c r="D513" s="2" t="s">
        <v>281</v>
      </c>
      <c r="E513" s="2" t="s">
        <v>281</v>
      </c>
      <c r="F513" s="2" t="s">
        <v>281</v>
      </c>
      <c r="G513" s="2" t="s">
        <v>281</v>
      </c>
      <c r="H513" s="2" t="s">
        <v>281</v>
      </c>
      <c r="I513" s="2" t="s">
        <v>281</v>
      </c>
      <c r="J513" s="2" t="s">
        <v>281</v>
      </c>
      <c r="K513" s="2" t="s">
        <v>281</v>
      </c>
      <c r="L513" s="2" t="s">
        <v>281</v>
      </c>
      <c r="M513" s="2" t="s">
        <v>281</v>
      </c>
      <c r="N513" s="2" t="s">
        <v>281</v>
      </c>
      <c r="O513" s="2" t="s">
        <v>281</v>
      </c>
      <c r="P513" s="2" t="s">
        <v>281</v>
      </c>
      <c r="Q513" s="2" t="s">
        <v>281</v>
      </c>
      <c r="R513" s="2" t="s">
        <v>281</v>
      </c>
      <c r="S513" s="2" t="s">
        <v>281</v>
      </c>
      <c r="T513" s="2">
        <v>0</v>
      </c>
      <c r="U513" s="2">
        <v>0</v>
      </c>
      <c r="V513" s="2">
        <v>0</v>
      </c>
      <c r="W513" s="2">
        <v>0</v>
      </c>
      <c r="X513" s="2" t="s">
        <v>281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</row>
    <row r="514" spans="1:98" x14ac:dyDescent="0.2">
      <c r="A514" s="2" t="s">
        <v>793</v>
      </c>
      <c r="B514" s="2" t="s">
        <v>281</v>
      </c>
      <c r="C514" s="2" t="s">
        <v>281</v>
      </c>
      <c r="D514" s="2" t="s">
        <v>281</v>
      </c>
      <c r="E514" s="2" t="s">
        <v>281</v>
      </c>
      <c r="F514" s="2" t="s">
        <v>281</v>
      </c>
      <c r="G514" s="2" t="s">
        <v>281</v>
      </c>
      <c r="H514" s="2" t="s">
        <v>281</v>
      </c>
      <c r="I514" s="2" t="s">
        <v>281</v>
      </c>
      <c r="J514" s="2" t="s">
        <v>281</v>
      </c>
      <c r="K514" s="2" t="s">
        <v>281</v>
      </c>
      <c r="L514" s="2" t="s">
        <v>281</v>
      </c>
      <c r="M514" s="2" t="s">
        <v>281</v>
      </c>
      <c r="N514" s="2" t="s">
        <v>281</v>
      </c>
      <c r="O514" s="2" t="s">
        <v>281</v>
      </c>
      <c r="P514" s="2" t="s">
        <v>281</v>
      </c>
      <c r="Q514" s="2" t="s">
        <v>281</v>
      </c>
      <c r="R514" s="2" t="s">
        <v>281</v>
      </c>
      <c r="S514" s="2" t="s">
        <v>281</v>
      </c>
      <c r="T514" s="2">
        <v>0</v>
      </c>
      <c r="U514" s="2">
        <v>0</v>
      </c>
      <c r="V514" s="2">
        <v>0</v>
      </c>
      <c r="W514" s="2">
        <v>0</v>
      </c>
      <c r="X514" s="2" t="s">
        <v>281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</row>
    <row r="515" spans="1:98" x14ac:dyDescent="0.2">
      <c r="A515" s="2" t="s">
        <v>794</v>
      </c>
      <c r="B515" s="2" t="s">
        <v>281</v>
      </c>
      <c r="C515" s="2" t="s">
        <v>281</v>
      </c>
      <c r="D515" s="2" t="s">
        <v>281</v>
      </c>
      <c r="E515" s="2" t="s">
        <v>281</v>
      </c>
      <c r="F515" s="2" t="s">
        <v>281</v>
      </c>
      <c r="G515" s="2" t="s">
        <v>281</v>
      </c>
      <c r="H515" s="2" t="s">
        <v>281</v>
      </c>
      <c r="I515" s="2" t="s">
        <v>281</v>
      </c>
      <c r="J515" s="2" t="s">
        <v>281</v>
      </c>
      <c r="K515" s="2" t="s">
        <v>281</v>
      </c>
      <c r="L515" s="2" t="s">
        <v>281</v>
      </c>
      <c r="M515" s="2" t="s">
        <v>281</v>
      </c>
      <c r="N515" s="2" t="s">
        <v>281</v>
      </c>
      <c r="O515" s="2" t="s">
        <v>281</v>
      </c>
      <c r="P515" s="2" t="s">
        <v>281</v>
      </c>
      <c r="Q515" s="2" t="s">
        <v>281</v>
      </c>
      <c r="R515" s="2" t="s">
        <v>281</v>
      </c>
      <c r="S515" s="2" t="s">
        <v>281</v>
      </c>
      <c r="T515" s="2">
        <v>0</v>
      </c>
      <c r="U515" s="2">
        <v>0</v>
      </c>
      <c r="V515" s="2">
        <v>0</v>
      </c>
      <c r="W515" s="2">
        <v>0</v>
      </c>
      <c r="X515" s="2" t="s">
        <v>281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</row>
    <row r="516" spans="1:98" x14ac:dyDescent="0.2">
      <c r="A516" s="2" t="s">
        <v>795</v>
      </c>
      <c r="B516" s="2" t="s">
        <v>281</v>
      </c>
      <c r="C516" s="2" t="s">
        <v>281</v>
      </c>
      <c r="D516" s="2" t="s">
        <v>281</v>
      </c>
      <c r="E516" s="2" t="s">
        <v>281</v>
      </c>
      <c r="F516" s="2" t="s">
        <v>281</v>
      </c>
      <c r="G516" s="2" t="s">
        <v>281</v>
      </c>
      <c r="H516" s="2" t="s">
        <v>281</v>
      </c>
      <c r="I516" s="2" t="s">
        <v>281</v>
      </c>
      <c r="J516" s="2" t="s">
        <v>281</v>
      </c>
      <c r="K516" s="2" t="s">
        <v>281</v>
      </c>
      <c r="L516" s="2" t="s">
        <v>281</v>
      </c>
      <c r="M516" s="2" t="s">
        <v>281</v>
      </c>
      <c r="N516" s="2" t="s">
        <v>281</v>
      </c>
      <c r="O516" s="2" t="s">
        <v>281</v>
      </c>
      <c r="P516" s="2" t="s">
        <v>281</v>
      </c>
      <c r="Q516" s="2" t="s">
        <v>281</v>
      </c>
      <c r="R516" s="2" t="s">
        <v>281</v>
      </c>
      <c r="S516" s="2" t="s">
        <v>281</v>
      </c>
      <c r="T516" s="2">
        <v>0</v>
      </c>
      <c r="U516" s="2">
        <v>0</v>
      </c>
      <c r="V516" s="2">
        <v>0</v>
      </c>
      <c r="W516" s="2">
        <v>0</v>
      </c>
      <c r="X516" s="2" t="s">
        <v>281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1"/>
  <sheetViews>
    <sheetView topLeftCell="A146" zoomScaleNormal="100" workbookViewId="0">
      <selection activeCell="E182" sqref="E182"/>
    </sheetView>
  </sheetViews>
  <sheetFormatPr defaultRowHeight="12.75" customHeight="1" x14ac:dyDescent="0.2"/>
  <cols>
    <col min="1" max="1" width="10.28515625" customWidth="1"/>
    <col min="2" max="2" width="10.28515625" style="1" customWidth="1"/>
    <col min="3" max="3" width="10.28515625" customWidth="1"/>
    <col min="4" max="4" width="13.28515625" bestFit="1" customWidth="1"/>
    <col min="5" max="5" width="10.28515625" customWidth="1"/>
    <col min="6" max="6" width="13.28515625" bestFit="1" customWidth="1"/>
    <col min="7" max="256" width="10.28515625" customWidth="1"/>
  </cols>
  <sheetData>
    <row r="1" spans="1:4" x14ac:dyDescent="0.2">
      <c r="A1" t="s">
        <v>0</v>
      </c>
      <c r="B1" s="1" t="s">
        <v>1</v>
      </c>
    </row>
    <row r="2" spans="1:4" x14ac:dyDescent="0.2">
      <c r="A2" t="s">
        <v>2</v>
      </c>
      <c r="B2" s="1">
        <v>72.400000000000006</v>
      </c>
      <c r="C2">
        <f>'1'!P338</f>
        <v>72.400000000000006</v>
      </c>
      <c r="D2" t="b">
        <f>EXACT(B2,C2)</f>
        <v>1</v>
      </c>
    </row>
    <row r="3" spans="1:4" x14ac:dyDescent="0.2">
      <c r="A3" t="s">
        <v>3</v>
      </c>
      <c r="B3" s="1">
        <v>69.7</v>
      </c>
      <c r="C3">
        <f>'1'!P339</f>
        <v>69.7</v>
      </c>
      <c r="D3" t="b">
        <f t="shared" ref="D3:D66" si="0">EXACT(B3,C3)</f>
        <v>1</v>
      </c>
    </row>
    <row r="4" spans="1:4" x14ac:dyDescent="0.2">
      <c r="A4" t="s">
        <v>4</v>
      </c>
      <c r="B4" s="1">
        <v>77.400000000000006</v>
      </c>
      <c r="C4">
        <f>'1'!P340</f>
        <v>77.400000000000006</v>
      </c>
      <c r="D4" t="b">
        <f t="shared" si="0"/>
        <v>1</v>
      </c>
    </row>
    <row r="5" spans="1:4" x14ac:dyDescent="0.2">
      <c r="A5" t="s">
        <v>5</v>
      </c>
      <c r="B5" s="1">
        <v>79.599999999999994</v>
      </c>
      <c r="C5">
        <f>'1'!P341</f>
        <v>79.599999999999994</v>
      </c>
      <c r="D5" t="b">
        <f t="shared" si="0"/>
        <v>1</v>
      </c>
    </row>
    <row r="6" spans="1:4" x14ac:dyDescent="0.2">
      <c r="A6" t="s">
        <v>6</v>
      </c>
      <c r="B6" s="1">
        <v>80.400000000000006</v>
      </c>
      <c r="C6">
        <f>'1'!P342</f>
        <v>80.400000000000006</v>
      </c>
      <c r="D6" t="b">
        <f t="shared" si="0"/>
        <v>1</v>
      </c>
    </row>
    <row r="7" spans="1:4" x14ac:dyDescent="0.2">
      <c r="A7" t="s">
        <v>7</v>
      </c>
      <c r="B7" s="1">
        <v>77.5</v>
      </c>
      <c r="C7">
        <f>'1'!P343</f>
        <v>77.5</v>
      </c>
      <c r="D7" t="b">
        <f t="shared" si="0"/>
        <v>1</v>
      </c>
    </row>
    <row r="8" spans="1:4" x14ac:dyDescent="0.2">
      <c r="A8" t="s">
        <v>8</v>
      </c>
      <c r="B8" s="1">
        <v>83.3</v>
      </c>
      <c r="C8">
        <f>'1'!P344</f>
        <v>83.3</v>
      </c>
      <c r="D8" t="b">
        <f t="shared" si="0"/>
        <v>1</v>
      </c>
    </row>
    <row r="9" spans="1:4" x14ac:dyDescent="0.2">
      <c r="A9" t="s">
        <v>9</v>
      </c>
      <c r="B9" s="1">
        <v>83.6</v>
      </c>
      <c r="C9">
        <f>'1'!P345</f>
        <v>83.6</v>
      </c>
      <c r="D9" t="b">
        <f t="shared" si="0"/>
        <v>1</v>
      </c>
    </row>
    <row r="10" spans="1:4" x14ac:dyDescent="0.2">
      <c r="A10" t="s">
        <v>10</v>
      </c>
      <c r="B10" s="1">
        <v>82.1</v>
      </c>
      <c r="C10">
        <f>'1'!P346</f>
        <v>82.1</v>
      </c>
      <c r="D10" t="b">
        <f t="shared" si="0"/>
        <v>1</v>
      </c>
    </row>
    <row r="11" spans="1:4" x14ac:dyDescent="0.2">
      <c r="A11" t="s">
        <v>11</v>
      </c>
      <c r="B11" s="1">
        <v>89.2</v>
      </c>
      <c r="C11">
        <f>'1'!P347</f>
        <v>89.2</v>
      </c>
      <c r="D11" t="b">
        <f t="shared" si="0"/>
        <v>1</v>
      </c>
    </row>
    <row r="12" spans="1:4" x14ac:dyDescent="0.2">
      <c r="A12" t="s">
        <v>12</v>
      </c>
      <c r="B12" s="1">
        <v>83.9</v>
      </c>
      <c r="C12">
        <f>'1'!P348</f>
        <v>83.9</v>
      </c>
      <c r="D12" t="b">
        <f t="shared" si="0"/>
        <v>1</v>
      </c>
    </row>
    <row r="13" spans="1:4" x14ac:dyDescent="0.2">
      <c r="A13" t="s">
        <v>13</v>
      </c>
      <c r="B13" s="1">
        <v>74.599999999999994</v>
      </c>
      <c r="C13">
        <f>'1'!P349</f>
        <v>74.599999999999994</v>
      </c>
      <c r="D13" t="b">
        <f t="shared" si="0"/>
        <v>1</v>
      </c>
    </row>
    <row r="14" spans="1:4" x14ac:dyDescent="0.2">
      <c r="A14" t="s">
        <v>14</v>
      </c>
      <c r="B14" s="1">
        <v>74</v>
      </c>
      <c r="C14">
        <f>'1'!P350</f>
        <v>74</v>
      </c>
      <c r="D14" t="b">
        <f t="shared" si="0"/>
        <v>1</v>
      </c>
    </row>
    <row r="15" spans="1:4" x14ac:dyDescent="0.2">
      <c r="A15" t="s">
        <v>15</v>
      </c>
      <c r="B15" s="1">
        <v>71.8</v>
      </c>
      <c r="C15">
        <f>'1'!P351</f>
        <v>71.8</v>
      </c>
      <c r="D15" t="b">
        <f t="shared" si="0"/>
        <v>1</v>
      </c>
    </row>
    <row r="16" spans="1:4" x14ac:dyDescent="0.2">
      <c r="A16" t="s">
        <v>16</v>
      </c>
      <c r="B16" s="1">
        <v>77.400000000000006</v>
      </c>
      <c r="C16">
        <f>'1'!P352</f>
        <v>77.400000000000006</v>
      </c>
      <c r="D16" t="b">
        <f t="shared" si="0"/>
        <v>1</v>
      </c>
    </row>
    <row r="17" spans="1:4" x14ac:dyDescent="0.2">
      <c r="A17" t="s">
        <v>17</v>
      </c>
      <c r="B17" s="1">
        <v>76.5</v>
      </c>
      <c r="C17">
        <f>'1'!P353</f>
        <v>76.5</v>
      </c>
      <c r="D17" t="b">
        <f t="shared" si="0"/>
        <v>1</v>
      </c>
    </row>
    <row r="18" spans="1:4" x14ac:dyDescent="0.2">
      <c r="A18" t="s">
        <v>18</v>
      </c>
      <c r="B18" s="1">
        <v>79.7</v>
      </c>
      <c r="C18">
        <f>'1'!P354</f>
        <v>79.7</v>
      </c>
      <c r="D18" t="b">
        <f t="shared" si="0"/>
        <v>1</v>
      </c>
    </row>
    <row r="19" spans="1:4" x14ac:dyDescent="0.2">
      <c r="A19" t="s">
        <v>19</v>
      </c>
      <c r="B19" s="1">
        <v>76.3</v>
      </c>
      <c r="C19">
        <f>'1'!P355</f>
        <v>76.3</v>
      </c>
      <c r="D19" t="b">
        <f t="shared" si="0"/>
        <v>1</v>
      </c>
    </row>
    <row r="20" spans="1:4" x14ac:dyDescent="0.2">
      <c r="A20" t="s">
        <v>20</v>
      </c>
      <c r="B20" s="1">
        <v>81.3</v>
      </c>
      <c r="C20">
        <f>'1'!P356</f>
        <v>81.3</v>
      </c>
      <c r="D20" t="b">
        <f t="shared" si="0"/>
        <v>1</v>
      </c>
    </row>
    <row r="21" spans="1:4" x14ac:dyDescent="0.2">
      <c r="A21" t="s">
        <v>21</v>
      </c>
      <c r="B21" s="1">
        <v>81.599999999999994</v>
      </c>
      <c r="C21">
        <f>'1'!P357</f>
        <v>81.599999999999994</v>
      </c>
      <c r="D21" t="b">
        <f t="shared" si="0"/>
        <v>1</v>
      </c>
    </row>
    <row r="22" spans="1:4" x14ac:dyDescent="0.2">
      <c r="A22" t="s">
        <v>22</v>
      </c>
      <c r="B22" s="1">
        <v>85.7</v>
      </c>
      <c r="C22">
        <f>'1'!P358</f>
        <v>85.7</v>
      </c>
      <c r="D22" t="b">
        <f t="shared" si="0"/>
        <v>1</v>
      </c>
    </row>
    <row r="23" spans="1:4" x14ac:dyDescent="0.2">
      <c r="A23" t="s">
        <v>23</v>
      </c>
      <c r="B23" s="1">
        <v>90</v>
      </c>
      <c r="C23">
        <f>'1'!P359</f>
        <v>90</v>
      </c>
      <c r="D23" t="b">
        <f t="shared" si="0"/>
        <v>1</v>
      </c>
    </row>
    <row r="24" spans="1:4" x14ac:dyDescent="0.2">
      <c r="A24" t="s">
        <v>24</v>
      </c>
      <c r="B24" s="1">
        <v>84.6</v>
      </c>
      <c r="C24">
        <f>'1'!P360</f>
        <v>84.6</v>
      </c>
      <c r="D24" t="b">
        <f t="shared" si="0"/>
        <v>1</v>
      </c>
    </row>
    <row r="25" spans="1:4" x14ac:dyDescent="0.2">
      <c r="A25" t="s">
        <v>25</v>
      </c>
      <c r="B25" s="1">
        <v>77.900000000000006</v>
      </c>
      <c r="C25">
        <f>'1'!P361</f>
        <v>77.900000000000006</v>
      </c>
      <c r="D25" t="b">
        <f t="shared" si="0"/>
        <v>1</v>
      </c>
    </row>
    <row r="26" spans="1:4" x14ac:dyDescent="0.2">
      <c r="A26" t="s">
        <v>26</v>
      </c>
      <c r="B26" s="1">
        <v>76.8</v>
      </c>
      <c r="C26">
        <f>'1'!P362</f>
        <v>76.8</v>
      </c>
      <c r="D26" t="b">
        <f t="shared" si="0"/>
        <v>1</v>
      </c>
    </row>
    <row r="27" spans="1:4" x14ac:dyDescent="0.2">
      <c r="A27" t="s">
        <v>27</v>
      </c>
      <c r="B27" s="1">
        <v>74</v>
      </c>
      <c r="C27">
        <f>'1'!P363</f>
        <v>74</v>
      </c>
      <c r="D27" t="b">
        <f t="shared" si="0"/>
        <v>1</v>
      </c>
    </row>
    <row r="28" spans="1:4" x14ac:dyDescent="0.2">
      <c r="A28" t="s">
        <v>28</v>
      </c>
      <c r="B28" s="1">
        <v>86.9</v>
      </c>
      <c r="C28">
        <f>'1'!P364</f>
        <v>86.9</v>
      </c>
      <c r="D28" t="b">
        <f t="shared" si="0"/>
        <v>1</v>
      </c>
    </row>
    <row r="29" spans="1:4" x14ac:dyDescent="0.2">
      <c r="A29" t="s">
        <v>29</v>
      </c>
      <c r="B29" s="1">
        <v>82.2</v>
      </c>
      <c r="C29">
        <f>'1'!P365</f>
        <v>82.2</v>
      </c>
      <c r="D29" t="b">
        <f t="shared" si="0"/>
        <v>1</v>
      </c>
    </row>
    <row r="30" spans="1:4" x14ac:dyDescent="0.2">
      <c r="A30" t="s">
        <v>30</v>
      </c>
      <c r="B30" s="1">
        <v>86.3</v>
      </c>
      <c r="C30">
        <f>'1'!P366</f>
        <v>86.3</v>
      </c>
      <c r="D30" t="b">
        <f t="shared" si="0"/>
        <v>1</v>
      </c>
    </row>
    <row r="31" spans="1:4" x14ac:dyDescent="0.2">
      <c r="A31" t="s">
        <v>31</v>
      </c>
      <c r="B31" s="1">
        <v>86.1</v>
      </c>
      <c r="C31">
        <f>'1'!P367</f>
        <v>86.1</v>
      </c>
      <c r="D31" t="b">
        <f t="shared" si="0"/>
        <v>1</v>
      </c>
    </row>
    <row r="32" spans="1:4" x14ac:dyDescent="0.2">
      <c r="A32" t="s">
        <v>32</v>
      </c>
      <c r="B32" s="1">
        <v>90.1</v>
      </c>
      <c r="C32">
        <f>'1'!P368</f>
        <v>90.1</v>
      </c>
      <c r="D32" t="b">
        <f t="shared" si="0"/>
        <v>1</v>
      </c>
    </row>
    <row r="33" spans="1:4" x14ac:dyDescent="0.2">
      <c r="A33" t="s">
        <v>33</v>
      </c>
      <c r="B33" s="1">
        <v>92.1</v>
      </c>
      <c r="C33">
        <f>'1'!P369</f>
        <v>92.1</v>
      </c>
      <c r="D33" t="b">
        <f t="shared" si="0"/>
        <v>1</v>
      </c>
    </row>
    <row r="34" spans="1:4" x14ac:dyDescent="0.2">
      <c r="A34" t="s">
        <v>34</v>
      </c>
      <c r="B34" s="1">
        <v>92.1</v>
      </c>
      <c r="C34">
        <f>'1'!P370</f>
        <v>92.1</v>
      </c>
      <c r="D34" t="b">
        <f t="shared" si="0"/>
        <v>1</v>
      </c>
    </row>
    <row r="35" spans="1:4" x14ac:dyDescent="0.2">
      <c r="A35" t="s">
        <v>35</v>
      </c>
      <c r="B35" s="1">
        <v>93.5</v>
      </c>
      <c r="C35">
        <f>'1'!P371</f>
        <v>93.5</v>
      </c>
      <c r="D35" t="b">
        <f t="shared" si="0"/>
        <v>1</v>
      </c>
    </row>
    <row r="36" spans="1:4" x14ac:dyDescent="0.2">
      <c r="A36" t="s">
        <v>36</v>
      </c>
      <c r="B36" s="1">
        <v>91.8</v>
      </c>
      <c r="C36">
        <f>'1'!P372</f>
        <v>91.8</v>
      </c>
      <c r="D36" t="b">
        <f t="shared" si="0"/>
        <v>1</v>
      </c>
    </row>
    <row r="37" spans="1:4" x14ac:dyDescent="0.2">
      <c r="A37" t="s">
        <v>37</v>
      </c>
      <c r="B37" s="1">
        <v>84.7</v>
      </c>
      <c r="C37">
        <f>'1'!P373</f>
        <v>84.7</v>
      </c>
      <c r="D37" t="b">
        <f t="shared" si="0"/>
        <v>1</v>
      </c>
    </row>
    <row r="38" spans="1:4" x14ac:dyDescent="0.2">
      <c r="A38" t="s">
        <v>38</v>
      </c>
      <c r="B38" s="1">
        <v>81</v>
      </c>
      <c r="C38">
        <f>'1'!P374</f>
        <v>81</v>
      </c>
      <c r="D38" t="b">
        <f t="shared" si="0"/>
        <v>1</v>
      </c>
    </row>
    <row r="39" spans="1:4" x14ac:dyDescent="0.2">
      <c r="A39" t="s">
        <v>39</v>
      </c>
      <c r="B39" s="1">
        <v>76.400000000000006</v>
      </c>
      <c r="C39">
        <f>'1'!P375</f>
        <v>76.400000000000006</v>
      </c>
      <c r="D39" t="b">
        <f t="shared" si="0"/>
        <v>1</v>
      </c>
    </row>
    <row r="40" spans="1:4" x14ac:dyDescent="0.2">
      <c r="A40" t="s">
        <v>40</v>
      </c>
      <c r="B40" s="1">
        <v>88</v>
      </c>
      <c r="C40">
        <f>'1'!P376</f>
        <v>88</v>
      </c>
      <c r="D40" t="b">
        <f t="shared" si="0"/>
        <v>1</v>
      </c>
    </row>
    <row r="41" spans="1:4" x14ac:dyDescent="0.2">
      <c r="A41" t="s">
        <v>41</v>
      </c>
      <c r="B41" s="1">
        <v>87</v>
      </c>
      <c r="C41">
        <f>'1'!P377</f>
        <v>87</v>
      </c>
      <c r="D41" t="b">
        <f t="shared" si="0"/>
        <v>1</v>
      </c>
    </row>
    <row r="42" spans="1:4" x14ac:dyDescent="0.2">
      <c r="A42" t="s">
        <v>42</v>
      </c>
      <c r="B42" s="1">
        <v>91.1</v>
      </c>
      <c r="C42">
        <f>'1'!P378</f>
        <v>91.1</v>
      </c>
      <c r="D42" t="b">
        <f t="shared" si="0"/>
        <v>1</v>
      </c>
    </row>
    <row r="43" spans="1:4" x14ac:dyDescent="0.2">
      <c r="A43" t="s">
        <v>43</v>
      </c>
      <c r="B43" s="1">
        <v>91.4</v>
      </c>
      <c r="C43">
        <f>'1'!P379</f>
        <v>91.4</v>
      </c>
      <c r="D43" t="b">
        <f t="shared" si="0"/>
        <v>1</v>
      </c>
    </row>
    <row r="44" spans="1:4" x14ac:dyDescent="0.2">
      <c r="A44" t="s">
        <v>44</v>
      </c>
      <c r="B44" s="1">
        <v>90.5</v>
      </c>
      <c r="C44">
        <f>'1'!P380</f>
        <v>90.5</v>
      </c>
      <c r="D44" t="b">
        <f t="shared" si="0"/>
        <v>1</v>
      </c>
    </row>
    <row r="45" spans="1:4" x14ac:dyDescent="0.2">
      <c r="A45" t="s">
        <v>45</v>
      </c>
      <c r="B45" s="1">
        <v>95.6</v>
      </c>
      <c r="C45">
        <f>'1'!P381</f>
        <v>95.6</v>
      </c>
      <c r="D45" t="b">
        <f t="shared" si="0"/>
        <v>1</v>
      </c>
    </row>
    <row r="46" spans="1:4" x14ac:dyDescent="0.2">
      <c r="A46" t="s">
        <v>46</v>
      </c>
      <c r="B46" s="1">
        <v>92</v>
      </c>
      <c r="C46">
        <f>'1'!P382</f>
        <v>92</v>
      </c>
      <c r="D46" t="b">
        <f t="shared" si="0"/>
        <v>1</v>
      </c>
    </row>
    <row r="47" spans="1:4" x14ac:dyDescent="0.2">
      <c r="A47" t="s">
        <v>47</v>
      </c>
      <c r="B47" s="1">
        <v>93.7</v>
      </c>
      <c r="C47">
        <f>'1'!P383</f>
        <v>93.7</v>
      </c>
      <c r="D47" t="b">
        <f t="shared" si="0"/>
        <v>1</v>
      </c>
    </row>
    <row r="48" spans="1:4" x14ac:dyDescent="0.2">
      <c r="A48" t="s">
        <v>48</v>
      </c>
      <c r="B48" s="1">
        <v>92.4</v>
      </c>
      <c r="C48">
        <f>'1'!P384</f>
        <v>92.4</v>
      </c>
      <c r="D48" t="b">
        <f t="shared" si="0"/>
        <v>1</v>
      </c>
    </row>
    <row r="49" spans="1:4" x14ac:dyDescent="0.2">
      <c r="A49" t="s">
        <v>49</v>
      </c>
      <c r="B49" s="1">
        <v>86.6</v>
      </c>
      <c r="C49">
        <f>'1'!P385</f>
        <v>86.6</v>
      </c>
      <c r="D49" t="b">
        <f t="shared" si="0"/>
        <v>1</v>
      </c>
    </row>
    <row r="50" spans="1:4" x14ac:dyDescent="0.2">
      <c r="A50" t="s">
        <v>50</v>
      </c>
      <c r="B50" s="1">
        <v>83.7</v>
      </c>
      <c r="C50">
        <f>'1'!P386</f>
        <v>83.7</v>
      </c>
      <c r="D50" t="b">
        <f t="shared" si="0"/>
        <v>1</v>
      </c>
    </row>
    <row r="51" spans="1:4" x14ac:dyDescent="0.2">
      <c r="A51" t="s">
        <v>51</v>
      </c>
      <c r="B51" s="1">
        <v>80.2</v>
      </c>
      <c r="C51">
        <f>'1'!P387</f>
        <v>80.2</v>
      </c>
      <c r="D51" t="b">
        <f t="shared" si="0"/>
        <v>1</v>
      </c>
    </row>
    <row r="52" spans="1:4" x14ac:dyDescent="0.2">
      <c r="A52" t="s">
        <v>52</v>
      </c>
      <c r="B52" s="1">
        <v>92.4</v>
      </c>
      <c r="C52">
        <f>'1'!P388</f>
        <v>92.4</v>
      </c>
      <c r="D52" t="b">
        <f t="shared" si="0"/>
        <v>1</v>
      </c>
    </row>
    <row r="53" spans="1:4" x14ac:dyDescent="0.2">
      <c r="A53" t="s">
        <v>53</v>
      </c>
      <c r="B53" s="1">
        <v>85.7</v>
      </c>
      <c r="C53">
        <f>'1'!P389</f>
        <v>85.7</v>
      </c>
      <c r="D53" t="b">
        <f t="shared" si="0"/>
        <v>1</v>
      </c>
    </row>
    <row r="54" spans="1:4" x14ac:dyDescent="0.2">
      <c r="A54" t="s">
        <v>54</v>
      </c>
      <c r="B54" s="1">
        <v>95.4</v>
      </c>
      <c r="C54">
        <f>'1'!P390</f>
        <v>95.4</v>
      </c>
      <c r="D54" t="b">
        <f t="shared" si="0"/>
        <v>1</v>
      </c>
    </row>
    <row r="55" spans="1:4" x14ac:dyDescent="0.2">
      <c r="A55" t="s">
        <v>55</v>
      </c>
      <c r="B55" s="1">
        <v>91.1</v>
      </c>
      <c r="C55">
        <f>'1'!P391</f>
        <v>91.1</v>
      </c>
      <c r="D55" t="b">
        <f t="shared" si="0"/>
        <v>1</v>
      </c>
    </row>
    <row r="56" spans="1:4" x14ac:dyDescent="0.2">
      <c r="A56" t="s">
        <v>56</v>
      </c>
      <c r="B56" s="1">
        <v>93.8</v>
      </c>
      <c r="C56">
        <f>'1'!P392</f>
        <v>93.8</v>
      </c>
      <c r="D56" t="b">
        <f t="shared" si="0"/>
        <v>1</v>
      </c>
    </row>
    <row r="57" spans="1:4" x14ac:dyDescent="0.2">
      <c r="A57" t="s">
        <v>57</v>
      </c>
      <c r="B57" s="1">
        <v>98.6</v>
      </c>
      <c r="C57">
        <f>'1'!P393</f>
        <v>98.6</v>
      </c>
      <c r="D57" t="b">
        <f t="shared" si="0"/>
        <v>1</v>
      </c>
    </row>
    <row r="58" spans="1:4" x14ac:dyDescent="0.2">
      <c r="A58" t="s">
        <v>58</v>
      </c>
      <c r="B58" s="1">
        <v>93.2</v>
      </c>
      <c r="C58">
        <f>'1'!P394</f>
        <v>93.2</v>
      </c>
      <c r="D58" t="b">
        <f t="shared" si="0"/>
        <v>1</v>
      </c>
    </row>
    <row r="59" spans="1:4" x14ac:dyDescent="0.2">
      <c r="A59" t="s">
        <v>59</v>
      </c>
      <c r="B59" s="1">
        <v>97.5</v>
      </c>
      <c r="C59">
        <f>'1'!P395</f>
        <v>97.5</v>
      </c>
      <c r="D59" t="b">
        <f t="shared" si="0"/>
        <v>1</v>
      </c>
    </row>
    <row r="60" spans="1:4" x14ac:dyDescent="0.2">
      <c r="A60" t="s">
        <v>60</v>
      </c>
      <c r="B60" s="1">
        <v>95.9</v>
      </c>
      <c r="C60">
        <f>'1'!P396</f>
        <v>95.9</v>
      </c>
      <c r="D60" t="b">
        <f t="shared" si="0"/>
        <v>1</v>
      </c>
    </row>
    <row r="61" spans="1:4" x14ac:dyDescent="0.2">
      <c r="A61" t="s">
        <v>61</v>
      </c>
      <c r="B61" s="1">
        <v>87</v>
      </c>
      <c r="C61">
        <f>'1'!P397</f>
        <v>87</v>
      </c>
      <c r="D61" t="b">
        <f t="shared" si="0"/>
        <v>1</v>
      </c>
    </row>
    <row r="62" spans="1:4" x14ac:dyDescent="0.2">
      <c r="A62" t="s">
        <v>62</v>
      </c>
      <c r="B62" s="1">
        <v>87</v>
      </c>
      <c r="C62">
        <f>'1'!P398</f>
        <v>87</v>
      </c>
      <c r="D62" t="b">
        <f t="shared" si="0"/>
        <v>1</v>
      </c>
    </row>
    <row r="63" spans="1:4" x14ac:dyDescent="0.2">
      <c r="A63" t="s">
        <v>63</v>
      </c>
      <c r="B63" s="1">
        <v>82.6</v>
      </c>
      <c r="C63">
        <f>'1'!P399</f>
        <v>82.6</v>
      </c>
      <c r="D63" t="b">
        <f t="shared" si="0"/>
        <v>1</v>
      </c>
    </row>
    <row r="64" spans="1:4" x14ac:dyDescent="0.2">
      <c r="A64" t="s">
        <v>64</v>
      </c>
      <c r="B64" s="1">
        <v>96.4</v>
      </c>
      <c r="C64">
        <f>'1'!P400</f>
        <v>96.4</v>
      </c>
      <c r="D64" t="b">
        <f t="shared" si="0"/>
        <v>1</v>
      </c>
    </row>
    <row r="65" spans="1:4" x14ac:dyDescent="0.2">
      <c r="A65" t="s">
        <v>65</v>
      </c>
      <c r="B65" s="1">
        <v>90.6</v>
      </c>
      <c r="C65">
        <f>'1'!P401</f>
        <v>90.6</v>
      </c>
      <c r="D65" t="b">
        <f t="shared" si="0"/>
        <v>1</v>
      </c>
    </row>
    <row r="66" spans="1:4" x14ac:dyDescent="0.2">
      <c r="A66" t="s">
        <v>66</v>
      </c>
      <c r="B66" s="1">
        <v>99.9</v>
      </c>
      <c r="C66">
        <f>'1'!P402</f>
        <v>99.9</v>
      </c>
      <c r="D66" t="b">
        <f t="shared" si="0"/>
        <v>1</v>
      </c>
    </row>
    <row r="67" spans="1:4" x14ac:dyDescent="0.2">
      <c r="A67" t="s">
        <v>67</v>
      </c>
      <c r="B67" s="1">
        <v>96.9</v>
      </c>
      <c r="C67">
        <f>'1'!P403</f>
        <v>96.9</v>
      </c>
      <c r="D67" t="b">
        <f t="shared" ref="D67:D130" si="1">EXACT(B67,C67)</f>
        <v>1</v>
      </c>
    </row>
    <row r="68" spans="1:4" x14ac:dyDescent="0.2">
      <c r="A68" t="s">
        <v>68</v>
      </c>
      <c r="B68" s="1">
        <v>99.8</v>
      </c>
      <c r="C68">
        <f>'1'!P404</f>
        <v>99.8</v>
      </c>
      <c r="D68" t="b">
        <f t="shared" si="1"/>
        <v>1</v>
      </c>
    </row>
    <row r="69" spans="1:4" x14ac:dyDescent="0.2">
      <c r="A69" t="s">
        <v>69</v>
      </c>
      <c r="B69" s="1">
        <v>104.9</v>
      </c>
      <c r="C69">
        <f>'1'!P405</f>
        <v>104.9</v>
      </c>
      <c r="D69" t="b">
        <f t="shared" si="1"/>
        <v>1</v>
      </c>
    </row>
    <row r="70" spans="1:4" x14ac:dyDescent="0.2">
      <c r="A70" t="s">
        <v>70</v>
      </c>
      <c r="B70" s="1">
        <v>98.4</v>
      </c>
      <c r="C70">
        <f>'1'!P406</f>
        <v>98.4</v>
      </c>
      <c r="D70" t="b">
        <f t="shared" si="1"/>
        <v>1</v>
      </c>
    </row>
    <row r="71" spans="1:4" x14ac:dyDescent="0.2">
      <c r="A71" t="s">
        <v>71</v>
      </c>
      <c r="B71" s="1">
        <v>107.8</v>
      </c>
      <c r="C71">
        <f>'1'!P407</f>
        <v>107.8</v>
      </c>
      <c r="D71" t="b">
        <f t="shared" si="1"/>
        <v>1</v>
      </c>
    </row>
    <row r="72" spans="1:4" x14ac:dyDescent="0.2">
      <c r="A72" t="s">
        <v>72</v>
      </c>
      <c r="B72" s="1">
        <v>102.4</v>
      </c>
      <c r="C72">
        <f>'1'!P408</f>
        <v>102.4</v>
      </c>
      <c r="D72" t="b">
        <f t="shared" si="1"/>
        <v>1</v>
      </c>
    </row>
    <row r="73" spans="1:4" x14ac:dyDescent="0.2">
      <c r="A73" t="s">
        <v>73</v>
      </c>
      <c r="B73" s="1">
        <v>92.6</v>
      </c>
      <c r="C73">
        <f>'1'!P409</f>
        <v>92.6</v>
      </c>
      <c r="D73" t="b">
        <f t="shared" si="1"/>
        <v>1</v>
      </c>
    </row>
    <row r="74" spans="1:4" x14ac:dyDescent="0.2">
      <c r="A74" t="s">
        <v>74</v>
      </c>
      <c r="B74" s="1">
        <v>94.8</v>
      </c>
      <c r="C74">
        <f>'1'!P410</f>
        <v>94.8</v>
      </c>
      <c r="D74" t="b">
        <f t="shared" si="1"/>
        <v>1</v>
      </c>
    </row>
    <row r="75" spans="1:4" x14ac:dyDescent="0.2">
      <c r="A75" t="s">
        <v>75</v>
      </c>
      <c r="B75" s="1">
        <v>91.1</v>
      </c>
      <c r="C75">
        <f>'1'!P411</f>
        <v>91.1</v>
      </c>
      <c r="D75" t="b">
        <f t="shared" si="1"/>
        <v>1</v>
      </c>
    </row>
    <row r="76" spans="1:4" x14ac:dyDescent="0.2">
      <c r="A76" t="s">
        <v>76</v>
      </c>
      <c r="B76" s="1">
        <v>97.7</v>
      </c>
      <c r="C76">
        <f>'1'!P412</f>
        <v>97.7</v>
      </c>
      <c r="D76" t="b">
        <f t="shared" si="1"/>
        <v>1</v>
      </c>
    </row>
    <row r="77" spans="1:4" x14ac:dyDescent="0.2">
      <c r="A77" t="s">
        <v>77</v>
      </c>
      <c r="B77" s="1">
        <v>99.2</v>
      </c>
      <c r="C77">
        <f>'1'!P413</f>
        <v>99.2</v>
      </c>
      <c r="D77" t="b">
        <f t="shared" si="1"/>
        <v>1</v>
      </c>
    </row>
    <row r="78" spans="1:4" x14ac:dyDescent="0.2">
      <c r="A78" t="s">
        <v>78</v>
      </c>
      <c r="B78" s="1">
        <v>102.5</v>
      </c>
      <c r="C78">
        <f>'1'!P414</f>
        <v>102.5</v>
      </c>
      <c r="D78" t="b">
        <f t="shared" si="1"/>
        <v>1</v>
      </c>
    </row>
    <row r="79" spans="1:4" x14ac:dyDescent="0.2">
      <c r="A79" t="s">
        <v>79</v>
      </c>
      <c r="B79" s="1">
        <v>103.3</v>
      </c>
      <c r="C79">
        <f>'1'!P415</f>
        <v>103.3</v>
      </c>
      <c r="D79" t="b">
        <f t="shared" si="1"/>
        <v>1</v>
      </c>
    </row>
    <row r="80" spans="1:4" x14ac:dyDescent="0.2">
      <c r="A80" t="s">
        <v>80</v>
      </c>
      <c r="B80" s="1">
        <v>108.5</v>
      </c>
      <c r="C80">
        <f>'1'!P416</f>
        <v>108.5</v>
      </c>
      <c r="D80" t="b">
        <f t="shared" si="1"/>
        <v>1</v>
      </c>
    </row>
    <row r="81" spans="1:4" x14ac:dyDescent="0.2">
      <c r="A81" t="s">
        <v>81</v>
      </c>
      <c r="B81" s="1">
        <v>106.9</v>
      </c>
      <c r="C81">
        <f>'1'!P417</f>
        <v>106.9</v>
      </c>
      <c r="D81" t="b">
        <f t="shared" si="1"/>
        <v>1</v>
      </c>
    </row>
    <row r="82" spans="1:4" x14ac:dyDescent="0.2">
      <c r="A82" t="s">
        <v>82</v>
      </c>
      <c r="B82" s="1">
        <v>107.3</v>
      </c>
      <c r="C82">
        <f>'1'!P418</f>
        <v>107.3</v>
      </c>
      <c r="D82" t="b">
        <f t="shared" si="1"/>
        <v>1</v>
      </c>
    </row>
    <row r="83" spans="1:4" x14ac:dyDescent="0.2">
      <c r="A83" t="s">
        <v>83</v>
      </c>
      <c r="B83" s="1">
        <v>108.4</v>
      </c>
      <c r="C83">
        <f>'1'!P419</f>
        <v>108.4</v>
      </c>
      <c r="D83" t="b">
        <f t="shared" si="1"/>
        <v>1</v>
      </c>
    </row>
    <row r="84" spans="1:4" x14ac:dyDescent="0.2">
      <c r="A84" t="s">
        <v>84</v>
      </c>
      <c r="B84" s="1">
        <v>96.2</v>
      </c>
      <c r="C84">
        <f>'1'!P420</f>
        <v>96.2</v>
      </c>
      <c r="D84" t="b">
        <f t="shared" si="1"/>
        <v>1</v>
      </c>
    </row>
    <row r="85" spans="1:4" x14ac:dyDescent="0.2">
      <c r="A85" t="s">
        <v>85</v>
      </c>
      <c r="B85" s="1">
        <v>79.099999999999994</v>
      </c>
      <c r="C85">
        <f>'1'!P421</f>
        <v>79.099999999999994</v>
      </c>
      <c r="D85" t="b">
        <f t="shared" si="1"/>
        <v>1</v>
      </c>
    </row>
    <row r="86" spans="1:4" x14ac:dyDescent="0.2">
      <c r="A86" t="s">
        <v>86</v>
      </c>
      <c r="B86" s="1">
        <v>78.7</v>
      </c>
      <c r="C86">
        <f>'1'!P422</f>
        <v>78.7</v>
      </c>
      <c r="D86" t="b">
        <f t="shared" si="1"/>
        <v>1</v>
      </c>
    </row>
    <row r="87" spans="1:4" x14ac:dyDescent="0.2">
      <c r="A87" t="s">
        <v>87</v>
      </c>
      <c r="B87" s="1">
        <v>76.099999999999994</v>
      </c>
      <c r="C87">
        <f>'1'!P423</f>
        <v>76.099999999999994</v>
      </c>
      <c r="D87" t="b">
        <f t="shared" si="1"/>
        <v>1</v>
      </c>
    </row>
    <row r="88" spans="1:4" x14ac:dyDescent="0.2">
      <c r="A88" t="s">
        <v>88</v>
      </c>
      <c r="B88" s="1">
        <v>88.6</v>
      </c>
      <c r="C88">
        <f>'1'!P424</f>
        <v>88.6</v>
      </c>
      <c r="D88" t="b">
        <f t="shared" si="1"/>
        <v>1</v>
      </c>
    </row>
    <row r="89" spans="1:4" x14ac:dyDescent="0.2">
      <c r="A89" t="s">
        <v>89</v>
      </c>
      <c r="B89" s="1">
        <v>85.2</v>
      </c>
      <c r="C89">
        <f>'1'!P425</f>
        <v>85.2</v>
      </c>
      <c r="D89" t="b">
        <f t="shared" si="1"/>
        <v>1</v>
      </c>
    </row>
    <row r="90" spans="1:4" x14ac:dyDescent="0.2">
      <c r="A90" t="s">
        <v>90</v>
      </c>
      <c r="B90" s="1">
        <v>91.3</v>
      </c>
      <c r="C90">
        <f>'1'!P426</f>
        <v>91.3</v>
      </c>
      <c r="D90" t="b">
        <f t="shared" si="1"/>
        <v>1</v>
      </c>
    </row>
    <row r="91" spans="1:4" x14ac:dyDescent="0.2">
      <c r="A91" t="s">
        <v>91</v>
      </c>
      <c r="B91" s="1">
        <v>92.2</v>
      </c>
      <c r="C91">
        <f>'1'!P427</f>
        <v>92.2</v>
      </c>
      <c r="D91" t="b">
        <f t="shared" si="1"/>
        <v>1</v>
      </c>
    </row>
    <row r="92" spans="1:4" x14ac:dyDescent="0.2">
      <c r="A92" t="s">
        <v>92</v>
      </c>
      <c r="B92" s="1">
        <v>97.7</v>
      </c>
      <c r="C92">
        <f>'1'!P428</f>
        <v>97.7</v>
      </c>
      <c r="D92" t="b">
        <f t="shared" si="1"/>
        <v>1</v>
      </c>
    </row>
    <row r="93" spans="1:4" x14ac:dyDescent="0.2">
      <c r="A93" t="s">
        <v>93</v>
      </c>
      <c r="B93" s="1">
        <v>99.6</v>
      </c>
      <c r="C93">
        <f>'1'!P429</f>
        <v>99.6</v>
      </c>
      <c r="D93" t="b">
        <f t="shared" si="1"/>
        <v>1</v>
      </c>
    </row>
    <row r="94" spans="1:4" x14ac:dyDescent="0.2">
      <c r="A94" t="s">
        <v>94</v>
      </c>
      <c r="B94" s="1">
        <v>99.4</v>
      </c>
      <c r="C94">
        <f>'1'!P430</f>
        <v>99.4</v>
      </c>
      <c r="D94" t="b">
        <f t="shared" si="1"/>
        <v>1</v>
      </c>
    </row>
    <row r="95" spans="1:4" x14ac:dyDescent="0.2">
      <c r="A95" t="s">
        <v>95</v>
      </c>
      <c r="B95" s="1">
        <v>105.6</v>
      </c>
      <c r="C95">
        <f>'1'!P431</f>
        <v>105.6</v>
      </c>
      <c r="D95" t="b">
        <f t="shared" si="1"/>
        <v>1</v>
      </c>
    </row>
    <row r="96" spans="1:4" x14ac:dyDescent="0.2">
      <c r="A96" t="s">
        <v>96</v>
      </c>
      <c r="B96" s="1">
        <v>101.4</v>
      </c>
      <c r="C96">
        <f>'1'!P432</f>
        <v>101.4</v>
      </c>
      <c r="D96" t="b">
        <f t="shared" si="1"/>
        <v>1</v>
      </c>
    </row>
    <row r="97" spans="1:4" x14ac:dyDescent="0.2">
      <c r="A97" t="s">
        <v>97</v>
      </c>
      <c r="B97" s="1">
        <v>94.1</v>
      </c>
      <c r="C97">
        <f>'1'!P433</f>
        <v>94.1</v>
      </c>
      <c r="D97" t="b">
        <f t="shared" si="1"/>
        <v>1</v>
      </c>
    </row>
    <row r="98" spans="1:4" x14ac:dyDescent="0.2">
      <c r="A98" t="s">
        <v>98</v>
      </c>
      <c r="B98" s="1">
        <v>91.2</v>
      </c>
      <c r="C98">
        <f>'1'!P434</f>
        <v>91.2</v>
      </c>
      <c r="D98" t="b">
        <f t="shared" si="1"/>
        <v>1</v>
      </c>
    </row>
    <row r="99" spans="1:4" x14ac:dyDescent="0.2">
      <c r="A99" t="s">
        <v>99</v>
      </c>
      <c r="B99" s="1">
        <v>89</v>
      </c>
      <c r="C99">
        <f>'1'!P435</f>
        <v>89</v>
      </c>
      <c r="D99" t="b">
        <f t="shared" si="1"/>
        <v>1</v>
      </c>
    </row>
    <row r="100" spans="1:4" x14ac:dyDescent="0.2">
      <c r="A100" t="s">
        <v>100</v>
      </c>
      <c r="B100" s="1">
        <v>105.1</v>
      </c>
      <c r="C100">
        <f>'1'!P436</f>
        <v>105.1</v>
      </c>
      <c r="D100" t="b">
        <f t="shared" si="1"/>
        <v>1</v>
      </c>
    </row>
    <row r="101" spans="1:4" x14ac:dyDescent="0.2">
      <c r="A101" t="s">
        <v>101</v>
      </c>
      <c r="B101" s="1">
        <v>99.3</v>
      </c>
      <c r="C101">
        <f>'1'!P437</f>
        <v>99.3</v>
      </c>
      <c r="D101" t="b">
        <f t="shared" si="1"/>
        <v>1</v>
      </c>
    </row>
    <row r="102" spans="1:4" x14ac:dyDescent="0.2">
      <c r="A102" t="s">
        <v>102</v>
      </c>
      <c r="B102" s="1">
        <v>104.3</v>
      </c>
      <c r="C102">
        <f>'1'!P438</f>
        <v>104.3</v>
      </c>
      <c r="D102" t="b">
        <f t="shared" si="1"/>
        <v>1</v>
      </c>
    </row>
    <row r="103" spans="1:4" x14ac:dyDescent="0.2">
      <c r="A103" t="s">
        <v>103</v>
      </c>
      <c r="B103" s="1">
        <v>102.5</v>
      </c>
      <c r="C103">
        <f>'1'!P439</f>
        <v>102.5</v>
      </c>
      <c r="D103" t="b">
        <f t="shared" si="1"/>
        <v>1</v>
      </c>
    </row>
    <row r="104" spans="1:4" x14ac:dyDescent="0.2">
      <c r="A104" t="s">
        <v>104</v>
      </c>
      <c r="B104" s="1">
        <v>106.9</v>
      </c>
      <c r="C104">
        <f>'1'!P440</f>
        <v>106.9</v>
      </c>
      <c r="D104" t="b">
        <f t="shared" si="1"/>
        <v>1</v>
      </c>
    </row>
    <row r="105" spans="1:4" x14ac:dyDescent="0.2">
      <c r="A105" t="s">
        <v>105</v>
      </c>
      <c r="B105" s="1">
        <v>108.1</v>
      </c>
      <c r="C105">
        <f>'1'!P441</f>
        <v>108.1</v>
      </c>
      <c r="D105" t="b">
        <f t="shared" si="1"/>
        <v>1</v>
      </c>
    </row>
    <row r="106" spans="1:4" x14ac:dyDescent="0.2">
      <c r="A106" t="s">
        <v>106</v>
      </c>
      <c r="B106" s="1">
        <v>105.8</v>
      </c>
      <c r="C106">
        <f>'1'!P442</f>
        <v>105.8</v>
      </c>
      <c r="D106" t="b">
        <f t="shared" si="1"/>
        <v>1</v>
      </c>
    </row>
    <row r="107" spans="1:4" x14ac:dyDescent="0.2">
      <c r="A107" t="s">
        <v>107</v>
      </c>
      <c r="B107" s="1">
        <v>107.7</v>
      </c>
      <c r="C107">
        <f>'1'!P443</f>
        <v>107.7</v>
      </c>
      <c r="D107" t="b">
        <f t="shared" si="1"/>
        <v>1</v>
      </c>
    </row>
    <row r="108" spans="1:4" x14ac:dyDescent="0.2">
      <c r="A108" t="s">
        <v>108</v>
      </c>
      <c r="B108" s="1">
        <v>106.8</v>
      </c>
      <c r="C108">
        <f>'1'!P444</f>
        <v>106.8</v>
      </c>
      <c r="D108" t="b">
        <f t="shared" si="1"/>
        <v>1</v>
      </c>
    </row>
    <row r="109" spans="1:4" x14ac:dyDescent="0.2">
      <c r="A109" t="s">
        <v>109</v>
      </c>
      <c r="B109" s="1">
        <v>96.6</v>
      </c>
      <c r="C109">
        <f>'1'!P445</f>
        <v>96.6</v>
      </c>
      <c r="D109" t="b">
        <f t="shared" si="1"/>
        <v>1</v>
      </c>
    </row>
    <row r="110" spans="1:4" x14ac:dyDescent="0.2">
      <c r="A110" t="s">
        <v>110</v>
      </c>
      <c r="B110" s="1">
        <v>93.2</v>
      </c>
      <c r="C110">
        <f>'1'!P446</f>
        <v>93.2</v>
      </c>
      <c r="D110" t="b">
        <f t="shared" si="1"/>
        <v>1</v>
      </c>
    </row>
    <row r="111" spans="1:4" x14ac:dyDescent="0.2">
      <c r="A111" t="s">
        <v>111</v>
      </c>
      <c r="B111" s="1">
        <v>95.4</v>
      </c>
      <c r="C111">
        <f>'1'!P447</f>
        <v>95.4</v>
      </c>
      <c r="D111" t="b">
        <f t="shared" si="1"/>
        <v>1</v>
      </c>
    </row>
    <row r="112" spans="1:4" x14ac:dyDescent="0.2">
      <c r="A112" t="s">
        <v>112</v>
      </c>
      <c r="B112" s="1">
        <v>104.4</v>
      </c>
      <c r="C112">
        <f>'1'!P448</f>
        <v>104.4</v>
      </c>
      <c r="D112" t="b">
        <f t="shared" si="1"/>
        <v>1</v>
      </c>
    </row>
    <row r="113" spans="1:4" x14ac:dyDescent="0.2">
      <c r="A113" t="s">
        <v>113</v>
      </c>
      <c r="B113" s="1">
        <v>97.5</v>
      </c>
      <c r="C113">
        <f>'1'!P449</f>
        <v>97.5</v>
      </c>
      <c r="D113" t="b">
        <f t="shared" si="1"/>
        <v>1</v>
      </c>
    </row>
    <row r="114" spans="1:4" x14ac:dyDescent="0.2">
      <c r="A114" t="s">
        <v>114</v>
      </c>
      <c r="B114" s="1">
        <v>107.1</v>
      </c>
      <c r="C114">
        <f>'1'!P450</f>
        <v>107.1</v>
      </c>
      <c r="D114" t="b">
        <f t="shared" si="1"/>
        <v>1</v>
      </c>
    </row>
    <row r="115" spans="1:4" x14ac:dyDescent="0.2">
      <c r="A115" t="s">
        <v>115</v>
      </c>
      <c r="B115" s="1">
        <v>102.8</v>
      </c>
      <c r="C115">
        <f>'1'!P451</f>
        <v>102.8</v>
      </c>
      <c r="D115" t="b">
        <f t="shared" si="1"/>
        <v>1</v>
      </c>
    </row>
    <row r="116" spans="1:4" x14ac:dyDescent="0.2">
      <c r="A116" t="s">
        <v>116</v>
      </c>
      <c r="B116" s="1">
        <v>106.1</v>
      </c>
      <c r="C116">
        <f>'1'!P452</f>
        <v>106.1</v>
      </c>
      <c r="D116" t="b">
        <f t="shared" si="1"/>
        <v>1</v>
      </c>
    </row>
    <row r="117" spans="1:4" x14ac:dyDescent="0.2">
      <c r="A117" t="s">
        <v>117</v>
      </c>
      <c r="B117" s="1">
        <v>110.8</v>
      </c>
      <c r="C117">
        <f>'1'!P453</f>
        <v>110.8</v>
      </c>
      <c r="D117" t="b">
        <f t="shared" si="1"/>
        <v>1</v>
      </c>
    </row>
    <row r="118" spans="1:4" x14ac:dyDescent="0.2">
      <c r="A118" t="s">
        <v>118</v>
      </c>
      <c r="B118" s="1">
        <v>104.8</v>
      </c>
      <c r="C118">
        <f>'1'!P454</f>
        <v>104.8</v>
      </c>
      <c r="D118" t="b">
        <f t="shared" si="1"/>
        <v>1</v>
      </c>
    </row>
    <row r="119" spans="1:4" x14ac:dyDescent="0.2">
      <c r="A119" t="s">
        <v>119</v>
      </c>
      <c r="B119" s="1">
        <v>106.3</v>
      </c>
      <c r="C119">
        <f>'1'!P455</f>
        <v>106.3</v>
      </c>
      <c r="D119" t="b">
        <f t="shared" si="1"/>
        <v>1</v>
      </c>
    </row>
    <row r="120" spans="1:4" x14ac:dyDescent="0.2">
      <c r="A120" t="s">
        <v>120</v>
      </c>
      <c r="B120" s="1">
        <v>104.2</v>
      </c>
      <c r="C120">
        <f>'1'!P456</f>
        <v>104.2</v>
      </c>
      <c r="D120" t="b">
        <f t="shared" si="1"/>
        <v>1</v>
      </c>
    </row>
    <row r="121" spans="1:4" x14ac:dyDescent="0.2">
      <c r="A121" t="s">
        <v>121</v>
      </c>
      <c r="B121" s="1">
        <v>95.7</v>
      </c>
      <c r="C121">
        <f>'1'!P457</f>
        <v>95.7</v>
      </c>
      <c r="D121" t="b">
        <f t="shared" si="1"/>
        <v>1</v>
      </c>
    </row>
    <row r="122" spans="1:4" x14ac:dyDescent="0.2">
      <c r="A122" t="s">
        <v>122</v>
      </c>
      <c r="B122" s="1">
        <v>88.7</v>
      </c>
      <c r="C122">
        <f>'1'!P458</f>
        <v>88.7</v>
      </c>
      <c r="D122" t="b">
        <f t="shared" si="1"/>
        <v>1</v>
      </c>
    </row>
    <row r="123" spans="1:4" x14ac:dyDescent="0.2">
      <c r="A123" t="s">
        <v>123</v>
      </c>
      <c r="B123" s="1">
        <v>89.8</v>
      </c>
      <c r="C123">
        <f>'1'!P459</f>
        <v>89.8</v>
      </c>
      <c r="D123" t="b">
        <f t="shared" si="1"/>
        <v>1</v>
      </c>
    </row>
    <row r="124" spans="1:4" x14ac:dyDescent="0.2">
      <c r="A124" t="s">
        <v>124</v>
      </c>
      <c r="B124" s="1">
        <v>99.7</v>
      </c>
      <c r="C124">
        <f>'1'!P460</f>
        <v>99.7</v>
      </c>
      <c r="D124" t="b">
        <f t="shared" si="1"/>
        <v>1</v>
      </c>
    </row>
    <row r="125" spans="1:4" x14ac:dyDescent="0.2">
      <c r="A125" t="s">
        <v>125</v>
      </c>
      <c r="B125" s="1">
        <v>92.8</v>
      </c>
      <c r="C125">
        <f>'1'!P461</f>
        <v>92.8</v>
      </c>
      <c r="D125" t="b">
        <f t="shared" si="1"/>
        <v>1</v>
      </c>
    </row>
    <row r="126" spans="1:4" x14ac:dyDescent="0.2">
      <c r="A126" t="s">
        <v>126</v>
      </c>
      <c r="B126" s="1">
        <v>102.5</v>
      </c>
      <c r="C126">
        <f>'1'!P462</f>
        <v>102.5</v>
      </c>
      <c r="D126" t="b">
        <f t="shared" si="1"/>
        <v>1</v>
      </c>
    </row>
    <row r="127" spans="1:4" x14ac:dyDescent="0.2">
      <c r="A127" t="s">
        <v>127</v>
      </c>
      <c r="B127" s="1">
        <v>98.3</v>
      </c>
      <c r="C127">
        <f>'1'!P463</f>
        <v>98.3</v>
      </c>
      <c r="D127" t="b">
        <f t="shared" si="1"/>
        <v>1</v>
      </c>
    </row>
    <row r="128" spans="1:4" x14ac:dyDescent="0.2">
      <c r="A128" t="s">
        <v>128</v>
      </c>
      <c r="B128" s="1">
        <v>104.5</v>
      </c>
      <c r="C128">
        <f>'1'!P464</f>
        <v>104.5</v>
      </c>
      <c r="D128" t="b">
        <f t="shared" si="1"/>
        <v>1</v>
      </c>
    </row>
    <row r="129" spans="1:4" x14ac:dyDescent="0.2">
      <c r="A129" t="s">
        <v>129</v>
      </c>
      <c r="B129" s="1">
        <v>111.5</v>
      </c>
      <c r="C129">
        <f>'1'!P465</f>
        <v>111.5</v>
      </c>
      <c r="D129" t="b">
        <f t="shared" si="1"/>
        <v>1</v>
      </c>
    </row>
    <row r="130" spans="1:4" x14ac:dyDescent="0.2">
      <c r="A130" t="s">
        <v>130</v>
      </c>
      <c r="B130" s="1">
        <v>103.4</v>
      </c>
      <c r="C130">
        <f>'1'!P466</f>
        <v>103.4</v>
      </c>
      <c r="D130" t="b">
        <f t="shared" si="1"/>
        <v>1</v>
      </c>
    </row>
    <row r="131" spans="1:4" x14ac:dyDescent="0.2">
      <c r="A131" t="s">
        <v>131</v>
      </c>
      <c r="B131" s="1">
        <v>111.8</v>
      </c>
      <c r="C131">
        <f>'1'!P467</f>
        <v>111.8</v>
      </c>
      <c r="D131" t="b">
        <f t="shared" ref="D131:D179" si="2">EXACT(B131,C131)</f>
        <v>1</v>
      </c>
    </row>
    <row r="132" spans="1:4" x14ac:dyDescent="0.2">
      <c r="A132" t="s">
        <v>132</v>
      </c>
      <c r="B132" s="1">
        <v>104.8</v>
      </c>
      <c r="C132">
        <f>'1'!P468</f>
        <v>104.8</v>
      </c>
      <c r="D132" t="b">
        <f t="shared" si="2"/>
        <v>1</v>
      </c>
    </row>
    <row r="133" spans="1:4" x14ac:dyDescent="0.2">
      <c r="A133" t="s">
        <v>133</v>
      </c>
      <c r="B133" s="1">
        <v>92.2</v>
      </c>
      <c r="C133">
        <f>'1'!P469</f>
        <v>92.2</v>
      </c>
      <c r="D133" t="b">
        <f t="shared" si="2"/>
        <v>1</v>
      </c>
    </row>
    <row r="134" spans="1:4" x14ac:dyDescent="0.2">
      <c r="A134" t="s">
        <v>134</v>
      </c>
      <c r="B134" s="1">
        <v>94.5</v>
      </c>
      <c r="C134">
        <f>'1'!P470</f>
        <v>94.5</v>
      </c>
      <c r="D134" t="b">
        <f t="shared" si="2"/>
        <v>1</v>
      </c>
    </row>
    <row r="135" spans="1:4" x14ac:dyDescent="0.2">
      <c r="A135" t="s">
        <v>135</v>
      </c>
      <c r="B135" s="1">
        <v>88.1</v>
      </c>
      <c r="C135">
        <f>'1'!P471</f>
        <v>88.1</v>
      </c>
      <c r="D135" t="b">
        <f t="shared" si="2"/>
        <v>1</v>
      </c>
    </row>
    <row r="136" spans="1:4" x14ac:dyDescent="0.2">
      <c r="A136" t="s">
        <v>136</v>
      </c>
      <c r="B136" s="1">
        <v>97.7</v>
      </c>
      <c r="C136">
        <f>'1'!P472</f>
        <v>97.7</v>
      </c>
      <c r="D136" t="b">
        <f t="shared" si="2"/>
        <v>1</v>
      </c>
    </row>
    <row r="137" spans="1:4" x14ac:dyDescent="0.2">
      <c r="A137" t="s">
        <v>137</v>
      </c>
      <c r="B137" s="1">
        <v>101.8</v>
      </c>
      <c r="C137">
        <f>'1'!P473</f>
        <v>101.8</v>
      </c>
      <c r="D137" t="b">
        <f t="shared" si="2"/>
        <v>1</v>
      </c>
    </row>
    <row r="138" spans="1:4" x14ac:dyDescent="0.2">
      <c r="A138" t="s">
        <v>138</v>
      </c>
      <c r="B138" s="1">
        <v>105</v>
      </c>
      <c r="C138">
        <f>'1'!P474</f>
        <v>105</v>
      </c>
      <c r="D138" t="b">
        <f t="shared" si="2"/>
        <v>1</v>
      </c>
    </row>
    <row r="139" spans="1:4" x14ac:dyDescent="0.2">
      <c r="A139" t="s">
        <v>139</v>
      </c>
      <c r="B139" s="1">
        <v>101.7</v>
      </c>
      <c r="C139">
        <f>'1'!P475</f>
        <v>101.7</v>
      </c>
      <c r="D139" t="b">
        <f t="shared" si="2"/>
        <v>1</v>
      </c>
    </row>
    <row r="140" spans="1:4" x14ac:dyDescent="0.2">
      <c r="A140" t="s">
        <v>140</v>
      </c>
      <c r="B140" s="1">
        <v>108</v>
      </c>
      <c r="C140">
        <f>'1'!P476</f>
        <v>108</v>
      </c>
      <c r="D140" t="b">
        <f t="shared" si="2"/>
        <v>1</v>
      </c>
    </row>
    <row r="141" spans="1:4" x14ac:dyDescent="0.2">
      <c r="A141" t="s">
        <v>141</v>
      </c>
      <c r="B141" s="1">
        <v>112</v>
      </c>
      <c r="C141">
        <f>'1'!P477</f>
        <v>112</v>
      </c>
      <c r="D141" t="b">
        <f t="shared" si="2"/>
        <v>1</v>
      </c>
    </row>
    <row r="142" spans="1:4" x14ac:dyDescent="0.2">
      <c r="A142" t="s">
        <v>142</v>
      </c>
      <c r="B142" s="1">
        <v>107.3</v>
      </c>
      <c r="C142">
        <f>'1'!P478</f>
        <v>107.3</v>
      </c>
      <c r="D142" t="b">
        <f t="shared" si="2"/>
        <v>1</v>
      </c>
    </row>
    <row r="143" spans="1:4" x14ac:dyDescent="0.2">
      <c r="A143" t="s">
        <v>143</v>
      </c>
      <c r="B143" s="1">
        <v>112.6</v>
      </c>
      <c r="C143">
        <f>'1'!P479</f>
        <v>112.6</v>
      </c>
      <c r="D143" t="b">
        <f t="shared" si="2"/>
        <v>1</v>
      </c>
    </row>
    <row r="144" spans="1:4" x14ac:dyDescent="0.2">
      <c r="A144" t="s">
        <v>144</v>
      </c>
      <c r="B144" s="1">
        <v>106.1</v>
      </c>
      <c r="C144">
        <f>'1'!P480</f>
        <v>106.1</v>
      </c>
      <c r="D144" t="b">
        <f t="shared" si="2"/>
        <v>1</v>
      </c>
    </row>
    <row r="145" spans="1:12" x14ac:dyDescent="0.2">
      <c r="A145" t="s">
        <v>145</v>
      </c>
      <c r="B145" s="1">
        <v>90.1</v>
      </c>
      <c r="C145">
        <f>'1'!P481</f>
        <v>90.1</v>
      </c>
      <c r="D145" t="b">
        <f t="shared" si="2"/>
        <v>1</v>
      </c>
    </row>
    <row r="146" spans="1:12" x14ac:dyDescent="0.2">
      <c r="A146" t="s">
        <v>146</v>
      </c>
      <c r="B146" s="1">
        <v>92.6</v>
      </c>
      <c r="C146">
        <f>'1'!P482</f>
        <v>92.6</v>
      </c>
      <c r="D146" t="b">
        <f t="shared" si="2"/>
        <v>1</v>
      </c>
    </row>
    <row r="147" spans="1:12" x14ac:dyDescent="0.2">
      <c r="A147" t="s">
        <v>147</v>
      </c>
      <c r="B147" s="1">
        <v>92.3</v>
      </c>
      <c r="C147">
        <f>'1'!P483</f>
        <v>92.3</v>
      </c>
      <c r="D147" t="b">
        <f t="shared" si="2"/>
        <v>1</v>
      </c>
    </row>
    <row r="148" spans="1:12" ht="13.5" thickBot="1" x14ac:dyDescent="0.25">
      <c r="A148" t="s">
        <v>148</v>
      </c>
      <c r="B148" s="1">
        <v>97.3</v>
      </c>
      <c r="C148">
        <f>'1'!P484</f>
        <v>97.3</v>
      </c>
      <c r="D148" t="b">
        <f t="shared" si="2"/>
        <v>1</v>
      </c>
      <c r="K148" s="17"/>
      <c r="L148" s="18"/>
    </row>
    <row r="149" spans="1:12" ht="13.5" thickBot="1" x14ac:dyDescent="0.25">
      <c r="A149" t="s">
        <v>149</v>
      </c>
      <c r="B149" s="1">
        <v>96</v>
      </c>
      <c r="C149">
        <f>'1'!P485</f>
        <v>96</v>
      </c>
      <c r="D149" t="b">
        <f t="shared" si="2"/>
        <v>1</v>
      </c>
      <c r="K149" s="15">
        <v>2014.07</v>
      </c>
      <c r="L149" s="16">
        <v>104.4</v>
      </c>
    </row>
    <row r="150" spans="1:12" ht="13.5" thickBot="1" x14ac:dyDescent="0.25">
      <c r="A150" t="s">
        <v>150</v>
      </c>
      <c r="B150" s="1">
        <v>101.7</v>
      </c>
      <c r="C150">
        <f>'1'!P486</f>
        <v>101.7</v>
      </c>
      <c r="D150" t="b">
        <f t="shared" si="2"/>
        <v>1</v>
      </c>
      <c r="K150" s="17">
        <v>2014.08</v>
      </c>
      <c r="L150" s="18">
        <v>106.3</v>
      </c>
    </row>
    <row r="151" spans="1:12" ht="13.5" thickBot="1" x14ac:dyDescent="0.25">
      <c r="A151" t="s">
        <v>151</v>
      </c>
      <c r="B151" s="1">
        <v>94.9</v>
      </c>
      <c r="C151">
        <f>'1'!P487</f>
        <v>94.8</v>
      </c>
      <c r="D151" t="b">
        <f t="shared" si="2"/>
        <v>0</v>
      </c>
      <c r="K151" s="21">
        <v>2014.09</v>
      </c>
      <c r="L151" s="22">
        <v>105.6</v>
      </c>
    </row>
    <row r="152" spans="1:12" ht="13.5" thickBot="1" x14ac:dyDescent="0.25">
      <c r="A152" t="s">
        <v>152</v>
      </c>
      <c r="B152" s="1">
        <v>104.4</v>
      </c>
      <c r="C152">
        <f>'1'!P488</f>
        <v>104.4</v>
      </c>
      <c r="D152" t="b">
        <f t="shared" si="2"/>
        <v>1</v>
      </c>
      <c r="F152" t="b">
        <f>EXACT(L149,B152)</f>
        <v>1</v>
      </c>
      <c r="K152" s="17">
        <v>2014.1</v>
      </c>
      <c r="L152" s="18">
        <v>109.3</v>
      </c>
    </row>
    <row r="153" spans="1:12" ht="13.5" thickBot="1" x14ac:dyDescent="0.25">
      <c r="A153" t="s">
        <v>153</v>
      </c>
      <c r="B153" s="1">
        <v>106.3</v>
      </c>
      <c r="C153">
        <f>'1'!P489</f>
        <v>106.3</v>
      </c>
      <c r="D153" t="b">
        <f t="shared" si="2"/>
        <v>1</v>
      </c>
      <c r="F153" t="b">
        <f t="shared" ref="F153:F179" si="3">EXACT(L150,B153)</f>
        <v>1</v>
      </c>
      <c r="K153" s="15">
        <v>2014.11</v>
      </c>
      <c r="L153" s="16">
        <v>99.8</v>
      </c>
    </row>
    <row r="154" spans="1:12" ht="13.5" thickBot="1" x14ac:dyDescent="0.25">
      <c r="A154" t="s">
        <v>154</v>
      </c>
      <c r="B154" s="1">
        <v>105.6</v>
      </c>
      <c r="C154">
        <f>'1'!P490</f>
        <v>105.5</v>
      </c>
      <c r="D154" t="b">
        <f t="shared" si="2"/>
        <v>0</v>
      </c>
      <c r="F154" t="b">
        <f t="shared" si="3"/>
        <v>1</v>
      </c>
      <c r="H154" s="15">
        <v>2015.07</v>
      </c>
      <c r="I154" s="16">
        <v>95.5</v>
      </c>
      <c r="K154" s="17">
        <v>2014.12</v>
      </c>
      <c r="L154" s="18">
        <v>87.7</v>
      </c>
    </row>
    <row r="155" spans="1:12" ht="13.5" thickBot="1" x14ac:dyDescent="0.25">
      <c r="A155" t="s">
        <v>155</v>
      </c>
      <c r="B155" s="1">
        <v>109.3</v>
      </c>
      <c r="C155">
        <f>'1'!P491</f>
        <v>109.1</v>
      </c>
      <c r="D155" t="b">
        <f t="shared" si="2"/>
        <v>0</v>
      </c>
      <c r="F155" t="b">
        <f t="shared" si="3"/>
        <v>1</v>
      </c>
      <c r="H155" s="17">
        <v>2015.08</v>
      </c>
      <c r="I155" s="18">
        <v>97.6</v>
      </c>
      <c r="K155" s="15">
        <v>2015.01</v>
      </c>
      <c r="L155" s="16">
        <v>88.1</v>
      </c>
    </row>
    <row r="156" spans="1:12" ht="13.5" thickBot="1" x14ac:dyDescent="0.25">
      <c r="A156" t="s">
        <v>156</v>
      </c>
      <c r="B156" s="1">
        <v>99.8</v>
      </c>
      <c r="C156">
        <f>'1'!P492</f>
        <v>99.8</v>
      </c>
      <c r="D156" t="b">
        <f t="shared" si="2"/>
        <v>1</v>
      </c>
      <c r="F156" t="b">
        <f t="shared" si="3"/>
        <v>1</v>
      </c>
      <c r="H156" s="15">
        <v>2015.09</v>
      </c>
      <c r="I156" s="16">
        <v>94.3</v>
      </c>
      <c r="K156" s="17">
        <v>2015.02</v>
      </c>
      <c r="L156" s="18">
        <v>83.7</v>
      </c>
    </row>
    <row r="157" spans="1:12" ht="13.5" thickBot="1" x14ac:dyDescent="0.25">
      <c r="A157" t="s">
        <v>157</v>
      </c>
      <c r="B157" s="1">
        <v>87.7</v>
      </c>
      <c r="C157">
        <f>'1'!P493</f>
        <v>87.7</v>
      </c>
      <c r="D157" t="b">
        <f t="shared" si="2"/>
        <v>1</v>
      </c>
      <c r="F157" t="b">
        <f t="shared" si="3"/>
        <v>1</v>
      </c>
      <c r="H157" s="17">
        <v>2015.1</v>
      </c>
      <c r="I157" s="18">
        <v>97.2</v>
      </c>
      <c r="K157" s="15">
        <v>2015.03</v>
      </c>
      <c r="L157" s="16">
        <v>94.3</v>
      </c>
    </row>
    <row r="158" spans="1:12" ht="13.5" thickBot="1" x14ac:dyDescent="0.25">
      <c r="A158" t="s">
        <v>158</v>
      </c>
      <c r="B158" s="1">
        <v>88.1</v>
      </c>
      <c r="C158">
        <f>'1'!P494</f>
        <v>88</v>
      </c>
      <c r="D158" t="b">
        <f t="shared" si="2"/>
        <v>0</v>
      </c>
      <c r="F158" t="b">
        <f t="shared" si="3"/>
        <v>1</v>
      </c>
      <c r="H158" s="15">
        <v>2015.11</v>
      </c>
      <c r="I158" s="16">
        <v>87.6</v>
      </c>
      <c r="K158" s="17">
        <v>2015.04</v>
      </c>
      <c r="L158" s="18">
        <v>88.8</v>
      </c>
    </row>
    <row r="159" spans="1:12" ht="13.5" thickBot="1" x14ac:dyDescent="0.25">
      <c r="A159" t="s">
        <v>159</v>
      </c>
      <c r="B159" s="1">
        <v>83.7</v>
      </c>
      <c r="C159">
        <f>'1'!P495</f>
        <v>83.7</v>
      </c>
      <c r="D159" t="b">
        <f t="shared" si="2"/>
        <v>1</v>
      </c>
      <c r="F159" t="b">
        <f t="shared" si="3"/>
        <v>1</v>
      </c>
      <c r="H159" s="17">
        <v>2015.12</v>
      </c>
      <c r="I159" s="18">
        <v>77.2</v>
      </c>
      <c r="K159" s="15">
        <v>2015.05</v>
      </c>
      <c r="L159" s="16">
        <v>93.1</v>
      </c>
    </row>
    <row r="160" spans="1:12" ht="13.5" thickBot="1" x14ac:dyDescent="0.25">
      <c r="A160" t="s">
        <v>160</v>
      </c>
      <c r="B160" s="1">
        <v>94.3</v>
      </c>
      <c r="C160">
        <f>'1'!P496</f>
        <v>94.2</v>
      </c>
      <c r="D160" t="b">
        <f t="shared" si="2"/>
        <v>0</v>
      </c>
      <c r="F160" t="b">
        <f t="shared" si="3"/>
        <v>1</v>
      </c>
      <c r="H160" s="15">
        <v>2016.01</v>
      </c>
      <c r="I160" s="16">
        <v>76.3</v>
      </c>
      <c r="K160" s="17">
        <v>2015.06</v>
      </c>
      <c r="L160" s="18">
        <v>92.5</v>
      </c>
    </row>
    <row r="161" spans="1:12" ht="13.5" thickBot="1" x14ac:dyDescent="0.25">
      <c r="A161" t="s">
        <v>161</v>
      </c>
      <c r="B161" s="1">
        <v>88.8</v>
      </c>
      <c r="C161">
        <f>'1'!P497</f>
        <v>88.6</v>
      </c>
      <c r="D161" t="b">
        <f t="shared" si="2"/>
        <v>0</v>
      </c>
      <c r="F161" t="b">
        <f t="shared" si="3"/>
        <v>1</v>
      </c>
      <c r="H161" s="17">
        <v>2016.02</v>
      </c>
      <c r="I161" s="18">
        <v>75.8</v>
      </c>
      <c r="K161" s="15">
        <v>2015.07</v>
      </c>
      <c r="L161" s="16">
        <v>95.5</v>
      </c>
    </row>
    <row r="162" spans="1:12" ht="13.5" thickBot="1" x14ac:dyDescent="0.25">
      <c r="A162" t="s">
        <v>162</v>
      </c>
      <c r="B162" s="1">
        <v>93.1</v>
      </c>
      <c r="C162">
        <f>'1'!P498</f>
        <v>92.8</v>
      </c>
      <c r="D162" t="b">
        <f t="shared" si="2"/>
        <v>0</v>
      </c>
      <c r="F162" t="b">
        <f t="shared" si="3"/>
        <v>1</v>
      </c>
      <c r="H162" s="15">
        <v>2016.03</v>
      </c>
      <c r="I162" s="16">
        <v>83.6</v>
      </c>
      <c r="K162" s="17">
        <v>2015.08</v>
      </c>
      <c r="L162" s="18">
        <v>97.6</v>
      </c>
    </row>
    <row r="163" spans="1:12" ht="13.5" thickBot="1" x14ac:dyDescent="0.25">
      <c r="A163" t="s">
        <v>163</v>
      </c>
      <c r="B163" s="1">
        <v>92.5</v>
      </c>
      <c r="C163">
        <f>'1'!P499</f>
        <v>92.1</v>
      </c>
      <c r="D163" t="b">
        <f t="shared" si="2"/>
        <v>0</v>
      </c>
      <c r="F163" t="b">
        <f t="shared" si="3"/>
        <v>1</v>
      </c>
      <c r="H163" s="17">
        <v>2016.04</v>
      </c>
      <c r="I163" s="18">
        <v>82.9</v>
      </c>
      <c r="K163" s="15">
        <v>2015.09</v>
      </c>
      <c r="L163" s="16">
        <v>94.3</v>
      </c>
    </row>
    <row r="164" spans="1:12" ht="13.5" thickBot="1" x14ac:dyDescent="0.25">
      <c r="A164" t="s">
        <v>164</v>
      </c>
      <c r="B164" s="1">
        <v>95.5</v>
      </c>
      <c r="C164">
        <f>'1'!P500</f>
        <v>95</v>
      </c>
      <c r="D164" t="b">
        <f t="shared" si="2"/>
        <v>0</v>
      </c>
      <c r="F164" t="b">
        <f t="shared" si="3"/>
        <v>1</v>
      </c>
      <c r="H164" s="15">
        <v>2016.05</v>
      </c>
      <c r="I164" s="16">
        <v>86.2</v>
      </c>
      <c r="K164" s="17">
        <v>2015.1</v>
      </c>
      <c r="L164" s="18">
        <v>97.2</v>
      </c>
    </row>
    <row r="165" spans="1:12" ht="13.5" thickBot="1" x14ac:dyDescent="0.25">
      <c r="A165" t="s">
        <v>165</v>
      </c>
      <c r="B165" s="1">
        <v>97.6</v>
      </c>
      <c r="C165">
        <f>'1'!P501</f>
        <v>97</v>
      </c>
      <c r="D165" t="b">
        <f t="shared" si="2"/>
        <v>0</v>
      </c>
      <c r="F165" t="b">
        <f t="shared" si="3"/>
        <v>1</v>
      </c>
      <c r="H165" s="17">
        <v>2016.06</v>
      </c>
      <c r="I165" s="18">
        <v>87.4</v>
      </c>
      <c r="K165" s="15">
        <v>2015.11</v>
      </c>
      <c r="L165" s="16">
        <v>87.6</v>
      </c>
    </row>
    <row r="166" spans="1:12" ht="13.5" thickBot="1" x14ac:dyDescent="0.25">
      <c r="A166" t="s">
        <v>166</v>
      </c>
      <c r="B166" s="1">
        <v>94.3</v>
      </c>
      <c r="C166">
        <f>'1'!P502</f>
        <v>94.1</v>
      </c>
      <c r="D166" t="b">
        <f t="shared" si="2"/>
        <v>0</v>
      </c>
      <c r="F166" t="b">
        <f t="shared" si="3"/>
        <v>1</v>
      </c>
      <c r="H166" s="15">
        <v>2016.07</v>
      </c>
      <c r="I166" s="16">
        <v>89.5</v>
      </c>
      <c r="K166" s="17">
        <v>2015.12</v>
      </c>
      <c r="L166" s="18">
        <v>77.2</v>
      </c>
    </row>
    <row r="167" spans="1:12" ht="13.5" thickBot="1" x14ac:dyDescent="0.25">
      <c r="A167" t="s">
        <v>167</v>
      </c>
      <c r="B167" s="1">
        <v>97.2</v>
      </c>
      <c r="C167" t="str">
        <f>'1'!P503</f>
        <v>#N/A</v>
      </c>
      <c r="D167" t="b">
        <f t="shared" si="2"/>
        <v>0</v>
      </c>
      <c r="F167" t="b">
        <f t="shared" si="3"/>
        <v>1</v>
      </c>
      <c r="H167" s="17">
        <v>2016.08</v>
      </c>
      <c r="I167" s="18">
        <v>92.8</v>
      </c>
      <c r="K167" s="15">
        <v>2016.01</v>
      </c>
      <c r="L167" s="16">
        <v>76.3</v>
      </c>
    </row>
    <row r="168" spans="1:12" ht="13.5" thickBot="1" x14ac:dyDescent="0.25">
      <c r="A168" t="s">
        <v>168</v>
      </c>
      <c r="B168" s="1">
        <v>87.6</v>
      </c>
      <c r="C168" t="str">
        <f>'1'!P504</f>
        <v>#N/A</v>
      </c>
      <c r="D168" t="b">
        <f t="shared" si="2"/>
        <v>0</v>
      </c>
      <c r="F168" t="b">
        <f t="shared" si="3"/>
        <v>1</v>
      </c>
      <c r="H168" s="15">
        <v>2016.09</v>
      </c>
      <c r="I168" s="16">
        <v>90</v>
      </c>
      <c r="K168" s="17">
        <v>2016.02</v>
      </c>
      <c r="L168" s="18">
        <v>75.8</v>
      </c>
    </row>
    <row r="169" spans="1:12" ht="13.5" thickBot="1" x14ac:dyDescent="0.25">
      <c r="A169" t="s">
        <v>169</v>
      </c>
      <c r="B169" s="1">
        <v>77.2</v>
      </c>
      <c r="C169" t="str">
        <f>'1'!P505</f>
        <v>#N/A</v>
      </c>
      <c r="D169" t="b">
        <f t="shared" si="2"/>
        <v>0</v>
      </c>
      <c r="F169" t="b">
        <f t="shared" si="3"/>
        <v>1</v>
      </c>
      <c r="H169" s="17">
        <v>2016.1</v>
      </c>
      <c r="I169" s="18">
        <v>90.2</v>
      </c>
      <c r="K169" s="15">
        <v>2016.03</v>
      </c>
      <c r="L169" s="16">
        <v>83.6</v>
      </c>
    </row>
    <row r="170" spans="1:12" ht="13.5" thickBot="1" x14ac:dyDescent="0.25">
      <c r="A170" t="s">
        <v>170</v>
      </c>
      <c r="B170" s="1">
        <v>76.3</v>
      </c>
      <c r="C170" t="str">
        <f>'1'!P506</f>
        <v>#N/A</v>
      </c>
      <c r="D170" t="b">
        <f t="shared" si="2"/>
        <v>0</v>
      </c>
      <c r="F170" t="b">
        <f t="shared" si="3"/>
        <v>1</v>
      </c>
      <c r="H170" s="15">
        <v>2016.11</v>
      </c>
      <c r="I170" s="16">
        <v>86.5</v>
      </c>
      <c r="K170" s="17">
        <v>2016.04</v>
      </c>
      <c r="L170" s="18">
        <v>82.9</v>
      </c>
    </row>
    <row r="171" spans="1:12" ht="13.5" thickBot="1" x14ac:dyDescent="0.25">
      <c r="A171" t="s">
        <v>171</v>
      </c>
      <c r="B171" s="1">
        <v>75.8</v>
      </c>
      <c r="C171" t="str">
        <f>'1'!P507</f>
        <v>#N/A</v>
      </c>
      <c r="D171" t="b">
        <f t="shared" si="2"/>
        <v>0</v>
      </c>
      <c r="F171" t="b">
        <f t="shared" si="3"/>
        <v>1</v>
      </c>
      <c r="H171" s="19">
        <v>2016.12</v>
      </c>
      <c r="I171" s="20">
        <v>77.2</v>
      </c>
      <c r="K171" s="15">
        <v>2016.05</v>
      </c>
      <c r="L171" s="16">
        <v>86.2</v>
      </c>
    </row>
    <row r="172" spans="1:12" ht="13.5" thickBot="1" x14ac:dyDescent="0.25">
      <c r="A172" t="s">
        <v>172</v>
      </c>
      <c r="B172" s="1">
        <v>83.6</v>
      </c>
      <c r="C172" t="str">
        <f>'1'!P508</f>
        <v>#N/A</v>
      </c>
      <c r="D172" t="b">
        <f t="shared" si="2"/>
        <v>0</v>
      </c>
      <c r="F172" t="b">
        <f t="shared" si="3"/>
        <v>1</v>
      </c>
      <c r="K172" s="17">
        <v>2016.06</v>
      </c>
      <c r="L172" s="18">
        <v>87.4</v>
      </c>
    </row>
    <row r="173" spans="1:12" ht="13.5" thickBot="1" x14ac:dyDescent="0.25">
      <c r="A173" t="s">
        <v>173</v>
      </c>
      <c r="B173" s="1">
        <v>82.9</v>
      </c>
      <c r="C173" t="str">
        <f>'1'!P509</f>
        <v>#N/A</v>
      </c>
      <c r="D173" t="b">
        <f t="shared" si="2"/>
        <v>0</v>
      </c>
      <c r="F173" t="b">
        <f t="shared" si="3"/>
        <v>1</v>
      </c>
      <c r="K173" s="15">
        <v>2016.07</v>
      </c>
      <c r="L173" s="16">
        <v>89.5</v>
      </c>
    </row>
    <row r="174" spans="1:12" ht="13.5" thickBot="1" x14ac:dyDescent="0.25">
      <c r="A174" t="s">
        <v>174</v>
      </c>
      <c r="B174" s="1">
        <v>86.2</v>
      </c>
      <c r="C174" t="str">
        <f>'1'!P510</f>
        <v>#N/A</v>
      </c>
      <c r="D174" t="b">
        <f t="shared" si="2"/>
        <v>0</v>
      </c>
      <c r="F174" t="b">
        <f t="shared" si="3"/>
        <v>1</v>
      </c>
      <c r="K174" s="17">
        <v>2016.08</v>
      </c>
      <c r="L174" s="18">
        <v>92.8</v>
      </c>
    </row>
    <row r="175" spans="1:12" ht="13.5" thickBot="1" x14ac:dyDescent="0.25">
      <c r="A175" t="s">
        <v>175</v>
      </c>
      <c r="B175" s="1">
        <v>87.4</v>
      </c>
      <c r="C175" t="str">
        <f>'1'!P511</f>
        <v>#N/A</v>
      </c>
      <c r="D175" t="b">
        <f t="shared" si="2"/>
        <v>0</v>
      </c>
      <c r="F175" t="b">
        <f t="shared" si="3"/>
        <v>1</v>
      </c>
      <c r="K175" s="15">
        <v>2016.09</v>
      </c>
      <c r="L175" s="16">
        <v>90</v>
      </c>
    </row>
    <row r="176" spans="1:12" ht="13.5" thickBot="1" x14ac:dyDescent="0.25">
      <c r="A176" t="s">
        <v>176</v>
      </c>
      <c r="B176" s="1">
        <v>89.5</v>
      </c>
      <c r="C176" t="str">
        <f>'1'!P512</f>
        <v>#N/A</v>
      </c>
      <c r="D176" t="b">
        <f t="shared" si="2"/>
        <v>0</v>
      </c>
      <c r="F176" t="b">
        <f t="shared" si="3"/>
        <v>1</v>
      </c>
      <c r="K176" s="17">
        <v>2016.1</v>
      </c>
      <c r="L176" s="18">
        <v>90.2</v>
      </c>
    </row>
    <row r="177" spans="1:12" ht="13.5" thickBot="1" x14ac:dyDescent="0.25">
      <c r="A177" t="s">
        <v>177</v>
      </c>
      <c r="B177" s="1">
        <v>92.8</v>
      </c>
      <c r="C177" t="str">
        <f>'1'!P513</f>
        <v>#N/A</v>
      </c>
      <c r="D177" t="b">
        <f t="shared" si="2"/>
        <v>0</v>
      </c>
      <c r="F177" t="b">
        <f t="shared" si="3"/>
        <v>1</v>
      </c>
      <c r="K177" s="15">
        <v>2016.11</v>
      </c>
      <c r="L177" s="16">
        <v>86.5</v>
      </c>
    </row>
    <row r="178" spans="1:12" x14ac:dyDescent="0.2">
      <c r="A178" t="s">
        <v>178</v>
      </c>
      <c r="B178" s="1">
        <v>90</v>
      </c>
      <c r="C178" t="str">
        <f>'1'!P514</f>
        <v>#N/A</v>
      </c>
      <c r="D178" t="b">
        <f t="shared" si="2"/>
        <v>0</v>
      </c>
      <c r="F178" t="b">
        <f t="shared" si="3"/>
        <v>1</v>
      </c>
      <c r="K178" s="19">
        <v>2016.12</v>
      </c>
      <c r="L178" s="20">
        <v>77.2</v>
      </c>
    </row>
    <row r="179" spans="1:12" x14ac:dyDescent="0.2">
      <c r="A179" t="s">
        <v>179</v>
      </c>
      <c r="B179" s="1">
        <v>90.2</v>
      </c>
      <c r="C179" t="str">
        <f>'1'!P515</f>
        <v>#N/A</v>
      </c>
      <c r="D179" t="b">
        <f t="shared" si="2"/>
        <v>0</v>
      </c>
      <c r="F179" t="b">
        <f t="shared" si="3"/>
        <v>1</v>
      </c>
    </row>
    <row r="180" spans="1:12" ht="12.75" customHeight="1" x14ac:dyDescent="0.2">
      <c r="A180" s="8" t="s">
        <v>1124</v>
      </c>
      <c r="B180" s="1">
        <v>86.5</v>
      </c>
    </row>
    <row r="181" spans="1:12" ht="12.75" customHeight="1" x14ac:dyDescent="0.2">
      <c r="A181" s="8" t="s">
        <v>1124</v>
      </c>
      <c r="B181" s="1">
        <v>77.2</v>
      </c>
    </row>
  </sheetData>
  <pageMargins left="0.78740157499999996" right="0.78740157499999996" top="0.984251969" bottom="0.984251969" header="0.5" footer="0.5"/>
  <pageSetup paperSize="9" fitToWidth="0" fitToHeight="0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zoomScaleNormal="100" workbookViewId="0"/>
  </sheetViews>
  <sheetFormatPr defaultRowHeight="12.75" customHeight="1" x14ac:dyDescent="0.2"/>
  <cols>
    <col min="1" max="256" width="10.28515625" customWidth="1"/>
  </cols>
  <sheetData>
    <row r="1" spans="1:2" x14ac:dyDescent="0.2">
      <c r="A1" t="s">
        <v>180</v>
      </c>
      <c r="B1" t="s">
        <v>181</v>
      </c>
    </row>
    <row r="2" spans="1:2" x14ac:dyDescent="0.2">
      <c r="A2" t="s">
        <v>1</v>
      </c>
      <c r="B2" t="s">
        <v>182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71"/>
  <sheetViews>
    <sheetView zoomScaleNormal="100" workbookViewId="0">
      <selection activeCell="A2" sqref="A2:A471"/>
    </sheetView>
  </sheetViews>
  <sheetFormatPr defaultColWidth="10.28515625" defaultRowHeight="12.75" customHeight="1" x14ac:dyDescent="0.2"/>
  <cols>
    <col min="1" max="1" width="10.28515625" customWidth="1"/>
    <col min="2" max="2" width="10.28515625" style="1" customWidth="1"/>
    <col min="3" max="7" width="10.28515625" customWidth="1"/>
    <col min="8" max="8" width="13.28515625" bestFit="1" customWidth="1"/>
    <col min="9" max="9" width="10.28515625" customWidth="1"/>
  </cols>
  <sheetData>
    <row r="1" spans="1:8" x14ac:dyDescent="0.2">
      <c r="A1" t="s">
        <v>0</v>
      </c>
      <c r="B1" s="4" t="s">
        <v>1121</v>
      </c>
    </row>
    <row r="2" spans="1:8" x14ac:dyDescent="0.2">
      <c r="A2" t="s">
        <v>796</v>
      </c>
      <c r="B2" s="1">
        <v>51.008962549430102</v>
      </c>
      <c r="E2">
        <f t="shared" ref="E2:E65" si="0">E3/C3</f>
        <v>40.694753593154104</v>
      </c>
      <c r="G2">
        <f>'1'!P14</f>
        <v>40.694753593154104</v>
      </c>
      <c r="H2" t="b">
        <f>EXACT(E2,G2)</f>
        <v>1</v>
      </c>
    </row>
    <row r="3" spans="1:8" x14ac:dyDescent="0.2">
      <c r="A3" t="s">
        <v>797</v>
      </c>
      <c r="B3" s="1">
        <v>47.8584542916958</v>
      </c>
      <c r="C3">
        <f>B3/B2</f>
        <v>0.93823618242223006</v>
      </c>
      <c r="E3">
        <f t="shared" si="0"/>
        <v>38.181290255854236</v>
      </c>
      <c r="G3">
        <f>'1'!P15</f>
        <v>38.181290255854236</v>
      </c>
      <c r="H3" t="b">
        <f t="shared" ref="H3:H66" si="1">EXACT(E3,G3)</f>
        <v>1</v>
      </c>
    </row>
    <row r="4" spans="1:8" x14ac:dyDescent="0.2">
      <c r="A4" t="s">
        <v>798</v>
      </c>
      <c r="B4" s="1">
        <v>51.833178646196799</v>
      </c>
      <c r="C4">
        <f t="shared" ref="C4:C67" si="2">B4/B3</f>
        <v>1.0830516658619014</v>
      </c>
      <c r="E4">
        <f t="shared" si="0"/>
        <v>41.352310016359716</v>
      </c>
      <c r="G4">
        <f>'1'!P16</f>
        <v>41.352310016359716</v>
      </c>
      <c r="H4" t="b">
        <f t="shared" si="1"/>
        <v>1</v>
      </c>
    </row>
    <row r="5" spans="1:8" x14ac:dyDescent="0.2">
      <c r="A5" t="s">
        <v>799</v>
      </c>
      <c r="B5" s="1">
        <v>54.613945103512499</v>
      </c>
      <c r="C5">
        <f t="shared" si="2"/>
        <v>1.0536483875761637</v>
      </c>
      <c r="E5">
        <f t="shared" si="0"/>
        <v>43.570794771287062</v>
      </c>
      <c r="G5">
        <f>'1'!P17</f>
        <v>43.570794771287062</v>
      </c>
      <c r="H5" t="b">
        <f t="shared" si="1"/>
        <v>1</v>
      </c>
    </row>
    <row r="6" spans="1:8" x14ac:dyDescent="0.2">
      <c r="A6" t="s">
        <v>800</v>
      </c>
      <c r="B6" s="1">
        <v>54.806518957897197</v>
      </c>
      <c r="C6">
        <f t="shared" si="2"/>
        <v>1.0035260930888568</v>
      </c>
      <c r="E6">
        <f t="shared" si="0"/>
        <v>43.724429449606092</v>
      </c>
      <c r="G6">
        <f>'1'!P18</f>
        <v>43.724429449606092</v>
      </c>
      <c r="H6" t="b">
        <f t="shared" si="1"/>
        <v>1</v>
      </c>
    </row>
    <row r="7" spans="1:8" x14ac:dyDescent="0.2">
      <c r="A7" t="s">
        <v>801</v>
      </c>
      <c r="B7" s="1">
        <v>56.624416143289103</v>
      </c>
      <c r="C7">
        <f t="shared" si="2"/>
        <v>1.0331693605059724</v>
      </c>
      <c r="E7">
        <f t="shared" si="0"/>
        <v>45.174740812938033</v>
      </c>
      <c r="G7">
        <f>'1'!P19</f>
        <v>45.174740812938033</v>
      </c>
      <c r="H7" t="b">
        <f t="shared" si="1"/>
        <v>1</v>
      </c>
    </row>
    <row r="8" spans="1:8" x14ac:dyDescent="0.2">
      <c r="A8" t="s">
        <v>802</v>
      </c>
      <c r="B8" s="1">
        <v>58.758134449872102</v>
      </c>
      <c r="C8">
        <f t="shared" si="2"/>
        <v>1.0376819480342823</v>
      </c>
      <c r="E8">
        <f t="shared" si="0"/>
        <v>46.877013048713337</v>
      </c>
      <c r="G8">
        <f>'1'!P20</f>
        <v>46.877013048713337</v>
      </c>
      <c r="H8" t="b">
        <f t="shared" si="1"/>
        <v>1</v>
      </c>
    </row>
    <row r="9" spans="1:8" x14ac:dyDescent="0.2">
      <c r="A9" t="s">
        <v>803</v>
      </c>
      <c r="B9" s="1">
        <v>57.687423819492899</v>
      </c>
      <c r="C9">
        <f t="shared" si="2"/>
        <v>0.98177766124803278</v>
      </c>
      <c r="E9">
        <f t="shared" si="0"/>
        <v>46.022804237259294</v>
      </c>
      <c r="G9">
        <f>'1'!P21</f>
        <v>46.022804237259294</v>
      </c>
      <c r="H9" t="b">
        <f t="shared" si="1"/>
        <v>1</v>
      </c>
    </row>
    <row r="10" spans="1:8" x14ac:dyDescent="0.2">
      <c r="A10" t="s">
        <v>804</v>
      </c>
      <c r="B10" s="1">
        <v>59.135579204466097</v>
      </c>
      <c r="C10">
        <f t="shared" si="2"/>
        <v>1.025103485111496</v>
      </c>
      <c r="E10">
        <f t="shared" si="0"/>
        <v>47.178137018218628</v>
      </c>
      <c r="G10">
        <f>'1'!P22</f>
        <v>47.178137018218628</v>
      </c>
      <c r="H10" t="b">
        <f t="shared" si="1"/>
        <v>1</v>
      </c>
    </row>
    <row r="11" spans="1:8" x14ac:dyDescent="0.2">
      <c r="A11" t="s">
        <v>805</v>
      </c>
      <c r="B11" s="1">
        <v>61.184565015119802</v>
      </c>
      <c r="C11">
        <f t="shared" si="2"/>
        <v>1.0346489514133137</v>
      </c>
      <c r="E11">
        <f t="shared" si="0"/>
        <v>48.812809995533541</v>
      </c>
      <c r="G11">
        <f>'1'!P23</f>
        <v>48.812809995533541</v>
      </c>
      <c r="H11" t="b">
        <f t="shared" si="1"/>
        <v>1</v>
      </c>
    </row>
    <row r="12" spans="1:8" x14ac:dyDescent="0.2">
      <c r="A12" t="s">
        <v>806</v>
      </c>
      <c r="B12" s="1">
        <v>57.348493835775798</v>
      </c>
      <c r="C12">
        <f t="shared" si="2"/>
        <v>0.93730328591212442</v>
      </c>
      <c r="E12">
        <f t="shared" si="0"/>
        <v>45.752407203417782</v>
      </c>
      <c r="G12">
        <f>'1'!P24</f>
        <v>45.752407203417782</v>
      </c>
      <c r="H12" t="b">
        <f t="shared" si="1"/>
        <v>1</v>
      </c>
    </row>
    <row r="13" spans="1:8" x14ac:dyDescent="0.2">
      <c r="A13" t="s">
        <v>807</v>
      </c>
      <c r="B13" s="1">
        <v>55.646140963014602</v>
      </c>
      <c r="C13">
        <f t="shared" si="2"/>
        <v>0.97031564808596216</v>
      </c>
      <c r="E13">
        <f t="shared" si="0"/>
        <v>44.39427664707717</v>
      </c>
      <c r="G13">
        <f>'1'!P25</f>
        <v>44.39427664707717</v>
      </c>
      <c r="H13" t="b">
        <f t="shared" si="1"/>
        <v>1</v>
      </c>
    </row>
    <row r="14" spans="1:8" x14ac:dyDescent="0.2">
      <c r="A14" t="s">
        <v>808</v>
      </c>
      <c r="B14" s="1">
        <v>55.091528262386603</v>
      </c>
      <c r="C14">
        <f t="shared" si="2"/>
        <v>0.99003322259136306</v>
      </c>
      <c r="E14">
        <f t="shared" si="0"/>
        <v>43.951808773518302</v>
      </c>
      <c r="G14">
        <f>'1'!P26</f>
        <v>43.951808773518302</v>
      </c>
      <c r="H14" t="b">
        <f t="shared" si="1"/>
        <v>1</v>
      </c>
    </row>
    <row r="15" spans="1:8" x14ac:dyDescent="0.2">
      <c r="A15" t="s">
        <v>809</v>
      </c>
      <c r="B15" s="1">
        <v>56.5011688764829</v>
      </c>
      <c r="C15">
        <f t="shared" si="2"/>
        <v>1.0255872483221475</v>
      </c>
      <c r="E15">
        <f t="shared" si="0"/>
        <v>45.076414618813857</v>
      </c>
      <c r="G15">
        <f>'1'!P27</f>
        <v>45.076414618813857</v>
      </c>
      <c r="H15" t="b">
        <f t="shared" si="1"/>
        <v>1</v>
      </c>
    </row>
    <row r="16" spans="1:8" x14ac:dyDescent="0.2">
      <c r="A16" t="s">
        <v>810</v>
      </c>
      <c r="B16" s="1">
        <v>60.360348918353097</v>
      </c>
      <c r="C16">
        <f t="shared" si="2"/>
        <v>1.0683026584867075</v>
      </c>
      <c r="E16">
        <f t="shared" si="0"/>
        <v>48.155253572327929</v>
      </c>
      <c r="G16">
        <f>'1'!P28</f>
        <v>48.155253572327929</v>
      </c>
      <c r="H16" t="b">
        <f t="shared" si="1"/>
        <v>1</v>
      </c>
    </row>
    <row r="17" spans="1:8" x14ac:dyDescent="0.2">
      <c r="A17" t="s">
        <v>811</v>
      </c>
      <c r="B17" s="1">
        <v>59.027737846010702</v>
      </c>
      <c r="C17">
        <f t="shared" si="2"/>
        <v>0.97792240939254738</v>
      </c>
      <c r="E17">
        <f t="shared" si="0"/>
        <v>47.092101598360003</v>
      </c>
      <c r="G17">
        <f>'1'!P29</f>
        <v>47.092101598360003</v>
      </c>
      <c r="H17" t="b">
        <f t="shared" si="1"/>
        <v>1</v>
      </c>
    </row>
    <row r="18" spans="1:8" x14ac:dyDescent="0.2">
      <c r="A18" t="s">
        <v>812</v>
      </c>
      <c r="B18" s="1">
        <v>62.3323051872528</v>
      </c>
      <c r="C18">
        <f t="shared" si="2"/>
        <v>1.0559832963591274</v>
      </c>
      <c r="E18">
        <f t="shared" si="0"/>
        <v>49.728472678315129</v>
      </c>
      <c r="G18">
        <f>'1'!P30</f>
        <v>49.728472678315129</v>
      </c>
      <c r="H18" t="b">
        <f t="shared" si="1"/>
        <v>1</v>
      </c>
    </row>
    <row r="19" spans="1:8" x14ac:dyDescent="0.2">
      <c r="A19" t="s">
        <v>813</v>
      </c>
      <c r="B19" s="1">
        <v>64.258043731100301</v>
      </c>
      <c r="C19">
        <f t="shared" si="2"/>
        <v>1.0308947108255082</v>
      </c>
      <c r="E19">
        <f t="shared" si="0"/>
        <v>51.264819461505859</v>
      </c>
      <c r="G19">
        <f>'1'!P31</f>
        <v>51.264819461505859</v>
      </c>
      <c r="H19" t="b">
        <f t="shared" si="1"/>
        <v>1</v>
      </c>
    </row>
    <row r="20" spans="1:8" x14ac:dyDescent="0.2">
      <c r="A20" t="s">
        <v>814</v>
      </c>
      <c r="B20" s="1">
        <v>65.467407536636401</v>
      </c>
      <c r="C20">
        <f t="shared" si="2"/>
        <v>1.0188204267561725</v>
      </c>
      <c r="E20">
        <f t="shared" si="0"/>
        <v>52.229645241349537</v>
      </c>
      <c r="G20">
        <f>'1'!P32</f>
        <v>52.229645241349537</v>
      </c>
      <c r="H20" t="b">
        <f t="shared" si="1"/>
        <v>1</v>
      </c>
    </row>
    <row r="21" spans="1:8" x14ac:dyDescent="0.2">
      <c r="A21" t="s">
        <v>815</v>
      </c>
      <c r="B21" s="1">
        <v>66.122158641544502</v>
      </c>
      <c r="C21">
        <f t="shared" si="2"/>
        <v>1.0100011766090127</v>
      </c>
      <c r="E21">
        <f t="shared" si="0"/>
        <v>52.752003147634355</v>
      </c>
      <c r="G21">
        <f>'1'!P33</f>
        <v>52.752003147634355</v>
      </c>
      <c r="H21" t="b">
        <f t="shared" si="1"/>
        <v>1</v>
      </c>
    </row>
    <row r="22" spans="1:8" x14ac:dyDescent="0.2">
      <c r="A22" t="s">
        <v>816</v>
      </c>
      <c r="B22" s="1">
        <v>65.051448011165405</v>
      </c>
      <c r="C22">
        <f t="shared" si="2"/>
        <v>0.98380708294501484</v>
      </c>
      <c r="E22">
        <f t="shared" si="0"/>
        <v>51.897794336180397</v>
      </c>
      <c r="G22">
        <f>'1'!P34</f>
        <v>51.897794336180397</v>
      </c>
      <c r="H22" t="b">
        <f t="shared" si="1"/>
        <v>1</v>
      </c>
    </row>
    <row r="23" spans="1:8" x14ac:dyDescent="0.2">
      <c r="A23" t="s">
        <v>817</v>
      </c>
      <c r="B23" s="1">
        <v>67.131245638520596</v>
      </c>
      <c r="C23">
        <f t="shared" si="2"/>
        <v>1.0319715808170513</v>
      </c>
      <c r="E23">
        <f t="shared" si="0"/>
        <v>53.557048862026299</v>
      </c>
      <c r="G23">
        <f>'1'!P35</f>
        <v>53.557048862026299</v>
      </c>
      <c r="H23" t="b">
        <f t="shared" si="1"/>
        <v>1</v>
      </c>
    </row>
    <row r="24" spans="1:8" x14ac:dyDescent="0.2">
      <c r="A24" t="s">
        <v>818</v>
      </c>
      <c r="B24" s="1">
        <v>63.156521284019497</v>
      </c>
      <c r="C24">
        <f t="shared" si="2"/>
        <v>0.94079173838209906</v>
      </c>
      <c r="E24">
        <f t="shared" si="0"/>
        <v>50.386029101520741</v>
      </c>
      <c r="G24">
        <f>'1'!P36</f>
        <v>50.386029101520741</v>
      </c>
      <c r="H24" t="b">
        <f t="shared" si="1"/>
        <v>1</v>
      </c>
    </row>
    <row r="25" spans="1:8" x14ac:dyDescent="0.2">
      <c r="A25" t="s">
        <v>819</v>
      </c>
      <c r="B25" s="1">
        <v>61.338624098627598</v>
      </c>
      <c r="C25">
        <f t="shared" si="2"/>
        <v>0.9712160019514583</v>
      </c>
      <c r="E25">
        <f t="shared" si="0"/>
        <v>48.935717738188799</v>
      </c>
      <c r="G25">
        <f>'1'!P37</f>
        <v>48.935717738188799</v>
      </c>
      <c r="H25" t="b">
        <f t="shared" si="1"/>
        <v>1</v>
      </c>
    </row>
    <row r="26" spans="1:8" x14ac:dyDescent="0.2">
      <c r="A26" t="s">
        <v>820</v>
      </c>
      <c r="B26" s="1">
        <v>56.739960455919999</v>
      </c>
      <c r="C26">
        <f t="shared" si="2"/>
        <v>0.92502825568253189</v>
      </c>
      <c r="E26">
        <f t="shared" si="0"/>
        <v>45.266921619929519</v>
      </c>
      <c r="G26">
        <f>'1'!P38</f>
        <v>45.266921619929519</v>
      </c>
      <c r="H26" t="b">
        <f t="shared" si="1"/>
        <v>1</v>
      </c>
    </row>
    <row r="27" spans="1:8" x14ac:dyDescent="0.2">
      <c r="A27" t="s">
        <v>821</v>
      </c>
      <c r="B27" s="1">
        <v>54.9374691788788</v>
      </c>
      <c r="C27">
        <f t="shared" si="2"/>
        <v>0.96823241922345871</v>
      </c>
      <c r="E27">
        <f t="shared" si="0"/>
        <v>43.828901030863044</v>
      </c>
      <c r="G27">
        <f>'1'!P39</f>
        <v>43.828901030863044</v>
      </c>
      <c r="H27" t="b">
        <f t="shared" si="1"/>
        <v>1</v>
      </c>
    </row>
    <row r="28" spans="1:8" x14ac:dyDescent="0.2">
      <c r="A28" t="s">
        <v>822</v>
      </c>
      <c r="B28" s="1">
        <v>64.396696906257304</v>
      </c>
      <c r="C28">
        <f t="shared" si="2"/>
        <v>1.1721817162086379</v>
      </c>
      <c r="E28">
        <f t="shared" si="0"/>
        <v>51.375436429895579</v>
      </c>
      <c r="G28">
        <f>'1'!P40</f>
        <v>51.375436429895579</v>
      </c>
      <c r="H28" t="b">
        <f t="shared" si="1"/>
        <v>1</v>
      </c>
    </row>
    <row r="29" spans="1:8" x14ac:dyDescent="0.2">
      <c r="A29" t="s">
        <v>823</v>
      </c>
      <c r="B29" s="1">
        <v>59.790330309374298</v>
      </c>
      <c r="C29">
        <f t="shared" si="2"/>
        <v>0.928468899521531</v>
      </c>
      <c r="E29">
        <f t="shared" si="0"/>
        <v>47.700494924503523</v>
      </c>
      <c r="G29">
        <f>'1'!P41</f>
        <v>47.700494924503523</v>
      </c>
      <c r="H29" t="b">
        <f t="shared" si="1"/>
        <v>1</v>
      </c>
    </row>
    <row r="30" spans="1:8" x14ac:dyDescent="0.2">
      <c r="A30" t="s">
        <v>824</v>
      </c>
      <c r="B30" s="1">
        <v>65.844852291230495</v>
      </c>
      <c r="C30">
        <f t="shared" si="2"/>
        <v>1.1012625611955673</v>
      </c>
      <c r="E30">
        <f t="shared" si="0"/>
        <v>52.530769210854913</v>
      </c>
      <c r="G30">
        <f>'1'!P42</f>
        <v>52.530769210854913</v>
      </c>
      <c r="H30" t="b">
        <f t="shared" si="1"/>
        <v>1</v>
      </c>
    </row>
    <row r="31" spans="1:8" x14ac:dyDescent="0.2">
      <c r="A31" t="s">
        <v>825</v>
      </c>
      <c r="B31" s="1">
        <v>65.798634566178194</v>
      </c>
      <c r="C31">
        <f t="shared" si="2"/>
        <v>0.9992980814225555</v>
      </c>
      <c r="E31">
        <f t="shared" si="0"/>
        <v>52.493896888058366</v>
      </c>
      <c r="G31">
        <f>'1'!P43</f>
        <v>52.493896888058366</v>
      </c>
      <c r="H31" t="b">
        <f t="shared" si="1"/>
        <v>1</v>
      </c>
    </row>
    <row r="32" spans="1:8" x14ac:dyDescent="0.2">
      <c r="A32" t="s">
        <v>826</v>
      </c>
      <c r="B32" s="1">
        <v>65.536734124214902</v>
      </c>
      <c r="C32">
        <f t="shared" si="2"/>
        <v>0.99601966752516913</v>
      </c>
      <c r="E32">
        <f t="shared" si="0"/>
        <v>52.284953725544405</v>
      </c>
      <c r="G32">
        <f>'1'!P44</f>
        <v>52.284953725544405</v>
      </c>
      <c r="H32" t="b">
        <f t="shared" si="1"/>
        <v>1</v>
      </c>
    </row>
    <row r="33" spans="1:8" x14ac:dyDescent="0.2">
      <c r="A33" t="s">
        <v>827</v>
      </c>
      <c r="B33" s="1">
        <v>68.140332635496605</v>
      </c>
      <c r="C33">
        <f t="shared" si="2"/>
        <v>1.0397273154677953</v>
      </c>
      <c r="E33">
        <f t="shared" si="0"/>
        <v>54.362094576418187</v>
      </c>
      <c r="G33">
        <f>'1'!P45</f>
        <v>54.362094576418187</v>
      </c>
      <c r="H33" t="b">
        <f t="shared" si="1"/>
        <v>1</v>
      </c>
    </row>
    <row r="34" spans="1:8" x14ac:dyDescent="0.2">
      <c r="A34" t="s">
        <v>828</v>
      </c>
      <c r="B34" s="1">
        <v>65.4365957199349</v>
      </c>
      <c r="C34">
        <f t="shared" si="2"/>
        <v>0.96032104906172355</v>
      </c>
      <c r="E34">
        <f t="shared" si="0"/>
        <v>52.205063692818548</v>
      </c>
      <c r="G34">
        <f>'1'!P46</f>
        <v>52.205063692818548</v>
      </c>
      <c r="H34" t="b">
        <f t="shared" si="1"/>
        <v>1</v>
      </c>
    </row>
    <row r="35" spans="1:8" x14ac:dyDescent="0.2">
      <c r="A35" t="s">
        <v>829</v>
      </c>
      <c r="B35" s="1">
        <v>67.477878576413104</v>
      </c>
      <c r="C35">
        <f t="shared" si="2"/>
        <v>1.0311948204826362</v>
      </c>
      <c r="E35">
        <f t="shared" si="0"/>
        <v>53.833591283000615</v>
      </c>
      <c r="G35">
        <f>'1'!P47</f>
        <v>53.833591283000615</v>
      </c>
      <c r="H35" t="b">
        <f t="shared" si="1"/>
        <v>1</v>
      </c>
    </row>
    <row r="36" spans="1:8" x14ac:dyDescent="0.2">
      <c r="A36" t="s">
        <v>830</v>
      </c>
      <c r="B36" s="1">
        <v>65.374972086531798</v>
      </c>
      <c r="C36">
        <f t="shared" si="2"/>
        <v>0.96883561643835703</v>
      </c>
      <c r="E36">
        <f t="shared" si="0"/>
        <v>52.155900595756464</v>
      </c>
      <c r="G36">
        <f>'1'!P48</f>
        <v>52.155900595756464</v>
      </c>
      <c r="H36" t="b">
        <f t="shared" si="1"/>
        <v>1</v>
      </c>
    </row>
    <row r="37" spans="1:8" x14ac:dyDescent="0.2">
      <c r="A37" t="s">
        <v>831</v>
      </c>
      <c r="B37" s="1">
        <v>62.124325424517401</v>
      </c>
      <c r="C37">
        <f t="shared" si="2"/>
        <v>0.95027689407328897</v>
      </c>
      <c r="E37">
        <f t="shared" si="0"/>
        <v>49.562547225730654</v>
      </c>
      <c r="G37">
        <f>'1'!P49</f>
        <v>49.562547225730654</v>
      </c>
      <c r="H37" t="b">
        <f t="shared" si="1"/>
        <v>1</v>
      </c>
    </row>
    <row r="38" spans="1:8" x14ac:dyDescent="0.2">
      <c r="A38" t="s">
        <v>832</v>
      </c>
      <c r="B38" s="1">
        <v>60.660764131193297</v>
      </c>
      <c r="C38">
        <f t="shared" si="2"/>
        <v>0.97644141351518787</v>
      </c>
      <c r="E38">
        <f t="shared" si="0"/>
        <v>48.39492367050569</v>
      </c>
      <c r="G38">
        <f>'1'!P50</f>
        <v>48.39492367050569</v>
      </c>
      <c r="H38" t="b">
        <f t="shared" si="1"/>
        <v>1</v>
      </c>
    </row>
    <row r="39" spans="1:8" x14ac:dyDescent="0.2">
      <c r="A39" t="s">
        <v>833</v>
      </c>
      <c r="B39" s="1">
        <v>57.587285415212897</v>
      </c>
      <c r="C39">
        <f t="shared" si="2"/>
        <v>0.94933333333333436</v>
      </c>
      <c r="E39">
        <f t="shared" si="0"/>
        <v>45.942914204533452</v>
      </c>
      <c r="G39">
        <f>'1'!P51</f>
        <v>45.942914204533452</v>
      </c>
      <c r="H39" t="b">
        <f t="shared" si="1"/>
        <v>1</v>
      </c>
    </row>
    <row r="40" spans="1:8" x14ac:dyDescent="0.2">
      <c r="A40" t="s">
        <v>834</v>
      </c>
      <c r="B40" s="1">
        <v>66.168376366596902</v>
      </c>
      <c r="C40">
        <f t="shared" si="2"/>
        <v>1.1490101658640977</v>
      </c>
      <c r="E40">
        <f t="shared" si="0"/>
        <v>52.788875470430987</v>
      </c>
      <c r="G40">
        <f>'1'!P52</f>
        <v>52.788875470430987</v>
      </c>
      <c r="H40" t="b">
        <f t="shared" si="1"/>
        <v>1</v>
      </c>
    </row>
    <row r="41" spans="1:8" x14ac:dyDescent="0.2">
      <c r="A41" t="s">
        <v>835</v>
      </c>
      <c r="B41" s="1">
        <v>63.934519655733901</v>
      </c>
      <c r="C41">
        <f t="shared" si="2"/>
        <v>0.96623981373690326</v>
      </c>
      <c r="E41">
        <f t="shared" si="0"/>
        <v>51.00671320192982</v>
      </c>
      <c r="G41">
        <f>'1'!P53</f>
        <v>51.00671320192982</v>
      </c>
      <c r="H41" t="b">
        <f t="shared" si="1"/>
        <v>1</v>
      </c>
    </row>
    <row r="42" spans="1:8" x14ac:dyDescent="0.2">
      <c r="A42" t="s">
        <v>836</v>
      </c>
      <c r="B42" s="1">
        <v>67.578016980693207</v>
      </c>
      <c r="C42">
        <f t="shared" si="2"/>
        <v>1.0569879518072292</v>
      </c>
      <c r="E42">
        <f t="shared" si="0"/>
        <v>53.913481315726557</v>
      </c>
      <c r="G42">
        <f>'1'!P54</f>
        <v>53.913481315726557</v>
      </c>
      <c r="H42" t="b">
        <f t="shared" si="1"/>
        <v>1</v>
      </c>
    </row>
    <row r="43" spans="1:8" x14ac:dyDescent="0.2">
      <c r="A43" t="s">
        <v>837</v>
      </c>
      <c r="B43" s="1">
        <v>68.063303093742803</v>
      </c>
      <c r="C43">
        <f t="shared" si="2"/>
        <v>1.0071811239028845</v>
      </c>
      <c r="E43">
        <f t="shared" si="0"/>
        <v>54.300640705090636</v>
      </c>
      <c r="G43">
        <f>'1'!P55</f>
        <v>54.300640705090636</v>
      </c>
      <c r="H43" t="b">
        <f t="shared" si="1"/>
        <v>1</v>
      </c>
    </row>
    <row r="44" spans="1:8" x14ac:dyDescent="0.2">
      <c r="A44" t="s">
        <v>838</v>
      </c>
      <c r="B44" s="1">
        <v>69.1340137241219</v>
      </c>
      <c r="C44">
        <f t="shared" si="2"/>
        <v>1.0157311000452685</v>
      </c>
      <c r="E44">
        <f t="shared" si="0"/>
        <v>55.154849516544594</v>
      </c>
      <c r="G44">
        <f>'1'!P56</f>
        <v>55.154849516544594</v>
      </c>
      <c r="H44" t="b">
        <f t="shared" si="1"/>
        <v>1</v>
      </c>
    </row>
    <row r="45" spans="1:8" x14ac:dyDescent="0.2">
      <c r="A45" t="s">
        <v>839</v>
      </c>
      <c r="B45" s="1">
        <v>74.133230983949801</v>
      </c>
      <c r="C45">
        <f t="shared" si="2"/>
        <v>1.0723119777158778</v>
      </c>
      <c r="E45">
        <f t="shared" si="0"/>
        <v>59.143205765707563</v>
      </c>
      <c r="G45">
        <f>'1'!P57</f>
        <v>59.143205765707563</v>
      </c>
      <c r="H45" t="b">
        <f t="shared" si="1"/>
        <v>1</v>
      </c>
    </row>
    <row r="46" spans="1:8" x14ac:dyDescent="0.2">
      <c r="A46" t="s">
        <v>840</v>
      </c>
      <c r="B46" s="1">
        <v>70.250942079553397</v>
      </c>
      <c r="C46">
        <f t="shared" si="2"/>
        <v>0.94763092269326643</v>
      </c>
      <c r="E46">
        <f t="shared" si="0"/>
        <v>56.045930650795171</v>
      </c>
      <c r="G46">
        <f>'1'!P58</f>
        <v>56.045930650795171</v>
      </c>
      <c r="H46" t="b">
        <f t="shared" si="1"/>
        <v>1</v>
      </c>
    </row>
    <row r="47" spans="1:8" x14ac:dyDescent="0.2">
      <c r="A47" t="s">
        <v>841</v>
      </c>
      <c r="B47" s="1">
        <v>74.7186555012794</v>
      </c>
      <c r="C47">
        <f t="shared" si="2"/>
        <v>1.0635964912280704</v>
      </c>
      <c r="E47">
        <f t="shared" si="0"/>
        <v>59.610255187797506</v>
      </c>
      <c r="G47">
        <f>'1'!P59</f>
        <v>59.610255187797506</v>
      </c>
      <c r="H47" t="b">
        <f t="shared" si="1"/>
        <v>1</v>
      </c>
    </row>
    <row r="48" spans="1:8" x14ac:dyDescent="0.2">
      <c r="A48" t="s">
        <v>842</v>
      </c>
      <c r="B48" s="1">
        <v>70.119991858571794</v>
      </c>
      <c r="C48">
        <f t="shared" si="2"/>
        <v>0.93845360824742274</v>
      </c>
      <c r="E48">
        <f t="shared" si="0"/>
        <v>55.941459069538219</v>
      </c>
      <c r="G48">
        <f>'1'!P60</f>
        <v>55.941459069538219</v>
      </c>
      <c r="H48" t="b">
        <f t="shared" si="1"/>
        <v>1</v>
      </c>
    </row>
    <row r="49" spans="1:8" x14ac:dyDescent="0.2">
      <c r="A49" t="s">
        <v>843</v>
      </c>
      <c r="B49" s="1">
        <v>66.268514770877005</v>
      </c>
      <c r="C49">
        <f t="shared" si="2"/>
        <v>0.94507305283972354</v>
      </c>
      <c r="E49">
        <f t="shared" si="0"/>
        <v>52.868765503156922</v>
      </c>
      <c r="G49">
        <f>'1'!P61</f>
        <v>52.868765503156922</v>
      </c>
      <c r="H49" t="b">
        <f t="shared" si="1"/>
        <v>1</v>
      </c>
    </row>
    <row r="50" spans="1:8" x14ac:dyDescent="0.2">
      <c r="A50" t="s">
        <v>844</v>
      </c>
      <c r="B50" s="1">
        <v>67.146651546871396</v>
      </c>
      <c r="C50">
        <f t="shared" si="2"/>
        <v>1.0132511914448443</v>
      </c>
      <c r="E50">
        <f t="shared" si="0"/>
        <v>53.569339636291836</v>
      </c>
      <c r="G50">
        <f>'1'!P62</f>
        <v>53.569339636291836</v>
      </c>
      <c r="H50" t="b">
        <f t="shared" si="1"/>
        <v>1</v>
      </c>
    </row>
    <row r="51" spans="1:8" x14ac:dyDescent="0.2">
      <c r="A51" t="s">
        <v>845</v>
      </c>
      <c r="B51" s="1">
        <v>62.6481263084438</v>
      </c>
      <c r="C51">
        <f t="shared" si="2"/>
        <v>0.93300447401628916</v>
      </c>
      <c r="E51">
        <f t="shared" si="0"/>
        <v>49.980433550758413</v>
      </c>
      <c r="G51">
        <f>'1'!P63</f>
        <v>49.980433550758413</v>
      </c>
      <c r="H51" t="b">
        <f t="shared" si="1"/>
        <v>1</v>
      </c>
    </row>
    <row r="52" spans="1:8" x14ac:dyDescent="0.2">
      <c r="A52" t="s">
        <v>846</v>
      </c>
      <c r="B52" s="1">
        <v>69.850388462433102</v>
      </c>
      <c r="C52">
        <f t="shared" si="2"/>
        <v>1.1149637280216402</v>
      </c>
      <c r="E52">
        <f t="shared" si="0"/>
        <v>55.726370519891468</v>
      </c>
      <c r="G52">
        <f>'1'!P64</f>
        <v>55.726370519891468</v>
      </c>
      <c r="H52" t="b">
        <f t="shared" si="1"/>
        <v>1</v>
      </c>
    </row>
    <row r="53" spans="1:8" x14ac:dyDescent="0.2">
      <c r="A53" t="s">
        <v>847</v>
      </c>
      <c r="B53" s="1">
        <v>67.346928355431501</v>
      </c>
      <c r="C53">
        <f t="shared" si="2"/>
        <v>0.96415968239964744</v>
      </c>
      <c r="E53">
        <f t="shared" si="0"/>
        <v>53.729119701743635</v>
      </c>
      <c r="G53">
        <f>'1'!P65</f>
        <v>53.729119701743635</v>
      </c>
      <c r="H53" t="b">
        <f t="shared" si="1"/>
        <v>1</v>
      </c>
    </row>
    <row r="54" spans="1:8" x14ac:dyDescent="0.2">
      <c r="A54" t="s">
        <v>848</v>
      </c>
      <c r="B54" s="1">
        <v>73.231985345429194</v>
      </c>
      <c r="C54">
        <f t="shared" si="2"/>
        <v>1.0873841930687409</v>
      </c>
      <c r="E54">
        <f t="shared" si="0"/>
        <v>58.424195471174293</v>
      </c>
      <c r="G54">
        <f>'1'!P66</f>
        <v>58.424195471174293</v>
      </c>
      <c r="H54" t="b">
        <f t="shared" si="1"/>
        <v>1</v>
      </c>
    </row>
    <row r="55" spans="1:8" x14ac:dyDescent="0.2">
      <c r="A55" t="s">
        <v>849</v>
      </c>
      <c r="B55" s="1">
        <v>73.231985345429194</v>
      </c>
      <c r="C55">
        <f t="shared" si="2"/>
        <v>1</v>
      </c>
      <c r="E55">
        <f t="shared" si="0"/>
        <v>58.424195471174293</v>
      </c>
      <c r="G55">
        <f>'1'!P67</f>
        <v>58.424195471174293</v>
      </c>
      <c r="H55" t="b">
        <f t="shared" si="1"/>
        <v>1</v>
      </c>
    </row>
    <row r="56" spans="1:8" x14ac:dyDescent="0.2">
      <c r="A56" t="s">
        <v>850</v>
      </c>
      <c r="B56" s="1">
        <v>74.364319609211407</v>
      </c>
      <c r="C56">
        <f t="shared" si="2"/>
        <v>1.0154622909435145</v>
      </c>
      <c r="E56">
        <f t="shared" si="0"/>
        <v>59.32756737969035</v>
      </c>
      <c r="G56">
        <f>'1'!P68</f>
        <v>59.32756737969035</v>
      </c>
      <c r="H56" t="b">
        <f t="shared" si="1"/>
        <v>1</v>
      </c>
    </row>
    <row r="57" spans="1:8" x14ac:dyDescent="0.2">
      <c r="A57" t="s">
        <v>851</v>
      </c>
      <c r="B57" s="1">
        <v>78.970686206094399</v>
      </c>
      <c r="C57">
        <f t="shared" si="2"/>
        <v>1.061943235964367</v>
      </c>
      <c r="E57">
        <f t="shared" si="0"/>
        <v>63.002508885082392</v>
      </c>
      <c r="G57">
        <f>'1'!P69</f>
        <v>63.002508885082392</v>
      </c>
      <c r="H57" t="b">
        <f t="shared" si="1"/>
        <v>1</v>
      </c>
    </row>
    <row r="58" spans="1:8" x14ac:dyDescent="0.2">
      <c r="A58" t="s">
        <v>852</v>
      </c>
      <c r="B58" s="1">
        <v>72.677372644801096</v>
      </c>
      <c r="C58">
        <f t="shared" si="2"/>
        <v>0.92030823253999239</v>
      </c>
      <c r="E58">
        <f t="shared" si="0"/>
        <v>57.98172759761534</v>
      </c>
      <c r="G58">
        <f>'1'!P70</f>
        <v>57.98172759761534</v>
      </c>
      <c r="H58" t="b">
        <f t="shared" si="1"/>
        <v>1</v>
      </c>
    </row>
    <row r="59" spans="1:8" x14ac:dyDescent="0.2">
      <c r="A59" t="s">
        <v>853</v>
      </c>
      <c r="B59" s="1">
        <v>81.320087229588196</v>
      </c>
      <c r="C59">
        <f t="shared" si="2"/>
        <v>1.1189189189189181</v>
      </c>
      <c r="E59">
        <f t="shared" si="0"/>
        <v>64.876851960574953</v>
      </c>
      <c r="G59">
        <f>'1'!P71</f>
        <v>64.876851960574953</v>
      </c>
      <c r="H59" t="b">
        <f t="shared" si="1"/>
        <v>1</v>
      </c>
    </row>
    <row r="60" spans="1:8" x14ac:dyDescent="0.2">
      <c r="A60" t="s">
        <v>854</v>
      </c>
      <c r="B60" s="1">
        <v>74.849605722261003</v>
      </c>
      <c r="C60">
        <f t="shared" si="2"/>
        <v>0.92043194089229996</v>
      </c>
      <c r="E60">
        <f t="shared" si="0"/>
        <v>59.714726769054415</v>
      </c>
      <c r="G60">
        <f>'1'!P72</f>
        <v>59.714726769054415</v>
      </c>
      <c r="H60" t="b">
        <f t="shared" si="1"/>
        <v>1</v>
      </c>
    </row>
    <row r="61" spans="1:8" x14ac:dyDescent="0.2">
      <c r="A61" t="s">
        <v>855</v>
      </c>
      <c r="B61" s="1">
        <v>69.311181670155804</v>
      </c>
      <c r="C61">
        <f t="shared" si="2"/>
        <v>0.92600596892044795</v>
      </c>
      <c r="E61">
        <f t="shared" si="0"/>
        <v>55.296193420598044</v>
      </c>
      <c r="G61">
        <f>'1'!P73</f>
        <v>55.296193420598044</v>
      </c>
      <c r="H61" t="b">
        <f t="shared" si="1"/>
        <v>1</v>
      </c>
    </row>
    <row r="62" spans="1:8" x14ac:dyDescent="0.2">
      <c r="A62" t="s">
        <v>856</v>
      </c>
      <c r="B62" s="1">
        <v>71.568147243544999</v>
      </c>
      <c r="C62">
        <f t="shared" si="2"/>
        <v>1.0325627917314963</v>
      </c>
      <c r="E62">
        <f t="shared" si="0"/>
        <v>57.096791850497517</v>
      </c>
      <c r="G62">
        <f>'1'!P74</f>
        <v>57.096791850497517</v>
      </c>
      <c r="H62" t="b">
        <f t="shared" si="1"/>
        <v>1</v>
      </c>
    </row>
    <row r="63" spans="1:8" x14ac:dyDescent="0.2">
      <c r="A63" t="s">
        <v>857</v>
      </c>
      <c r="B63" s="1">
        <v>70.150803675273295</v>
      </c>
      <c r="C63">
        <f t="shared" si="2"/>
        <v>0.98019588849424155</v>
      </c>
      <c r="E63">
        <f t="shared" si="0"/>
        <v>55.966040618069187</v>
      </c>
      <c r="G63">
        <f>'1'!P75</f>
        <v>55.966040618069187</v>
      </c>
      <c r="H63" t="b">
        <f t="shared" si="1"/>
        <v>1</v>
      </c>
    </row>
    <row r="64" spans="1:8" x14ac:dyDescent="0.2">
      <c r="A64" t="s">
        <v>858</v>
      </c>
      <c r="B64" s="1">
        <v>77.460907187718107</v>
      </c>
      <c r="C64">
        <f t="shared" si="2"/>
        <v>1.1042055561655877</v>
      </c>
      <c r="E64">
        <f t="shared" si="0"/>
        <v>61.798013007060959</v>
      </c>
      <c r="G64">
        <f>'1'!P76</f>
        <v>61.798013007060959</v>
      </c>
      <c r="H64" t="b">
        <f t="shared" si="1"/>
        <v>1</v>
      </c>
    </row>
    <row r="65" spans="1:8" x14ac:dyDescent="0.2">
      <c r="A65" t="s">
        <v>859</v>
      </c>
      <c r="B65" s="1">
        <v>72.061136310769896</v>
      </c>
      <c r="C65">
        <f t="shared" si="2"/>
        <v>0.93029037390612468</v>
      </c>
      <c r="E65">
        <f t="shared" si="0"/>
        <v>57.490096626994294</v>
      </c>
      <c r="G65">
        <f>'1'!P77</f>
        <v>57.490096626994294</v>
      </c>
      <c r="H65" t="b">
        <f t="shared" si="1"/>
        <v>1</v>
      </c>
    </row>
    <row r="66" spans="1:8" x14ac:dyDescent="0.2">
      <c r="A66" t="s">
        <v>860</v>
      </c>
      <c r="B66" s="1">
        <v>79.201774831356104</v>
      </c>
      <c r="C66">
        <f t="shared" si="2"/>
        <v>1.0990913949759491</v>
      </c>
      <c r="E66">
        <f t="shared" ref="E66:E129" si="3">E67/C67</f>
        <v>63.186870499065265</v>
      </c>
      <c r="G66">
        <f>'1'!P78</f>
        <v>63.186870499065265</v>
      </c>
      <c r="H66" t="b">
        <f t="shared" si="1"/>
        <v>1</v>
      </c>
    </row>
    <row r="67" spans="1:8" x14ac:dyDescent="0.2">
      <c r="A67" t="s">
        <v>861</v>
      </c>
      <c r="B67" s="1">
        <v>80.2416736450337</v>
      </c>
      <c r="C67">
        <f t="shared" si="2"/>
        <v>1.0131297412954678</v>
      </c>
      <c r="E67">
        <f t="shared" si="3"/>
        <v>64.016497761988219</v>
      </c>
      <c r="G67">
        <f>'1'!P79</f>
        <v>64.016497761988219</v>
      </c>
      <c r="H67" t="b">
        <f t="shared" ref="H67:H130" si="4">EXACT(E67,G67)</f>
        <v>1</v>
      </c>
    </row>
    <row r="68" spans="1:8" x14ac:dyDescent="0.2">
      <c r="A68" t="s">
        <v>862</v>
      </c>
      <c r="B68" s="1">
        <v>84.147071411956205</v>
      </c>
      <c r="C68">
        <f t="shared" ref="C68:C131" si="5">B68/B67</f>
        <v>1.0486704425458382</v>
      </c>
      <c r="E68">
        <f t="shared" si="3"/>
        <v>67.132209038298839</v>
      </c>
      <c r="G68">
        <f>'1'!P80</f>
        <v>67.132209038298839</v>
      </c>
      <c r="H68" t="b">
        <f t="shared" si="4"/>
        <v>1</v>
      </c>
    </row>
    <row r="69" spans="1:8" x14ac:dyDescent="0.2">
      <c r="A69" t="s">
        <v>863</v>
      </c>
      <c r="B69" s="1">
        <v>83.222716910909497</v>
      </c>
      <c r="C69">
        <f t="shared" si="5"/>
        <v>0.98901501281581894</v>
      </c>
      <c r="E69">
        <f t="shared" si="3"/>
        <v>66.394762582367363</v>
      </c>
      <c r="G69">
        <f>'1'!P81</f>
        <v>66.394762582367363</v>
      </c>
      <c r="H69" t="b">
        <f t="shared" si="4"/>
        <v>1</v>
      </c>
    </row>
    <row r="70" spans="1:8" x14ac:dyDescent="0.2">
      <c r="A70" t="s">
        <v>864</v>
      </c>
      <c r="B70" s="1">
        <v>85.348732263317004</v>
      </c>
      <c r="C70">
        <f t="shared" si="5"/>
        <v>1.0255460940392445</v>
      </c>
      <c r="E70">
        <f t="shared" si="3"/>
        <v>68.090889431009828</v>
      </c>
      <c r="G70">
        <f>'1'!P82</f>
        <v>68.090889431009828</v>
      </c>
      <c r="H70" t="b">
        <f t="shared" si="4"/>
        <v>1</v>
      </c>
    </row>
    <row r="71" spans="1:8" x14ac:dyDescent="0.2">
      <c r="A71" t="s">
        <v>865</v>
      </c>
      <c r="B71" s="1">
        <v>86.958649685973498</v>
      </c>
      <c r="C71">
        <f t="shared" si="5"/>
        <v>1.0188628158844772</v>
      </c>
      <c r="E71">
        <f t="shared" si="3"/>
        <v>69.375275341757259</v>
      </c>
      <c r="G71">
        <f>'1'!P83</f>
        <v>69.375275341757259</v>
      </c>
      <c r="H71" t="b">
        <f t="shared" si="4"/>
        <v>1</v>
      </c>
    </row>
    <row r="72" spans="1:8" x14ac:dyDescent="0.2">
      <c r="A72" t="s">
        <v>866</v>
      </c>
      <c r="B72" s="1">
        <v>80.649930216329395</v>
      </c>
      <c r="C72">
        <f t="shared" si="5"/>
        <v>0.92745150146159983</v>
      </c>
      <c r="E72">
        <f t="shared" si="3"/>
        <v>64.342203280024677</v>
      </c>
      <c r="G72">
        <f>'1'!P84</f>
        <v>64.342203280024677</v>
      </c>
      <c r="H72" t="b">
        <f t="shared" si="4"/>
        <v>1</v>
      </c>
    </row>
    <row r="73" spans="1:8" x14ac:dyDescent="0.2">
      <c r="A73" t="s">
        <v>867</v>
      </c>
      <c r="B73" s="1">
        <v>73.424559199813899</v>
      </c>
      <c r="C73">
        <f t="shared" si="5"/>
        <v>0.9104106972301812</v>
      </c>
      <c r="E73">
        <f t="shared" si="3"/>
        <v>58.577830149493316</v>
      </c>
      <c r="G73">
        <f>'1'!P85</f>
        <v>58.577830149493316</v>
      </c>
      <c r="H73" t="b">
        <f t="shared" si="4"/>
        <v>1</v>
      </c>
    </row>
    <row r="74" spans="1:8" x14ac:dyDescent="0.2">
      <c r="A74" t="s">
        <v>868</v>
      </c>
      <c r="B74" s="1">
        <v>71.683691556175802</v>
      </c>
      <c r="C74">
        <f t="shared" si="5"/>
        <v>0.97629039026437203</v>
      </c>
      <c r="E74">
        <f t="shared" si="3"/>
        <v>57.188972657488925</v>
      </c>
      <c r="G74">
        <f>'1'!P86</f>
        <v>57.188972657488925</v>
      </c>
      <c r="H74" t="b">
        <f t="shared" si="4"/>
        <v>1</v>
      </c>
    </row>
    <row r="75" spans="1:8" x14ac:dyDescent="0.2">
      <c r="A75" t="s">
        <v>869</v>
      </c>
      <c r="B75" s="1">
        <v>71.337058618283294</v>
      </c>
      <c r="C75">
        <f t="shared" si="5"/>
        <v>0.99516441005802747</v>
      </c>
      <c r="E75">
        <f t="shared" si="3"/>
        <v>56.912430236514631</v>
      </c>
      <c r="G75">
        <f>'1'!P87</f>
        <v>56.912430236514631</v>
      </c>
      <c r="H75" t="b">
        <f t="shared" si="4"/>
        <v>1</v>
      </c>
    </row>
    <row r="76" spans="1:8" x14ac:dyDescent="0.2">
      <c r="A76" t="s">
        <v>870</v>
      </c>
      <c r="B76" s="1">
        <v>72.122759944172998</v>
      </c>
      <c r="C76">
        <f t="shared" si="5"/>
        <v>1.0110139293812759</v>
      </c>
      <c r="E76">
        <f t="shared" si="3"/>
        <v>57.539259724056393</v>
      </c>
      <c r="G76">
        <f>'1'!P88</f>
        <v>57.539259724056393</v>
      </c>
      <c r="H76" t="b">
        <f t="shared" si="4"/>
        <v>1</v>
      </c>
    </row>
    <row r="77" spans="1:8" x14ac:dyDescent="0.2">
      <c r="A77" t="s">
        <v>871</v>
      </c>
      <c r="B77" s="1">
        <v>67.354631309606901</v>
      </c>
      <c r="C77">
        <f t="shared" si="5"/>
        <v>0.93388871088326497</v>
      </c>
      <c r="E77">
        <f t="shared" si="3"/>
        <v>53.735265088876396</v>
      </c>
      <c r="G77">
        <f>'1'!P89</f>
        <v>53.735265088876396</v>
      </c>
      <c r="H77" t="b">
        <f t="shared" si="4"/>
        <v>1</v>
      </c>
    </row>
    <row r="78" spans="1:8" x14ac:dyDescent="0.2">
      <c r="A78" t="s">
        <v>872</v>
      </c>
      <c r="B78" s="1">
        <v>69.811873691556102</v>
      </c>
      <c r="C78">
        <f t="shared" si="5"/>
        <v>1.0364821591948752</v>
      </c>
      <c r="E78">
        <f t="shared" si="3"/>
        <v>55.695643584227604</v>
      </c>
      <c r="G78">
        <f>'1'!P90</f>
        <v>55.695643584227604</v>
      </c>
      <c r="H78" t="b">
        <f t="shared" si="4"/>
        <v>1</v>
      </c>
    </row>
    <row r="79" spans="1:8" x14ac:dyDescent="0.2">
      <c r="A79" t="s">
        <v>873</v>
      </c>
      <c r="B79" s="1">
        <v>72.477095836241006</v>
      </c>
      <c r="C79">
        <f t="shared" si="5"/>
        <v>1.0381772040163315</v>
      </c>
      <c r="E79">
        <f t="shared" si="3"/>
        <v>57.821947532163549</v>
      </c>
      <c r="G79">
        <f>'1'!P91</f>
        <v>57.821947532163549</v>
      </c>
      <c r="H79" t="b">
        <f t="shared" si="4"/>
        <v>1</v>
      </c>
    </row>
    <row r="80" spans="1:8" x14ac:dyDescent="0.2">
      <c r="A80" t="s">
        <v>874</v>
      </c>
      <c r="B80" s="1">
        <v>75.134615026750396</v>
      </c>
      <c r="C80">
        <f t="shared" si="5"/>
        <v>1.0366670209373998</v>
      </c>
      <c r="E80">
        <f t="shared" si="3"/>
        <v>59.942106092966625</v>
      </c>
      <c r="G80">
        <f>'1'!P92</f>
        <v>59.942106092966625</v>
      </c>
      <c r="H80" t="b">
        <f t="shared" si="4"/>
        <v>1</v>
      </c>
    </row>
    <row r="81" spans="1:8" x14ac:dyDescent="0.2">
      <c r="A81" t="s">
        <v>875</v>
      </c>
      <c r="B81" s="1">
        <v>73.162658757850593</v>
      </c>
      <c r="C81">
        <f t="shared" si="5"/>
        <v>0.97375435718679437</v>
      </c>
      <c r="E81">
        <f t="shared" si="3"/>
        <v>58.368886986979348</v>
      </c>
      <c r="G81">
        <f>'1'!P93</f>
        <v>58.368886986979348</v>
      </c>
      <c r="H81" t="b">
        <f t="shared" si="4"/>
        <v>1</v>
      </c>
    </row>
    <row r="82" spans="1:8" x14ac:dyDescent="0.2">
      <c r="A82" t="s">
        <v>876</v>
      </c>
      <c r="B82" s="1">
        <v>71.144484763898603</v>
      </c>
      <c r="C82">
        <f t="shared" si="5"/>
        <v>0.97241524531480439</v>
      </c>
      <c r="E82">
        <f t="shared" si="3"/>
        <v>56.758795558195615</v>
      </c>
      <c r="G82">
        <f>'1'!P94</f>
        <v>56.758795558195615</v>
      </c>
      <c r="H82" t="b">
        <f t="shared" si="4"/>
        <v>1</v>
      </c>
    </row>
    <row r="83" spans="1:8" x14ac:dyDescent="0.2">
      <c r="A83" t="s">
        <v>877</v>
      </c>
      <c r="B83" s="1">
        <v>73.054817399395205</v>
      </c>
      <c r="C83">
        <f t="shared" si="5"/>
        <v>1.026851450844521</v>
      </c>
      <c r="E83">
        <f t="shared" si="3"/>
        <v>58.282851567120723</v>
      </c>
      <c r="G83">
        <f>'1'!P95</f>
        <v>58.282851567120723</v>
      </c>
      <c r="H83" t="b">
        <f t="shared" si="4"/>
        <v>1</v>
      </c>
    </row>
    <row r="84" spans="1:8" x14ac:dyDescent="0.2">
      <c r="A84" t="s">
        <v>878</v>
      </c>
      <c r="B84" s="1">
        <v>68.456153756687598</v>
      </c>
      <c r="C84">
        <f t="shared" si="5"/>
        <v>0.93705187684521296</v>
      </c>
      <c r="E84">
        <f t="shared" si="3"/>
        <v>54.614055448861436</v>
      </c>
      <c r="G84">
        <f>'1'!P96</f>
        <v>54.614055448861436</v>
      </c>
      <c r="H84" t="b">
        <f t="shared" si="4"/>
        <v>1</v>
      </c>
    </row>
    <row r="85" spans="1:8" x14ac:dyDescent="0.2">
      <c r="A85" t="s">
        <v>879</v>
      </c>
      <c r="B85" s="1">
        <v>62.555690858339098</v>
      </c>
      <c r="C85">
        <f t="shared" si="5"/>
        <v>0.91380668392033237</v>
      </c>
      <c r="E85">
        <f t="shared" si="3"/>
        <v>49.906688905165225</v>
      </c>
      <c r="G85">
        <f>'1'!P97</f>
        <v>49.906688905165225</v>
      </c>
      <c r="H85" t="b">
        <f t="shared" si="4"/>
        <v>1</v>
      </c>
    </row>
    <row r="86" spans="1:8" x14ac:dyDescent="0.2">
      <c r="A86" t="s">
        <v>880</v>
      </c>
      <c r="B86" s="1">
        <v>60.914961618981103</v>
      </c>
      <c r="C86">
        <f t="shared" si="5"/>
        <v>0.97377170299224225</v>
      </c>
      <c r="E86">
        <f t="shared" si="3"/>
        <v>48.597721445886783</v>
      </c>
      <c r="G86">
        <f>'1'!P98</f>
        <v>48.597721445886783</v>
      </c>
      <c r="H86" t="b">
        <f t="shared" si="4"/>
        <v>1</v>
      </c>
    </row>
    <row r="87" spans="1:8" x14ac:dyDescent="0.2">
      <c r="A87" t="s">
        <v>881</v>
      </c>
      <c r="B87" s="1">
        <v>60.337240055826904</v>
      </c>
      <c r="C87">
        <f t="shared" si="5"/>
        <v>0.99051593323217035</v>
      </c>
      <c r="E87">
        <f t="shared" si="3"/>
        <v>48.136817410929609</v>
      </c>
      <c r="G87">
        <f>'1'!P99</f>
        <v>48.136817410929609</v>
      </c>
      <c r="H87" t="b">
        <f t="shared" si="4"/>
        <v>1</v>
      </c>
    </row>
    <row r="88" spans="1:8" x14ac:dyDescent="0.2">
      <c r="A88" t="s">
        <v>882</v>
      </c>
      <c r="B88" s="1">
        <v>71.514226564317298</v>
      </c>
      <c r="C88">
        <f t="shared" si="5"/>
        <v>1.1852419251883068</v>
      </c>
      <c r="E88">
        <f t="shared" si="3"/>
        <v>57.053774140568216</v>
      </c>
      <c r="G88">
        <f>'1'!P100</f>
        <v>57.053774140568216</v>
      </c>
      <c r="H88" t="b">
        <f t="shared" si="4"/>
        <v>1</v>
      </c>
    </row>
    <row r="89" spans="1:8" x14ac:dyDescent="0.2">
      <c r="A89" t="s">
        <v>883</v>
      </c>
      <c r="B89" s="1">
        <v>67.223681088625199</v>
      </c>
      <c r="C89">
        <f t="shared" si="5"/>
        <v>0.94000430848771976</v>
      </c>
      <c r="E89">
        <f t="shared" si="3"/>
        <v>53.630793507619373</v>
      </c>
      <c r="G89">
        <f>'1'!P101</f>
        <v>53.630793507619373</v>
      </c>
      <c r="H89" t="b">
        <f t="shared" si="4"/>
        <v>1</v>
      </c>
    </row>
    <row r="90" spans="1:8" x14ac:dyDescent="0.2">
      <c r="A90" t="s">
        <v>884</v>
      </c>
      <c r="B90" s="1">
        <v>71.360167480809494</v>
      </c>
      <c r="C90">
        <f t="shared" si="5"/>
        <v>1.0615331729116546</v>
      </c>
      <c r="E90">
        <f t="shared" si="3"/>
        <v>56.930866397912958</v>
      </c>
      <c r="G90">
        <f>'1'!P102</f>
        <v>56.930866397912958</v>
      </c>
      <c r="H90" t="b">
        <f t="shared" si="4"/>
        <v>1</v>
      </c>
    </row>
    <row r="91" spans="1:8" x14ac:dyDescent="0.2">
      <c r="A91" t="s">
        <v>885</v>
      </c>
      <c r="B91" s="1">
        <v>74.880417538962504</v>
      </c>
      <c r="C91">
        <f t="shared" si="5"/>
        <v>1.0493307426597576</v>
      </c>
      <c r="E91">
        <f t="shared" si="3"/>
        <v>59.73930831758544</v>
      </c>
      <c r="G91">
        <f>'1'!P103</f>
        <v>59.73930831758544</v>
      </c>
      <c r="H91" t="b">
        <f t="shared" si="4"/>
        <v>1</v>
      </c>
    </row>
    <row r="92" spans="1:8" x14ac:dyDescent="0.2">
      <c r="A92" t="s">
        <v>886</v>
      </c>
      <c r="B92" s="1">
        <v>77.545639683647295</v>
      </c>
      <c r="C92">
        <f t="shared" si="5"/>
        <v>1.0355930459829232</v>
      </c>
      <c r="E92">
        <f t="shared" si="3"/>
        <v>61.865612265521285</v>
      </c>
      <c r="G92">
        <f>'1'!P104</f>
        <v>61.865612265521285</v>
      </c>
      <c r="H92" t="b">
        <f t="shared" si="4"/>
        <v>1</v>
      </c>
    </row>
    <row r="93" spans="1:8" x14ac:dyDescent="0.2">
      <c r="A93" t="s">
        <v>887</v>
      </c>
      <c r="B93" s="1">
        <v>79.217180739706905</v>
      </c>
      <c r="C93">
        <f t="shared" si="5"/>
        <v>1.0215555776298806</v>
      </c>
      <c r="E93">
        <f t="shared" si="3"/>
        <v>63.199161273330823</v>
      </c>
      <c r="G93">
        <f>'1'!P105</f>
        <v>63.199161273330823</v>
      </c>
      <c r="H93" t="b">
        <f t="shared" si="4"/>
        <v>1</v>
      </c>
    </row>
    <row r="94" spans="1:8" x14ac:dyDescent="0.2">
      <c r="A94" t="s">
        <v>888</v>
      </c>
      <c r="B94" s="1">
        <v>76.575067457548201</v>
      </c>
      <c r="C94">
        <f t="shared" si="5"/>
        <v>0.96664721898094053</v>
      </c>
      <c r="E94">
        <f t="shared" si="3"/>
        <v>61.091293486793198</v>
      </c>
      <c r="G94">
        <f>'1'!P106</f>
        <v>61.091293486793198</v>
      </c>
      <c r="H94" t="b">
        <f t="shared" si="4"/>
        <v>1</v>
      </c>
    </row>
    <row r="95" spans="1:8" x14ac:dyDescent="0.2">
      <c r="A95" t="s">
        <v>889</v>
      </c>
      <c r="B95" s="1">
        <v>75.080694347522694</v>
      </c>
      <c r="C95">
        <f t="shared" si="5"/>
        <v>0.98048486067800122</v>
      </c>
      <c r="E95">
        <f t="shared" si="3"/>
        <v>59.899088383037309</v>
      </c>
      <c r="G95">
        <f>'1'!P107</f>
        <v>59.899088383037309</v>
      </c>
      <c r="H95" t="b">
        <f t="shared" si="4"/>
        <v>1</v>
      </c>
    </row>
    <row r="96" spans="1:8" x14ac:dyDescent="0.2">
      <c r="A96" t="s">
        <v>890</v>
      </c>
      <c r="B96" s="1">
        <v>70.482030704815003</v>
      </c>
      <c r="C96">
        <f t="shared" si="5"/>
        <v>0.93875038473376315</v>
      </c>
      <c r="E96">
        <f t="shared" si="3"/>
        <v>56.230292264777958</v>
      </c>
      <c r="G96">
        <f>'1'!P108</f>
        <v>56.230292264777958</v>
      </c>
      <c r="H96" t="b">
        <f t="shared" si="4"/>
        <v>1</v>
      </c>
    </row>
    <row r="97" spans="1:8" x14ac:dyDescent="0.2">
      <c r="A97" t="s">
        <v>891</v>
      </c>
      <c r="B97" s="1">
        <v>63.426124680158097</v>
      </c>
      <c r="C97">
        <f t="shared" si="5"/>
        <v>0.89989071038251345</v>
      </c>
      <c r="E97">
        <f t="shared" si="3"/>
        <v>50.601117651167385</v>
      </c>
      <c r="G97">
        <f>'1'!P109</f>
        <v>50.601117651167385</v>
      </c>
      <c r="H97" t="b">
        <f t="shared" si="4"/>
        <v>1</v>
      </c>
    </row>
    <row r="98" spans="1:8" x14ac:dyDescent="0.2">
      <c r="A98" t="s">
        <v>892</v>
      </c>
      <c r="B98" s="1">
        <v>59.305044196324701</v>
      </c>
      <c r="C98">
        <f t="shared" si="5"/>
        <v>0.9350255040077734</v>
      </c>
      <c r="E98">
        <f t="shared" si="3"/>
        <v>47.313335535139423</v>
      </c>
      <c r="G98">
        <f>'1'!P110</f>
        <v>47.313335535139423</v>
      </c>
      <c r="H98" t="b">
        <f t="shared" si="4"/>
        <v>1</v>
      </c>
    </row>
    <row r="99" spans="1:8" x14ac:dyDescent="0.2">
      <c r="A99" t="s">
        <v>893</v>
      </c>
      <c r="B99" s="1">
        <v>57.117405210514001</v>
      </c>
      <c r="C99">
        <f t="shared" si="5"/>
        <v>0.96311209247954199</v>
      </c>
      <c r="E99">
        <f t="shared" si="3"/>
        <v>45.568045589434803</v>
      </c>
      <c r="G99">
        <f>'1'!P111</f>
        <v>45.568045589434803</v>
      </c>
      <c r="H99" t="b">
        <f t="shared" si="4"/>
        <v>1</v>
      </c>
    </row>
    <row r="100" spans="1:8" x14ac:dyDescent="0.2">
      <c r="A100" t="s">
        <v>894</v>
      </c>
      <c r="B100" s="1">
        <v>67.454769713886904</v>
      </c>
      <c r="C100">
        <f t="shared" si="5"/>
        <v>1.1809844908968314</v>
      </c>
      <c r="E100">
        <f t="shared" si="3"/>
        <v>53.815155121602267</v>
      </c>
      <c r="G100">
        <f>'1'!P112</f>
        <v>53.815155121602267</v>
      </c>
      <c r="H100" t="b">
        <f t="shared" si="4"/>
        <v>1</v>
      </c>
    </row>
    <row r="101" spans="1:8" x14ac:dyDescent="0.2">
      <c r="A101" t="s">
        <v>895</v>
      </c>
      <c r="B101" s="1">
        <v>61.0998325191905</v>
      </c>
      <c r="C101">
        <f t="shared" si="5"/>
        <v>0.90578965399109335</v>
      </c>
      <c r="E101">
        <f t="shared" si="3"/>
        <v>48.74521073707313</v>
      </c>
      <c r="G101">
        <f>'1'!P113</f>
        <v>48.74521073707313</v>
      </c>
      <c r="H101" t="b">
        <f t="shared" si="4"/>
        <v>1</v>
      </c>
    </row>
    <row r="102" spans="1:8" x14ac:dyDescent="0.2">
      <c r="A102" t="s">
        <v>896</v>
      </c>
      <c r="B102" s="1">
        <v>67.724373110025596</v>
      </c>
      <c r="C102">
        <f t="shared" si="5"/>
        <v>1.1084215834594053</v>
      </c>
      <c r="E102">
        <f t="shared" si="3"/>
        <v>54.030243671249004</v>
      </c>
      <c r="G102">
        <f>'1'!P114</f>
        <v>54.030243671249004</v>
      </c>
      <c r="H102" t="b">
        <f t="shared" si="4"/>
        <v>1</v>
      </c>
    </row>
    <row r="103" spans="1:8" x14ac:dyDescent="0.2">
      <c r="A103" t="s">
        <v>897</v>
      </c>
      <c r="B103" s="1">
        <v>68.232768085601293</v>
      </c>
      <c r="C103">
        <f t="shared" si="5"/>
        <v>1.007506824385805</v>
      </c>
      <c r="E103">
        <f t="shared" si="3"/>
        <v>54.435839222011317</v>
      </c>
      <c r="G103">
        <f>'1'!P115</f>
        <v>54.435839222011317</v>
      </c>
      <c r="H103" t="b">
        <f t="shared" si="4"/>
        <v>1</v>
      </c>
    </row>
    <row r="104" spans="1:8" x14ac:dyDescent="0.2">
      <c r="A104" t="s">
        <v>898</v>
      </c>
      <c r="B104" s="1">
        <v>68.972251686438696</v>
      </c>
      <c r="C104">
        <f t="shared" si="5"/>
        <v>1.0108376608715286</v>
      </c>
      <c r="E104">
        <f t="shared" si="3"/>
        <v>55.025796386756532</v>
      </c>
      <c r="G104">
        <f>'1'!P116</f>
        <v>55.025796386756532</v>
      </c>
      <c r="H104" t="b">
        <f t="shared" si="4"/>
        <v>1</v>
      </c>
    </row>
    <row r="105" spans="1:8" x14ac:dyDescent="0.2">
      <c r="A105" t="s">
        <v>899</v>
      </c>
      <c r="B105" s="1">
        <v>74.410537334263793</v>
      </c>
      <c r="C105">
        <f t="shared" si="5"/>
        <v>1.0788474424838064</v>
      </c>
      <c r="E105">
        <f t="shared" si="3"/>
        <v>59.364439702486962</v>
      </c>
      <c r="G105">
        <f>'1'!P117</f>
        <v>59.364439702486962</v>
      </c>
      <c r="H105" t="b">
        <f t="shared" si="4"/>
        <v>1</v>
      </c>
    </row>
    <row r="106" spans="1:8" x14ac:dyDescent="0.2">
      <c r="A106" t="s">
        <v>900</v>
      </c>
      <c r="B106" s="1">
        <v>71.783829960455904</v>
      </c>
      <c r="C106">
        <f t="shared" si="5"/>
        <v>0.96469979296066222</v>
      </c>
      <c r="E106">
        <f t="shared" si="3"/>
        <v>57.268862690214888</v>
      </c>
      <c r="G106">
        <f>'1'!P118</f>
        <v>57.268862690214888</v>
      </c>
      <c r="H106" t="b">
        <f t="shared" si="4"/>
        <v>1</v>
      </c>
    </row>
    <row r="107" spans="1:8" x14ac:dyDescent="0.2">
      <c r="A107" t="s">
        <v>901</v>
      </c>
      <c r="B107" s="1">
        <v>73.347529658059997</v>
      </c>
      <c r="C107">
        <f t="shared" si="5"/>
        <v>1.0217834531602104</v>
      </c>
      <c r="E107">
        <f t="shared" si="3"/>
        <v>58.516376278165701</v>
      </c>
      <c r="G107">
        <f>'1'!P119</f>
        <v>58.516376278165701</v>
      </c>
      <c r="H107" t="b">
        <f t="shared" si="4"/>
        <v>1</v>
      </c>
    </row>
    <row r="108" spans="1:8" x14ac:dyDescent="0.2">
      <c r="A108" t="s">
        <v>902</v>
      </c>
      <c r="B108" s="1">
        <v>70.674604559199807</v>
      </c>
      <c r="C108">
        <f t="shared" si="5"/>
        <v>0.96355807603444665</v>
      </c>
      <c r="E108">
        <f t="shared" si="3"/>
        <v>56.38392694309708</v>
      </c>
      <c r="G108">
        <f>'1'!P120</f>
        <v>56.38392694309708</v>
      </c>
      <c r="H108" t="b">
        <f t="shared" si="4"/>
        <v>1</v>
      </c>
    </row>
    <row r="109" spans="1:8" x14ac:dyDescent="0.2">
      <c r="A109" t="s">
        <v>903</v>
      </c>
      <c r="B109" s="1">
        <v>64.489132356361907</v>
      </c>
      <c r="C109">
        <f t="shared" si="5"/>
        <v>0.91247956403269714</v>
      </c>
      <c r="E109">
        <f t="shared" si="3"/>
        <v>51.449181075488667</v>
      </c>
      <c r="G109">
        <f>'1'!P121</f>
        <v>51.449181075488667</v>
      </c>
      <c r="H109" t="b">
        <f t="shared" si="4"/>
        <v>1</v>
      </c>
    </row>
    <row r="110" spans="1:8" x14ac:dyDescent="0.2">
      <c r="A110" t="s">
        <v>904</v>
      </c>
      <c r="B110" s="1">
        <v>61.639039311467798</v>
      </c>
      <c r="C110">
        <f t="shared" si="5"/>
        <v>0.95580506450071745</v>
      </c>
      <c r="E110">
        <f t="shared" si="3"/>
        <v>49.175387836366539</v>
      </c>
      <c r="G110">
        <f>'1'!P122</f>
        <v>49.175387836366539</v>
      </c>
      <c r="H110" t="b">
        <f t="shared" si="4"/>
        <v>1</v>
      </c>
    </row>
    <row r="111" spans="1:8" x14ac:dyDescent="0.2">
      <c r="A111" t="s">
        <v>905</v>
      </c>
      <c r="B111" s="1">
        <v>64.281152593626402</v>
      </c>
      <c r="C111">
        <f t="shared" si="5"/>
        <v>1.0428642839290172</v>
      </c>
      <c r="E111">
        <f t="shared" si="3"/>
        <v>51.283255622904093</v>
      </c>
      <c r="G111">
        <f>'1'!P123</f>
        <v>51.283255622904093</v>
      </c>
      <c r="H111" t="b">
        <f t="shared" si="4"/>
        <v>1</v>
      </c>
    </row>
    <row r="112" spans="1:8" x14ac:dyDescent="0.2">
      <c r="A112" t="s">
        <v>906</v>
      </c>
      <c r="B112" s="1">
        <v>65.952693649685997</v>
      </c>
      <c r="C112">
        <f t="shared" si="5"/>
        <v>1.026003594967047</v>
      </c>
      <c r="E112">
        <f t="shared" si="3"/>
        <v>52.616804630713624</v>
      </c>
      <c r="G112">
        <f>'1'!P124</f>
        <v>52.616804630713624</v>
      </c>
      <c r="H112" t="b">
        <f t="shared" si="4"/>
        <v>1</v>
      </c>
    </row>
    <row r="113" spans="1:8" x14ac:dyDescent="0.2">
      <c r="A113" t="s">
        <v>907</v>
      </c>
      <c r="B113" s="1">
        <v>63.5955896720167</v>
      </c>
      <c r="C113">
        <f t="shared" si="5"/>
        <v>0.96426068675542986</v>
      </c>
      <c r="E113">
        <f t="shared" si="3"/>
        <v>50.736316168088202</v>
      </c>
      <c r="G113">
        <f>'1'!P125</f>
        <v>50.736316168088202</v>
      </c>
      <c r="H113" t="b">
        <f t="shared" si="4"/>
        <v>1</v>
      </c>
    </row>
    <row r="114" spans="1:8" x14ac:dyDescent="0.2">
      <c r="A114" t="s">
        <v>908</v>
      </c>
      <c r="B114" s="1">
        <v>72.438581065364005</v>
      </c>
      <c r="C114">
        <f t="shared" si="5"/>
        <v>1.1390503875968996</v>
      </c>
      <c r="E114">
        <f t="shared" si="3"/>
        <v>57.791220596499713</v>
      </c>
      <c r="G114">
        <f>'1'!P126</f>
        <v>57.791220596499713</v>
      </c>
      <c r="H114" t="b">
        <f t="shared" si="4"/>
        <v>1</v>
      </c>
    </row>
    <row r="115" spans="1:8" x14ac:dyDescent="0.2">
      <c r="A115" t="s">
        <v>909</v>
      </c>
      <c r="B115" s="1">
        <v>74.526081646894596</v>
      </c>
      <c r="C115">
        <f t="shared" si="5"/>
        <v>1.0288175244576776</v>
      </c>
      <c r="E115">
        <f t="shared" si="3"/>
        <v>59.456620509478384</v>
      </c>
      <c r="G115">
        <f>'1'!P127</f>
        <v>59.456620509478384</v>
      </c>
      <c r="H115" t="b">
        <f t="shared" si="4"/>
        <v>1</v>
      </c>
    </row>
    <row r="116" spans="1:8" x14ac:dyDescent="0.2">
      <c r="A116" t="s">
        <v>910</v>
      </c>
      <c r="B116" s="1">
        <v>77.353065829262604</v>
      </c>
      <c r="C116">
        <f t="shared" si="5"/>
        <v>1.0379328165374679</v>
      </c>
      <c r="E116">
        <f t="shared" si="3"/>
        <v>61.711977587202284</v>
      </c>
      <c r="G116">
        <f>'1'!P128</f>
        <v>61.711977587202284</v>
      </c>
      <c r="H116" t="b">
        <f t="shared" si="4"/>
        <v>1</v>
      </c>
    </row>
    <row r="117" spans="1:8" x14ac:dyDescent="0.2">
      <c r="A117" t="s">
        <v>911</v>
      </c>
      <c r="B117" s="1">
        <v>79.540704815073198</v>
      </c>
      <c r="C117">
        <f t="shared" si="5"/>
        <v>1.0282812188807002</v>
      </c>
      <c r="E117">
        <f t="shared" si="3"/>
        <v>63.457267532906819</v>
      </c>
      <c r="G117">
        <f>'1'!P129</f>
        <v>63.457267532906819</v>
      </c>
      <c r="H117" t="b">
        <f t="shared" si="4"/>
        <v>1</v>
      </c>
    </row>
    <row r="118" spans="1:8" x14ac:dyDescent="0.2">
      <c r="A118" t="s">
        <v>912</v>
      </c>
      <c r="B118" s="1">
        <v>75.404218422889002</v>
      </c>
      <c r="C118">
        <f t="shared" si="5"/>
        <v>0.94799535153980286</v>
      </c>
      <c r="E118">
        <f t="shared" si="3"/>
        <v>60.15719464261332</v>
      </c>
      <c r="G118">
        <f>'1'!P130</f>
        <v>60.15719464261332</v>
      </c>
      <c r="H118" t="b">
        <f t="shared" si="4"/>
        <v>1</v>
      </c>
    </row>
    <row r="119" spans="1:8" x14ac:dyDescent="0.2">
      <c r="A119" t="s">
        <v>913</v>
      </c>
      <c r="B119" s="1">
        <v>81.913214701093295</v>
      </c>
      <c r="C119">
        <f t="shared" si="5"/>
        <v>1.0863213811420991</v>
      </c>
      <c r="E119">
        <f t="shared" si="3"/>
        <v>65.350046769797785</v>
      </c>
      <c r="G119">
        <f>'1'!P131</f>
        <v>65.350046769797785</v>
      </c>
      <c r="H119" t="b">
        <f t="shared" si="4"/>
        <v>1</v>
      </c>
    </row>
    <row r="120" spans="1:8" x14ac:dyDescent="0.2">
      <c r="A120" t="s">
        <v>914</v>
      </c>
      <c r="B120" s="1">
        <v>76.228434519655707</v>
      </c>
      <c r="C120">
        <f t="shared" si="5"/>
        <v>0.93059996238480291</v>
      </c>
      <c r="E120">
        <f t="shared" si="3"/>
        <v>60.814751065818925</v>
      </c>
      <c r="G120">
        <f>'1'!P132</f>
        <v>60.814751065818925</v>
      </c>
      <c r="H120" t="b">
        <f t="shared" si="4"/>
        <v>1</v>
      </c>
    </row>
    <row r="121" spans="1:8" x14ac:dyDescent="0.2">
      <c r="A121" t="s">
        <v>915</v>
      </c>
      <c r="B121" s="1">
        <v>68.864410327983293</v>
      </c>
      <c r="C121">
        <f t="shared" si="5"/>
        <v>0.90339531123686423</v>
      </c>
      <c r="E121">
        <f t="shared" si="3"/>
        <v>54.939760966897907</v>
      </c>
      <c r="G121">
        <f>'1'!P133</f>
        <v>54.939760966897907</v>
      </c>
      <c r="H121" t="b">
        <f t="shared" si="4"/>
        <v>1</v>
      </c>
    </row>
    <row r="122" spans="1:8" x14ac:dyDescent="0.2">
      <c r="A122" t="s">
        <v>916</v>
      </c>
      <c r="B122" s="1">
        <v>70.759337055129095</v>
      </c>
      <c r="C122">
        <f t="shared" si="5"/>
        <v>1.0275167785234893</v>
      </c>
      <c r="E122">
        <f t="shared" si="3"/>
        <v>56.451526201557478</v>
      </c>
      <c r="G122">
        <f>'1'!P134</f>
        <v>56.451526201557478</v>
      </c>
      <c r="H122" t="b">
        <f t="shared" si="4"/>
        <v>1</v>
      </c>
    </row>
    <row r="123" spans="1:8" x14ac:dyDescent="0.2">
      <c r="A123" t="s">
        <v>917</v>
      </c>
      <c r="B123" s="1">
        <v>65.467407536636401</v>
      </c>
      <c r="C123">
        <f t="shared" si="5"/>
        <v>0.92521227955584551</v>
      </c>
      <c r="E123">
        <f t="shared" si="3"/>
        <v>52.229645241349537</v>
      </c>
      <c r="G123">
        <f>'1'!P135</f>
        <v>52.229645241349537</v>
      </c>
      <c r="H123" t="b">
        <f t="shared" si="4"/>
        <v>1</v>
      </c>
    </row>
    <row r="124" spans="1:8" x14ac:dyDescent="0.2">
      <c r="A124" t="s">
        <v>918</v>
      </c>
      <c r="B124" s="1">
        <v>73.131846941149107</v>
      </c>
      <c r="C124">
        <f t="shared" si="5"/>
        <v>1.1170725967760917</v>
      </c>
      <c r="E124">
        <f t="shared" si="3"/>
        <v>58.344305438448373</v>
      </c>
      <c r="G124">
        <f>'1'!P136</f>
        <v>58.344305438448373</v>
      </c>
      <c r="H124" t="b">
        <f t="shared" si="4"/>
        <v>1</v>
      </c>
    </row>
    <row r="125" spans="1:8" x14ac:dyDescent="0.2">
      <c r="A125" t="s">
        <v>919</v>
      </c>
      <c r="B125" s="1">
        <v>65.636872528495005</v>
      </c>
      <c r="C125">
        <f t="shared" si="5"/>
        <v>0.89751421950705712</v>
      </c>
      <c r="E125">
        <f t="shared" si="3"/>
        <v>52.364843758270339</v>
      </c>
      <c r="G125">
        <f>'1'!P137</f>
        <v>52.364843758270339</v>
      </c>
      <c r="H125" t="b">
        <f t="shared" si="4"/>
        <v>1</v>
      </c>
    </row>
    <row r="126" spans="1:8" x14ac:dyDescent="0.2">
      <c r="A126" t="s">
        <v>920</v>
      </c>
      <c r="B126" s="1">
        <v>74.179448709002102</v>
      </c>
      <c r="C126">
        <f t="shared" si="5"/>
        <v>1.1301490435394907</v>
      </c>
      <c r="E126">
        <f t="shared" si="3"/>
        <v>59.180078088504096</v>
      </c>
      <c r="G126">
        <f>'1'!P138</f>
        <v>59.180078088504096</v>
      </c>
      <c r="H126" t="b">
        <f t="shared" si="4"/>
        <v>1</v>
      </c>
    </row>
    <row r="127" spans="1:8" x14ac:dyDescent="0.2">
      <c r="A127" t="s">
        <v>921</v>
      </c>
      <c r="B127" s="1">
        <v>76.5288497324959</v>
      </c>
      <c r="C127">
        <f t="shared" si="5"/>
        <v>1.0316718587746621</v>
      </c>
      <c r="E127">
        <f t="shared" si="3"/>
        <v>61.054421163996672</v>
      </c>
      <c r="G127">
        <f>'1'!P139</f>
        <v>61.054421163996672</v>
      </c>
      <c r="H127" t="b">
        <f t="shared" si="4"/>
        <v>1</v>
      </c>
    </row>
    <row r="128" spans="1:8" x14ac:dyDescent="0.2">
      <c r="A128" t="s">
        <v>922</v>
      </c>
      <c r="B128" s="1">
        <v>84.616951616655001</v>
      </c>
      <c r="C128">
        <f t="shared" si="5"/>
        <v>1.1056869652742829</v>
      </c>
      <c r="E128">
        <f t="shared" si="3"/>
        <v>67.507077653397431</v>
      </c>
      <c r="G128">
        <f>'1'!P140</f>
        <v>67.507077653397431</v>
      </c>
      <c r="H128" t="b">
        <f t="shared" si="4"/>
        <v>1</v>
      </c>
    </row>
    <row r="129" spans="1:8" x14ac:dyDescent="0.2">
      <c r="A129" t="s">
        <v>923</v>
      </c>
      <c r="B129" s="1">
        <v>86.249977901837596</v>
      </c>
      <c r="C129">
        <f t="shared" si="5"/>
        <v>1.0192990441511152</v>
      </c>
      <c r="E129">
        <f t="shared" si="3"/>
        <v>68.809899725543104</v>
      </c>
      <c r="G129">
        <f>'1'!P141</f>
        <v>68.809899725543104</v>
      </c>
      <c r="H129" t="b">
        <f t="shared" si="4"/>
        <v>1</v>
      </c>
    </row>
    <row r="130" spans="1:8" x14ac:dyDescent="0.2">
      <c r="A130" t="s">
        <v>924</v>
      </c>
      <c r="B130" s="1">
        <v>84.848040241916706</v>
      </c>
      <c r="C130">
        <f t="shared" si="5"/>
        <v>0.98374564615522042</v>
      </c>
      <c r="E130">
        <f t="shared" ref="E130:E193" si="6">E131/C131</f>
        <v>67.691439267380332</v>
      </c>
      <c r="G130">
        <f>'1'!P142</f>
        <v>67.691439267380332</v>
      </c>
      <c r="H130" t="b">
        <f t="shared" si="4"/>
        <v>1</v>
      </c>
    </row>
    <row r="131" spans="1:8" x14ac:dyDescent="0.2">
      <c r="A131" t="s">
        <v>925</v>
      </c>
      <c r="B131" s="1">
        <v>92.666538729937102</v>
      </c>
      <c r="C131">
        <f t="shared" si="5"/>
        <v>1.092147072174307</v>
      </c>
      <c r="E131">
        <f t="shared" si="6"/>
        <v>73.929007207134347</v>
      </c>
      <c r="G131">
        <f>'1'!P143</f>
        <v>73.929007207134347</v>
      </c>
      <c r="H131" t="b">
        <f t="shared" ref="H131:H194" si="7">EXACT(E131,G131)</f>
        <v>1</v>
      </c>
    </row>
    <row r="132" spans="1:8" x14ac:dyDescent="0.2">
      <c r="A132" t="s">
        <v>926</v>
      </c>
      <c r="B132" s="1">
        <v>83.831250290765297</v>
      </c>
      <c r="C132">
        <f t="shared" ref="C132:C195" si="8">B132/B131</f>
        <v>0.90465502909393281</v>
      </c>
      <c r="E132">
        <f t="shared" si="6"/>
        <v>66.88024816585569</v>
      </c>
      <c r="G132">
        <f>'1'!P144</f>
        <v>66.88024816585569</v>
      </c>
      <c r="H132" t="b">
        <f t="shared" si="7"/>
        <v>1</v>
      </c>
    </row>
    <row r="133" spans="1:8" x14ac:dyDescent="0.2">
      <c r="A133" t="s">
        <v>927</v>
      </c>
      <c r="B133" s="1">
        <v>76.998729937194696</v>
      </c>
      <c r="C133">
        <f t="shared" si="8"/>
        <v>0.91849673803179266</v>
      </c>
      <c r="E133">
        <f t="shared" si="6"/>
        <v>61.429289779095235</v>
      </c>
      <c r="G133">
        <f>'1'!P145</f>
        <v>61.429289779095235</v>
      </c>
      <c r="H133" t="b">
        <f t="shared" si="7"/>
        <v>1</v>
      </c>
    </row>
    <row r="134" spans="1:8" x14ac:dyDescent="0.2">
      <c r="A134" t="s">
        <v>928</v>
      </c>
      <c r="B134" s="1">
        <v>78.624053268201905</v>
      </c>
      <c r="C134">
        <f t="shared" si="8"/>
        <v>1.021108443377351</v>
      </c>
      <c r="E134">
        <f t="shared" si="6"/>
        <v>62.725966464108154</v>
      </c>
      <c r="G134">
        <f>'1'!P146</f>
        <v>62.725966464108154</v>
      </c>
      <c r="H134" t="b">
        <f t="shared" si="7"/>
        <v>1</v>
      </c>
    </row>
    <row r="135" spans="1:8" x14ac:dyDescent="0.2">
      <c r="A135" t="s">
        <v>929</v>
      </c>
      <c r="B135" s="1">
        <v>73.986874854617298</v>
      </c>
      <c r="C135">
        <f t="shared" si="8"/>
        <v>0.94102086803174223</v>
      </c>
      <c r="E135">
        <f t="shared" si="6"/>
        <v>59.02644341018501</v>
      </c>
      <c r="G135">
        <f>'1'!P147</f>
        <v>59.02644341018501</v>
      </c>
      <c r="H135" t="b">
        <f t="shared" si="7"/>
        <v>1</v>
      </c>
    </row>
    <row r="136" spans="1:8" x14ac:dyDescent="0.2">
      <c r="A136" t="s">
        <v>930</v>
      </c>
      <c r="B136" s="1">
        <v>75.666118864852294</v>
      </c>
      <c r="C136">
        <f t="shared" si="8"/>
        <v>1.0226965122332126</v>
      </c>
      <c r="E136">
        <f t="shared" si="6"/>
        <v>60.366137805127302</v>
      </c>
      <c r="G136">
        <f>'1'!P148</f>
        <v>60.366137805127302</v>
      </c>
      <c r="H136" t="b">
        <f t="shared" si="7"/>
        <v>1</v>
      </c>
    </row>
    <row r="137" spans="1:8" x14ac:dyDescent="0.2">
      <c r="A137" t="s">
        <v>931</v>
      </c>
      <c r="B137" s="1">
        <v>78.770409397534294</v>
      </c>
      <c r="C137">
        <f t="shared" si="8"/>
        <v>1.0410261630866331</v>
      </c>
      <c r="E137">
        <f t="shared" si="6"/>
        <v>62.842728819630622</v>
      </c>
      <c r="G137">
        <f>'1'!P149</f>
        <v>62.842728819630622</v>
      </c>
      <c r="H137" t="b">
        <f t="shared" si="7"/>
        <v>1</v>
      </c>
    </row>
    <row r="138" spans="1:8" x14ac:dyDescent="0.2">
      <c r="A138" t="s">
        <v>932</v>
      </c>
      <c r="B138" s="1">
        <v>82.128897418004101</v>
      </c>
      <c r="C138">
        <f t="shared" si="8"/>
        <v>1.042636416976334</v>
      </c>
      <c r="E138">
        <f t="shared" si="6"/>
        <v>65.522117609515078</v>
      </c>
      <c r="G138">
        <f>'1'!P150</f>
        <v>65.522117609515078</v>
      </c>
      <c r="H138" t="b">
        <f t="shared" si="7"/>
        <v>1</v>
      </c>
    </row>
    <row r="139" spans="1:8" x14ac:dyDescent="0.2">
      <c r="A139" t="s">
        <v>933</v>
      </c>
      <c r="B139" s="1">
        <v>86.943243777622698</v>
      </c>
      <c r="C139">
        <f t="shared" si="8"/>
        <v>1.0586193959857448</v>
      </c>
      <c r="E139">
        <f t="shared" si="6"/>
        <v>69.362984567491793</v>
      </c>
      <c r="G139">
        <f>'1'!P151</f>
        <v>69.362984567491793</v>
      </c>
      <c r="H139" t="b">
        <f t="shared" si="7"/>
        <v>1</v>
      </c>
    </row>
    <row r="140" spans="1:8" x14ac:dyDescent="0.2">
      <c r="A140" t="s">
        <v>934</v>
      </c>
      <c r="B140" s="1">
        <v>94.083882298208806</v>
      </c>
      <c r="C140">
        <f t="shared" si="8"/>
        <v>1.0821298839372722</v>
      </c>
      <c r="E140">
        <f t="shared" si="6"/>
        <v>75.0597584395627</v>
      </c>
      <c r="G140">
        <f>'1'!P152</f>
        <v>75.0597584395627</v>
      </c>
      <c r="H140" t="b">
        <f t="shared" si="7"/>
        <v>1</v>
      </c>
    </row>
    <row r="141" spans="1:8" x14ac:dyDescent="0.2">
      <c r="A141" t="s">
        <v>935</v>
      </c>
      <c r="B141" s="1">
        <v>93.2134484763898</v>
      </c>
      <c r="C141">
        <f t="shared" si="8"/>
        <v>0.99074832159816628</v>
      </c>
      <c r="E141">
        <f t="shared" si="6"/>
        <v>74.36532969356054</v>
      </c>
      <c r="G141">
        <f>'1'!P153</f>
        <v>74.36532969356054</v>
      </c>
      <c r="H141" t="b">
        <f t="shared" si="7"/>
        <v>1</v>
      </c>
    </row>
    <row r="142" spans="1:8" x14ac:dyDescent="0.2">
      <c r="A142" t="s">
        <v>936</v>
      </c>
      <c r="B142" s="1">
        <v>98.1510421028146</v>
      </c>
      <c r="C142">
        <f t="shared" si="8"/>
        <v>1.0529708288571198</v>
      </c>
      <c r="E142">
        <f t="shared" si="6"/>
        <v>78.304522845661424</v>
      </c>
      <c r="G142">
        <f>'1'!P154</f>
        <v>78.304522845661424</v>
      </c>
      <c r="H142" t="b">
        <f t="shared" si="7"/>
        <v>1</v>
      </c>
    </row>
    <row r="143" spans="1:8" x14ac:dyDescent="0.2">
      <c r="A143" t="s">
        <v>937</v>
      </c>
      <c r="B143" s="1">
        <v>102.495508257734</v>
      </c>
      <c r="C143">
        <f t="shared" si="8"/>
        <v>1.044263067022442</v>
      </c>
      <c r="E143">
        <f t="shared" si="6"/>
        <v>81.770521188539277</v>
      </c>
      <c r="G143">
        <f>'1'!P155</f>
        <v>81.770521188539277</v>
      </c>
      <c r="H143" t="b">
        <f t="shared" si="7"/>
        <v>1</v>
      </c>
    </row>
    <row r="144" spans="1:8" x14ac:dyDescent="0.2">
      <c r="A144" t="s">
        <v>938</v>
      </c>
      <c r="B144" s="1">
        <v>90.871750407071403</v>
      </c>
      <c r="C144">
        <f t="shared" si="8"/>
        <v>0.88659251465504585</v>
      </c>
      <c r="E144">
        <f t="shared" si="6"/>
        <v>72.49713200520074</v>
      </c>
      <c r="G144">
        <f>'1'!P156</f>
        <v>72.49713200520074</v>
      </c>
      <c r="H144" t="b">
        <f t="shared" si="7"/>
        <v>1</v>
      </c>
    </row>
    <row r="145" spans="1:8" x14ac:dyDescent="0.2">
      <c r="A145" t="s">
        <v>939</v>
      </c>
      <c r="B145" s="1">
        <v>82.221332868108803</v>
      </c>
      <c r="C145">
        <f t="shared" si="8"/>
        <v>0.90480630668814044</v>
      </c>
      <c r="E145">
        <f t="shared" si="6"/>
        <v>65.595862255108258</v>
      </c>
      <c r="G145">
        <f>'1'!P157</f>
        <v>65.595862255108258</v>
      </c>
      <c r="H145" t="b">
        <f t="shared" si="7"/>
        <v>1</v>
      </c>
    </row>
    <row r="146" spans="1:8" x14ac:dyDescent="0.2">
      <c r="A146" t="s">
        <v>940</v>
      </c>
      <c r="B146" s="1">
        <v>83.630973482205107</v>
      </c>
      <c r="C146">
        <f t="shared" si="8"/>
        <v>1.0171444631815627</v>
      </c>
      <c r="E146">
        <f t="shared" si="6"/>
        <v>66.720468100403821</v>
      </c>
      <c r="G146">
        <f>'1'!P158</f>
        <v>66.720468100403821</v>
      </c>
      <c r="H146" t="b">
        <f t="shared" si="7"/>
        <v>1</v>
      </c>
    </row>
    <row r="147" spans="1:8" x14ac:dyDescent="0.2">
      <c r="A147" t="s">
        <v>941</v>
      </c>
      <c r="B147" s="1">
        <v>83.084063735752494</v>
      </c>
      <c r="C147">
        <f t="shared" si="8"/>
        <v>0.99346044026895153</v>
      </c>
      <c r="E147">
        <f t="shared" si="6"/>
        <v>66.284145613977714</v>
      </c>
      <c r="G147">
        <f>'1'!P159</f>
        <v>66.284145613977714</v>
      </c>
      <c r="H147" t="b">
        <f t="shared" si="7"/>
        <v>1</v>
      </c>
    </row>
    <row r="148" spans="1:8" x14ac:dyDescent="0.2">
      <c r="A148" t="s">
        <v>942</v>
      </c>
      <c r="B148" s="1">
        <v>86.273086764363796</v>
      </c>
      <c r="C148">
        <f t="shared" si="8"/>
        <v>1.0383830891896904</v>
      </c>
      <c r="E148">
        <f t="shared" si="6"/>
        <v>68.828335886941446</v>
      </c>
      <c r="G148">
        <f>'1'!P160</f>
        <v>68.828335886941446</v>
      </c>
      <c r="H148" t="b">
        <f t="shared" si="7"/>
        <v>1</v>
      </c>
    </row>
    <row r="149" spans="1:8" x14ac:dyDescent="0.2">
      <c r="A149" t="s">
        <v>943</v>
      </c>
      <c r="B149" s="1">
        <v>85.425761805070906</v>
      </c>
      <c r="C149">
        <f t="shared" si="8"/>
        <v>0.99017857142857102</v>
      </c>
      <c r="E149">
        <f t="shared" si="6"/>
        <v>68.152343302337528</v>
      </c>
      <c r="G149">
        <f>'1'!P161</f>
        <v>68.152343302337528</v>
      </c>
      <c r="H149" t="b">
        <f t="shared" si="7"/>
        <v>1</v>
      </c>
    </row>
    <row r="150" spans="1:8" x14ac:dyDescent="0.2">
      <c r="A150" t="s">
        <v>944</v>
      </c>
      <c r="B150" s="1">
        <v>86.457957664573101</v>
      </c>
      <c r="C150">
        <f t="shared" si="8"/>
        <v>1.0120829576194768</v>
      </c>
      <c r="E150">
        <f t="shared" si="6"/>
        <v>68.975825178127707</v>
      </c>
      <c r="G150">
        <f>'1'!P162</f>
        <v>68.975825178127707</v>
      </c>
      <c r="H150" t="b">
        <f t="shared" si="7"/>
        <v>1</v>
      </c>
    </row>
    <row r="151" spans="1:8" x14ac:dyDescent="0.2">
      <c r="A151" t="s">
        <v>945</v>
      </c>
      <c r="B151" s="1">
        <v>88.399102116771303</v>
      </c>
      <c r="C151">
        <f t="shared" si="8"/>
        <v>1.0224518888096936</v>
      </c>
      <c r="E151">
        <f t="shared" si="6"/>
        <v>70.524462735583896</v>
      </c>
      <c r="G151">
        <f>'1'!P163</f>
        <v>70.524462735583896</v>
      </c>
      <c r="H151" t="b">
        <f t="shared" si="7"/>
        <v>1</v>
      </c>
    </row>
    <row r="152" spans="1:8" x14ac:dyDescent="0.2">
      <c r="A152" t="s">
        <v>946</v>
      </c>
      <c r="B152" s="1">
        <v>88.144904628983497</v>
      </c>
      <c r="C152">
        <f t="shared" si="8"/>
        <v>0.99712443360055825</v>
      </c>
      <c r="E152">
        <f t="shared" si="6"/>
        <v>70.321664960202767</v>
      </c>
      <c r="G152">
        <f>'1'!P164</f>
        <v>70.321664960202767</v>
      </c>
      <c r="H152" t="b">
        <f t="shared" si="7"/>
        <v>1</v>
      </c>
    </row>
    <row r="153" spans="1:8" x14ac:dyDescent="0.2">
      <c r="A153" t="s">
        <v>947</v>
      </c>
      <c r="B153" s="1">
        <v>88.815061642242298</v>
      </c>
      <c r="C153">
        <f t="shared" si="8"/>
        <v>1.0076029013370609</v>
      </c>
      <c r="E153">
        <f t="shared" si="6"/>
        <v>70.856313640753044</v>
      </c>
      <c r="G153">
        <f>'1'!P165</f>
        <v>70.856313640753044</v>
      </c>
      <c r="H153" t="b">
        <f t="shared" si="7"/>
        <v>1</v>
      </c>
    </row>
    <row r="154" spans="1:8" x14ac:dyDescent="0.2">
      <c r="A154" t="s">
        <v>948</v>
      </c>
      <c r="B154" s="1">
        <v>92.897627355198793</v>
      </c>
      <c r="C154">
        <f t="shared" si="8"/>
        <v>1.0459670424978318</v>
      </c>
      <c r="E154">
        <f t="shared" si="6"/>
        <v>74.113368821117234</v>
      </c>
      <c r="G154">
        <f>'1'!P166</f>
        <v>74.113368821117234</v>
      </c>
      <c r="H154" t="b">
        <f t="shared" si="7"/>
        <v>1</v>
      </c>
    </row>
    <row r="155" spans="1:8" x14ac:dyDescent="0.2">
      <c r="A155" t="s">
        <v>949</v>
      </c>
      <c r="B155" s="1">
        <v>95.139187020237202</v>
      </c>
      <c r="C155">
        <f t="shared" si="8"/>
        <v>1.0241293532338311</v>
      </c>
      <c r="E155">
        <f t="shared" si="6"/>
        <v>75.901676476751177</v>
      </c>
      <c r="G155">
        <f>'1'!P167</f>
        <v>75.901676476751177</v>
      </c>
      <c r="H155" t="b">
        <f t="shared" si="7"/>
        <v>1</v>
      </c>
    </row>
    <row r="156" spans="1:8" x14ac:dyDescent="0.2">
      <c r="A156" t="s">
        <v>950</v>
      </c>
      <c r="B156" s="1">
        <v>88.753438008839197</v>
      </c>
      <c r="C156">
        <f t="shared" si="8"/>
        <v>0.93287992875070835</v>
      </c>
      <c r="E156">
        <f t="shared" si="6"/>
        <v>70.807150543690952</v>
      </c>
      <c r="G156">
        <f>'1'!P168</f>
        <v>70.807150543690952</v>
      </c>
      <c r="H156" t="b">
        <f t="shared" si="7"/>
        <v>1</v>
      </c>
    </row>
    <row r="157" spans="1:8" x14ac:dyDescent="0.2">
      <c r="A157" t="s">
        <v>951</v>
      </c>
      <c r="B157" s="1">
        <v>79.163260060479203</v>
      </c>
      <c r="C157">
        <f t="shared" si="8"/>
        <v>0.89194584273563715</v>
      </c>
      <c r="E157">
        <f t="shared" si="6"/>
        <v>63.15614356340155</v>
      </c>
      <c r="G157">
        <f>'1'!P169</f>
        <v>63.15614356340155</v>
      </c>
      <c r="H157" t="b">
        <f t="shared" si="7"/>
        <v>1</v>
      </c>
    </row>
    <row r="158" spans="1:8" x14ac:dyDescent="0.2">
      <c r="A158" t="s">
        <v>952</v>
      </c>
      <c r="B158" s="1">
        <v>76.213028611304907</v>
      </c>
      <c r="C158">
        <f t="shared" si="8"/>
        <v>0.9627323148778818</v>
      </c>
      <c r="E158">
        <f t="shared" si="6"/>
        <v>60.802460291553409</v>
      </c>
      <c r="G158">
        <f>'1'!P170</f>
        <v>60.802460291553409</v>
      </c>
      <c r="H158" t="b">
        <f t="shared" si="7"/>
        <v>1</v>
      </c>
    </row>
    <row r="159" spans="1:8" x14ac:dyDescent="0.2">
      <c r="A159" t="s">
        <v>953</v>
      </c>
      <c r="B159" s="1">
        <v>75.9280193068155</v>
      </c>
      <c r="C159">
        <f t="shared" si="8"/>
        <v>0.99626035981402883</v>
      </c>
      <c r="E159">
        <f t="shared" si="6"/>
        <v>60.575080967641199</v>
      </c>
      <c r="G159">
        <f>'1'!P171</f>
        <v>60.575080967641199</v>
      </c>
      <c r="H159" t="b">
        <f t="shared" si="7"/>
        <v>1</v>
      </c>
    </row>
    <row r="160" spans="1:8" x14ac:dyDescent="0.2">
      <c r="A160" t="s">
        <v>954</v>
      </c>
      <c r="B160" s="1">
        <v>86.357819260293098</v>
      </c>
      <c r="C160">
        <f t="shared" si="8"/>
        <v>1.1373643096276764</v>
      </c>
      <c r="E160">
        <f t="shared" si="6"/>
        <v>68.895935145401836</v>
      </c>
      <c r="G160">
        <f>'1'!P172</f>
        <v>68.895935145401836</v>
      </c>
      <c r="H160" t="b">
        <f t="shared" si="7"/>
        <v>1</v>
      </c>
    </row>
    <row r="161" spans="1:8" x14ac:dyDescent="0.2">
      <c r="A161" t="s">
        <v>955</v>
      </c>
      <c r="B161" s="1">
        <v>78.770409397534294</v>
      </c>
      <c r="C161">
        <f t="shared" si="8"/>
        <v>0.91213986263491187</v>
      </c>
      <c r="E161">
        <f t="shared" si="6"/>
        <v>62.842728819630622</v>
      </c>
      <c r="G161">
        <f>'1'!P173</f>
        <v>62.842728819630622</v>
      </c>
      <c r="H161" t="b">
        <f t="shared" si="7"/>
        <v>1</v>
      </c>
    </row>
    <row r="162" spans="1:8" x14ac:dyDescent="0.2">
      <c r="A162" t="s">
        <v>956</v>
      </c>
      <c r="B162" s="1">
        <v>81.520364038148401</v>
      </c>
      <c r="C162">
        <f t="shared" si="8"/>
        <v>1.0349110111480542</v>
      </c>
      <c r="E162">
        <f t="shared" si="6"/>
        <v>65.036632026026894</v>
      </c>
      <c r="G162">
        <f>'1'!P174</f>
        <v>65.036632026026894</v>
      </c>
      <c r="H162" t="b">
        <f t="shared" si="7"/>
        <v>1</v>
      </c>
    </row>
    <row r="163" spans="1:8" x14ac:dyDescent="0.2">
      <c r="A163" t="s">
        <v>957</v>
      </c>
      <c r="B163" s="1">
        <v>89.893475226796895</v>
      </c>
      <c r="C163">
        <f t="shared" si="8"/>
        <v>1.1027118964376827</v>
      </c>
      <c r="E163">
        <f t="shared" si="6"/>
        <v>71.716667839339848</v>
      </c>
      <c r="G163">
        <f>'1'!P175</f>
        <v>71.716667839339848</v>
      </c>
      <c r="H163" t="b">
        <f t="shared" si="7"/>
        <v>1</v>
      </c>
    </row>
    <row r="164" spans="1:8" x14ac:dyDescent="0.2">
      <c r="A164" t="s">
        <v>958</v>
      </c>
      <c r="B164" s="1">
        <v>89.924287043498495</v>
      </c>
      <c r="C164">
        <f t="shared" si="8"/>
        <v>1.0003427592116543</v>
      </c>
      <c r="E164">
        <f t="shared" si="6"/>
        <v>71.741249387870937</v>
      </c>
      <c r="G164">
        <f>'1'!P176</f>
        <v>71.741249387870937</v>
      </c>
      <c r="H164" t="b">
        <f t="shared" si="7"/>
        <v>1</v>
      </c>
    </row>
    <row r="165" spans="1:8" x14ac:dyDescent="0.2">
      <c r="A165" t="s">
        <v>959</v>
      </c>
      <c r="B165" s="1">
        <v>95.377978599674293</v>
      </c>
      <c r="C165">
        <f t="shared" si="8"/>
        <v>1.0606475929415788</v>
      </c>
      <c r="E165">
        <f t="shared" si="6"/>
        <v>76.092183477866826</v>
      </c>
      <c r="G165">
        <f>'1'!P177</f>
        <v>76.092183477866826</v>
      </c>
      <c r="H165" t="b">
        <f t="shared" si="7"/>
        <v>1</v>
      </c>
    </row>
    <row r="166" spans="1:8" x14ac:dyDescent="0.2">
      <c r="A166" t="s">
        <v>960</v>
      </c>
      <c r="B166" s="1">
        <v>91.688263549662693</v>
      </c>
      <c r="C166">
        <f t="shared" si="8"/>
        <v>0.96131481182361522</v>
      </c>
      <c r="E166">
        <f t="shared" si="6"/>
        <v>73.148543041273555</v>
      </c>
      <c r="G166">
        <f>'1'!P178</f>
        <v>73.148543041273555</v>
      </c>
      <c r="H166" t="b">
        <f t="shared" si="7"/>
        <v>1</v>
      </c>
    </row>
    <row r="167" spans="1:8" x14ac:dyDescent="0.2">
      <c r="A167" t="s">
        <v>961</v>
      </c>
      <c r="B167" s="1">
        <v>87.567183065829198</v>
      </c>
      <c r="C167">
        <f t="shared" si="8"/>
        <v>0.95505334789548801</v>
      </c>
      <c r="E167">
        <f t="shared" si="6"/>
        <v>69.860760925245515</v>
      </c>
      <c r="G167">
        <f>'1'!P179</f>
        <v>69.860760925245515</v>
      </c>
      <c r="H167" t="b">
        <f t="shared" si="7"/>
        <v>1</v>
      </c>
    </row>
    <row r="168" spans="1:8" x14ac:dyDescent="0.2">
      <c r="A168" t="s">
        <v>962</v>
      </c>
      <c r="B168" s="1">
        <v>82.514045126773695</v>
      </c>
      <c r="C168">
        <f t="shared" si="8"/>
        <v>0.94229415904292857</v>
      </c>
      <c r="E168">
        <f t="shared" si="6"/>
        <v>65.829386966153308</v>
      </c>
      <c r="G168">
        <f>'1'!P180</f>
        <v>65.829386966153308</v>
      </c>
      <c r="H168" t="b">
        <f t="shared" si="7"/>
        <v>1</v>
      </c>
    </row>
    <row r="169" spans="1:8" x14ac:dyDescent="0.2">
      <c r="A169" t="s">
        <v>963</v>
      </c>
      <c r="B169" s="1">
        <v>76.490334961618998</v>
      </c>
      <c r="C169">
        <f t="shared" si="8"/>
        <v>0.92699775952203123</v>
      </c>
      <c r="E169">
        <f t="shared" si="6"/>
        <v>61.023694228332921</v>
      </c>
      <c r="G169">
        <f>'1'!P181</f>
        <v>61.023694228332921</v>
      </c>
      <c r="H169" t="b">
        <f t="shared" si="7"/>
        <v>1</v>
      </c>
    </row>
    <row r="170" spans="1:8" x14ac:dyDescent="0.2">
      <c r="A170" t="s">
        <v>964</v>
      </c>
      <c r="B170" s="1">
        <v>74.672437776227</v>
      </c>
      <c r="C170">
        <f t="shared" si="8"/>
        <v>0.97623363544813635</v>
      </c>
      <c r="E170">
        <f t="shared" si="6"/>
        <v>59.573382865000902</v>
      </c>
      <c r="G170">
        <f>'1'!P182</f>
        <v>59.573382865000902</v>
      </c>
      <c r="H170" t="b">
        <f t="shared" si="7"/>
        <v>1</v>
      </c>
    </row>
    <row r="171" spans="1:8" x14ac:dyDescent="0.2">
      <c r="A171" t="s">
        <v>965</v>
      </c>
      <c r="B171" s="1">
        <v>68.486965573389099</v>
      </c>
      <c r="C171">
        <f t="shared" si="8"/>
        <v>0.9171652568599129</v>
      </c>
      <c r="E171">
        <f t="shared" si="6"/>
        <v>54.638636997392489</v>
      </c>
      <c r="G171">
        <f>'1'!P183</f>
        <v>54.638636997392489</v>
      </c>
      <c r="H171" t="b">
        <f t="shared" si="7"/>
        <v>1</v>
      </c>
    </row>
    <row r="172" spans="1:8" x14ac:dyDescent="0.2">
      <c r="A172" t="s">
        <v>966</v>
      </c>
      <c r="B172" s="1">
        <v>78.554726680623403</v>
      </c>
      <c r="C172">
        <f t="shared" si="8"/>
        <v>1.1470025868856157</v>
      </c>
      <c r="E172">
        <f t="shared" si="6"/>
        <v>62.670657979913294</v>
      </c>
      <c r="G172">
        <f>'1'!P184</f>
        <v>62.670657979913294</v>
      </c>
      <c r="H172" t="b">
        <f t="shared" si="7"/>
        <v>1</v>
      </c>
    </row>
    <row r="173" spans="1:8" x14ac:dyDescent="0.2">
      <c r="A173" t="s">
        <v>967</v>
      </c>
      <c r="B173" s="1">
        <v>76.921700395440794</v>
      </c>
      <c r="C173">
        <f t="shared" si="8"/>
        <v>0.9792116101196312</v>
      </c>
      <c r="E173">
        <f t="shared" si="6"/>
        <v>61.367835907767613</v>
      </c>
      <c r="G173">
        <f>'1'!P185</f>
        <v>61.367835907767613</v>
      </c>
      <c r="H173" t="b">
        <f t="shared" si="7"/>
        <v>1</v>
      </c>
    </row>
    <row r="174" spans="1:8" x14ac:dyDescent="0.2">
      <c r="A174" t="s">
        <v>968</v>
      </c>
      <c r="B174" s="1">
        <v>86.034295184926705</v>
      </c>
      <c r="C174">
        <f t="shared" si="8"/>
        <v>1.1184658521930702</v>
      </c>
      <c r="E174">
        <f t="shared" si="6"/>
        <v>68.637828885825797</v>
      </c>
      <c r="G174">
        <f>'1'!P186</f>
        <v>68.637828885825797</v>
      </c>
      <c r="H174" t="b">
        <f t="shared" si="7"/>
        <v>1</v>
      </c>
    </row>
    <row r="175" spans="1:8" x14ac:dyDescent="0.2">
      <c r="A175" t="s">
        <v>969</v>
      </c>
      <c r="B175" s="1">
        <v>93.929823214701102</v>
      </c>
      <c r="C175">
        <f t="shared" si="8"/>
        <v>1.0917718685647779</v>
      </c>
      <c r="E175">
        <f t="shared" si="6"/>
        <v>74.936850696907527</v>
      </c>
      <c r="G175">
        <f>'1'!P187</f>
        <v>74.936850696907527</v>
      </c>
      <c r="H175" t="b">
        <f t="shared" si="7"/>
        <v>1</v>
      </c>
    </row>
    <row r="176" spans="1:8" x14ac:dyDescent="0.2">
      <c r="A176" t="s">
        <v>970</v>
      </c>
      <c r="B176" s="1">
        <v>96.571936496859706</v>
      </c>
      <c r="C176">
        <f t="shared" si="8"/>
        <v>1.0281285878300799</v>
      </c>
      <c r="E176">
        <f t="shared" si="6"/>
        <v>77.044718483445067</v>
      </c>
      <c r="G176">
        <f>'1'!P188</f>
        <v>77.044718483445067</v>
      </c>
      <c r="H176" t="b">
        <f t="shared" si="7"/>
        <v>1</v>
      </c>
    </row>
    <row r="177" spans="1:8" x14ac:dyDescent="0.2">
      <c r="A177" t="s">
        <v>971</v>
      </c>
      <c r="B177" s="1">
        <v>102.541725982787</v>
      </c>
      <c r="C177">
        <f t="shared" si="8"/>
        <v>1.0618170216160201</v>
      </c>
      <c r="E177">
        <f t="shared" si="6"/>
        <v>81.807393511336372</v>
      </c>
      <c r="G177">
        <f>'1'!P189</f>
        <v>81.807393511336372</v>
      </c>
      <c r="H177" t="b">
        <f t="shared" si="7"/>
        <v>1</v>
      </c>
    </row>
    <row r="178" spans="1:8" x14ac:dyDescent="0.2">
      <c r="A178" t="s">
        <v>972</v>
      </c>
      <c r="B178" s="1">
        <v>95.793938125145402</v>
      </c>
      <c r="C178">
        <f t="shared" si="8"/>
        <v>0.9341947115384589</v>
      </c>
      <c r="E178">
        <f t="shared" si="6"/>
        <v>76.424034383036073</v>
      </c>
      <c r="G178">
        <f>'1'!P190</f>
        <v>76.424034383036073</v>
      </c>
      <c r="H178" t="b">
        <f t="shared" si="7"/>
        <v>1</v>
      </c>
    </row>
    <row r="179" spans="1:8" x14ac:dyDescent="0.2">
      <c r="A179" t="s">
        <v>973</v>
      </c>
      <c r="B179" s="1">
        <v>98.644031170039497</v>
      </c>
      <c r="C179">
        <f t="shared" si="8"/>
        <v>1.0297523319395296</v>
      </c>
      <c r="E179">
        <f t="shared" si="6"/>
        <v>78.697827622158187</v>
      </c>
      <c r="G179">
        <f>'1'!P191</f>
        <v>78.697827622158187</v>
      </c>
      <c r="H179" t="b">
        <f t="shared" si="7"/>
        <v>1</v>
      </c>
    </row>
    <row r="180" spans="1:8" x14ac:dyDescent="0.2">
      <c r="A180" t="s">
        <v>974</v>
      </c>
      <c r="B180" s="1">
        <v>90.910265177948304</v>
      </c>
      <c r="C180">
        <f t="shared" si="8"/>
        <v>0.92159925035139767</v>
      </c>
      <c r="E180">
        <f t="shared" si="6"/>
        <v>72.527858940864505</v>
      </c>
      <c r="G180">
        <f>'1'!P192</f>
        <v>72.527858940864505</v>
      </c>
      <c r="H180" t="b">
        <f t="shared" si="7"/>
        <v>1</v>
      </c>
    </row>
    <row r="181" spans="1:8" x14ac:dyDescent="0.2">
      <c r="A181" t="s">
        <v>975</v>
      </c>
      <c r="B181" s="1">
        <v>78.801221214235895</v>
      </c>
      <c r="C181">
        <f t="shared" si="8"/>
        <v>0.86680223690899927</v>
      </c>
      <c r="E181">
        <f t="shared" si="6"/>
        <v>62.867310368161718</v>
      </c>
      <c r="G181">
        <f>'1'!P193</f>
        <v>62.867310368161718</v>
      </c>
      <c r="H181" t="b">
        <f t="shared" si="7"/>
        <v>1</v>
      </c>
    </row>
    <row r="182" spans="1:8" x14ac:dyDescent="0.2">
      <c r="A182" t="s">
        <v>976</v>
      </c>
      <c r="B182" s="1">
        <v>78.4237764596418</v>
      </c>
      <c r="C182">
        <f t="shared" si="8"/>
        <v>0.99521016617790803</v>
      </c>
      <c r="E182">
        <f t="shared" si="6"/>
        <v>62.566186398656342</v>
      </c>
      <c r="G182">
        <f>'1'!P194</f>
        <v>62.566186398656342</v>
      </c>
      <c r="H182" t="b">
        <f t="shared" si="7"/>
        <v>1</v>
      </c>
    </row>
    <row r="183" spans="1:8" x14ac:dyDescent="0.2">
      <c r="A183" t="s">
        <v>977</v>
      </c>
      <c r="B183" s="1">
        <v>74.333507792509906</v>
      </c>
      <c r="C183">
        <f t="shared" si="8"/>
        <v>0.94784402318043415</v>
      </c>
      <c r="E183">
        <f t="shared" si="6"/>
        <v>59.302985831159383</v>
      </c>
      <c r="G183">
        <f>'1'!P195</f>
        <v>59.302985831159383</v>
      </c>
      <c r="H183" t="b">
        <f t="shared" si="7"/>
        <v>1</v>
      </c>
    </row>
    <row r="184" spans="1:8" x14ac:dyDescent="0.2">
      <c r="A184" t="s">
        <v>978</v>
      </c>
      <c r="B184" s="1">
        <v>75.889504535938599</v>
      </c>
      <c r="C184">
        <f t="shared" si="8"/>
        <v>1.0209326424870464</v>
      </c>
      <c r="E184">
        <f t="shared" si="6"/>
        <v>60.54435403197742</v>
      </c>
      <c r="G184">
        <f>'1'!P196</f>
        <v>60.54435403197742</v>
      </c>
      <c r="H184" t="b">
        <f t="shared" si="7"/>
        <v>1</v>
      </c>
    </row>
    <row r="185" spans="1:8" x14ac:dyDescent="0.2">
      <c r="A185" t="s">
        <v>979</v>
      </c>
      <c r="B185" s="1">
        <v>55.623032100488501</v>
      </c>
      <c r="C185">
        <f t="shared" si="8"/>
        <v>0.73294762484774678</v>
      </c>
      <c r="E185">
        <f t="shared" si="6"/>
        <v>44.37584048567895</v>
      </c>
      <c r="G185">
        <f>'1'!P197</f>
        <v>44.37584048567895</v>
      </c>
      <c r="H185" t="b">
        <f t="shared" si="7"/>
        <v>1</v>
      </c>
    </row>
    <row r="186" spans="1:8" x14ac:dyDescent="0.2">
      <c r="A186" t="s">
        <v>980</v>
      </c>
      <c r="B186" s="1">
        <v>76.736829495231504</v>
      </c>
      <c r="C186">
        <f t="shared" si="8"/>
        <v>1.3795873147763473</v>
      </c>
      <c r="E186">
        <f t="shared" si="6"/>
        <v>61.220346616581345</v>
      </c>
      <c r="G186">
        <f>'1'!P198</f>
        <v>61.220346616581345</v>
      </c>
      <c r="H186" t="b">
        <f t="shared" si="7"/>
        <v>1</v>
      </c>
    </row>
    <row r="187" spans="1:8" x14ac:dyDescent="0.2">
      <c r="A187" t="s">
        <v>981</v>
      </c>
      <c r="B187" s="1">
        <v>78.469994184694102</v>
      </c>
      <c r="C187">
        <f t="shared" si="8"/>
        <v>1.0225858261393286</v>
      </c>
      <c r="E187">
        <f t="shared" si="6"/>
        <v>62.603058721452882</v>
      </c>
      <c r="G187">
        <f>'1'!P199</f>
        <v>62.603058721452882</v>
      </c>
      <c r="H187" t="b">
        <f t="shared" si="7"/>
        <v>1</v>
      </c>
    </row>
    <row r="188" spans="1:8" x14ac:dyDescent="0.2">
      <c r="A188" t="s">
        <v>982</v>
      </c>
      <c r="B188" s="1">
        <v>88.568567108629907</v>
      </c>
      <c r="C188">
        <f t="shared" si="8"/>
        <v>1.1286934328065181</v>
      </c>
      <c r="E188">
        <f t="shared" si="6"/>
        <v>70.659661252504691</v>
      </c>
      <c r="G188">
        <f>'1'!P200</f>
        <v>70.659661252504691</v>
      </c>
      <c r="H188" t="b">
        <f t="shared" si="7"/>
        <v>1</v>
      </c>
    </row>
    <row r="189" spans="1:8" x14ac:dyDescent="0.2">
      <c r="A189" t="s">
        <v>983</v>
      </c>
      <c r="B189" s="1">
        <v>94.014555710630404</v>
      </c>
      <c r="C189">
        <f t="shared" si="8"/>
        <v>1.0614889546008006</v>
      </c>
      <c r="E189">
        <f t="shared" si="6"/>
        <v>75.004449955367903</v>
      </c>
      <c r="G189">
        <f>'1'!P201</f>
        <v>75.004449955367903</v>
      </c>
      <c r="H189" t="b">
        <f t="shared" si="7"/>
        <v>1</v>
      </c>
    </row>
    <row r="190" spans="1:8" x14ac:dyDescent="0.2">
      <c r="A190" t="s">
        <v>984</v>
      </c>
      <c r="B190" s="1">
        <v>88.460725750174504</v>
      </c>
      <c r="C190">
        <f t="shared" si="8"/>
        <v>0.94092585006145046</v>
      </c>
      <c r="E190">
        <f t="shared" si="6"/>
        <v>70.573625832646059</v>
      </c>
      <c r="G190">
        <f>'1'!P202</f>
        <v>70.573625832646059</v>
      </c>
      <c r="H190" t="b">
        <f t="shared" si="7"/>
        <v>1</v>
      </c>
    </row>
    <row r="191" spans="1:8" x14ac:dyDescent="0.2">
      <c r="A191" t="s">
        <v>985</v>
      </c>
      <c r="B191" s="1">
        <v>91.218383344963897</v>
      </c>
      <c r="C191">
        <f t="shared" si="8"/>
        <v>1.0311738070358749</v>
      </c>
      <c r="E191">
        <f t="shared" si="6"/>
        <v>72.773674426175006</v>
      </c>
      <c r="G191">
        <f>'1'!P203</f>
        <v>72.773674426175006</v>
      </c>
      <c r="H191" t="b">
        <f t="shared" si="7"/>
        <v>1</v>
      </c>
    </row>
    <row r="192" spans="1:8" x14ac:dyDescent="0.2">
      <c r="A192" t="s">
        <v>986</v>
      </c>
      <c r="B192" s="1">
        <v>82.159709234705701</v>
      </c>
      <c r="C192">
        <f t="shared" si="8"/>
        <v>0.90069245059956082</v>
      </c>
      <c r="E192">
        <f t="shared" si="6"/>
        <v>65.546699158046152</v>
      </c>
      <c r="G192">
        <f>'1'!P204</f>
        <v>65.546699158046152</v>
      </c>
      <c r="H192" t="b">
        <f t="shared" si="7"/>
        <v>1</v>
      </c>
    </row>
    <row r="193" spans="1:8" x14ac:dyDescent="0.2">
      <c r="A193" t="s">
        <v>987</v>
      </c>
      <c r="B193" s="1">
        <v>65.228615957199395</v>
      </c>
      <c r="C193">
        <f t="shared" si="8"/>
        <v>0.79392462028876909</v>
      </c>
      <c r="E193">
        <f t="shared" si="6"/>
        <v>52.039138240233974</v>
      </c>
      <c r="G193">
        <f>'1'!P205</f>
        <v>52.039138240233974</v>
      </c>
      <c r="H193" t="b">
        <f t="shared" si="7"/>
        <v>1</v>
      </c>
    </row>
    <row r="194" spans="1:8" x14ac:dyDescent="0.2">
      <c r="A194" t="s">
        <v>988</v>
      </c>
      <c r="B194" s="1">
        <v>66.23</v>
      </c>
      <c r="C194">
        <f t="shared" si="8"/>
        <v>1.015351913084553</v>
      </c>
      <c r="E194">
        <f t="shared" ref="E194:E257" si="9">E195/C195</f>
        <v>52.838038567493086</v>
      </c>
      <c r="G194">
        <f>'1'!P206</f>
        <v>52.838038567493086</v>
      </c>
      <c r="H194" t="b">
        <f t="shared" si="7"/>
        <v>1</v>
      </c>
    </row>
    <row r="195" spans="1:8" x14ac:dyDescent="0.2">
      <c r="A195" t="s">
        <v>989</v>
      </c>
      <c r="B195" s="1">
        <v>60.75</v>
      </c>
      <c r="C195">
        <f t="shared" si="8"/>
        <v>0.917258040163068</v>
      </c>
      <c r="E195">
        <f t="shared" si="9"/>
        <v>48.466115702479307</v>
      </c>
      <c r="G195">
        <f>'1'!P207</f>
        <v>48.466115702479307</v>
      </c>
      <c r="H195" t="b">
        <f t="shared" ref="H195:H258" si="10">EXACT(E195,G195)</f>
        <v>1</v>
      </c>
    </row>
    <row r="196" spans="1:8" x14ac:dyDescent="0.2">
      <c r="A196" t="s">
        <v>990</v>
      </c>
      <c r="B196" s="1">
        <v>66.97</v>
      </c>
      <c r="C196">
        <f t="shared" ref="C196:C259" si="11">B196/B195</f>
        <v>1.1023868312757201</v>
      </c>
      <c r="E196">
        <f t="shared" si="9"/>
        <v>53.428407713498586</v>
      </c>
      <c r="G196">
        <f>'1'!P208</f>
        <v>53.428407713498586</v>
      </c>
      <c r="H196" t="b">
        <f t="shared" si="10"/>
        <v>1</v>
      </c>
    </row>
    <row r="197" spans="1:8" x14ac:dyDescent="0.2">
      <c r="A197" t="s">
        <v>991</v>
      </c>
      <c r="B197" s="1">
        <v>76.319999999999993</v>
      </c>
      <c r="C197">
        <f t="shared" si="11"/>
        <v>1.1396147528744214</v>
      </c>
      <c r="E197">
        <f t="shared" si="9"/>
        <v>60.88780165289252</v>
      </c>
      <c r="G197">
        <f>'1'!P209</f>
        <v>60.88780165289252</v>
      </c>
      <c r="H197" t="b">
        <f t="shared" si="10"/>
        <v>1</v>
      </c>
    </row>
    <row r="198" spans="1:8" x14ac:dyDescent="0.2">
      <c r="A198" t="s">
        <v>992</v>
      </c>
      <c r="B198" s="1">
        <v>80.8</v>
      </c>
      <c r="C198">
        <f t="shared" si="11"/>
        <v>1.058700209643606</v>
      </c>
      <c r="E198">
        <f t="shared" si="9"/>
        <v>64.461928374655614</v>
      </c>
      <c r="G198">
        <f>'1'!P210</f>
        <v>64.461928374655614</v>
      </c>
      <c r="H198" t="b">
        <f t="shared" si="10"/>
        <v>1</v>
      </c>
    </row>
    <row r="199" spans="1:8" x14ac:dyDescent="0.2">
      <c r="A199" t="s">
        <v>993</v>
      </c>
      <c r="B199" s="1">
        <v>81.510000000000005</v>
      </c>
      <c r="C199">
        <f t="shared" si="11"/>
        <v>1.0087871287128714</v>
      </c>
      <c r="E199">
        <f t="shared" si="9"/>
        <v>65.028363636363608</v>
      </c>
      <c r="G199">
        <f>'1'!P211</f>
        <v>65.028363636363608</v>
      </c>
      <c r="H199" t="b">
        <f t="shared" si="10"/>
        <v>1</v>
      </c>
    </row>
    <row r="200" spans="1:8" x14ac:dyDescent="0.2">
      <c r="A200" t="s">
        <v>994</v>
      </c>
      <c r="B200" s="1">
        <v>89.69</v>
      </c>
      <c r="C200">
        <f t="shared" si="11"/>
        <v>1.1003557845663108</v>
      </c>
      <c r="E200">
        <f t="shared" si="9"/>
        <v>71.55433608815423</v>
      </c>
      <c r="G200">
        <f>'1'!P212</f>
        <v>71.55433608815423</v>
      </c>
      <c r="H200" t="b">
        <f t="shared" si="10"/>
        <v>1</v>
      </c>
    </row>
    <row r="201" spans="1:8" x14ac:dyDescent="0.2">
      <c r="A201" t="s">
        <v>995</v>
      </c>
      <c r="B201" s="1">
        <v>90.42</v>
      </c>
      <c r="C201">
        <f t="shared" si="11"/>
        <v>1.0081391459471514</v>
      </c>
      <c r="E201">
        <f t="shared" si="9"/>
        <v>72.136727272727242</v>
      </c>
      <c r="G201">
        <f>'1'!P213</f>
        <v>72.136727272727242</v>
      </c>
      <c r="H201" t="b">
        <f t="shared" si="10"/>
        <v>1</v>
      </c>
    </row>
    <row r="202" spans="1:8" x14ac:dyDescent="0.2">
      <c r="A202" t="s">
        <v>996</v>
      </c>
      <c r="B202" s="1">
        <v>82.36</v>
      </c>
      <c r="C202">
        <f t="shared" si="11"/>
        <v>0.91086042910860432</v>
      </c>
      <c r="E202">
        <f t="shared" si="9"/>
        <v>65.7064903581267</v>
      </c>
      <c r="G202">
        <f>'1'!P214</f>
        <v>65.7064903581267</v>
      </c>
      <c r="H202" t="b">
        <f t="shared" si="10"/>
        <v>1</v>
      </c>
    </row>
    <row r="203" spans="1:8" x14ac:dyDescent="0.2">
      <c r="A203" t="s">
        <v>997</v>
      </c>
      <c r="B203" s="1">
        <v>87.73</v>
      </c>
      <c r="C203">
        <f t="shared" si="11"/>
        <v>1.0652015541525013</v>
      </c>
      <c r="E203">
        <f t="shared" si="9"/>
        <v>69.990655647382908</v>
      </c>
      <c r="G203">
        <f>'1'!P215</f>
        <v>69.990655647382908</v>
      </c>
      <c r="H203" t="b">
        <f t="shared" si="10"/>
        <v>1</v>
      </c>
    </row>
    <row r="204" spans="1:8" x14ac:dyDescent="0.2">
      <c r="A204" t="s">
        <v>998</v>
      </c>
      <c r="B204" s="1">
        <v>77.53</v>
      </c>
      <c r="C204">
        <f t="shared" si="11"/>
        <v>0.88373418442949958</v>
      </c>
      <c r="E204">
        <f t="shared" si="9"/>
        <v>61.853134986225882</v>
      </c>
      <c r="G204">
        <f>'1'!P216</f>
        <v>61.853134986225882</v>
      </c>
      <c r="H204" t="b">
        <f t="shared" si="10"/>
        <v>1</v>
      </c>
    </row>
    <row r="205" spans="1:8" x14ac:dyDescent="0.2">
      <c r="A205" t="s">
        <v>999</v>
      </c>
      <c r="B205" s="1">
        <v>64.02</v>
      </c>
      <c r="C205">
        <f t="shared" si="11"/>
        <v>0.82574487295240551</v>
      </c>
      <c r="E205">
        <f t="shared" si="9"/>
        <v>51.074909090909081</v>
      </c>
      <c r="G205">
        <f>'1'!P217</f>
        <v>51.074909090909081</v>
      </c>
      <c r="H205" t="b">
        <f t="shared" si="10"/>
        <v>1</v>
      </c>
    </row>
    <row r="206" spans="1:8" x14ac:dyDescent="0.2">
      <c r="A206" t="s">
        <v>1000</v>
      </c>
      <c r="B206" s="1">
        <v>65.02</v>
      </c>
      <c r="C206">
        <f t="shared" si="11"/>
        <v>1.0156201187129021</v>
      </c>
      <c r="E206">
        <f t="shared" si="9"/>
        <v>51.872705234159767</v>
      </c>
      <c r="G206">
        <f>'1'!P218</f>
        <v>51.872705234159767</v>
      </c>
      <c r="H206" t="b">
        <f t="shared" si="10"/>
        <v>1</v>
      </c>
    </row>
    <row r="207" spans="1:8" x14ac:dyDescent="0.2">
      <c r="A207" t="s">
        <v>1001</v>
      </c>
      <c r="B207" s="1">
        <v>68.44</v>
      </c>
      <c r="C207">
        <f t="shared" si="11"/>
        <v>1.0525992002460782</v>
      </c>
      <c r="E207">
        <f t="shared" si="9"/>
        <v>54.601168044077127</v>
      </c>
      <c r="G207">
        <f>'1'!P219</f>
        <v>54.601168044077127</v>
      </c>
      <c r="H207" t="b">
        <f t="shared" si="10"/>
        <v>1</v>
      </c>
    </row>
    <row r="208" spans="1:8" x14ac:dyDescent="0.2">
      <c r="A208" t="s">
        <v>1002</v>
      </c>
      <c r="B208" s="1">
        <v>71.27</v>
      </c>
      <c r="C208">
        <f t="shared" si="11"/>
        <v>1.0413500876680304</v>
      </c>
      <c r="E208">
        <f t="shared" si="9"/>
        <v>56.858931129476574</v>
      </c>
      <c r="G208">
        <f>'1'!P220</f>
        <v>56.858931129476574</v>
      </c>
      <c r="H208" t="b">
        <f t="shared" si="10"/>
        <v>1</v>
      </c>
    </row>
    <row r="209" spans="1:8" x14ac:dyDescent="0.2">
      <c r="A209" t="s">
        <v>1003</v>
      </c>
      <c r="B209" s="1">
        <v>70.25</v>
      </c>
      <c r="C209">
        <f t="shared" si="11"/>
        <v>0.9856882278658623</v>
      </c>
      <c r="E209">
        <f t="shared" si="9"/>
        <v>56.045179063360877</v>
      </c>
      <c r="G209">
        <f>'1'!P221</f>
        <v>56.045179063360877</v>
      </c>
      <c r="H209" t="b">
        <f t="shared" si="10"/>
        <v>1</v>
      </c>
    </row>
    <row r="210" spans="1:8" x14ac:dyDescent="0.2">
      <c r="A210" t="s">
        <v>1004</v>
      </c>
      <c r="B210" s="1">
        <v>73.069999999999993</v>
      </c>
      <c r="C210">
        <f t="shared" si="11"/>
        <v>1.0401423487544483</v>
      </c>
      <c r="E210">
        <f t="shared" si="9"/>
        <v>58.294964187327814</v>
      </c>
      <c r="G210">
        <f>'1'!P222</f>
        <v>58.294964187327814</v>
      </c>
      <c r="H210" t="b">
        <f t="shared" si="10"/>
        <v>1</v>
      </c>
    </row>
    <row r="211" spans="1:8" x14ac:dyDescent="0.2">
      <c r="A211" t="s">
        <v>1005</v>
      </c>
      <c r="B211" s="1">
        <v>76.86</v>
      </c>
      <c r="C211">
        <f t="shared" si="11"/>
        <v>1.051868071712057</v>
      </c>
      <c r="E211">
        <f t="shared" si="9"/>
        <v>61.318611570247924</v>
      </c>
      <c r="G211">
        <f>'1'!P223</f>
        <v>61.318611570247924</v>
      </c>
      <c r="H211" t="b">
        <f t="shared" si="10"/>
        <v>1</v>
      </c>
    </row>
    <row r="212" spans="1:8" x14ac:dyDescent="0.2">
      <c r="A212" t="s">
        <v>1006</v>
      </c>
      <c r="B212" s="1">
        <v>80.56</v>
      </c>
      <c r="C212">
        <f t="shared" si="11"/>
        <v>1.0481394743689827</v>
      </c>
      <c r="E212">
        <f t="shared" si="9"/>
        <v>64.270457300275481</v>
      </c>
      <c r="G212">
        <f>'1'!P224</f>
        <v>64.270457300275481</v>
      </c>
      <c r="H212" t="b">
        <f t="shared" si="10"/>
        <v>1</v>
      </c>
    </row>
    <row r="213" spans="1:8" x14ac:dyDescent="0.2">
      <c r="A213" t="s">
        <v>1007</v>
      </c>
      <c r="B213" s="1">
        <v>78.94</v>
      </c>
      <c r="C213">
        <f t="shared" si="11"/>
        <v>0.97989076464746772</v>
      </c>
      <c r="E213">
        <f t="shared" si="9"/>
        <v>62.978027548209361</v>
      </c>
      <c r="G213">
        <f>'1'!P225</f>
        <v>62.978027548209361</v>
      </c>
      <c r="H213" t="b">
        <f t="shared" si="10"/>
        <v>1</v>
      </c>
    </row>
    <row r="214" spans="1:8" x14ac:dyDescent="0.2">
      <c r="A214" t="s">
        <v>1008</v>
      </c>
      <c r="B214" s="1">
        <v>78.66</v>
      </c>
      <c r="C214">
        <f t="shared" si="11"/>
        <v>0.99645300228021283</v>
      </c>
      <c r="E214">
        <f t="shared" si="9"/>
        <v>62.754644628099172</v>
      </c>
      <c r="G214">
        <f>'1'!P226</f>
        <v>62.754644628099172</v>
      </c>
      <c r="H214" t="b">
        <f t="shared" si="10"/>
        <v>1</v>
      </c>
    </row>
    <row r="215" spans="1:8" x14ac:dyDescent="0.2">
      <c r="A215" t="s">
        <v>1009</v>
      </c>
      <c r="B215" s="1">
        <v>80.17</v>
      </c>
      <c r="C215">
        <f t="shared" si="11"/>
        <v>1.0191965420798372</v>
      </c>
      <c r="E215">
        <f t="shared" si="9"/>
        <v>63.959316804407706</v>
      </c>
      <c r="G215">
        <f>'1'!P227</f>
        <v>63.959316804407706</v>
      </c>
      <c r="H215" t="b">
        <f t="shared" si="10"/>
        <v>1</v>
      </c>
    </row>
    <row r="216" spans="1:8" x14ac:dyDescent="0.2">
      <c r="A216" t="s">
        <v>1010</v>
      </c>
      <c r="B216" s="1">
        <v>77.62</v>
      </c>
      <c r="C216">
        <f t="shared" si="11"/>
        <v>0.96819259074466757</v>
      </c>
      <c r="E216">
        <f t="shared" si="9"/>
        <v>61.924936639118449</v>
      </c>
      <c r="G216">
        <f>'1'!P228</f>
        <v>61.924936639118449</v>
      </c>
      <c r="H216" t="b">
        <f t="shared" si="10"/>
        <v>1</v>
      </c>
    </row>
    <row r="217" spans="1:8" x14ac:dyDescent="0.2">
      <c r="A217" t="s">
        <v>1011</v>
      </c>
      <c r="B217" s="1">
        <v>68.95</v>
      </c>
      <c r="C217">
        <f t="shared" si="11"/>
        <v>0.88830198402473592</v>
      </c>
      <c r="E217">
        <f t="shared" si="9"/>
        <v>55.008044077134983</v>
      </c>
      <c r="G217">
        <f>'1'!P229</f>
        <v>55.008044077134983</v>
      </c>
      <c r="H217" t="b">
        <f t="shared" si="10"/>
        <v>1</v>
      </c>
    </row>
    <row r="218" spans="1:8" x14ac:dyDescent="0.2">
      <c r="A218" t="s">
        <v>1012</v>
      </c>
      <c r="B218" s="1">
        <v>67.709999999999994</v>
      </c>
      <c r="C218">
        <f t="shared" si="11"/>
        <v>0.98201595358955751</v>
      </c>
      <c r="E218">
        <f t="shared" si="9"/>
        <v>54.018776859504122</v>
      </c>
      <c r="G218">
        <f>'1'!P230</f>
        <v>54.018776859504122</v>
      </c>
      <c r="H218" t="b">
        <f t="shared" si="10"/>
        <v>1</v>
      </c>
    </row>
    <row r="219" spans="1:8" x14ac:dyDescent="0.2">
      <c r="A219" t="s">
        <v>1013</v>
      </c>
      <c r="B219" s="1">
        <v>67.569999999999993</v>
      </c>
      <c r="C219">
        <f t="shared" si="11"/>
        <v>0.99793235858809626</v>
      </c>
      <c r="E219">
        <f t="shared" si="9"/>
        <v>53.907085399449024</v>
      </c>
      <c r="G219">
        <f>'1'!P231</f>
        <v>53.907085399449024</v>
      </c>
      <c r="H219" t="b">
        <f t="shared" si="10"/>
        <v>1</v>
      </c>
    </row>
    <row r="220" spans="1:8" x14ac:dyDescent="0.2">
      <c r="A220" t="s">
        <v>1014</v>
      </c>
      <c r="B220" s="1">
        <v>80.55</v>
      </c>
      <c r="C220">
        <f t="shared" si="11"/>
        <v>1.1920970845049579</v>
      </c>
      <c r="E220">
        <f t="shared" si="9"/>
        <v>64.262479338842965</v>
      </c>
      <c r="G220">
        <f>'1'!P232</f>
        <v>64.262479338842965</v>
      </c>
      <c r="H220" t="b">
        <f t="shared" si="10"/>
        <v>1</v>
      </c>
    </row>
    <row r="221" spans="1:8" x14ac:dyDescent="0.2">
      <c r="A221" t="s">
        <v>1015</v>
      </c>
      <c r="B221" s="1">
        <v>76.12</v>
      </c>
      <c r="C221">
        <f t="shared" si="11"/>
        <v>0.94500310366232165</v>
      </c>
      <c r="E221">
        <f t="shared" si="9"/>
        <v>60.728242424242424</v>
      </c>
      <c r="G221">
        <f>'1'!P233</f>
        <v>60.728242424242424</v>
      </c>
      <c r="H221" t="b">
        <f t="shared" si="10"/>
        <v>1</v>
      </c>
    </row>
    <row r="222" spans="1:8" x14ac:dyDescent="0.2">
      <c r="A222" t="s">
        <v>1016</v>
      </c>
      <c r="B222" s="1">
        <v>82.22</v>
      </c>
      <c r="C222">
        <f t="shared" si="11"/>
        <v>1.0801366263794008</v>
      </c>
      <c r="E222">
        <f t="shared" si="9"/>
        <v>65.594798898071616</v>
      </c>
      <c r="G222">
        <f>'1'!P234</f>
        <v>65.594798898071616</v>
      </c>
      <c r="H222" t="b">
        <f t="shared" si="10"/>
        <v>1</v>
      </c>
    </row>
    <row r="223" spans="1:8" x14ac:dyDescent="0.2">
      <c r="A223" t="s">
        <v>1017</v>
      </c>
      <c r="B223" s="1">
        <v>82.82</v>
      </c>
      <c r="C223">
        <f t="shared" si="11"/>
        <v>1.0072974945268791</v>
      </c>
      <c r="E223">
        <f t="shared" si="9"/>
        <v>66.073476584022032</v>
      </c>
      <c r="G223">
        <f>'1'!P235</f>
        <v>66.073476584022032</v>
      </c>
      <c r="H223" t="b">
        <f t="shared" si="10"/>
        <v>1</v>
      </c>
    </row>
    <row r="224" spans="1:8" x14ac:dyDescent="0.2">
      <c r="A224" t="s">
        <v>1018</v>
      </c>
      <c r="B224" s="1">
        <v>86.62</v>
      </c>
      <c r="C224">
        <f t="shared" si="11"/>
        <v>1.0458826370441923</v>
      </c>
      <c r="E224">
        <f t="shared" si="9"/>
        <v>69.105101928374651</v>
      </c>
      <c r="G224">
        <f>'1'!P236</f>
        <v>69.105101928374651</v>
      </c>
      <c r="H224" t="b">
        <f t="shared" si="10"/>
        <v>1</v>
      </c>
    </row>
    <row r="225" spans="1:8" x14ac:dyDescent="0.2">
      <c r="A225" t="s">
        <v>1019</v>
      </c>
      <c r="B225" s="1">
        <v>87.11</v>
      </c>
      <c r="C225">
        <f t="shared" si="11"/>
        <v>1.0056568921727083</v>
      </c>
      <c r="E225">
        <f t="shared" si="9"/>
        <v>69.496022038567475</v>
      </c>
      <c r="G225">
        <f>'1'!P237</f>
        <v>69.496022038567475</v>
      </c>
      <c r="H225" t="b">
        <f t="shared" si="10"/>
        <v>1</v>
      </c>
    </row>
    <row r="226" spans="1:8" x14ac:dyDescent="0.2">
      <c r="A226" t="s">
        <v>1020</v>
      </c>
      <c r="B226" s="1">
        <v>83.84</v>
      </c>
      <c r="C226">
        <f t="shared" si="11"/>
        <v>0.96246125588336595</v>
      </c>
      <c r="E226">
        <f t="shared" si="9"/>
        <v>66.887228650137729</v>
      </c>
      <c r="G226">
        <f>'1'!P238</f>
        <v>66.887228650137729</v>
      </c>
      <c r="H226" t="b">
        <f t="shared" si="10"/>
        <v>1</v>
      </c>
    </row>
    <row r="227" spans="1:8" x14ac:dyDescent="0.2">
      <c r="A227" t="s">
        <v>1021</v>
      </c>
      <c r="B227" s="1">
        <v>84.24</v>
      </c>
      <c r="C227">
        <f t="shared" si="11"/>
        <v>1.0047709923664121</v>
      </c>
      <c r="E227">
        <f t="shared" si="9"/>
        <v>67.206347107437992</v>
      </c>
      <c r="G227">
        <f>'1'!P239</f>
        <v>67.206347107437992</v>
      </c>
      <c r="H227" t="b">
        <f t="shared" si="10"/>
        <v>1</v>
      </c>
    </row>
    <row r="228" spans="1:8" x14ac:dyDescent="0.2">
      <c r="A228" t="s">
        <v>1022</v>
      </c>
      <c r="B228" s="1">
        <v>83.02</v>
      </c>
      <c r="C228">
        <f t="shared" si="11"/>
        <v>0.98551756885090225</v>
      </c>
      <c r="E228">
        <f t="shared" si="9"/>
        <v>66.233035812672156</v>
      </c>
      <c r="G228">
        <f>'1'!P240</f>
        <v>66.233035812672156</v>
      </c>
      <c r="H228" t="b">
        <f t="shared" si="10"/>
        <v>1</v>
      </c>
    </row>
    <row r="229" spans="1:8" x14ac:dyDescent="0.2">
      <c r="A229" t="s">
        <v>1023</v>
      </c>
      <c r="B229" s="1">
        <v>74.819999999999993</v>
      </c>
      <c r="C229">
        <f t="shared" si="11"/>
        <v>0.90122861960973255</v>
      </c>
      <c r="E229">
        <f t="shared" si="9"/>
        <v>59.691107438016509</v>
      </c>
      <c r="G229">
        <f>'1'!P241</f>
        <v>59.691107438016509</v>
      </c>
      <c r="H229" t="b">
        <f t="shared" si="10"/>
        <v>1</v>
      </c>
    </row>
    <row r="230" spans="1:8" x14ac:dyDescent="0.2">
      <c r="A230" t="s">
        <v>1024</v>
      </c>
      <c r="B230" s="1">
        <v>73.58</v>
      </c>
      <c r="C230">
        <f t="shared" si="11"/>
        <v>0.98342689120556004</v>
      </c>
      <c r="E230">
        <f t="shared" si="9"/>
        <v>58.701840220385655</v>
      </c>
      <c r="G230">
        <f>'1'!P242</f>
        <v>58.701840220385655</v>
      </c>
      <c r="H230" t="b">
        <f t="shared" si="10"/>
        <v>1</v>
      </c>
    </row>
    <row r="231" spans="1:8" x14ac:dyDescent="0.2">
      <c r="A231" t="s">
        <v>1025</v>
      </c>
      <c r="B231" s="1">
        <v>70.06</v>
      </c>
      <c r="C231">
        <f t="shared" si="11"/>
        <v>0.95216091329165542</v>
      </c>
      <c r="E231">
        <f t="shared" si="9"/>
        <v>55.89359779614324</v>
      </c>
      <c r="G231">
        <f>'1'!P243</f>
        <v>55.89359779614324</v>
      </c>
      <c r="H231" t="b">
        <f t="shared" si="10"/>
        <v>1</v>
      </c>
    </row>
    <row r="232" spans="1:8" x14ac:dyDescent="0.2">
      <c r="A232" t="s">
        <v>1026</v>
      </c>
      <c r="B232" s="1">
        <v>84.51</v>
      </c>
      <c r="C232">
        <f t="shared" si="11"/>
        <v>1.2062517841849842</v>
      </c>
      <c r="E232">
        <f t="shared" si="9"/>
        <v>67.421752066115687</v>
      </c>
      <c r="G232">
        <f>'1'!P244</f>
        <v>67.421752066115687</v>
      </c>
      <c r="H232" t="b">
        <f t="shared" si="10"/>
        <v>1</v>
      </c>
    </row>
    <row r="233" spans="1:8" x14ac:dyDescent="0.2">
      <c r="A233" t="s">
        <v>1027</v>
      </c>
      <c r="B233" s="1">
        <v>76.95</v>
      </c>
      <c r="C233">
        <f t="shared" si="11"/>
        <v>0.91054313099041528</v>
      </c>
      <c r="E233">
        <f t="shared" si="9"/>
        <v>61.390413223140477</v>
      </c>
      <c r="G233">
        <f>'1'!P245</f>
        <v>61.390413223140477</v>
      </c>
      <c r="H233" t="b">
        <f t="shared" si="10"/>
        <v>1</v>
      </c>
    </row>
    <row r="234" spans="1:8" x14ac:dyDescent="0.2">
      <c r="A234" t="s">
        <v>1028</v>
      </c>
      <c r="B234" s="1">
        <v>86.32</v>
      </c>
      <c r="C234">
        <f t="shared" si="11"/>
        <v>1.1217673814165041</v>
      </c>
      <c r="E234">
        <f t="shared" si="9"/>
        <v>68.865763085399422</v>
      </c>
      <c r="G234">
        <f>'1'!P246</f>
        <v>68.865763085399422</v>
      </c>
      <c r="H234" t="b">
        <f t="shared" si="10"/>
        <v>1</v>
      </c>
    </row>
    <row r="235" spans="1:8" x14ac:dyDescent="0.2">
      <c r="A235" t="s">
        <v>1029</v>
      </c>
      <c r="B235" s="1">
        <v>86.18</v>
      </c>
      <c r="C235">
        <f t="shared" si="11"/>
        <v>0.9983781278962004</v>
      </c>
      <c r="E235">
        <f t="shared" si="9"/>
        <v>68.754071625344338</v>
      </c>
      <c r="G235">
        <f>'1'!P247</f>
        <v>68.754071625344338</v>
      </c>
      <c r="H235" t="b">
        <f t="shared" si="10"/>
        <v>1</v>
      </c>
    </row>
    <row r="236" spans="1:8" x14ac:dyDescent="0.2">
      <c r="A236" t="s">
        <v>1030</v>
      </c>
      <c r="B236" s="1">
        <v>88.02</v>
      </c>
      <c r="C236">
        <f t="shared" si="11"/>
        <v>1.0213506614063586</v>
      </c>
      <c r="E236">
        <f t="shared" si="9"/>
        <v>70.222016528925593</v>
      </c>
      <c r="G236">
        <f>'1'!P248</f>
        <v>70.222016528925593</v>
      </c>
      <c r="H236" t="b">
        <f t="shared" si="10"/>
        <v>1</v>
      </c>
    </row>
    <row r="237" spans="1:8" x14ac:dyDescent="0.2">
      <c r="A237" t="s">
        <v>1031</v>
      </c>
      <c r="B237" s="1">
        <v>96.06</v>
      </c>
      <c r="C237">
        <f t="shared" si="11"/>
        <v>1.0913428766189504</v>
      </c>
      <c r="E237">
        <f t="shared" si="9"/>
        <v>76.636297520661131</v>
      </c>
      <c r="G237">
        <f>'1'!P249</f>
        <v>76.636297520661131</v>
      </c>
      <c r="H237" t="b">
        <f t="shared" si="10"/>
        <v>1</v>
      </c>
    </row>
    <row r="238" spans="1:8" x14ac:dyDescent="0.2">
      <c r="A238" t="s">
        <v>1032</v>
      </c>
      <c r="B238" s="1">
        <v>93.41</v>
      </c>
      <c r="C238">
        <f t="shared" si="11"/>
        <v>0.97241307516135744</v>
      </c>
      <c r="E238">
        <f t="shared" si="9"/>
        <v>74.522137741046805</v>
      </c>
      <c r="G238">
        <f>'1'!P250</f>
        <v>74.522137741046805</v>
      </c>
      <c r="H238" t="b">
        <f t="shared" si="10"/>
        <v>1</v>
      </c>
    </row>
    <row r="239" spans="1:8" x14ac:dyDescent="0.2">
      <c r="A239" t="s">
        <v>1033</v>
      </c>
      <c r="B239" s="1">
        <v>93.09</v>
      </c>
      <c r="C239">
        <f t="shared" si="11"/>
        <v>0.99657424258644689</v>
      </c>
      <c r="E239">
        <f t="shared" si="9"/>
        <v>74.266842975206586</v>
      </c>
      <c r="G239">
        <f>'1'!P251</f>
        <v>74.266842975206586</v>
      </c>
      <c r="H239" t="b">
        <f t="shared" si="10"/>
        <v>1</v>
      </c>
    </row>
    <row r="240" spans="1:8" x14ac:dyDescent="0.2">
      <c r="A240" t="s">
        <v>1034</v>
      </c>
      <c r="B240" s="1">
        <v>93.14</v>
      </c>
      <c r="C240">
        <f t="shared" si="11"/>
        <v>1.00053711462026</v>
      </c>
      <c r="E240">
        <f t="shared" si="9"/>
        <v>74.306732782369124</v>
      </c>
      <c r="G240">
        <f>'1'!P252</f>
        <v>74.306732782369124</v>
      </c>
      <c r="H240" t="b">
        <f t="shared" si="10"/>
        <v>1</v>
      </c>
    </row>
    <row r="241" spans="1:8" x14ac:dyDescent="0.2">
      <c r="A241" t="s">
        <v>1035</v>
      </c>
      <c r="B241" s="1">
        <v>88.06</v>
      </c>
      <c r="C241">
        <f t="shared" si="11"/>
        <v>0.9454584496456947</v>
      </c>
      <c r="E241">
        <f t="shared" si="9"/>
        <v>70.253928374655629</v>
      </c>
      <c r="G241">
        <f>'1'!P253</f>
        <v>70.253928374655629</v>
      </c>
      <c r="H241" t="b">
        <f t="shared" si="10"/>
        <v>1</v>
      </c>
    </row>
    <row r="242" spans="1:8" x14ac:dyDescent="0.2">
      <c r="A242" t="s">
        <v>1036</v>
      </c>
      <c r="B242" s="1">
        <v>86.05</v>
      </c>
      <c r="C242">
        <f t="shared" si="11"/>
        <v>0.97717465364524181</v>
      </c>
      <c r="E242">
        <f t="shared" si="9"/>
        <v>68.650358126721741</v>
      </c>
      <c r="G242">
        <f>'1'!P254</f>
        <v>68.650358126721741</v>
      </c>
      <c r="H242" t="b">
        <f t="shared" si="10"/>
        <v>1</v>
      </c>
    </row>
    <row r="243" spans="1:8" x14ac:dyDescent="0.2">
      <c r="A243" t="s">
        <v>1037</v>
      </c>
      <c r="B243" s="1">
        <v>82.02</v>
      </c>
      <c r="C243">
        <f t="shared" si="11"/>
        <v>0.9531667635095874</v>
      </c>
      <c r="E243">
        <f t="shared" si="9"/>
        <v>65.435239669421463</v>
      </c>
      <c r="G243">
        <f>'1'!P255</f>
        <v>65.435239669421463</v>
      </c>
      <c r="H243" t="b">
        <f t="shared" si="10"/>
        <v>1</v>
      </c>
    </row>
    <row r="244" spans="1:8" x14ac:dyDescent="0.2">
      <c r="A244" t="s">
        <v>1038</v>
      </c>
      <c r="B244" s="1">
        <v>95.7</v>
      </c>
      <c r="C244">
        <f t="shared" si="11"/>
        <v>1.1667885881492319</v>
      </c>
      <c r="E244">
        <f t="shared" si="9"/>
        <v>76.34909090909089</v>
      </c>
      <c r="G244">
        <f>'1'!P256</f>
        <v>76.34909090909089</v>
      </c>
      <c r="H244" t="b">
        <f t="shared" si="10"/>
        <v>1</v>
      </c>
    </row>
    <row r="245" spans="1:8" x14ac:dyDescent="0.2">
      <c r="A245" t="s">
        <v>1039</v>
      </c>
      <c r="B245" s="1">
        <v>85.92</v>
      </c>
      <c r="C245">
        <f t="shared" si="11"/>
        <v>0.89780564263322882</v>
      </c>
      <c r="E245">
        <f t="shared" si="9"/>
        <v>68.546644628099159</v>
      </c>
      <c r="G245">
        <f>'1'!P257</f>
        <v>68.546644628099159</v>
      </c>
      <c r="H245" t="b">
        <f t="shared" si="10"/>
        <v>1</v>
      </c>
    </row>
    <row r="246" spans="1:8" x14ac:dyDescent="0.2">
      <c r="A246" t="s">
        <v>1040</v>
      </c>
      <c r="B246" s="1">
        <v>85.18</v>
      </c>
      <c r="C246">
        <f t="shared" si="11"/>
        <v>0.99138733705772819</v>
      </c>
      <c r="E246">
        <f t="shared" si="9"/>
        <v>67.956275482093659</v>
      </c>
      <c r="G246">
        <f>'1'!P258</f>
        <v>67.956275482093659</v>
      </c>
      <c r="H246" t="b">
        <f t="shared" si="10"/>
        <v>1</v>
      </c>
    </row>
    <row r="247" spans="1:8" x14ac:dyDescent="0.2">
      <c r="A247" t="s">
        <v>1041</v>
      </c>
      <c r="B247" s="1">
        <v>89.4</v>
      </c>
      <c r="C247">
        <f t="shared" si="11"/>
        <v>1.0495421460436722</v>
      </c>
      <c r="E247">
        <f t="shared" si="9"/>
        <v>71.322975206611559</v>
      </c>
      <c r="G247">
        <f>'1'!P259</f>
        <v>71.322975206611559</v>
      </c>
      <c r="H247" t="b">
        <f t="shared" si="10"/>
        <v>1</v>
      </c>
    </row>
    <row r="248" spans="1:8" x14ac:dyDescent="0.2">
      <c r="A248" t="s">
        <v>1042</v>
      </c>
      <c r="B248" s="1">
        <v>88.5</v>
      </c>
      <c r="C248">
        <f t="shared" si="11"/>
        <v>0.98993288590604023</v>
      </c>
      <c r="E248">
        <f t="shared" si="9"/>
        <v>70.604958677685943</v>
      </c>
      <c r="G248">
        <f>'1'!P260</f>
        <v>70.604958677685943</v>
      </c>
      <c r="H248" t="b">
        <f t="shared" si="10"/>
        <v>1</v>
      </c>
    </row>
    <row r="249" spans="1:8" x14ac:dyDescent="0.2">
      <c r="A249" t="s">
        <v>1043</v>
      </c>
      <c r="B249" s="1">
        <v>91.06</v>
      </c>
      <c r="C249">
        <f t="shared" si="11"/>
        <v>1.0289265536723164</v>
      </c>
      <c r="E249">
        <f t="shared" si="9"/>
        <v>72.647316804407708</v>
      </c>
      <c r="G249">
        <f>'1'!P261</f>
        <v>72.647316804407708</v>
      </c>
      <c r="H249" t="b">
        <f t="shared" si="10"/>
        <v>1</v>
      </c>
    </row>
    <row r="250" spans="1:8" x14ac:dyDescent="0.2">
      <c r="A250" t="s">
        <v>1044</v>
      </c>
      <c r="B250" s="1">
        <v>87.15</v>
      </c>
      <c r="C250">
        <f t="shared" si="11"/>
        <v>0.95706127827805842</v>
      </c>
      <c r="E250">
        <f t="shared" si="9"/>
        <v>69.527933884297511</v>
      </c>
      <c r="G250">
        <f>'1'!P262</f>
        <v>69.527933884297511</v>
      </c>
      <c r="H250" t="b">
        <f t="shared" si="10"/>
        <v>1</v>
      </c>
    </row>
    <row r="251" spans="1:8" x14ac:dyDescent="0.2">
      <c r="A251" t="s">
        <v>1045</v>
      </c>
      <c r="B251" s="1">
        <v>90.81</v>
      </c>
      <c r="C251">
        <f t="shared" si="11"/>
        <v>1.0419965576592083</v>
      </c>
      <c r="E251">
        <f t="shared" si="9"/>
        <v>72.447867768595032</v>
      </c>
      <c r="G251">
        <f>'1'!P263</f>
        <v>72.447867768595032</v>
      </c>
      <c r="H251" t="b">
        <f t="shared" si="10"/>
        <v>1</v>
      </c>
    </row>
    <row r="252" spans="1:8" x14ac:dyDescent="0.2">
      <c r="A252" t="s">
        <v>1046</v>
      </c>
      <c r="B252" s="1">
        <v>88.87</v>
      </c>
      <c r="C252">
        <f t="shared" si="11"/>
        <v>0.9786367140182799</v>
      </c>
      <c r="E252">
        <f t="shared" si="9"/>
        <v>70.9001432506887</v>
      </c>
      <c r="G252">
        <f>'1'!P264</f>
        <v>70.9001432506887</v>
      </c>
      <c r="H252" t="b">
        <f t="shared" si="10"/>
        <v>1</v>
      </c>
    </row>
    <row r="253" spans="1:8" x14ac:dyDescent="0.2">
      <c r="A253" t="s">
        <v>1047</v>
      </c>
      <c r="B253" s="1">
        <v>77.569999999999993</v>
      </c>
      <c r="C253">
        <f t="shared" si="11"/>
        <v>0.87284798019579146</v>
      </c>
      <c r="E253">
        <f t="shared" si="9"/>
        <v>61.885046831955904</v>
      </c>
      <c r="G253">
        <f>'1'!P265</f>
        <v>61.885046831955904</v>
      </c>
      <c r="H253" t="b">
        <f t="shared" si="10"/>
        <v>1</v>
      </c>
    </row>
    <row r="254" spans="1:8" x14ac:dyDescent="0.2">
      <c r="A254" t="s">
        <v>1048</v>
      </c>
      <c r="B254" s="1">
        <v>78.45</v>
      </c>
      <c r="C254">
        <f t="shared" si="11"/>
        <v>1.0113445919814363</v>
      </c>
      <c r="E254">
        <f t="shared" si="9"/>
        <v>62.587107438016524</v>
      </c>
      <c r="G254">
        <f>'1'!P266</f>
        <v>62.587107438016524</v>
      </c>
      <c r="H254" t="b">
        <f t="shared" si="10"/>
        <v>1</v>
      </c>
    </row>
    <row r="255" spans="1:8" x14ac:dyDescent="0.2">
      <c r="A255" t="s">
        <v>1049</v>
      </c>
      <c r="B255" s="1">
        <v>76.88</v>
      </c>
      <c r="C255">
        <f t="shared" si="11"/>
        <v>0.97998725302740586</v>
      </c>
      <c r="E255">
        <f t="shared" si="9"/>
        <v>61.334567493112935</v>
      </c>
      <c r="G255">
        <f>'1'!P267</f>
        <v>61.334567493112935</v>
      </c>
      <c r="H255" t="b">
        <f t="shared" si="10"/>
        <v>1</v>
      </c>
    </row>
    <row r="256" spans="1:8" x14ac:dyDescent="0.2">
      <c r="A256" t="s">
        <v>1050</v>
      </c>
      <c r="B256" s="1">
        <v>84.52</v>
      </c>
      <c r="C256">
        <f t="shared" si="11"/>
        <v>1.099375650364204</v>
      </c>
      <c r="E256">
        <f t="shared" si="9"/>
        <v>67.429730027548203</v>
      </c>
      <c r="G256">
        <f>'1'!P268</f>
        <v>67.429730027548203</v>
      </c>
      <c r="H256" t="b">
        <f t="shared" si="10"/>
        <v>1</v>
      </c>
    </row>
    <row r="257" spans="1:8" x14ac:dyDescent="0.2">
      <c r="A257" t="s">
        <v>1051</v>
      </c>
      <c r="B257" s="1">
        <v>83.88</v>
      </c>
      <c r="C257">
        <f t="shared" si="11"/>
        <v>0.99242782773308091</v>
      </c>
      <c r="E257">
        <f t="shared" si="9"/>
        <v>66.919140495867765</v>
      </c>
      <c r="G257">
        <f>'1'!P269</f>
        <v>66.919140495867765</v>
      </c>
      <c r="H257" t="b">
        <f t="shared" si="10"/>
        <v>1</v>
      </c>
    </row>
    <row r="258" spans="1:8" x14ac:dyDescent="0.2">
      <c r="A258" t="s">
        <v>1052</v>
      </c>
      <c r="B258" s="1">
        <v>90.76</v>
      </c>
      <c r="C258">
        <f t="shared" si="11"/>
        <v>1.0820219360991894</v>
      </c>
      <c r="E258">
        <f t="shared" ref="E258:E321" si="12">E259/C259</f>
        <v>72.407977961432508</v>
      </c>
      <c r="G258">
        <f>'1'!P270</f>
        <v>72.407977961432508</v>
      </c>
      <c r="H258" t="b">
        <f t="shared" si="10"/>
        <v>1</v>
      </c>
    </row>
    <row r="259" spans="1:8" x14ac:dyDescent="0.2">
      <c r="A259" t="s">
        <v>1053</v>
      </c>
      <c r="B259" s="1">
        <v>86.17</v>
      </c>
      <c r="C259">
        <f t="shared" si="11"/>
        <v>0.94942706037902158</v>
      </c>
      <c r="E259">
        <f t="shared" si="12"/>
        <v>68.74609366391185</v>
      </c>
      <c r="G259">
        <f>'1'!P271</f>
        <v>68.74609366391185</v>
      </c>
      <c r="H259" t="b">
        <f t="shared" ref="H259:H322" si="13">EXACT(E259,G259)</f>
        <v>1</v>
      </c>
    </row>
    <row r="260" spans="1:8" x14ac:dyDescent="0.2">
      <c r="A260" t="s">
        <v>1054</v>
      </c>
      <c r="B260" s="1">
        <v>97.39</v>
      </c>
      <c r="C260">
        <f t="shared" ref="C260:C323" si="14">B260/B259</f>
        <v>1.1302077289079726</v>
      </c>
      <c r="E260">
        <f t="shared" si="12"/>
        <v>77.697366391184573</v>
      </c>
      <c r="G260">
        <f>'1'!P272</f>
        <v>77.697366391184573</v>
      </c>
      <c r="H260" t="b">
        <f t="shared" si="13"/>
        <v>1</v>
      </c>
    </row>
    <row r="261" spans="1:8" x14ac:dyDescent="0.2">
      <c r="A261" t="s">
        <v>1055</v>
      </c>
      <c r="B261" s="1">
        <v>96.75</v>
      </c>
      <c r="C261">
        <f t="shared" si="14"/>
        <v>0.99342848341718859</v>
      </c>
      <c r="E261">
        <f t="shared" si="12"/>
        <v>77.186776859504135</v>
      </c>
      <c r="G261">
        <f>'1'!P273</f>
        <v>77.186776859504135</v>
      </c>
      <c r="H261" t="b">
        <f t="shared" si="13"/>
        <v>1</v>
      </c>
    </row>
    <row r="262" spans="1:8" x14ac:dyDescent="0.2">
      <c r="A262" t="s">
        <v>1056</v>
      </c>
      <c r="B262" s="1">
        <v>94.55</v>
      </c>
      <c r="C262">
        <f t="shared" si="14"/>
        <v>0.97726098191214472</v>
      </c>
      <c r="E262">
        <f t="shared" si="12"/>
        <v>75.431625344352625</v>
      </c>
      <c r="G262">
        <f>'1'!P274</f>
        <v>75.431625344352625</v>
      </c>
      <c r="H262" t="b">
        <f t="shared" si="13"/>
        <v>1</v>
      </c>
    </row>
    <row r="263" spans="1:8" x14ac:dyDescent="0.2">
      <c r="A263" t="s">
        <v>1057</v>
      </c>
      <c r="B263" s="1">
        <v>98.82</v>
      </c>
      <c r="C263">
        <f t="shared" si="14"/>
        <v>1.0451612903225806</v>
      </c>
      <c r="E263">
        <f t="shared" si="12"/>
        <v>78.838214876033064</v>
      </c>
      <c r="G263">
        <f>'1'!P275</f>
        <v>78.838214876033064</v>
      </c>
      <c r="H263" t="b">
        <f t="shared" si="13"/>
        <v>1</v>
      </c>
    </row>
    <row r="264" spans="1:8" x14ac:dyDescent="0.2">
      <c r="A264" t="s">
        <v>1058</v>
      </c>
      <c r="B264" s="1">
        <v>94.33</v>
      </c>
      <c r="C264">
        <f t="shared" si="14"/>
        <v>0.95456385347095729</v>
      </c>
      <c r="E264">
        <f t="shared" si="12"/>
        <v>75.256110192837468</v>
      </c>
      <c r="G264">
        <f>'1'!P276</f>
        <v>75.256110192837468</v>
      </c>
      <c r="H264" t="b">
        <f t="shared" si="13"/>
        <v>1</v>
      </c>
    </row>
    <row r="265" spans="1:8" x14ac:dyDescent="0.2">
      <c r="A265" t="s">
        <v>1059</v>
      </c>
      <c r="B265" s="1">
        <v>83.87</v>
      </c>
      <c r="C265">
        <f t="shared" si="14"/>
        <v>0.88911268949432853</v>
      </c>
      <c r="E265">
        <f t="shared" si="12"/>
        <v>66.911162534435277</v>
      </c>
      <c r="G265">
        <f>'1'!P277</f>
        <v>66.911162534435277</v>
      </c>
      <c r="H265" t="b">
        <f t="shared" si="13"/>
        <v>1</v>
      </c>
    </row>
    <row r="266" spans="1:8" x14ac:dyDescent="0.2">
      <c r="A266" t="s">
        <v>1060</v>
      </c>
      <c r="B266" s="1">
        <v>83.88</v>
      </c>
      <c r="C266">
        <f t="shared" si="14"/>
        <v>1.0001192321449861</v>
      </c>
      <c r="E266">
        <f t="shared" si="12"/>
        <v>66.919140495867765</v>
      </c>
      <c r="G266">
        <f>'1'!P278</f>
        <v>66.919140495867765</v>
      </c>
      <c r="H266" t="b">
        <f t="shared" si="13"/>
        <v>1</v>
      </c>
    </row>
    <row r="267" spans="1:8" x14ac:dyDescent="0.2">
      <c r="A267" t="s">
        <v>1061</v>
      </c>
      <c r="B267" s="1">
        <v>79.5</v>
      </c>
      <c r="C267">
        <f t="shared" si="14"/>
        <v>0.94778254649499294</v>
      </c>
      <c r="E267">
        <f t="shared" si="12"/>
        <v>63.424793388429755</v>
      </c>
      <c r="G267">
        <f>'1'!P279</f>
        <v>63.424793388429755</v>
      </c>
      <c r="H267" t="b">
        <f t="shared" si="13"/>
        <v>1</v>
      </c>
    </row>
    <row r="268" spans="1:8" x14ac:dyDescent="0.2">
      <c r="A268" t="s">
        <v>1062</v>
      </c>
      <c r="B268" s="1">
        <v>88.84</v>
      </c>
      <c r="C268">
        <f t="shared" si="14"/>
        <v>1.1174842767295599</v>
      </c>
      <c r="E268">
        <f t="shared" si="12"/>
        <v>70.876209366391194</v>
      </c>
      <c r="G268">
        <f>'1'!P280</f>
        <v>70.876209366391194</v>
      </c>
      <c r="H268" t="b">
        <f t="shared" si="13"/>
        <v>1</v>
      </c>
    </row>
    <row r="269" spans="1:8" x14ac:dyDescent="0.2">
      <c r="A269" t="s">
        <v>1063</v>
      </c>
      <c r="B269" s="1">
        <v>91.01</v>
      </c>
      <c r="C269">
        <f t="shared" si="14"/>
        <v>1.0244259342638451</v>
      </c>
      <c r="E269">
        <f t="shared" si="12"/>
        <v>72.607426997245184</v>
      </c>
      <c r="G269">
        <f>'1'!P281</f>
        <v>72.607426997245184</v>
      </c>
      <c r="H269" t="b">
        <f t="shared" si="13"/>
        <v>1</v>
      </c>
    </row>
    <row r="270" spans="1:8" x14ac:dyDescent="0.2">
      <c r="A270" t="s">
        <v>1064</v>
      </c>
      <c r="B270" s="1">
        <v>93.42</v>
      </c>
      <c r="C270">
        <f t="shared" si="14"/>
        <v>1.0264806065267553</v>
      </c>
      <c r="E270">
        <f t="shared" si="12"/>
        <v>74.53011570247935</v>
      </c>
      <c r="G270">
        <f>'1'!P282</f>
        <v>74.53011570247935</v>
      </c>
      <c r="H270" t="b">
        <f t="shared" si="13"/>
        <v>1</v>
      </c>
    </row>
    <row r="271" spans="1:8" x14ac:dyDescent="0.2">
      <c r="A271" t="s">
        <v>1065</v>
      </c>
      <c r="B271" s="1">
        <v>94.8</v>
      </c>
      <c r="C271">
        <f t="shared" si="14"/>
        <v>1.014771997430957</v>
      </c>
      <c r="E271">
        <f t="shared" si="12"/>
        <v>75.631074380165302</v>
      </c>
      <c r="G271">
        <f>'1'!P283</f>
        <v>75.631074380165302</v>
      </c>
      <c r="H271" t="b">
        <f t="shared" si="13"/>
        <v>1</v>
      </c>
    </row>
    <row r="272" spans="1:8" x14ac:dyDescent="0.2">
      <c r="A272" t="s">
        <v>1066</v>
      </c>
      <c r="B272" s="1">
        <v>98.78</v>
      </c>
      <c r="C272">
        <f t="shared" si="14"/>
        <v>1.0419831223628693</v>
      </c>
      <c r="E272">
        <f t="shared" si="12"/>
        <v>78.806303030303056</v>
      </c>
      <c r="G272">
        <f>'1'!P284</f>
        <v>78.806303030303056</v>
      </c>
      <c r="H272" t="b">
        <f t="shared" si="13"/>
        <v>1</v>
      </c>
    </row>
    <row r="273" spans="1:8" x14ac:dyDescent="0.2">
      <c r="A273" t="s">
        <v>1067</v>
      </c>
      <c r="B273" s="1">
        <v>98.88</v>
      </c>
      <c r="C273">
        <f t="shared" si="14"/>
        <v>1.0010123506782749</v>
      </c>
      <c r="E273">
        <f t="shared" si="12"/>
        <v>78.886082644628118</v>
      </c>
      <c r="G273">
        <f>'1'!P285</f>
        <v>78.886082644628118</v>
      </c>
      <c r="H273" t="b">
        <f t="shared" si="13"/>
        <v>1</v>
      </c>
    </row>
    <row r="274" spans="1:8" x14ac:dyDescent="0.2">
      <c r="A274" t="s">
        <v>1068</v>
      </c>
      <c r="B274" s="1">
        <v>101.04</v>
      </c>
      <c r="C274">
        <f t="shared" si="14"/>
        <v>1.0218446601941749</v>
      </c>
      <c r="E274">
        <f t="shared" si="12"/>
        <v>80.609322314049621</v>
      </c>
      <c r="G274">
        <f>'1'!P286</f>
        <v>80.609322314049621</v>
      </c>
      <c r="H274" t="b">
        <f t="shared" si="13"/>
        <v>1</v>
      </c>
    </row>
    <row r="275" spans="1:8" x14ac:dyDescent="0.2">
      <c r="A275" t="s">
        <v>1069</v>
      </c>
      <c r="B275" s="1">
        <v>103.63</v>
      </c>
      <c r="C275">
        <f t="shared" si="14"/>
        <v>1.0256334125098969</v>
      </c>
      <c r="E275">
        <f t="shared" si="12"/>
        <v>82.675614325068892</v>
      </c>
      <c r="G275">
        <f>'1'!P287</f>
        <v>82.675614325068892</v>
      </c>
      <c r="H275" t="b">
        <f t="shared" si="13"/>
        <v>1</v>
      </c>
    </row>
    <row r="276" spans="1:8" x14ac:dyDescent="0.2">
      <c r="A276" t="s">
        <v>1070</v>
      </c>
      <c r="B276" s="1">
        <v>92.89</v>
      </c>
      <c r="C276">
        <f t="shared" si="14"/>
        <v>0.89636205731930918</v>
      </c>
      <c r="E276">
        <f t="shared" si="12"/>
        <v>74.107283746556504</v>
      </c>
      <c r="G276">
        <f>'1'!P288</f>
        <v>74.107283746556504</v>
      </c>
      <c r="H276" t="b">
        <f t="shared" si="13"/>
        <v>1</v>
      </c>
    </row>
    <row r="277" spans="1:8" x14ac:dyDescent="0.2">
      <c r="A277" t="s">
        <v>1071</v>
      </c>
      <c r="B277" s="1">
        <v>81.16</v>
      </c>
      <c r="C277">
        <f t="shared" si="14"/>
        <v>0.87372160620088268</v>
      </c>
      <c r="E277">
        <f t="shared" si="12"/>
        <v>64.749134986225911</v>
      </c>
      <c r="G277">
        <f>'1'!P289</f>
        <v>64.749134986225911</v>
      </c>
      <c r="H277" t="b">
        <f t="shared" si="13"/>
        <v>1</v>
      </c>
    </row>
    <row r="278" spans="1:8" x14ac:dyDescent="0.2">
      <c r="A278" t="s">
        <v>1072</v>
      </c>
      <c r="B278" s="1">
        <v>80.819999999999993</v>
      </c>
      <c r="C278">
        <f t="shared" si="14"/>
        <v>0.99581074420896987</v>
      </c>
      <c r="E278">
        <f t="shared" si="12"/>
        <v>64.477884297520674</v>
      </c>
      <c r="G278">
        <f>'1'!P290</f>
        <v>64.477884297520674</v>
      </c>
      <c r="H278" t="b">
        <f t="shared" si="13"/>
        <v>1</v>
      </c>
    </row>
    <row r="279" spans="1:8" x14ac:dyDescent="0.2">
      <c r="A279" t="s">
        <v>1073</v>
      </c>
      <c r="B279" s="1">
        <v>78.739999999999995</v>
      </c>
      <c r="C279">
        <f t="shared" si="14"/>
        <v>0.97426379609007674</v>
      </c>
      <c r="E279">
        <f t="shared" si="12"/>
        <v>62.818468319559244</v>
      </c>
      <c r="G279">
        <f>'1'!P291</f>
        <v>62.818468319559244</v>
      </c>
      <c r="H279" t="b">
        <f t="shared" si="13"/>
        <v>1</v>
      </c>
    </row>
    <row r="280" spans="1:8" x14ac:dyDescent="0.2">
      <c r="A280" t="s">
        <v>1074</v>
      </c>
      <c r="B280" s="1">
        <v>91.67</v>
      </c>
      <c r="C280">
        <f t="shared" si="14"/>
        <v>1.164211328422657</v>
      </c>
      <c r="E280">
        <f t="shared" si="12"/>
        <v>73.133972451790655</v>
      </c>
      <c r="G280">
        <f>'1'!P292</f>
        <v>73.133972451790655</v>
      </c>
      <c r="H280" t="b">
        <f t="shared" si="13"/>
        <v>1</v>
      </c>
    </row>
    <row r="281" spans="1:8" x14ac:dyDescent="0.2">
      <c r="A281" t="s">
        <v>1075</v>
      </c>
      <c r="B281" s="1">
        <v>88.19</v>
      </c>
      <c r="C281">
        <f t="shared" si="14"/>
        <v>0.96203774408203335</v>
      </c>
      <c r="E281">
        <f t="shared" si="12"/>
        <v>70.357641873278254</v>
      </c>
      <c r="G281">
        <f>'1'!P293</f>
        <v>70.357641873278254</v>
      </c>
      <c r="H281" t="b">
        <f t="shared" si="13"/>
        <v>1</v>
      </c>
    </row>
    <row r="282" spans="1:8" x14ac:dyDescent="0.2">
      <c r="A282" t="s">
        <v>1076</v>
      </c>
      <c r="B282" s="1">
        <v>94.66</v>
      </c>
      <c r="C282">
        <f t="shared" si="14"/>
        <v>1.0733643270212041</v>
      </c>
      <c r="E282">
        <f t="shared" si="12"/>
        <v>75.519382920110203</v>
      </c>
      <c r="G282">
        <f>'1'!P294</f>
        <v>75.519382920110203</v>
      </c>
      <c r="H282" t="b">
        <f t="shared" si="13"/>
        <v>1</v>
      </c>
    </row>
    <row r="283" spans="1:8" x14ac:dyDescent="0.2">
      <c r="A283" t="s">
        <v>1077</v>
      </c>
      <c r="B283" s="1">
        <v>94.65</v>
      </c>
      <c r="C283">
        <f t="shared" si="14"/>
        <v>0.99989435875765909</v>
      </c>
      <c r="E283">
        <f t="shared" si="12"/>
        <v>75.511404958677701</v>
      </c>
      <c r="G283">
        <f>'1'!P295</f>
        <v>75.511404958677701</v>
      </c>
      <c r="H283" t="b">
        <f t="shared" si="13"/>
        <v>1</v>
      </c>
    </row>
    <row r="284" spans="1:8" x14ac:dyDescent="0.2">
      <c r="A284" t="s">
        <v>1078</v>
      </c>
      <c r="B284" s="1">
        <v>98.86</v>
      </c>
      <c r="C284">
        <f t="shared" si="14"/>
        <v>1.0444796619123085</v>
      </c>
      <c r="E284">
        <f t="shared" si="12"/>
        <v>78.8701267217631</v>
      </c>
      <c r="G284">
        <f>'1'!P296</f>
        <v>78.8701267217631</v>
      </c>
      <c r="H284" t="b">
        <f t="shared" si="13"/>
        <v>1</v>
      </c>
    </row>
    <row r="285" spans="1:8" x14ac:dyDescent="0.2">
      <c r="A285" t="s">
        <v>1079</v>
      </c>
      <c r="B285" s="1">
        <v>96.94</v>
      </c>
      <c r="C285">
        <f t="shared" si="14"/>
        <v>0.98057859599433539</v>
      </c>
      <c r="E285">
        <f t="shared" si="12"/>
        <v>77.338358126721772</v>
      </c>
      <c r="G285">
        <f>'1'!P297</f>
        <v>77.338358126721772</v>
      </c>
      <c r="H285" t="b">
        <f t="shared" si="13"/>
        <v>1</v>
      </c>
    </row>
    <row r="286" spans="1:8" x14ac:dyDescent="0.2">
      <c r="A286" t="s">
        <v>1080</v>
      </c>
      <c r="B286" s="1">
        <v>95.64</v>
      </c>
      <c r="C286">
        <f t="shared" si="14"/>
        <v>0.98658964307819275</v>
      </c>
      <c r="E286">
        <f t="shared" si="12"/>
        <v>76.301223140495878</v>
      </c>
      <c r="G286">
        <f>'1'!P298</f>
        <v>76.301223140495878</v>
      </c>
      <c r="H286" t="b">
        <f t="shared" si="13"/>
        <v>1</v>
      </c>
    </row>
    <row r="287" spans="1:8" x14ac:dyDescent="0.2">
      <c r="A287" t="s">
        <v>1081</v>
      </c>
      <c r="B287" s="1">
        <v>94.85</v>
      </c>
      <c r="C287">
        <f t="shared" si="14"/>
        <v>0.99173985780008356</v>
      </c>
      <c r="E287">
        <f t="shared" si="12"/>
        <v>75.670964187327826</v>
      </c>
      <c r="G287">
        <f>'1'!P299</f>
        <v>75.670964187327826</v>
      </c>
      <c r="H287" t="b">
        <f t="shared" si="13"/>
        <v>1</v>
      </c>
    </row>
    <row r="288" spans="1:8" x14ac:dyDescent="0.2">
      <c r="A288" t="s">
        <v>1082</v>
      </c>
      <c r="B288" s="1">
        <v>91.1</v>
      </c>
      <c r="C288">
        <f t="shared" si="14"/>
        <v>0.96046389035318924</v>
      </c>
      <c r="E288">
        <f t="shared" si="12"/>
        <v>72.679228650137745</v>
      </c>
      <c r="G288">
        <f>'1'!P300</f>
        <v>72.679228650137745</v>
      </c>
      <c r="H288" t="b">
        <f t="shared" si="13"/>
        <v>1</v>
      </c>
    </row>
    <row r="289" spans="1:8" x14ac:dyDescent="0.2">
      <c r="A289" t="s">
        <v>1083</v>
      </c>
      <c r="B289" s="1">
        <v>79.260000000000005</v>
      </c>
      <c r="C289">
        <f t="shared" si="14"/>
        <v>0.87003293084522515</v>
      </c>
      <c r="E289">
        <f t="shared" si="12"/>
        <v>63.233322314049602</v>
      </c>
      <c r="G289">
        <f>'1'!P301</f>
        <v>63.233322314049602</v>
      </c>
      <c r="H289" t="b">
        <f t="shared" si="13"/>
        <v>1</v>
      </c>
    </row>
    <row r="290" spans="1:8" x14ac:dyDescent="0.2">
      <c r="A290" t="s">
        <v>1084</v>
      </c>
      <c r="B290" s="1">
        <v>78.069999999999993</v>
      </c>
      <c r="C290">
        <f t="shared" si="14"/>
        <v>0.98498612162503141</v>
      </c>
      <c r="E290">
        <f t="shared" si="12"/>
        <v>62.283944903581272</v>
      </c>
      <c r="G290">
        <f>'1'!P302</f>
        <v>62.283944903581272</v>
      </c>
      <c r="H290" t="b">
        <f t="shared" si="13"/>
        <v>1</v>
      </c>
    </row>
    <row r="291" spans="1:8" x14ac:dyDescent="0.2">
      <c r="A291" t="s">
        <v>1085</v>
      </c>
      <c r="B291" s="1">
        <v>74.87</v>
      </c>
      <c r="C291">
        <f t="shared" si="14"/>
        <v>0.9590111438452672</v>
      </c>
      <c r="E291">
        <f t="shared" si="12"/>
        <v>59.730997245179076</v>
      </c>
      <c r="G291">
        <f>'1'!P303</f>
        <v>59.730997245179076</v>
      </c>
      <c r="H291" t="b">
        <f t="shared" si="13"/>
        <v>1</v>
      </c>
    </row>
    <row r="292" spans="1:8" x14ac:dyDescent="0.2">
      <c r="A292" t="s">
        <v>1086</v>
      </c>
      <c r="B292" s="1">
        <v>89.18</v>
      </c>
      <c r="C292">
        <f t="shared" si="14"/>
        <v>1.1911312942433552</v>
      </c>
      <c r="E292">
        <f t="shared" si="12"/>
        <v>71.147460055096431</v>
      </c>
      <c r="G292">
        <f>'1'!P304</f>
        <v>71.147460055096431</v>
      </c>
      <c r="H292" t="b">
        <f t="shared" si="13"/>
        <v>1</v>
      </c>
    </row>
    <row r="293" spans="1:8" x14ac:dyDescent="0.2">
      <c r="A293" t="s">
        <v>1087</v>
      </c>
      <c r="B293" s="1">
        <v>85.95</v>
      </c>
      <c r="C293">
        <f t="shared" si="14"/>
        <v>0.96378111684234125</v>
      </c>
      <c r="E293">
        <f t="shared" si="12"/>
        <v>68.570578512396693</v>
      </c>
      <c r="G293">
        <f>'1'!P305</f>
        <v>68.570578512396693</v>
      </c>
      <c r="H293" t="b">
        <f t="shared" si="13"/>
        <v>1</v>
      </c>
    </row>
    <row r="294" spans="1:8" x14ac:dyDescent="0.2">
      <c r="A294" t="s">
        <v>1088</v>
      </c>
      <c r="B294" s="1">
        <v>91.8</v>
      </c>
      <c r="C294">
        <f t="shared" si="14"/>
        <v>1.0680628272251309</v>
      </c>
      <c r="E294">
        <f t="shared" si="12"/>
        <v>73.237685950413223</v>
      </c>
      <c r="G294">
        <f>'1'!P306</f>
        <v>73.237685950413223</v>
      </c>
      <c r="H294" t="b">
        <f t="shared" si="13"/>
        <v>1</v>
      </c>
    </row>
    <row r="295" spans="1:8" x14ac:dyDescent="0.2">
      <c r="A295" t="s">
        <v>1089</v>
      </c>
      <c r="B295" s="1">
        <v>91.78</v>
      </c>
      <c r="C295">
        <f t="shared" si="14"/>
        <v>0.9997821350762528</v>
      </c>
      <c r="E295">
        <f t="shared" si="12"/>
        <v>73.221730027548219</v>
      </c>
      <c r="G295">
        <f>'1'!P307</f>
        <v>73.221730027548219</v>
      </c>
      <c r="H295" t="b">
        <f t="shared" si="13"/>
        <v>1</v>
      </c>
    </row>
    <row r="296" spans="1:8" x14ac:dyDescent="0.2">
      <c r="A296" t="s">
        <v>1090</v>
      </c>
      <c r="B296" s="1">
        <v>93.83</v>
      </c>
      <c r="C296">
        <f t="shared" si="14"/>
        <v>1.0223360209195902</v>
      </c>
      <c r="E296">
        <f t="shared" si="12"/>
        <v>74.857212121212115</v>
      </c>
      <c r="G296">
        <f>'1'!P308</f>
        <v>74.857212121212115</v>
      </c>
      <c r="H296" t="b">
        <f t="shared" si="13"/>
        <v>1</v>
      </c>
    </row>
    <row r="297" spans="1:8" x14ac:dyDescent="0.2">
      <c r="A297" t="s">
        <v>1091</v>
      </c>
      <c r="B297" s="1">
        <v>97.18</v>
      </c>
      <c r="C297">
        <f t="shared" si="14"/>
        <v>1.0357028668869233</v>
      </c>
      <c r="E297">
        <f t="shared" si="12"/>
        <v>77.529829201101933</v>
      </c>
      <c r="G297">
        <f>'1'!P309</f>
        <v>77.529829201101933</v>
      </c>
      <c r="H297" t="b">
        <f t="shared" si="13"/>
        <v>1</v>
      </c>
    </row>
    <row r="298" spans="1:8" x14ac:dyDescent="0.2">
      <c r="A298" t="s">
        <v>1092</v>
      </c>
      <c r="B298" s="1">
        <v>96.12</v>
      </c>
      <c r="C298">
        <f t="shared" si="14"/>
        <v>0.98909240584482405</v>
      </c>
      <c r="E298">
        <f t="shared" si="12"/>
        <v>76.6841652892562</v>
      </c>
      <c r="G298">
        <f>'1'!P310</f>
        <v>76.6841652892562</v>
      </c>
      <c r="H298" t="b">
        <f t="shared" si="13"/>
        <v>1</v>
      </c>
    </row>
    <row r="299" spans="1:8" x14ac:dyDescent="0.2">
      <c r="A299" t="s">
        <v>1093</v>
      </c>
      <c r="B299" s="1">
        <v>97.88</v>
      </c>
      <c r="C299">
        <f t="shared" si="14"/>
        <v>1.0183104452767373</v>
      </c>
      <c r="E299">
        <f t="shared" si="12"/>
        <v>78.088286501377411</v>
      </c>
      <c r="G299">
        <f>'1'!P311</f>
        <v>78.088286501377411</v>
      </c>
      <c r="H299" t="b">
        <f t="shared" si="13"/>
        <v>1</v>
      </c>
    </row>
    <row r="300" spans="1:8" x14ac:dyDescent="0.2">
      <c r="A300" t="s">
        <v>1094</v>
      </c>
      <c r="B300" s="1">
        <v>95.57</v>
      </c>
      <c r="C300">
        <f t="shared" si="14"/>
        <v>0.97639967306906417</v>
      </c>
      <c r="E300">
        <f t="shared" si="12"/>
        <v>76.245377410468322</v>
      </c>
      <c r="G300">
        <f>'1'!P312</f>
        <v>76.245377410468322</v>
      </c>
      <c r="H300" t="b">
        <f t="shared" si="13"/>
        <v>1</v>
      </c>
    </row>
    <row r="301" spans="1:8" x14ac:dyDescent="0.2">
      <c r="A301" t="s">
        <v>1095</v>
      </c>
      <c r="B301" s="1">
        <v>86.06</v>
      </c>
      <c r="C301">
        <f t="shared" si="14"/>
        <v>0.90049178612535319</v>
      </c>
      <c r="E301">
        <f t="shared" si="12"/>
        <v>68.658336088154272</v>
      </c>
      <c r="G301">
        <f>'1'!P313</f>
        <v>68.658336088154272</v>
      </c>
      <c r="H301" t="b">
        <f t="shared" si="13"/>
        <v>1</v>
      </c>
    </row>
    <row r="302" spans="1:8" x14ac:dyDescent="0.2">
      <c r="A302" t="s">
        <v>1096</v>
      </c>
      <c r="B302" s="1">
        <v>81.89</v>
      </c>
      <c r="C302">
        <f t="shared" si="14"/>
        <v>0.95154543341854514</v>
      </c>
      <c r="E302">
        <f t="shared" si="12"/>
        <v>65.331526170798895</v>
      </c>
      <c r="G302">
        <f>'1'!P314</f>
        <v>65.331526170798895</v>
      </c>
      <c r="H302" t="b">
        <f t="shared" si="13"/>
        <v>1</v>
      </c>
    </row>
    <row r="303" spans="1:8" x14ac:dyDescent="0.2">
      <c r="A303" t="s">
        <v>1097</v>
      </c>
      <c r="B303" s="1">
        <v>86.8</v>
      </c>
      <c r="C303">
        <f t="shared" si="14"/>
        <v>1.0599584808889975</v>
      </c>
      <c r="E303">
        <f t="shared" si="12"/>
        <v>69.248705234159772</v>
      </c>
      <c r="G303">
        <f>'1'!P315</f>
        <v>69.248705234159772</v>
      </c>
      <c r="H303" t="b">
        <f t="shared" si="13"/>
        <v>1</v>
      </c>
    </row>
    <row r="304" spans="1:8" x14ac:dyDescent="0.2">
      <c r="A304" t="s">
        <v>1098</v>
      </c>
      <c r="B304" s="1">
        <v>92.74</v>
      </c>
      <c r="C304">
        <f t="shared" si="14"/>
        <v>1.0684331797235023</v>
      </c>
      <c r="E304">
        <f t="shared" si="12"/>
        <v>73.987614325068861</v>
      </c>
      <c r="G304">
        <f>'1'!P316</f>
        <v>73.987614325068861</v>
      </c>
      <c r="H304" t="b">
        <f t="shared" si="13"/>
        <v>1</v>
      </c>
    </row>
    <row r="305" spans="1:8" x14ac:dyDescent="0.2">
      <c r="A305" t="s">
        <v>1099</v>
      </c>
      <c r="B305" s="1">
        <v>88.91</v>
      </c>
      <c r="C305">
        <f t="shared" si="14"/>
        <v>0.95870174681906406</v>
      </c>
      <c r="E305">
        <f t="shared" si="12"/>
        <v>70.932055096418722</v>
      </c>
      <c r="G305">
        <f>'1'!P317</f>
        <v>70.932055096418722</v>
      </c>
      <c r="H305" t="b">
        <f t="shared" si="13"/>
        <v>1</v>
      </c>
    </row>
    <row r="306" spans="1:8" x14ac:dyDescent="0.2">
      <c r="A306" t="s">
        <v>1100</v>
      </c>
      <c r="B306" s="1">
        <v>97.71</v>
      </c>
      <c r="C306">
        <f t="shared" si="14"/>
        <v>1.0989764930828927</v>
      </c>
      <c r="E306">
        <f t="shared" si="12"/>
        <v>77.952661157024778</v>
      </c>
      <c r="G306">
        <f>'1'!P318</f>
        <v>77.952661157024778</v>
      </c>
      <c r="H306" t="b">
        <f t="shared" si="13"/>
        <v>1</v>
      </c>
    </row>
    <row r="307" spans="1:8" x14ac:dyDescent="0.2">
      <c r="A307" t="s">
        <v>1101</v>
      </c>
      <c r="B307" s="1">
        <v>98.63</v>
      </c>
      <c r="C307">
        <f t="shared" si="14"/>
        <v>1.0094156176440487</v>
      </c>
      <c r="E307">
        <f t="shared" si="12"/>
        <v>78.686633608815413</v>
      </c>
      <c r="G307">
        <f>'1'!P319</f>
        <v>78.686633608815413</v>
      </c>
      <c r="H307" t="b">
        <f t="shared" si="13"/>
        <v>1</v>
      </c>
    </row>
    <row r="308" spans="1:8" x14ac:dyDescent="0.2">
      <c r="A308" t="s">
        <v>1102</v>
      </c>
      <c r="B308" s="1">
        <v>100.42</v>
      </c>
      <c r="C308">
        <f t="shared" si="14"/>
        <v>1.0181486363175505</v>
      </c>
      <c r="E308">
        <f t="shared" si="12"/>
        <v>80.114688705234144</v>
      </c>
      <c r="G308">
        <f>'1'!P320</f>
        <v>80.114688705234144</v>
      </c>
      <c r="H308" t="b">
        <f t="shared" si="13"/>
        <v>1</v>
      </c>
    </row>
    <row r="309" spans="1:8" x14ac:dyDescent="0.2">
      <c r="A309" t="s">
        <v>1103</v>
      </c>
      <c r="B309" s="1">
        <v>104.98</v>
      </c>
      <c r="C309">
        <f t="shared" si="14"/>
        <v>1.0454092810197173</v>
      </c>
      <c r="E309">
        <f t="shared" si="12"/>
        <v>83.752639118457296</v>
      </c>
      <c r="G309">
        <f>'1'!P321</f>
        <v>83.752639118457296</v>
      </c>
      <c r="H309" t="b">
        <f t="shared" si="13"/>
        <v>1</v>
      </c>
    </row>
    <row r="310" spans="1:8" x14ac:dyDescent="0.2">
      <c r="A310" t="s">
        <v>1104</v>
      </c>
      <c r="B310" s="1">
        <v>99.54</v>
      </c>
      <c r="C310">
        <f t="shared" si="14"/>
        <v>0.94818060582968189</v>
      </c>
      <c r="E310">
        <f t="shared" si="12"/>
        <v>79.41262809917356</v>
      </c>
      <c r="G310">
        <f>'1'!P322</f>
        <v>79.41262809917356</v>
      </c>
      <c r="H310" t="b">
        <f t="shared" si="13"/>
        <v>1</v>
      </c>
    </row>
    <row r="311" spans="1:8" x14ac:dyDescent="0.2">
      <c r="A311" t="s">
        <v>1105</v>
      </c>
      <c r="B311" s="1">
        <v>105</v>
      </c>
      <c r="C311">
        <f t="shared" si="14"/>
        <v>1.0548523206751055</v>
      </c>
      <c r="E311">
        <f t="shared" si="12"/>
        <v>83.768595041322314</v>
      </c>
      <c r="G311">
        <f>'1'!P323</f>
        <v>83.768595041322314</v>
      </c>
      <c r="H311" t="b">
        <f t="shared" si="13"/>
        <v>1</v>
      </c>
    </row>
    <row r="312" spans="1:8" x14ac:dyDescent="0.2">
      <c r="A312" t="s">
        <v>1106</v>
      </c>
      <c r="B312" s="1">
        <v>100.61</v>
      </c>
      <c r="C312">
        <f t="shared" si="14"/>
        <v>0.95819047619047615</v>
      </c>
      <c r="E312">
        <f t="shared" si="12"/>
        <v>80.266269972451781</v>
      </c>
      <c r="G312">
        <f>'1'!P324</f>
        <v>80.266269972451781</v>
      </c>
      <c r="H312" t="b">
        <f t="shared" si="13"/>
        <v>1</v>
      </c>
    </row>
    <row r="313" spans="1:8" x14ac:dyDescent="0.2">
      <c r="A313" t="s">
        <v>1107</v>
      </c>
      <c r="B313" s="1">
        <v>92.66</v>
      </c>
      <c r="C313">
        <f t="shared" si="14"/>
        <v>0.92098200974058242</v>
      </c>
      <c r="E313">
        <f t="shared" si="12"/>
        <v>73.923790633608803</v>
      </c>
      <c r="G313">
        <f>'1'!P325</f>
        <v>73.923790633608803</v>
      </c>
      <c r="H313" t="b">
        <f t="shared" si="13"/>
        <v>1</v>
      </c>
    </row>
    <row r="314" spans="1:8" x14ac:dyDescent="0.2">
      <c r="A314" t="s">
        <v>1108</v>
      </c>
      <c r="B314" s="1">
        <v>91.83</v>
      </c>
      <c r="C314">
        <f t="shared" si="14"/>
        <v>0.99104252104467949</v>
      </c>
      <c r="E314">
        <f t="shared" si="12"/>
        <v>73.261619834710729</v>
      </c>
      <c r="G314">
        <f>'1'!P326</f>
        <v>73.261619834710729</v>
      </c>
      <c r="H314" t="b">
        <f t="shared" si="13"/>
        <v>1</v>
      </c>
    </row>
    <row r="315" spans="1:8" x14ac:dyDescent="0.2">
      <c r="A315" t="s">
        <v>1109</v>
      </c>
      <c r="B315" s="1">
        <v>88.6</v>
      </c>
      <c r="C315">
        <f t="shared" si="14"/>
        <v>0.96482630948491777</v>
      </c>
      <c r="E315">
        <f t="shared" si="12"/>
        <v>70.684738292011005</v>
      </c>
      <c r="G315">
        <f>'1'!P327</f>
        <v>70.684738292011005</v>
      </c>
      <c r="H315" t="b">
        <f t="shared" si="13"/>
        <v>1</v>
      </c>
    </row>
    <row r="316" spans="1:8" x14ac:dyDescent="0.2">
      <c r="A316" t="s">
        <v>1110</v>
      </c>
      <c r="B316" s="1">
        <v>100.51</v>
      </c>
      <c r="C316">
        <f t="shared" si="14"/>
        <v>1.1344243792325057</v>
      </c>
      <c r="E316">
        <f t="shared" si="12"/>
        <v>80.186490358126719</v>
      </c>
      <c r="G316">
        <f>'1'!P328</f>
        <v>80.186490358126719</v>
      </c>
      <c r="H316" t="b">
        <f t="shared" si="13"/>
        <v>1</v>
      </c>
    </row>
    <row r="317" spans="1:8" x14ac:dyDescent="0.2">
      <c r="A317" t="s">
        <v>1111</v>
      </c>
      <c r="B317" s="1">
        <v>94.43</v>
      </c>
      <c r="C317">
        <f t="shared" si="14"/>
        <v>0.93950850661625707</v>
      </c>
      <c r="E317">
        <f t="shared" si="12"/>
        <v>75.33588980716253</v>
      </c>
      <c r="G317">
        <f>'1'!P329</f>
        <v>75.33588980716253</v>
      </c>
      <c r="H317" t="b">
        <f t="shared" si="13"/>
        <v>1</v>
      </c>
    </row>
    <row r="318" spans="1:8" x14ac:dyDescent="0.2">
      <c r="A318" t="s">
        <v>1112</v>
      </c>
      <c r="B318" s="1">
        <v>102.44</v>
      </c>
      <c r="C318">
        <f t="shared" si="14"/>
        <v>1.0848247379010907</v>
      </c>
      <c r="E318">
        <f t="shared" si="12"/>
        <v>81.726236914600548</v>
      </c>
      <c r="G318">
        <f>'1'!P330</f>
        <v>81.726236914600548</v>
      </c>
      <c r="H318" t="b">
        <f t="shared" si="13"/>
        <v>1</v>
      </c>
    </row>
    <row r="319" spans="1:8" x14ac:dyDescent="0.2">
      <c r="A319" t="s">
        <v>1113</v>
      </c>
      <c r="B319" s="1">
        <v>97.73</v>
      </c>
      <c r="C319">
        <f t="shared" si="14"/>
        <v>0.95402186645841469</v>
      </c>
      <c r="E319">
        <f t="shared" si="12"/>
        <v>77.96861707988981</v>
      </c>
      <c r="G319">
        <f>'1'!P331</f>
        <v>77.96861707988981</v>
      </c>
      <c r="H319" t="b">
        <f t="shared" si="13"/>
        <v>1</v>
      </c>
    </row>
    <row r="320" spans="1:8" x14ac:dyDescent="0.2">
      <c r="A320" t="s">
        <v>1114</v>
      </c>
      <c r="B320" s="1">
        <v>101.97</v>
      </c>
      <c r="C320">
        <f t="shared" si="14"/>
        <v>1.043384835772025</v>
      </c>
      <c r="E320">
        <f t="shared" si="12"/>
        <v>81.351272727272729</v>
      </c>
      <c r="G320">
        <f>'1'!P332</f>
        <v>81.351272727272729</v>
      </c>
      <c r="H320" t="b">
        <f t="shared" si="13"/>
        <v>1</v>
      </c>
    </row>
    <row r="321" spans="1:8" x14ac:dyDescent="0.2">
      <c r="A321" t="s">
        <v>1115</v>
      </c>
      <c r="B321" s="1">
        <v>104.93</v>
      </c>
      <c r="C321">
        <f t="shared" si="14"/>
        <v>1.0290281455329999</v>
      </c>
      <c r="E321">
        <f t="shared" si="12"/>
        <v>83.712749311294772</v>
      </c>
      <c r="G321">
        <f>'1'!P333</f>
        <v>83.712749311294772</v>
      </c>
      <c r="H321" t="b">
        <f t="shared" si="13"/>
        <v>1</v>
      </c>
    </row>
    <row r="322" spans="1:8" x14ac:dyDescent="0.2">
      <c r="A322" t="s">
        <v>1116</v>
      </c>
      <c r="B322" s="1">
        <v>98.12</v>
      </c>
      <c r="C322">
        <f t="shared" si="14"/>
        <v>0.93509959020299249</v>
      </c>
      <c r="E322">
        <f t="shared" ref="E322:E324" si="15">E323/C323</f>
        <v>78.279757575757586</v>
      </c>
      <c r="G322">
        <f>'1'!P334</f>
        <v>78.279757575757586</v>
      </c>
      <c r="H322" t="b">
        <f t="shared" si="13"/>
        <v>1</v>
      </c>
    </row>
    <row r="323" spans="1:8" x14ac:dyDescent="0.2">
      <c r="A323" t="s">
        <v>1117</v>
      </c>
      <c r="B323" s="1">
        <v>101.85</v>
      </c>
      <c r="C323">
        <f t="shared" si="14"/>
        <v>1.0380146759070525</v>
      </c>
      <c r="E323">
        <f t="shared" si="15"/>
        <v>81.255537190082649</v>
      </c>
      <c r="G323">
        <f>'1'!P335</f>
        <v>81.255537190082649</v>
      </c>
      <c r="H323" t="b">
        <f t="shared" ref="H323:H326" si="16">EXACT(E323,G323)</f>
        <v>1</v>
      </c>
    </row>
    <row r="324" spans="1:8" x14ac:dyDescent="0.2">
      <c r="A324" t="s">
        <v>1118</v>
      </c>
      <c r="B324" s="1">
        <v>98.93</v>
      </c>
      <c r="C324">
        <f t="shared" ref="C324:C387" si="17">B324/B323</f>
        <v>0.97133038782523329</v>
      </c>
      <c r="E324">
        <f t="shared" si="15"/>
        <v>78.925972451790642</v>
      </c>
      <c r="G324">
        <f>'1'!P336</f>
        <v>78.925972451790642</v>
      </c>
      <c r="H324" t="b">
        <f t="shared" si="16"/>
        <v>1</v>
      </c>
    </row>
    <row r="325" spans="1:8" x14ac:dyDescent="0.2">
      <c r="A325" t="s">
        <v>1119</v>
      </c>
      <c r="B325" s="1">
        <v>86.69</v>
      </c>
      <c r="C325">
        <f t="shared" si="17"/>
        <v>0.87627615485696952</v>
      </c>
      <c r="E325">
        <f>E326/C326</f>
        <v>69.160947658402208</v>
      </c>
      <c r="G325">
        <f>'1'!P337</f>
        <v>69.160947658402208</v>
      </c>
      <c r="H325" t="b">
        <f t="shared" si="16"/>
        <v>1</v>
      </c>
    </row>
    <row r="326" spans="1:8" x14ac:dyDescent="0.2">
      <c r="A326" t="s">
        <v>2</v>
      </c>
      <c r="B326" s="1">
        <v>90.75</v>
      </c>
      <c r="C326">
        <f t="shared" si="17"/>
        <v>1.0468335448148576</v>
      </c>
      <c r="E326" s="3">
        <f>'PIM(2012 = 100)'!B2</f>
        <v>72.400000000000006</v>
      </c>
      <c r="G326">
        <f>'1'!P338</f>
        <v>72.400000000000006</v>
      </c>
      <c r="H326" t="b">
        <f t="shared" si="16"/>
        <v>1</v>
      </c>
    </row>
    <row r="327" spans="1:8" x14ac:dyDescent="0.2">
      <c r="A327" t="s">
        <v>3</v>
      </c>
      <c r="B327" s="1">
        <v>87.85</v>
      </c>
      <c r="C327">
        <f t="shared" si="17"/>
        <v>0.96804407713498619</v>
      </c>
    </row>
    <row r="328" spans="1:8" x14ac:dyDescent="0.2">
      <c r="A328" t="s">
        <v>4</v>
      </c>
      <c r="B328" s="1">
        <v>97.04</v>
      </c>
      <c r="C328">
        <f t="shared" si="17"/>
        <v>1.1046101309049519</v>
      </c>
      <c r="H328" t="b">
        <f>AND(H2:H326)</f>
        <v>1</v>
      </c>
    </row>
    <row r="329" spans="1:8" x14ac:dyDescent="0.2">
      <c r="A329" t="s">
        <v>5</v>
      </c>
      <c r="B329" s="1">
        <v>100.11</v>
      </c>
      <c r="C329">
        <f t="shared" si="17"/>
        <v>1.031636438582028</v>
      </c>
    </row>
    <row r="330" spans="1:8" x14ac:dyDescent="0.2">
      <c r="A330" t="s">
        <v>6</v>
      </c>
      <c r="B330" s="1">
        <v>100.48</v>
      </c>
      <c r="C330">
        <f t="shared" si="17"/>
        <v>1.0036959344720808</v>
      </c>
    </row>
    <row r="331" spans="1:8" x14ac:dyDescent="0.2">
      <c r="A331" t="s">
        <v>7</v>
      </c>
      <c r="B331" s="1">
        <v>96.8</v>
      </c>
      <c r="C331">
        <f t="shared" si="17"/>
        <v>0.9633757961783439</v>
      </c>
    </row>
    <row r="332" spans="1:8" x14ac:dyDescent="0.2">
      <c r="A332" t="s">
        <v>8</v>
      </c>
      <c r="B332" s="1">
        <v>104.53</v>
      </c>
      <c r="C332">
        <f t="shared" si="17"/>
        <v>1.0798553719008266</v>
      </c>
    </row>
    <row r="333" spans="1:8" x14ac:dyDescent="0.2">
      <c r="A333" t="s">
        <v>9</v>
      </c>
      <c r="B333" s="1">
        <v>105.34</v>
      </c>
      <c r="C333">
        <f t="shared" si="17"/>
        <v>1.0077489715871042</v>
      </c>
    </row>
    <row r="334" spans="1:8" x14ac:dyDescent="0.2">
      <c r="A334" t="s">
        <v>10</v>
      </c>
      <c r="B334" s="1">
        <v>103.82</v>
      </c>
      <c r="C334">
        <f t="shared" si="17"/>
        <v>0.98557053351053725</v>
      </c>
    </row>
    <row r="335" spans="1:8" x14ac:dyDescent="0.2">
      <c r="A335" t="s">
        <v>11</v>
      </c>
      <c r="B335" s="1">
        <v>113.18</v>
      </c>
      <c r="C335">
        <f t="shared" si="17"/>
        <v>1.0901560392987866</v>
      </c>
    </row>
    <row r="336" spans="1:8" x14ac:dyDescent="0.2">
      <c r="A336" t="s">
        <v>12</v>
      </c>
      <c r="B336" s="1">
        <v>106.3</v>
      </c>
      <c r="C336">
        <f t="shared" si="17"/>
        <v>0.93921187488955638</v>
      </c>
    </row>
    <row r="337" spans="1:3" x14ac:dyDescent="0.2">
      <c r="A337" t="s">
        <v>13</v>
      </c>
      <c r="B337" s="1">
        <v>93.75</v>
      </c>
      <c r="C337">
        <f t="shared" si="17"/>
        <v>0.88193791157102541</v>
      </c>
    </row>
    <row r="338" spans="1:3" x14ac:dyDescent="0.2">
      <c r="A338" t="s">
        <v>14</v>
      </c>
      <c r="B338" s="1">
        <v>92.22</v>
      </c>
      <c r="C338">
        <f t="shared" si="17"/>
        <v>0.98368</v>
      </c>
    </row>
    <row r="339" spans="1:3" x14ac:dyDescent="0.2">
      <c r="A339" t="s">
        <v>15</v>
      </c>
      <c r="B339" s="1">
        <v>90.26</v>
      </c>
      <c r="C339">
        <f t="shared" si="17"/>
        <v>0.97874647581869445</v>
      </c>
    </row>
    <row r="340" spans="1:3" x14ac:dyDescent="0.2">
      <c r="A340" t="s">
        <v>16</v>
      </c>
      <c r="B340" s="1">
        <v>96.04</v>
      </c>
      <c r="C340">
        <f t="shared" si="17"/>
        <v>1.064037225792156</v>
      </c>
    </row>
    <row r="341" spans="1:3" x14ac:dyDescent="0.2">
      <c r="A341" t="s">
        <v>17</v>
      </c>
      <c r="B341" s="1">
        <v>95.38</v>
      </c>
      <c r="C341">
        <f t="shared" si="17"/>
        <v>0.99312786339025394</v>
      </c>
    </row>
    <row r="342" spans="1:3" x14ac:dyDescent="0.2">
      <c r="A342" t="s">
        <v>18</v>
      </c>
      <c r="B342" s="1">
        <v>99.26</v>
      </c>
      <c r="C342">
        <f t="shared" si="17"/>
        <v>1.0406793877123088</v>
      </c>
    </row>
    <row r="343" spans="1:3" x14ac:dyDescent="0.2">
      <c r="A343" t="s">
        <v>19</v>
      </c>
      <c r="B343" s="1">
        <v>95.02</v>
      </c>
      <c r="C343">
        <f t="shared" si="17"/>
        <v>0.95728390086641135</v>
      </c>
    </row>
    <row r="344" spans="1:3" x14ac:dyDescent="0.2">
      <c r="A344" t="s">
        <v>20</v>
      </c>
      <c r="B344" s="1">
        <v>101.9</v>
      </c>
      <c r="C344">
        <f t="shared" si="17"/>
        <v>1.0724058093033046</v>
      </c>
    </row>
    <row r="345" spans="1:3" x14ac:dyDescent="0.2">
      <c r="A345" t="s">
        <v>21</v>
      </c>
      <c r="B345" s="1">
        <v>102.44</v>
      </c>
      <c r="C345">
        <f t="shared" si="17"/>
        <v>1.0052993130520116</v>
      </c>
    </row>
    <row r="346" spans="1:3" x14ac:dyDescent="0.2">
      <c r="A346" t="s">
        <v>22</v>
      </c>
      <c r="B346" s="1">
        <v>107.97</v>
      </c>
      <c r="C346">
        <f t="shared" si="17"/>
        <v>1.0539828192112457</v>
      </c>
    </row>
    <row r="347" spans="1:3" x14ac:dyDescent="0.2">
      <c r="A347" t="s">
        <v>23</v>
      </c>
      <c r="B347" s="1">
        <v>113.92</v>
      </c>
      <c r="C347">
        <f t="shared" si="17"/>
        <v>1.0551079003426878</v>
      </c>
    </row>
    <row r="348" spans="1:3" x14ac:dyDescent="0.2">
      <c r="A348" t="s">
        <v>24</v>
      </c>
      <c r="B348" s="1">
        <v>107.92</v>
      </c>
      <c r="C348">
        <f t="shared" si="17"/>
        <v>0.9473314606741573</v>
      </c>
    </row>
    <row r="349" spans="1:3" x14ac:dyDescent="0.2">
      <c r="A349" t="s">
        <v>25</v>
      </c>
      <c r="B349" s="1">
        <v>98.23</v>
      </c>
      <c r="C349">
        <f t="shared" si="17"/>
        <v>0.91021126760563387</v>
      </c>
    </row>
    <row r="350" spans="1:3" x14ac:dyDescent="0.2">
      <c r="A350" t="s">
        <v>26</v>
      </c>
      <c r="B350" s="1">
        <v>95.73</v>
      </c>
      <c r="C350">
        <f t="shared" si="17"/>
        <v>0.97454952662119521</v>
      </c>
    </row>
    <row r="351" spans="1:3" x14ac:dyDescent="0.2">
      <c r="A351" t="s">
        <v>27</v>
      </c>
      <c r="B351" s="1">
        <v>92.09</v>
      </c>
      <c r="C351">
        <f t="shared" si="17"/>
        <v>0.96197639193565232</v>
      </c>
    </row>
    <row r="352" spans="1:3" x14ac:dyDescent="0.2">
      <c r="A352" t="s">
        <v>28</v>
      </c>
      <c r="B352" s="1">
        <v>108.9</v>
      </c>
      <c r="C352">
        <f t="shared" si="17"/>
        <v>1.1825388207188621</v>
      </c>
    </row>
    <row r="353" spans="1:3" x14ac:dyDescent="0.2">
      <c r="A353" t="s">
        <v>29</v>
      </c>
      <c r="B353" s="1">
        <v>102.59</v>
      </c>
      <c r="C353">
        <f t="shared" si="17"/>
        <v>0.94205693296602389</v>
      </c>
    </row>
    <row r="354" spans="1:3" x14ac:dyDescent="0.2">
      <c r="A354" t="s">
        <v>30</v>
      </c>
      <c r="B354" s="1">
        <v>108.03</v>
      </c>
      <c r="C354">
        <f t="shared" si="17"/>
        <v>1.0530266107807777</v>
      </c>
    </row>
    <row r="355" spans="1:3" x14ac:dyDescent="0.2">
      <c r="A355" t="s">
        <v>31</v>
      </c>
      <c r="B355" s="1">
        <v>107.86</v>
      </c>
      <c r="C355">
        <f t="shared" si="17"/>
        <v>0.9984263630473017</v>
      </c>
    </row>
    <row r="356" spans="1:3" x14ac:dyDescent="0.2">
      <c r="A356" t="s">
        <v>32</v>
      </c>
      <c r="B356" s="1">
        <v>112.58</v>
      </c>
      <c r="C356">
        <f t="shared" si="17"/>
        <v>1.0437604301872798</v>
      </c>
    </row>
    <row r="357" spans="1:3" x14ac:dyDescent="0.2">
      <c r="A357" t="s">
        <v>33</v>
      </c>
      <c r="B357" s="1">
        <v>116.11</v>
      </c>
      <c r="C357">
        <f t="shared" si="17"/>
        <v>1.0313554805471665</v>
      </c>
    </row>
    <row r="358" spans="1:3" x14ac:dyDescent="0.2">
      <c r="A358" t="s">
        <v>34</v>
      </c>
      <c r="B358" s="1">
        <v>116.05</v>
      </c>
      <c r="C358">
        <f t="shared" si="17"/>
        <v>0.99948324864352767</v>
      </c>
    </row>
    <row r="359" spans="1:3" x14ac:dyDescent="0.2">
      <c r="A359" t="s">
        <v>35</v>
      </c>
      <c r="B359" s="1">
        <v>117.62</v>
      </c>
      <c r="C359">
        <f t="shared" si="17"/>
        <v>1.0135286514433435</v>
      </c>
    </row>
    <row r="360" spans="1:3" x14ac:dyDescent="0.2">
      <c r="A360" t="s">
        <v>36</v>
      </c>
      <c r="B360" s="1">
        <v>116.29</v>
      </c>
      <c r="C360">
        <f t="shared" si="17"/>
        <v>0.98869239925182795</v>
      </c>
    </row>
    <row r="361" spans="1:3" x14ac:dyDescent="0.2">
      <c r="A361" t="s">
        <v>37</v>
      </c>
      <c r="B361" s="1">
        <v>106.41</v>
      </c>
      <c r="C361">
        <f t="shared" si="17"/>
        <v>0.91503998624129324</v>
      </c>
    </row>
    <row r="362" spans="1:3" x14ac:dyDescent="0.2">
      <c r="A362" t="s">
        <v>38</v>
      </c>
      <c r="B362" s="1">
        <v>101.45</v>
      </c>
      <c r="C362">
        <f t="shared" si="17"/>
        <v>0.95338783948876993</v>
      </c>
    </row>
    <row r="363" spans="1:3" x14ac:dyDescent="0.2">
      <c r="A363" t="s">
        <v>39</v>
      </c>
      <c r="B363" s="1">
        <v>95.89</v>
      </c>
      <c r="C363">
        <f t="shared" si="17"/>
        <v>0.94519467718087724</v>
      </c>
    </row>
    <row r="364" spans="1:3" x14ac:dyDescent="0.2">
      <c r="A364" t="s">
        <v>40</v>
      </c>
      <c r="B364" s="1">
        <v>110.81</v>
      </c>
      <c r="C364">
        <f t="shared" si="17"/>
        <v>1.1555949525497966</v>
      </c>
    </row>
    <row r="365" spans="1:3" x14ac:dyDescent="0.2">
      <c r="A365" t="s">
        <v>41</v>
      </c>
      <c r="B365" s="1">
        <v>109.12</v>
      </c>
      <c r="C365">
        <f t="shared" si="17"/>
        <v>0.98474866889269919</v>
      </c>
    </row>
    <row r="366" spans="1:3" x14ac:dyDescent="0.2">
      <c r="A366" t="s">
        <v>42</v>
      </c>
      <c r="B366" s="1">
        <v>114.06</v>
      </c>
      <c r="C366">
        <f t="shared" si="17"/>
        <v>1.0452712609970674</v>
      </c>
    </row>
    <row r="367" spans="1:3" x14ac:dyDescent="0.2">
      <c r="A367" t="s">
        <v>43</v>
      </c>
      <c r="B367" s="1">
        <v>114.77</v>
      </c>
      <c r="C367">
        <f t="shared" si="17"/>
        <v>1.0062247939680868</v>
      </c>
    </row>
    <row r="368" spans="1:3" x14ac:dyDescent="0.2">
      <c r="A368" t="s">
        <v>44</v>
      </c>
      <c r="B368" s="1">
        <v>113.32</v>
      </c>
      <c r="C368">
        <f t="shared" si="17"/>
        <v>0.98736603642066745</v>
      </c>
    </row>
    <row r="369" spans="1:3" x14ac:dyDescent="0.2">
      <c r="A369" t="s">
        <v>45</v>
      </c>
      <c r="B369" s="1">
        <v>120.39</v>
      </c>
      <c r="C369">
        <f t="shared" si="17"/>
        <v>1.0623896929050478</v>
      </c>
    </row>
    <row r="370" spans="1:3" x14ac:dyDescent="0.2">
      <c r="A370" t="s">
        <v>46</v>
      </c>
      <c r="B370" s="1">
        <v>115.99</v>
      </c>
      <c r="C370">
        <f t="shared" si="17"/>
        <v>0.96345211396295372</v>
      </c>
    </row>
    <row r="371" spans="1:3" x14ac:dyDescent="0.2">
      <c r="A371" t="s">
        <v>47</v>
      </c>
      <c r="B371" s="1">
        <v>117.94</v>
      </c>
      <c r="C371">
        <f t="shared" si="17"/>
        <v>1.0168117941201829</v>
      </c>
    </row>
    <row r="372" spans="1:3" x14ac:dyDescent="0.2">
      <c r="A372" t="s">
        <v>48</v>
      </c>
      <c r="B372" s="1">
        <v>117.4</v>
      </c>
      <c r="C372">
        <f t="shared" si="17"/>
        <v>0.99542140071222662</v>
      </c>
    </row>
    <row r="373" spans="1:3" x14ac:dyDescent="0.2">
      <c r="A373" t="s">
        <v>49</v>
      </c>
      <c r="B373" s="1">
        <v>109.34</v>
      </c>
      <c r="C373">
        <f t="shared" si="17"/>
        <v>0.93134582623509365</v>
      </c>
    </row>
    <row r="374" spans="1:3" x14ac:dyDescent="0.2">
      <c r="A374" t="s">
        <v>50</v>
      </c>
      <c r="B374" s="1">
        <v>104.58</v>
      </c>
      <c r="C374">
        <f t="shared" si="17"/>
        <v>0.9564660691421254</v>
      </c>
    </row>
    <row r="375" spans="1:3" x14ac:dyDescent="0.2">
      <c r="A375" t="s">
        <v>51</v>
      </c>
      <c r="B375" s="1">
        <v>101.07</v>
      </c>
      <c r="C375">
        <f t="shared" si="17"/>
        <v>0.96643717728055067</v>
      </c>
    </row>
    <row r="376" spans="1:3" x14ac:dyDescent="0.2">
      <c r="A376" t="s">
        <v>52</v>
      </c>
      <c r="B376" s="1">
        <v>116.68</v>
      </c>
      <c r="C376">
        <f t="shared" si="17"/>
        <v>1.1544474126842783</v>
      </c>
    </row>
    <row r="377" spans="1:3" x14ac:dyDescent="0.2">
      <c r="A377" t="s">
        <v>53</v>
      </c>
      <c r="B377" s="1">
        <v>107.21</v>
      </c>
      <c r="C377">
        <f t="shared" si="17"/>
        <v>0.91883784710318805</v>
      </c>
    </row>
    <row r="378" spans="1:3" x14ac:dyDescent="0.2">
      <c r="A378" t="s">
        <v>54</v>
      </c>
      <c r="B378" s="1">
        <v>119.55</v>
      </c>
      <c r="C378">
        <f t="shared" si="17"/>
        <v>1.115101203245966</v>
      </c>
    </row>
    <row r="379" spans="1:3" x14ac:dyDescent="0.2">
      <c r="A379" t="s">
        <v>55</v>
      </c>
      <c r="B379" s="1">
        <v>114.13</v>
      </c>
      <c r="C379">
        <f t="shared" si="17"/>
        <v>0.95466332078628191</v>
      </c>
    </row>
    <row r="380" spans="1:3" x14ac:dyDescent="0.2">
      <c r="A380" t="s">
        <v>56</v>
      </c>
      <c r="B380" s="1">
        <v>117.27</v>
      </c>
      <c r="C380">
        <f t="shared" si="17"/>
        <v>1.0275124857618505</v>
      </c>
    </row>
    <row r="381" spans="1:3" x14ac:dyDescent="0.2">
      <c r="A381" t="s">
        <v>57</v>
      </c>
      <c r="B381" s="1">
        <v>124.3</v>
      </c>
      <c r="C381">
        <f t="shared" si="17"/>
        <v>1.0599471305534238</v>
      </c>
    </row>
    <row r="382" spans="1:3" x14ac:dyDescent="0.2">
      <c r="A382" t="s">
        <v>58</v>
      </c>
      <c r="B382" s="1">
        <v>117.86</v>
      </c>
      <c r="C382">
        <f t="shared" si="17"/>
        <v>0.94818986323411103</v>
      </c>
    </row>
    <row r="383" spans="1:3" x14ac:dyDescent="0.2">
      <c r="A383" t="s">
        <v>59</v>
      </c>
      <c r="B383" s="1">
        <v>123.78</v>
      </c>
      <c r="C383">
        <f t="shared" si="17"/>
        <v>1.0502290853555065</v>
      </c>
    </row>
    <row r="384" spans="1:3" x14ac:dyDescent="0.2">
      <c r="A384" t="s">
        <v>60</v>
      </c>
      <c r="B384" s="1">
        <v>122.25</v>
      </c>
      <c r="C384">
        <f t="shared" si="17"/>
        <v>0.98763936015511389</v>
      </c>
    </row>
    <row r="385" spans="1:3" x14ac:dyDescent="0.2">
      <c r="A385" t="s">
        <v>61</v>
      </c>
      <c r="B385" s="1">
        <v>109.65</v>
      </c>
      <c r="C385">
        <f t="shared" si="17"/>
        <v>0.89693251533742335</v>
      </c>
    </row>
    <row r="386" spans="1:3" x14ac:dyDescent="0.2">
      <c r="A386" t="s">
        <v>62</v>
      </c>
      <c r="B386" s="1">
        <v>109.22</v>
      </c>
      <c r="C386">
        <f t="shared" si="17"/>
        <v>0.99607843137254892</v>
      </c>
    </row>
    <row r="387" spans="1:3" x14ac:dyDescent="0.2">
      <c r="A387" t="s">
        <v>63</v>
      </c>
      <c r="B387" s="1">
        <v>104.07</v>
      </c>
      <c r="C387">
        <f t="shared" si="17"/>
        <v>0.9528474638344625</v>
      </c>
    </row>
    <row r="388" spans="1:3" x14ac:dyDescent="0.2">
      <c r="A388" t="s">
        <v>64</v>
      </c>
      <c r="B388" s="1">
        <v>121.21</v>
      </c>
      <c r="C388">
        <f t="shared" ref="C388:C451" si="18">B388/B387</f>
        <v>1.1646968386662824</v>
      </c>
    </row>
    <row r="389" spans="1:3" x14ac:dyDescent="0.2">
      <c r="A389" t="s">
        <v>65</v>
      </c>
      <c r="B389" s="1">
        <v>113.58</v>
      </c>
      <c r="C389">
        <f t="shared" si="18"/>
        <v>0.93705139839947205</v>
      </c>
    </row>
    <row r="390" spans="1:3" x14ac:dyDescent="0.2">
      <c r="A390" t="s">
        <v>66</v>
      </c>
      <c r="B390" s="1">
        <v>125.48</v>
      </c>
      <c r="C390">
        <f t="shared" si="18"/>
        <v>1.1047719668955802</v>
      </c>
    </row>
    <row r="391" spans="1:3" x14ac:dyDescent="0.2">
      <c r="A391" t="s">
        <v>67</v>
      </c>
      <c r="B391" s="1">
        <v>121.61</v>
      </c>
      <c r="C391">
        <f t="shared" si="18"/>
        <v>0.96915843162256932</v>
      </c>
    </row>
    <row r="392" spans="1:3" x14ac:dyDescent="0.2">
      <c r="A392" t="s">
        <v>68</v>
      </c>
      <c r="B392" s="1">
        <v>125.5</v>
      </c>
      <c r="C392">
        <f t="shared" si="18"/>
        <v>1.0319875010278761</v>
      </c>
    </row>
    <row r="393" spans="1:3" x14ac:dyDescent="0.2">
      <c r="A393" t="s">
        <v>69</v>
      </c>
      <c r="B393" s="1">
        <v>132.52000000000001</v>
      </c>
      <c r="C393">
        <f t="shared" si="18"/>
        <v>1.0559362549800797</v>
      </c>
    </row>
    <row r="394" spans="1:3" x14ac:dyDescent="0.2">
      <c r="A394" t="s">
        <v>70</v>
      </c>
      <c r="B394" s="1">
        <v>124.19</v>
      </c>
      <c r="C394">
        <f t="shared" si="18"/>
        <v>0.93714156353757916</v>
      </c>
    </row>
    <row r="395" spans="1:3" x14ac:dyDescent="0.2">
      <c r="A395" t="s">
        <v>71</v>
      </c>
      <c r="B395" s="1">
        <v>136.83000000000001</v>
      </c>
      <c r="C395">
        <f t="shared" si="18"/>
        <v>1.1017795313632339</v>
      </c>
    </row>
    <row r="396" spans="1:3" x14ac:dyDescent="0.2">
      <c r="A396" t="s">
        <v>72</v>
      </c>
      <c r="B396" s="1">
        <v>130.47</v>
      </c>
      <c r="C396">
        <f t="shared" si="18"/>
        <v>0.95351896513922374</v>
      </c>
    </row>
    <row r="397" spans="1:3" x14ac:dyDescent="0.2">
      <c r="A397" t="s">
        <v>73</v>
      </c>
      <c r="B397" s="1">
        <v>116.58</v>
      </c>
      <c r="C397">
        <f t="shared" si="18"/>
        <v>0.89353874453897442</v>
      </c>
    </row>
    <row r="398" spans="1:3" x14ac:dyDescent="0.2">
      <c r="A398" t="s">
        <v>74</v>
      </c>
      <c r="B398" s="1">
        <v>118.75</v>
      </c>
      <c r="C398">
        <f t="shared" si="18"/>
        <v>1.018613827414651</v>
      </c>
    </row>
    <row r="399" spans="1:3" x14ac:dyDescent="0.2">
      <c r="A399" t="s">
        <v>75</v>
      </c>
      <c r="B399" s="1">
        <v>114.18</v>
      </c>
      <c r="C399">
        <f t="shared" si="18"/>
        <v>0.96151578947368421</v>
      </c>
    </row>
    <row r="400" spans="1:3" x14ac:dyDescent="0.2">
      <c r="A400" t="s">
        <v>76</v>
      </c>
      <c r="B400" s="1">
        <v>123.05</v>
      </c>
      <c r="C400">
        <f t="shared" si="18"/>
        <v>1.0776843580311788</v>
      </c>
    </row>
    <row r="401" spans="1:3" x14ac:dyDescent="0.2">
      <c r="A401" t="s">
        <v>77</v>
      </c>
      <c r="B401" s="1">
        <v>124.96</v>
      </c>
      <c r="C401">
        <f t="shared" si="18"/>
        <v>1.0155221454693213</v>
      </c>
    </row>
    <row r="402" spans="1:3" x14ac:dyDescent="0.2">
      <c r="A402" t="s">
        <v>78</v>
      </c>
      <c r="B402" s="1">
        <v>128.54</v>
      </c>
      <c r="C402">
        <f t="shared" si="18"/>
        <v>1.0286491677336749</v>
      </c>
    </row>
    <row r="403" spans="1:3" x14ac:dyDescent="0.2">
      <c r="A403" t="s">
        <v>79</v>
      </c>
      <c r="B403" s="1">
        <v>129.52000000000001</v>
      </c>
      <c r="C403">
        <f t="shared" si="18"/>
        <v>1.0076240858876615</v>
      </c>
    </row>
    <row r="404" spans="1:3" x14ac:dyDescent="0.2">
      <c r="A404" t="s">
        <v>80</v>
      </c>
      <c r="B404" s="1">
        <v>136.51</v>
      </c>
      <c r="C404">
        <f t="shared" si="18"/>
        <v>1.0539684990735021</v>
      </c>
    </row>
    <row r="405" spans="1:3" x14ac:dyDescent="0.2">
      <c r="A405" t="s">
        <v>81</v>
      </c>
      <c r="B405" s="1">
        <v>135.1</v>
      </c>
      <c r="C405">
        <f t="shared" si="18"/>
        <v>0.98967108636729917</v>
      </c>
    </row>
    <row r="406" spans="1:3" x14ac:dyDescent="0.2">
      <c r="A406" t="s">
        <v>82</v>
      </c>
      <c r="B406" s="1">
        <v>136.18</v>
      </c>
      <c r="C406">
        <f t="shared" si="18"/>
        <v>1.0079940784603998</v>
      </c>
    </row>
    <row r="407" spans="1:3" x14ac:dyDescent="0.2">
      <c r="A407" t="s">
        <v>83</v>
      </c>
      <c r="B407" s="1">
        <v>138.29</v>
      </c>
      <c r="C407">
        <f t="shared" si="18"/>
        <v>1.0154941988544572</v>
      </c>
    </row>
    <row r="408" spans="1:3" x14ac:dyDescent="0.2">
      <c r="A408" t="s">
        <v>84</v>
      </c>
      <c r="B408" s="1">
        <v>122.11</v>
      </c>
      <c r="C408">
        <f t="shared" si="18"/>
        <v>0.88299949381734044</v>
      </c>
    </row>
    <row r="409" spans="1:3" x14ac:dyDescent="0.2">
      <c r="A409" t="s">
        <v>85</v>
      </c>
      <c r="B409" s="1">
        <v>99.4</v>
      </c>
      <c r="C409">
        <f t="shared" si="18"/>
        <v>0.8140201457702072</v>
      </c>
    </row>
    <row r="410" spans="1:3" x14ac:dyDescent="0.2">
      <c r="A410" t="s">
        <v>86</v>
      </c>
      <c r="B410" s="1">
        <v>98.01</v>
      </c>
      <c r="C410">
        <f t="shared" si="18"/>
        <v>0.98601609657947686</v>
      </c>
    </row>
    <row r="411" spans="1:3" x14ac:dyDescent="0.2">
      <c r="A411" t="s">
        <v>87</v>
      </c>
      <c r="B411" s="1">
        <v>94.98</v>
      </c>
      <c r="C411">
        <f t="shared" si="18"/>
        <v>0.96908478726660541</v>
      </c>
    </row>
    <row r="412" spans="1:3" x14ac:dyDescent="0.2">
      <c r="A412" t="s">
        <v>88</v>
      </c>
      <c r="B412" s="1">
        <v>111.07</v>
      </c>
      <c r="C412">
        <f t="shared" si="18"/>
        <v>1.1694040850705409</v>
      </c>
    </row>
    <row r="413" spans="1:3" x14ac:dyDescent="0.2">
      <c r="A413" t="s">
        <v>89</v>
      </c>
      <c r="B413" s="1">
        <v>106.45</v>
      </c>
      <c r="C413">
        <f t="shared" si="18"/>
        <v>0.95840460970559116</v>
      </c>
    </row>
    <row r="414" spans="1:3" x14ac:dyDescent="0.2">
      <c r="A414" t="s">
        <v>90</v>
      </c>
      <c r="B414" s="1">
        <v>114.15</v>
      </c>
      <c r="C414">
        <f t="shared" si="18"/>
        <v>1.0723344293095349</v>
      </c>
    </row>
    <row r="415" spans="1:3" x14ac:dyDescent="0.2">
      <c r="A415" t="s">
        <v>91</v>
      </c>
      <c r="B415" s="1">
        <v>115.42</v>
      </c>
      <c r="C415">
        <f t="shared" si="18"/>
        <v>1.0111257117827419</v>
      </c>
    </row>
    <row r="416" spans="1:3" x14ac:dyDescent="0.2">
      <c r="A416" t="s">
        <v>92</v>
      </c>
      <c r="B416" s="1">
        <v>122.93</v>
      </c>
      <c r="C416">
        <f t="shared" si="18"/>
        <v>1.0650667128747184</v>
      </c>
    </row>
    <row r="417" spans="1:3" x14ac:dyDescent="0.2">
      <c r="A417" t="s">
        <v>93</v>
      </c>
      <c r="B417" s="1">
        <v>125.56</v>
      </c>
      <c r="C417">
        <f t="shared" si="18"/>
        <v>1.0213942894330106</v>
      </c>
    </row>
    <row r="418" spans="1:3" x14ac:dyDescent="0.2">
      <c r="A418" t="s">
        <v>94</v>
      </c>
      <c r="B418" s="1">
        <v>125.89</v>
      </c>
      <c r="C418">
        <f t="shared" si="18"/>
        <v>1.002628225549538</v>
      </c>
    </row>
    <row r="419" spans="1:3" x14ac:dyDescent="0.2">
      <c r="A419" t="s">
        <v>95</v>
      </c>
      <c r="B419" s="1">
        <v>134.02000000000001</v>
      </c>
      <c r="C419">
        <f t="shared" si="18"/>
        <v>1.0645801890539361</v>
      </c>
    </row>
    <row r="420" spans="1:3" x14ac:dyDescent="0.2">
      <c r="A420" t="s">
        <v>96</v>
      </c>
      <c r="B420" s="1">
        <v>128.6</v>
      </c>
      <c r="C420">
        <f t="shared" si="18"/>
        <v>0.95955827488434553</v>
      </c>
    </row>
    <row r="421" spans="1:3" x14ac:dyDescent="0.2">
      <c r="A421" t="s">
        <v>97</v>
      </c>
      <c r="B421" s="1">
        <v>118.28</v>
      </c>
      <c r="C421">
        <f t="shared" si="18"/>
        <v>0.91975116640746502</v>
      </c>
    </row>
    <row r="422" spans="1:3" x14ac:dyDescent="0.2">
      <c r="A422" t="s">
        <v>98</v>
      </c>
      <c r="B422" s="1">
        <v>113.77</v>
      </c>
      <c r="C422">
        <f t="shared" si="18"/>
        <v>0.96187013865404125</v>
      </c>
    </row>
    <row r="423" spans="1:3" x14ac:dyDescent="0.2">
      <c r="A423" t="s">
        <v>99</v>
      </c>
      <c r="B423" s="1">
        <v>112.24</v>
      </c>
      <c r="C423">
        <f t="shared" si="18"/>
        <v>0.98655181506548295</v>
      </c>
    </row>
    <row r="424" spans="1:3" x14ac:dyDescent="0.2">
      <c r="A424" t="s">
        <v>100</v>
      </c>
      <c r="B424" s="1">
        <v>133.46</v>
      </c>
      <c r="C424">
        <f t="shared" si="18"/>
        <v>1.1890591589451178</v>
      </c>
    </row>
    <row r="425" spans="1:3" x14ac:dyDescent="0.2">
      <c r="A425" t="s">
        <v>101</v>
      </c>
      <c r="B425" s="1">
        <v>124.88</v>
      </c>
      <c r="C425">
        <f t="shared" si="18"/>
        <v>0.93571107447924462</v>
      </c>
    </row>
    <row r="426" spans="1:3" x14ac:dyDescent="0.2">
      <c r="A426" t="s">
        <v>102</v>
      </c>
      <c r="B426" s="1">
        <v>131.05000000000001</v>
      </c>
      <c r="C426">
        <f t="shared" si="18"/>
        <v>1.0494074311338886</v>
      </c>
    </row>
    <row r="427" spans="1:3" x14ac:dyDescent="0.2">
      <c r="A427" t="s">
        <v>103</v>
      </c>
      <c r="B427" s="1">
        <v>128.16</v>
      </c>
      <c r="C427">
        <f t="shared" si="18"/>
        <v>0.97794734834032804</v>
      </c>
    </row>
    <row r="428" spans="1:3" x14ac:dyDescent="0.2">
      <c r="A428" t="s">
        <v>104</v>
      </c>
      <c r="B428" s="1">
        <v>133.66999999999999</v>
      </c>
      <c r="C428">
        <f t="shared" si="18"/>
        <v>1.0429931335830211</v>
      </c>
    </row>
    <row r="429" spans="1:3" x14ac:dyDescent="0.2">
      <c r="A429" t="s">
        <v>105</v>
      </c>
      <c r="B429" s="1">
        <v>136.41</v>
      </c>
      <c r="C429">
        <f t="shared" si="18"/>
        <v>1.0204982419391038</v>
      </c>
    </row>
    <row r="430" spans="1:3" x14ac:dyDescent="0.2">
      <c r="A430" t="s">
        <v>106</v>
      </c>
      <c r="B430" s="1">
        <v>134.31</v>
      </c>
      <c r="C430">
        <f t="shared" si="18"/>
        <v>0.98460523422036517</v>
      </c>
    </row>
    <row r="431" spans="1:3" x14ac:dyDescent="0.2">
      <c r="A431" t="s">
        <v>107</v>
      </c>
      <c r="B431" s="1">
        <v>136.6</v>
      </c>
      <c r="C431">
        <f t="shared" si="18"/>
        <v>1.0170501079591987</v>
      </c>
    </row>
    <row r="432" spans="1:3" x14ac:dyDescent="0.2">
      <c r="A432" t="s">
        <v>108</v>
      </c>
      <c r="B432" s="1">
        <v>135.56</v>
      </c>
      <c r="C432">
        <f t="shared" si="18"/>
        <v>0.99238653001464139</v>
      </c>
    </row>
    <row r="433" spans="1:3" x14ac:dyDescent="0.2">
      <c r="A433" t="s">
        <v>109</v>
      </c>
      <c r="B433" s="1">
        <v>121.28</v>
      </c>
      <c r="C433">
        <f t="shared" si="18"/>
        <v>0.89465919150191797</v>
      </c>
    </row>
    <row r="434" spans="1:3" x14ac:dyDescent="0.2">
      <c r="A434" t="s">
        <v>110</v>
      </c>
      <c r="B434" s="1">
        <v>116.72</v>
      </c>
      <c r="C434">
        <f t="shared" si="18"/>
        <v>0.96240105540897092</v>
      </c>
    </row>
    <row r="435" spans="1:3" x14ac:dyDescent="0.2">
      <c r="A435" t="s">
        <v>111</v>
      </c>
      <c r="B435" s="1">
        <v>120.64</v>
      </c>
      <c r="C435">
        <f t="shared" si="18"/>
        <v>1.0335846470185059</v>
      </c>
    </row>
    <row r="436" spans="1:3" x14ac:dyDescent="0.2">
      <c r="A436" t="s">
        <v>112</v>
      </c>
      <c r="B436" s="1">
        <v>132.07</v>
      </c>
      <c r="C436">
        <f t="shared" si="18"/>
        <v>1.0947446949602122</v>
      </c>
    </row>
    <row r="437" spans="1:3" x14ac:dyDescent="0.2">
      <c r="A437" t="s">
        <v>113</v>
      </c>
      <c r="B437" s="1">
        <v>122.74</v>
      </c>
      <c r="C437">
        <f t="shared" si="18"/>
        <v>0.92935564473385324</v>
      </c>
    </row>
    <row r="438" spans="1:3" x14ac:dyDescent="0.2">
      <c r="A438" t="s">
        <v>114</v>
      </c>
      <c r="B438" s="1">
        <v>134.31</v>
      </c>
      <c r="C438">
        <f t="shared" si="18"/>
        <v>1.0942642985171909</v>
      </c>
    </row>
    <row r="439" spans="1:3" x14ac:dyDescent="0.2">
      <c r="A439" t="s">
        <v>115</v>
      </c>
      <c r="B439" s="1">
        <v>129.34</v>
      </c>
      <c r="C439">
        <f t="shared" si="18"/>
        <v>0.96299605390514487</v>
      </c>
    </row>
    <row r="440" spans="1:3" x14ac:dyDescent="0.2">
      <c r="A440" t="s">
        <v>116</v>
      </c>
      <c r="B440" s="1">
        <v>133.13</v>
      </c>
      <c r="C440">
        <f t="shared" si="18"/>
        <v>1.0293026132673573</v>
      </c>
    </row>
    <row r="441" spans="1:3" x14ac:dyDescent="0.2">
      <c r="A441" t="s">
        <v>117</v>
      </c>
      <c r="B441" s="1">
        <v>139.61000000000001</v>
      </c>
      <c r="C441">
        <f t="shared" si="18"/>
        <v>1.0486742281980022</v>
      </c>
    </row>
    <row r="442" spans="1:3" x14ac:dyDescent="0.2">
      <c r="A442" t="s">
        <v>118</v>
      </c>
      <c r="B442" s="1">
        <v>132.37</v>
      </c>
      <c r="C442">
        <f t="shared" si="18"/>
        <v>0.94814125062674592</v>
      </c>
    </row>
    <row r="443" spans="1:3" x14ac:dyDescent="0.2">
      <c r="A443" t="s">
        <v>119</v>
      </c>
      <c r="B443" s="1">
        <v>134.28</v>
      </c>
      <c r="C443">
        <f t="shared" si="18"/>
        <v>1.0144292513409383</v>
      </c>
    </row>
    <row r="444" spans="1:3" x14ac:dyDescent="0.2">
      <c r="A444" t="s">
        <v>120</v>
      </c>
      <c r="B444" s="1">
        <v>132.09</v>
      </c>
      <c r="C444">
        <f t="shared" si="18"/>
        <v>0.98369079535299375</v>
      </c>
    </row>
    <row r="445" spans="1:3" x14ac:dyDescent="0.2">
      <c r="A445" t="s">
        <v>121</v>
      </c>
      <c r="B445" s="1">
        <v>119.76</v>
      </c>
      <c r="C445">
        <f t="shared" si="18"/>
        <v>0.90665455371337722</v>
      </c>
    </row>
    <row r="446" spans="1:3" x14ac:dyDescent="0.2">
      <c r="A446" t="s">
        <v>122</v>
      </c>
      <c r="B446" s="1">
        <v>113.31</v>
      </c>
      <c r="C446">
        <f t="shared" si="18"/>
        <v>0.94614228456913829</v>
      </c>
    </row>
    <row r="447" spans="1:3" x14ac:dyDescent="0.2">
      <c r="A447" t="s">
        <v>123</v>
      </c>
      <c r="B447" s="1">
        <v>115.25</v>
      </c>
      <c r="C447">
        <f t="shared" si="18"/>
        <v>1.0171211720060012</v>
      </c>
    </row>
    <row r="448" spans="1:3" x14ac:dyDescent="0.2">
      <c r="A448" t="s">
        <v>124</v>
      </c>
      <c r="B448" s="1">
        <v>129.12</v>
      </c>
      <c r="C448">
        <f t="shared" si="18"/>
        <v>1.1203470715835142</v>
      </c>
    </row>
    <row r="449" spans="1:3" x14ac:dyDescent="0.2">
      <c r="A449" t="s">
        <v>125</v>
      </c>
      <c r="B449" s="1">
        <v>118.64</v>
      </c>
      <c r="C449">
        <f t="shared" si="18"/>
        <v>0.91883519206939279</v>
      </c>
    </row>
    <row r="450" spans="1:3" x14ac:dyDescent="0.2">
      <c r="A450" t="s">
        <v>126</v>
      </c>
      <c r="B450" s="1">
        <v>128.72</v>
      </c>
      <c r="C450">
        <f t="shared" si="18"/>
        <v>1.0849629130141605</v>
      </c>
    </row>
    <row r="451" spans="1:3" x14ac:dyDescent="0.2">
      <c r="A451" t="s">
        <v>127</v>
      </c>
      <c r="B451" s="1">
        <v>122.65</v>
      </c>
      <c r="C451">
        <f t="shared" si="18"/>
        <v>0.95284338098197641</v>
      </c>
    </row>
    <row r="452" spans="1:3" x14ac:dyDescent="0.2">
      <c r="A452" t="s">
        <v>128</v>
      </c>
      <c r="B452" s="1">
        <v>129.91999999999999</v>
      </c>
      <c r="C452">
        <f t="shared" ref="C452:C471" si="19">B452/B451</f>
        <v>1.0592743579290662</v>
      </c>
    </row>
    <row r="453" spans="1:3" x14ac:dyDescent="0.2">
      <c r="A453" t="s">
        <v>129</v>
      </c>
      <c r="B453" s="1">
        <v>137.54</v>
      </c>
      <c r="C453">
        <f t="shared" si="19"/>
        <v>1.0586514778325125</v>
      </c>
    </row>
    <row r="454" spans="1:3" x14ac:dyDescent="0.2">
      <c r="A454" t="s">
        <v>130</v>
      </c>
      <c r="B454" s="1">
        <v>128.38999999999999</v>
      </c>
      <c r="C454">
        <f t="shared" si="19"/>
        <v>0.93347389850225382</v>
      </c>
    </row>
    <row r="455" spans="1:3" x14ac:dyDescent="0.2">
      <c r="A455" t="s">
        <v>131</v>
      </c>
      <c r="B455" s="1">
        <v>138.32</v>
      </c>
      <c r="C455">
        <f t="shared" si="19"/>
        <v>1.0773424721551523</v>
      </c>
    </row>
    <row r="456" spans="1:3" x14ac:dyDescent="0.2">
      <c r="A456" t="s">
        <v>132</v>
      </c>
      <c r="B456" s="1">
        <v>131.1</v>
      </c>
      <c r="C456">
        <f t="shared" si="19"/>
        <v>0.94780219780219777</v>
      </c>
    </row>
    <row r="457" spans="1:3" x14ac:dyDescent="0.2">
      <c r="A457" t="s">
        <v>133</v>
      </c>
      <c r="B457" s="1">
        <v>115.7</v>
      </c>
      <c r="C457">
        <f t="shared" si="19"/>
        <v>0.8825324180015256</v>
      </c>
    </row>
    <row r="458" spans="1:3" x14ac:dyDescent="0.2">
      <c r="A458" t="s">
        <v>134</v>
      </c>
      <c r="B458" s="1">
        <v>120.04</v>
      </c>
      <c r="C458">
        <f t="shared" si="19"/>
        <v>1.0375108038029386</v>
      </c>
    </row>
    <row r="459" spans="1:3" x14ac:dyDescent="0.2">
      <c r="A459" t="s">
        <v>135</v>
      </c>
      <c r="B459" s="1">
        <v>112.26</v>
      </c>
      <c r="C459">
        <f t="shared" si="19"/>
        <v>0.93518827057647447</v>
      </c>
    </row>
    <row r="460" spans="1:3" x14ac:dyDescent="0.2">
      <c r="A460" t="s">
        <v>136</v>
      </c>
      <c r="B460" s="1">
        <v>124.92</v>
      </c>
      <c r="C460">
        <f t="shared" si="19"/>
        <v>1.1127739176910743</v>
      </c>
    </row>
    <row r="461" spans="1:3" x14ac:dyDescent="0.2">
      <c r="A461" t="s">
        <v>137</v>
      </c>
      <c r="B461" s="1">
        <v>128.84</v>
      </c>
      <c r="C461">
        <f t="shared" si="19"/>
        <v>1.031380083253282</v>
      </c>
    </row>
    <row r="462" spans="1:3" x14ac:dyDescent="0.2">
      <c r="A462" t="s">
        <v>138</v>
      </c>
      <c r="B462" s="1">
        <v>130.51</v>
      </c>
      <c r="C462">
        <f t="shared" si="19"/>
        <v>1.0129618131015212</v>
      </c>
    </row>
    <row r="463" spans="1:3" x14ac:dyDescent="0.2">
      <c r="A463" t="s">
        <v>139</v>
      </c>
      <c r="B463" s="1">
        <v>126.2</v>
      </c>
      <c r="C463">
        <f t="shared" si="19"/>
        <v>0.96697571067351173</v>
      </c>
    </row>
    <row r="464" spans="1:3" x14ac:dyDescent="0.2">
      <c r="A464" t="s">
        <v>140</v>
      </c>
      <c r="B464" s="1">
        <v>132.32</v>
      </c>
      <c r="C464">
        <f t="shared" si="19"/>
        <v>1.0484944532488114</v>
      </c>
    </row>
    <row r="465" spans="1:3" x14ac:dyDescent="0.2">
      <c r="A465" t="s">
        <v>141</v>
      </c>
      <c r="B465" s="1">
        <v>136.13999999999999</v>
      </c>
      <c r="C465">
        <f t="shared" si="19"/>
        <v>1.0288694074969771</v>
      </c>
    </row>
    <row r="466" spans="1:3" x14ac:dyDescent="0.2">
      <c r="A466" t="s">
        <v>142</v>
      </c>
      <c r="B466" s="1">
        <v>130.99</v>
      </c>
      <c r="C466">
        <f t="shared" si="19"/>
        <v>0.96217129425591319</v>
      </c>
    </row>
    <row r="467" spans="1:3" x14ac:dyDescent="0.2">
      <c r="A467" t="s">
        <v>143</v>
      </c>
      <c r="B467" s="1">
        <v>139.75</v>
      </c>
      <c r="C467">
        <f t="shared" si="19"/>
        <v>1.0668753339949615</v>
      </c>
    </row>
    <row r="468" spans="1:3" x14ac:dyDescent="0.2">
      <c r="A468" t="s">
        <v>144</v>
      </c>
      <c r="B468" s="1">
        <v>131.5</v>
      </c>
      <c r="C468">
        <f t="shared" si="19"/>
        <v>0.94096601073345254</v>
      </c>
    </row>
    <row r="469" spans="1:3" x14ac:dyDescent="0.2">
      <c r="A469" t="s">
        <v>145</v>
      </c>
      <c r="B469" s="1">
        <v>112.75</v>
      </c>
      <c r="C469">
        <f t="shared" si="19"/>
        <v>0.85741444866920147</v>
      </c>
    </row>
    <row r="470" spans="1:3" x14ac:dyDescent="0.2">
      <c r="A470" t="s">
        <v>146</v>
      </c>
      <c r="B470" s="1">
        <v>117.35</v>
      </c>
      <c r="C470">
        <f t="shared" si="19"/>
        <v>1.0407982261640798</v>
      </c>
    </row>
    <row r="471" spans="1:3" x14ac:dyDescent="0.2">
      <c r="A471" t="s">
        <v>147</v>
      </c>
      <c r="B471" s="1">
        <v>117.91</v>
      </c>
      <c r="C471">
        <f t="shared" si="19"/>
        <v>1.0047720494247976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zoomScaleNormal="100" workbookViewId="0"/>
  </sheetViews>
  <sheetFormatPr defaultColWidth="10.28515625" defaultRowHeight="12.75" customHeight="1" x14ac:dyDescent="0.2"/>
  <cols>
    <col min="1" max="1" width="10.28515625" customWidth="1"/>
  </cols>
  <sheetData>
    <row r="1" spans="1:2" x14ac:dyDescent="0.2">
      <c r="A1" t="s">
        <v>180</v>
      </c>
      <c r="B1" t="s">
        <v>181</v>
      </c>
    </row>
    <row r="2" spans="1:2" x14ac:dyDescent="0.2">
      <c r="A2" t="s">
        <v>1121</v>
      </c>
      <c r="B2" t="s">
        <v>1120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87"/>
  <sheetViews>
    <sheetView topLeftCell="A1146" workbookViewId="0">
      <selection activeCell="A1150" sqref="A1150"/>
    </sheetView>
  </sheetViews>
  <sheetFormatPr defaultColWidth="20.7109375" defaultRowHeight="12.75" x14ac:dyDescent="0.2"/>
  <cols>
    <col min="1" max="1" width="20.7109375" style="9" customWidth="1"/>
    <col min="2" max="16384" width="20.7109375" style="9"/>
  </cols>
  <sheetData>
    <row r="1" spans="1:3" x14ac:dyDescent="0.2">
      <c r="A1" s="9" t="s">
        <v>1125</v>
      </c>
      <c r="C1" s="12">
        <v>42760</v>
      </c>
    </row>
    <row r="2" spans="1:3" x14ac:dyDescent="0.2">
      <c r="A2" s="9" t="s">
        <v>1126</v>
      </c>
    </row>
    <row r="3" spans="1:3" x14ac:dyDescent="0.2">
      <c r="A3" s="9" t="s">
        <v>1127</v>
      </c>
    </row>
    <row r="4" spans="1:3" x14ac:dyDescent="0.2">
      <c r="A4" s="9" t="s">
        <v>1128</v>
      </c>
    </row>
    <row r="5" spans="1:3" x14ac:dyDescent="0.2">
      <c r="A5" s="9" t="s">
        <v>1129</v>
      </c>
    </row>
    <row r="6" spans="1:3" x14ac:dyDescent="0.2">
      <c r="A6" s="9" t="s">
        <v>1130</v>
      </c>
    </row>
    <row r="8" spans="1:3" x14ac:dyDescent="0.2">
      <c r="A8" s="9" t="s">
        <v>1131</v>
      </c>
      <c r="B8" s="9" t="s">
        <v>1132</v>
      </c>
    </row>
    <row r="10" spans="1:3" x14ac:dyDescent="0.2">
      <c r="A10" s="9" t="s">
        <v>1133</v>
      </c>
    </row>
    <row r="11" spans="1:3" x14ac:dyDescent="0.2">
      <c r="A11" s="9" t="s">
        <v>1134</v>
      </c>
      <c r="B11" s="9" t="s">
        <v>1131</v>
      </c>
    </row>
    <row r="12" spans="1:3" x14ac:dyDescent="0.2">
      <c r="A12" s="10">
        <v>6941</v>
      </c>
      <c r="B12" s="11">
        <v>4.9739000000000004</v>
      </c>
    </row>
    <row r="13" spans="1:3" x14ac:dyDescent="0.2">
      <c r="A13" s="10">
        <v>6972</v>
      </c>
      <c r="B13" s="11">
        <v>4.7782999999999998</v>
      </c>
    </row>
    <row r="14" spans="1:3" x14ac:dyDescent="0.2">
      <c r="A14" s="10">
        <v>7000</v>
      </c>
      <c r="B14" s="11">
        <v>4.6665000000000001</v>
      </c>
    </row>
    <row r="15" spans="1:3" x14ac:dyDescent="0.2">
      <c r="A15" s="10">
        <v>7031</v>
      </c>
      <c r="B15" s="11">
        <v>4.7504</v>
      </c>
    </row>
    <row r="16" spans="1:3" x14ac:dyDescent="0.2">
      <c r="A16" s="10">
        <v>7061</v>
      </c>
      <c r="B16" s="11">
        <v>4.8901000000000003</v>
      </c>
    </row>
    <row r="17" spans="1:2" x14ac:dyDescent="0.2">
      <c r="A17" s="10">
        <v>7092</v>
      </c>
      <c r="B17" s="11">
        <v>5.1974999999999998</v>
      </c>
    </row>
    <row r="18" spans="1:2" x14ac:dyDescent="0.2">
      <c r="A18" s="10">
        <v>7122</v>
      </c>
      <c r="B18" s="11">
        <v>5.3651</v>
      </c>
    </row>
    <row r="19" spans="1:2" x14ac:dyDescent="0.2">
      <c r="A19" s="10">
        <v>7153</v>
      </c>
      <c r="B19" s="11">
        <v>5.4768999999999997</v>
      </c>
    </row>
    <row r="20" spans="1:2" x14ac:dyDescent="0.2">
      <c r="A20" s="10">
        <v>7184</v>
      </c>
      <c r="B20" s="11">
        <v>5.5048000000000004</v>
      </c>
    </row>
    <row r="21" spans="1:2" x14ac:dyDescent="0.2">
      <c r="A21" s="10">
        <v>7214</v>
      </c>
      <c r="B21" s="11">
        <v>5.4768999999999997</v>
      </c>
    </row>
    <row r="22" spans="1:2" x14ac:dyDescent="0.2">
      <c r="A22" s="10">
        <v>7245</v>
      </c>
      <c r="B22" s="11">
        <v>5.3651</v>
      </c>
    </row>
    <row r="23" spans="1:2" x14ac:dyDescent="0.2">
      <c r="A23" s="10">
        <v>7275</v>
      </c>
      <c r="B23" s="11">
        <v>5.0019</v>
      </c>
    </row>
    <row r="24" spans="1:2" x14ac:dyDescent="0.2">
      <c r="A24" s="10">
        <v>7306</v>
      </c>
      <c r="B24" s="11">
        <v>5.7004999999999999</v>
      </c>
    </row>
    <row r="25" spans="1:2" x14ac:dyDescent="0.2">
      <c r="A25" s="10">
        <v>7337</v>
      </c>
      <c r="B25" s="11">
        <v>5.7283999999999997</v>
      </c>
    </row>
    <row r="26" spans="1:2" x14ac:dyDescent="0.2">
      <c r="A26" s="10">
        <v>7366</v>
      </c>
      <c r="B26" s="11">
        <v>5.7283999999999997</v>
      </c>
    </row>
    <row r="27" spans="1:2" x14ac:dyDescent="0.2">
      <c r="A27" s="10">
        <v>7397</v>
      </c>
      <c r="B27" s="11">
        <v>5.3651</v>
      </c>
    </row>
    <row r="28" spans="1:2" x14ac:dyDescent="0.2">
      <c r="A28" s="10">
        <v>7427</v>
      </c>
      <c r="B28" s="11">
        <v>5.7004999999999999</v>
      </c>
    </row>
    <row r="29" spans="1:2" x14ac:dyDescent="0.2">
      <c r="A29" s="10">
        <v>7458</v>
      </c>
      <c r="B29" s="11">
        <v>5.7004999999999999</v>
      </c>
    </row>
    <row r="30" spans="1:2" x14ac:dyDescent="0.2">
      <c r="A30" s="10">
        <v>7488</v>
      </c>
      <c r="B30" s="11">
        <v>5.3930999999999996</v>
      </c>
    </row>
    <row r="31" spans="1:2" x14ac:dyDescent="0.2">
      <c r="A31" s="10">
        <v>7519</v>
      </c>
      <c r="B31" s="11">
        <v>5.5048000000000004</v>
      </c>
    </row>
    <row r="32" spans="1:2" x14ac:dyDescent="0.2">
      <c r="A32" s="10">
        <v>7550</v>
      </c>
      <c r="B32" s="11">
        <v>5.3930999999999996</v>
      </c>
    </row>
    <row r="33" spans="1:2" x14ac:dyDescent="0.2">
      <c r="A33" s="10">
        <v>7580</v>
      </c>
      <c r="B33" s="11">
        <v>5.2534000000000001</v>
      </c>
    </row>
    <row r="34" spans="1:2" x14ac:dyDescent="0.2">
      <c r="A34" s="10">
        <v>7611</v>
      </c>
      <c r="B34" s="11">
        <v>4.7504</v>
      </c>
    </row>
    <row r="35" spans="1:2" x14ac:dyDescent="0.2">
      <c r="A35" s="10">
        <v>7641</v>
      </c>
      <c r="B35" s="11">
        <v>4.1635999999999997</v>
      </c>
    </row>
    <row r="36" spans="1:2" x14ac:dyDescent="0.2">
      <c r="A36" s="10">
        <v>7672</v>
      </c>
      <c r="B36" s="11">
        <v>4.0796999999999999</v>
      </c>
    </row>
    <row r="37" spans="1:2" x14ac:dyDescent="0.2">
      <c r="A37" s="10">
        <v>7703</v>
      </c>
      <c r="B37" s="11">
        <v>4.0237999999999996</v>
      </c>
    </row>
    <row r="38" spans="1:2" x14ac:dyDescent="0.2">
      <c r="A38" s="10">
        <v>7731</v>
      </c>
      <c r="B38" s="11">
        <v>3.9121000000000001</v>
      </c>
    </row>
    <row r="39" spans="1:2" x14ac:dyDescent="0.2">
      <c r="A39" s="10">
        <v>7762</v>
      </c>
      <c r="B39" s="11">
        <v>3.94</v>
      </c>
    </row>
    <row r="40" spans="1:2" x14ac:dyDescent="0.2">
      <c r="A40" s="10">
        <v>7792</v>
      </c>
      <c r="B40" s="11">
        <v>4.1356000000000002</v>
      </c>
    </row>
    <row r="41" spans="1:2" x14ac:dyDescent="0.2">
      <c r="A41" s="10">
        <v>7823</v>
      </c>
      <c r="B41" s="11">
        <v>4.0796999999999999</v>
      </c>
    </row>
    <row r="42" spans="1:2" x14ac:dyDescent="0.2">
      <c r="A42" s="10">
        <v>7853</v>
      </c>
      <c r="B42" s="11">
        <v>3.94</v>
      </c>
    </row>
    <row r="43" spans="1:2" x14ac:dyDescent="0.2">
      <c r="A43" s="10">
        <v>7884</v>
      </c>
      <c r="B43" s="11">
        <v>4.1356000000000002</v>
      </c>
    </row>
    <row r="44" spans="1:2" x14ac:dyDescent="0.2">
      <c r="A44" s="10">
        <v>7915</v>
      </c>
      <c r="B44" s="11">
        <v>4.2473999999999998</v>
      </c>
    </row>
    <row r="45" spans="1:2" x14ac:dyDescent="0.2">
      <c r="A45" s="10">
        <v>7945</v>
      </c>
      <c r="B45" s="11">
        <v>4.5267999999999997</v>
      </c>
    </row>
    <row r="46" spans="1:2" x14ac:dyDescent="0.2">
      <c r="A46" s="10">
        <v>7976</v>
      </c>
      <c r="B46" s="11">
        <v>4.4150999999999998</v>
      </c>
    </row>
    <row r="47" spans="1:2" x14ac:dyDescent="0.2">
      <c r="A47" s="10">
        <v>8006</v>
      </c>
      <c r="B47" s="11">
        <v>4.0518000000000001</v>
      </c>
    </row>
    <row r="48" spans="1:2" x14ac:dyDescent="0.2">
      <c r="A48" s="10">
        <v>8037</v>
      </c>
      <c r="B48" s="11">
        <v>4.4150999999999998</v>
      </c>
    </row>
    <row r="49" spans="1:2" x14ac:dyDescent="0.2">
      <c r="A49" s="10">
        <v>8068</v>
      </c>
      <c r="B49" s="11">
        <v>4.7224000000000004</v>
      </c>
    </row>
    <row r="50" spans="1:2" x14ac:dyDescent="0.2">
      <c r="A50" s="10">
        <v>8096</v>
      </c>
      <c r="B50" s="11">
        <v>5.0019</v>
      </c>
    </row>
    <row r="51" spans="1:2" x14ac:dyDescent="0.2">
      <c r="A51" s="10">
        <v>8127</v>
      </c>
      <c r="B51" s="11">
        <v>4.7782999999999998</v>
      </c>
    </row>
    <row r="52" spans="1:2" x14ac:dyDescent="0.2">
      <c r="A52" s="10">
        <v>8157</v>
      </c>
      <c r="B52" s="11">
        <v>5.0857000000000001</v>
      </c>
    </row>
    <row r="53" spans="1:2" x14ac:dyDescent="0.2">
      <c r="A53" s="10">
        <v>8188</v>
      </c>
      <c r="B53" s="11">
        <v>5.3372000000000002</v>
      </c>
    </row>
    <row r="54" spans="1:2" x14ac:dyDescent="0.2">
      <c r="A54" s="10">
        <v>8218</v>
      </c>
      <c r="B54" s="11">
        <v>5.1974999999999998</v>
      </c>
    </row>
    <row r="55" spans="1:2" x14ac:dyDescent="0.2">
      <c r="A55" s="10">
        <v>8249</v>
      </c>
      <c r="B55" s="11">
        <v>5.1135999999999999</v>
      </c>
    </row>
    <row r="56" spans="1:2" x14ac:dyDescent="0.2">
      <c r="A56" s="10">
        <v>8280</v>
      </c>
      <c r="B56" s="11">
        <v>5.5048000000000004</v>
      </c>
    </row>
    <row r="57" spans="1:2" x14ac:dyDescent="0.2">
      <c r="A57" s="10">
        <v>8310</v>
      </c>
      <c r="B57" s="11">
        <v>5.9240000000000004</v>
      </c>
    </row>
    <row r="58" spans="1:2" x14ac:dyDescent="0.2">
      <c r="A58" s="10">
        <v>8341</v>
      </c>
      <c r="B58" s="11">
        <v>6.0917000000000003</v>
      </c>
    </row>
    <row r="59" spans="1:2" x14ac:dyDescent="0.2">
      <c r="A59" s="10">
        <v>8371</v>
      </c>
      <c r="B59" s="11">
        <v>5.8681000000000001</v>
      </c>
    </row>
    <row r="60" spans="1:2" x14ac:dyDescent="0.2">
      <c r="A60" s="10">
        <v>8402</v>
      </c>
      <c r="B60" s="11">
        <v>5.8681000000000001</v>
      </c>
    </row>
    <row r="61" spans="1:2" x14ac:dyDescent="0.2">
      <c r="A61" s="10">
        <v>8433</v>
      </c>
      <c r="B61" s="11">
        <v>6.0636999999999999</v>
      </c>
    </row>
    <row r="62" spans="1:2" x14ac:dyDescent="0.2">
      <c r="A62" s="10">
        <v>8461</v>
      </c>
      <c r="B62" s="11">
        <v>6.3432000000000004</v>
      </c>
    </row>
    <row r="63" spans="1:2" x14ac:dyDescent="0.2">
      <c r="A63" s="10">
        <v>8492</v>
      </c>
      <c r="B63" s="11">
        <v>6.4549000000000003</v>
      </c>
    </row>
    <row r="64" spans="1:2" x14ac:dyDescent="0.2">
      <c r="A64" s="10">
        <v>8522</v>
      </c>
      <c r="B64" s="11">
        <v>6.6226000000000003</v>
      </c>
    </row>
    <row r="65" spans="1:2" x14ac:dyDescent="0.2">
      <c r="A65" s="10">
        <v>8553</v>
      </c>
      <c r="B65" s="11">
        <v>6.5388000000000002</v>
      </c>
    </row>
    <row r="66" spans="1:2" x14ac:dyDescent="0.2">
      <c r="A66" s="10">
        <v>8583</v>
      </c>
      <c r="B66" s="11">
        <v>6.3151999999999999</v>
      </c>
    </row>
    <row r="67" spans="1:2" x14ac:dyDescent="0.2">
      <c r="A67" s="10">
        <v>8614</v>
      </c>
      <c r="B67" s="11">
        <v>6.3432000000000004</v>
      </c>
    </row>
    <row r="68" spans="1:2" x14ac:dyDescent="0.2">
      <c r="A68" s="10">
        <v>8645</v>
      </c>
      <c r="B68" s="11">
        <v>6.3432000000000004</v>
      </c>
    </row>
    <row r="69" spans="1:2" x14ac:dyDescent="0.2">
      <c r="A69" s="10">
        <v>8675</v>
      </c>
      <c r="B69" s="11">
        <v>6.3432000000000004</v>
      </c>
    </row>
    <row r="70" spans="1:2" x14ac:dyDescent="0.2">
      <c r="A70" s="10">
        <v>8706</v>
      </c>
      <c r="B70" s="11">
        <v>6.1755000000000004</v>
      </c>
    </row>
    <row r="71" spans="1:2" x14ac:dyDescent="0.2">
      <c r="A71" s="10">
        <v>8736</v>
      </c>
      <c r="B71" s="11">
        <v>5.7004999999999999</v>
      </c>
    </row>
    <row r="72" spans="1:2" x14ac:dyDescent="0.2">
      <c r="A72" s="10">
        <v>8767</v>
      </c>
      <c r="B72" s="11">
        <v>5.9519000000000002</v>
      </c>
    </row>
    <row r="73" spans="1:2" x14ac:dyDescent="0.2">
      <c r="A73" s="10">
        <v>8798</v>
      </c>
      <c r="B73" s="11">
        <v>6.2034000000000002</v>
      </c>
    </row>
    <row r="74" spans="1:2" x14ac:dyDescent="0.2">
      <c r="A74" s="10">
        <v>8827</v>
      </c>
      <c r="B74" s="11">
        <v>6.2034000000000002</v>
      </c>
    </row>
    <row r="75" spans="1:2" x14ac:dyDescent="0.2">
      <c r="A75" s="10">
        <v>8858</v>
      </c>
      <c r="B75" s="11">
        <v>5.9798999999999998</v>
      </c>
    </row>
    <row r="76" spans="1:2" x14ac:dyDescent="0.2">
      <c r="A76" s="10">
        <v>8888</v>
      </c>
      <c r="B76" s="11">
        <v>5.7563000000000004</v>
      </c>
    </row>
    <row r="77" spans="1:2" x14ac:dyDescent="0.2">
      <c r="A77" s="10">
        <v>8919</v>
      </c>
      <c r="B77" s="11">
        <v>5.4768999999999997</v>
      </c>
    </row>
    <row r="78" spans="1:2" x14ac:dyDescent="0.2">
      <c r="A78" s="10">
        <v>8949</v>
      </c>
      <c r="B78" s="11">
        <v>5.2534000000000001</v>
      </c>
    </row>
    <row r="79" spans="1:2" x14ac:dyDescent="0.2">
      <c r="A79" s="10">
        <v>8980</v>
      </c>
      <c r="B79" s="11">
        <v>5.5887000000000002</v>
      </c>
    </row>
    <row r="80" spans="1:2" x14ac:dyDescent="0.2">
      <c r="A80" s="10">
        <v>9011</v>
      </c>
      <c r="B80" s="11">
        <v>5.9519000000000002</v>
      </c>
    </row>
    <row r="81" spans="1:2" x14ac:dyDescent="0.2">
      <c r="A81" s="10">
        <v>9041</v>
      </c>
      <c r="B81" s="11">
        <v>6.0917000000000003</v>
      </c>
    </row>
    <row r="82" spans="1:2" x14ac:dyDescent="0.2">
      <c r="A82" s="10">
        <v>9072</v>
      </c>
      <c r="B82" s="11">
        <v>6.0358000000000001</v>
      </c>
    </row>
    <row r="83" spans="1:2" x14ac:dyDescent="0.2">
      <c r="A83" s="10">
        <v>9102</v>
      </c>
      <c r="B83" s="11">
        <v>5.8681000000000001</v>
      </c>
    </row>
    <row r="84" spans="1:2" x14ac:dyDescent="0.2">
      <c r="A84" s="10">
        <v>9133</v>
      </c>
      <c r="B84" s="11">
        <v>6.2034000000000002</v>
      </c>
    </row>
    <row r="85" spans="1:2" x14ac:dyDescent="0.2">
      <c r="A85" s="10">
        <v>9164</v>
      </c>
      <c r="B85" s="11">
        <v>6.3432000000000004</v>
      </c>
    </row>
    <row r="86" spans="1:2" x14ac:dyDescent="0.2">
      <c r="A86" s="10">
        <v>9192</v>
      </c>
      <c r="B86" s="11">
        <v>6.4269999999999996</v>
      </c>
    </row>
    <row r="87" spans="1:2" x14ac:dyDescent="0.2">
      <c r="A87" s="10">
        <v>9223</v>
      </c>
      <c r="B87" s="11">
        <v>6.4549000000000003</v>
      </c>
    </row>
    <row r="88" spans="1:2" x14ac:dyDescent="0.2">
      <c r="A88" s="10">
        <v>9253</v>
      </c>
      <c r="B88" s="11">
        <v>6.4549000000000003</v>
      </c>
    </row>
    <row r="89" spans="1:2" x14ac:dyDescent="0.2">
      <c r="A89" s="10">
        <v>9284</v>
      </c>
      <c r="B89" s="11">
        <v>6.3432000000000004</v>
      </c>
    </row>
    <row r="90" spans="1:2" x14ac:dyDescent="0.2">
      <c r="A90" s="10">
        <v>9314</v>
      </c>
      <c r="B90" s="11">
        <v>6.3432000000000004</v>
      </c>
    </row>
    <row r="91" spans="1:2" x14ac:dyDescent="0.2">
      <c r="A91" s="10">
        <v>9345</v>
      </c>
      <c r="B91" s="11">
        <v>6.4549000000000003</v>
      </c>
    </row>
    <row r="92" spans="1:2" x14ac:dyDescent="0.2">
      <c r="A92" s="10">
        <v>9376</v>
      </c>
      <c r="B92" s="11">
        <v>6.5388000000000002</v>
      </c>
    </row>
    <row r="93" spans="1:2" x14ac:dyDescent="0.2">
      <c r="A93" s="10">
        <v>9406</v>
      </c>
      <c r="B93" s="11">
        <v>6.7622999999999998</v>
      </c>
    </row>
    <row r="94" spans="1:2" x14ac:dyDescent="0.2">
      <c r="A94" s="10">
        <v>9437</v>
      </c>
      <c r="B94" s="11">
        <v>6.7064000000000004</v>
      </c>
    </row>
    <row r="95" spans="1:2" x14ac:dyDescent="0.2">
      <c r="A95" s="10">
        <v>9467</v>
      </c>
      <c r="B95" s="11">
        <v>6.4269999999999996</v>
      </c>
    </row>
    <row r="96" spans="1:2" x14ac:dyDescent="0.2">
      <c r="A96" s="10">
        <v>9498</v>
      </c>
      <c r="B96" s="11">
        <v>6.4549000000000003</v>
      </c>
    </row>
    <row r="97" spans="1:2" x14ac:dyDescent="0.2">
      <c r="A97" s="10">
        <v>9529</v>
      </c>
      <c r="B97" s="11">
        <v>6.6784999999999997</v>
      </c>
    </row>
    <row r="98" spans="1:2" x14ac:dyDescent="0.2">
      <c r="A98" s="10">
        <v>9557</v>
      </c>
      <c r="B98" s="11">
        <v>6.8182</v>
      </c>
    </row>
    <row r="99" spans="1:2" x14ac:dyDescent="0.2">
      <c r="A99" s="10">
        <v>9588</v>
      </c>
      <c r="B99" s="11">
        <v>6.7901999999999996</v>
      </c>
    </row>
    <row r="100" spans="1:2" x14ac:dyDescent="0.2">
      <c r="A100" s="10">
        <v>9618</v>
      </c>
      <c r="B100" s="11">
        <v>6.7901999999999996</v>
      </c>
    </row>
    <row r="101" spans="1:2" x14ac:dyDescent="0.2">
      <c r="A101" s="10">
        <v>9649</v>
      </c>
      <c r="B101" s="11">
        <v>6.7901999999999996</v>
      </c>
    </row>
    <row r="102" spans="1:2" x14ac:dyDescent="0.2">
      <c r="A102" s="10">
        <v>9679</v>
      </c>
      <c r="B102" s="11">
        <v>6.6784999999999997</v>
      </c>
    </row>
    <row r="103" spans="1:2" x14ac:dyDescent="0.2">
      <c r="A103" s="10">
        <v>9710</v>
      </c>
      <c r="B103" s="11">
        <v>7.0137999999999998</v>
      </c>
    </row>
    <row r="104" spans="1:2" x14ac:dyDescent="0.2">
      <c r="A104" s="10">
        <v>9741</v>
      </c>
      <c r="B104" s="11">
        <v>7.2652999999999999</v>
      </c>
    </row>
    <row r="105" spans="1:2" x14ac:dyDescent="0.2">
      <c r="A105" s="10">
        <v>9771</v>
      </c>
      <c r="B105" s="11">
        <v>7.2652999999999999</v>
      </c>
    </row>
    <row r="106" spans="1:2" x14ac:dyDescent="0.2">
      <c r="A106" s="10">
        <v>9802</v>
      </c>
      <c r="B106" s="11">
        <v>7.0137999999999998</v>
      </c>
    </row>
    <row r="107" spans="1:2" x14ac:dyDescent="0.2">
      <c r="A107" s="10">
        <v>9832</v>
      </c>
      <c r="B107" s="11">
        <v>6.5667</v>
      </c>
    </row>
    <row r="108" spans="1:2" x14ac:dyDescent="0.2">
      <c r="A108" s="10">
        <v>9863</v>
      </c>
      <c r="B108" s="11">
        <v>6.6784999999999997</v>
      </c>
    </row>
    <row r="109" spans="1:2" x14ac:dyDescent="0.2">
      <c r="A109" s="10">
        <v>9894</v>
      </c>
      <c r="B109" s="11">
        <v>7.0137999999999998</v>
      </c>
    </row>
    <row r="110" spans="1:2" x14ac:dyDescent="0.2">
      <c r="A110" s="10">
        <v>9922</v>
      </c>
      <c r="B110" s="11">
        <v>7.1535000000000002</v>
      </c>
    </row>
    <row r="111" spans="1:2" x14ac:dyDescent="0.2">
      <c r="A111" s="10">
        <v>9953</v>
      </c>
      <c r="B111" s="11">
        <v>7.0137999999999998</v>
      </c>
    </row>
    <row r="112" spans="1:2" x14ac:dyDescent="0.2">
      <c r="A112" s="10">
        <v>9983</v>
      </c>
      <c r="B112" s="11">
        <v>7.0416999999999996</v>
      </c>
    </row>
    <row r="113" spans="1:2" x14ac:dyDescent="0.2">
      <c r="A113" s="10">
        <v>10014</v>
      </c>
      <c r="B113" s="11">
        <v>6.9858000000000002</v>
      </c>
    </row>
    <row r="114" spans="1:2" x14ac:dyDescent="0.2">
      <c r="A114" s="10">
        <v>10044</v>
      </c>
      <c r="B114" s="11">
        <v>6.6784999999999997</v>
      </c>
    </row>
    <row r="115" spans="1:2" x14ac:dyDescent="0.2">
      <c r="A115" s="10">
        <v>10075</v>
      </c>
      <c r="B115" s="11">
        <v>6.9020000000000001</v>
      </c>
    </row>
    <row r="116" spans="1:2" x14ac:dyDescent="0.2">
      <c r="A116" s="10">
        <v>10106</v>
      </c>
      <c r="B116" s="11">
        <v>6.9858000000000002</v>
      </c>
    </row>
    <row r="117" spans="1:2" x14ac:dyDescent="0.2">
      <c r="A117" s="10">
        <v>10136</v>
      </c>
      <c r="B117" s="11">
        <v>6.8741000000000003</v>
      </c>
    </row>
    <row r="118" spans="1:2" x14ac:dyDescent="0.2">
      <c r="A118" s="10">
        <v>10167</v>
      </c>
      <c r="B118" s="11">
        <v>6.5667</v>
      </c>
    </row>
    <row r="119" spans="1:2" x14ac:dyDescent="0.2">
      <c r="A119" s="10">
        <v>10197</v>
      </c>
      <c r="B119" s="11">
        <v>6.2313999999999998</v>
      </c>
    </row>
    <row r="120" spans="1:2" x14ac:dyDescent="0.2">
      <c r="A120" s="10">
        <v>10228</v>
      </c>
      <c r="B120" s="11">
        <v>6.5107999999999997</v>
      </c>
    </row>
    <row r="121" spans="1:2" x14ac:dyDescent="0.2">
      <c r="A121" s="10">
        <v>10259</v>
      </c>
      <c r="B121" s="11">
        <v>6.8182</v>
      </c>
    </row>
    <row r="122" spans="1:2" x14ac:dyDescent="0.2">
      <c r="A122" s="10">
        <v>10288</v>
      </c>
      <c r="B122" s="11">
        <v>6.9858000000000002</v>
      </c>
    </row>
    <row r="123" spans="1:2" x14ac:dyDescent="0.2">
      <c r="A123" s="10">
        <v>10319</v>
      </c>
      <c r="B123" s="11">
        <v>6.9858000000000002</v>
      </c>
    </row>
    <row r="124" spans="1:2" x14ac:dyDescent="0.2">
      <c r="A124" s="10">
        <v>10349</v>
      </c>
      <c r="B124" s="11">
        <v>7.0416999999999996</v>
      </c>
    </row>
    <row r="125" spans="1:2" x14ac:dyDescent="0.2">
      <c r="A125" s="10">
        <v>10380</v>
      </c>
      <c r="B125" s="11">
        <v>7.0416999999999996</v>
      </c>
    </row>
    <row r="126" spans="1:2" x14ac:dyDescent="0.2">
      <c r="A126" s="10">
        <v>10410</v>
      </c>
      <c r="B126" s="11">
        <v>6.93</v>
      </c>
    </row>
    <row r="127" spans="1:2" x14ac:dyDescent="0.2">
      <c r="A127" s="10">
        <v>10441</v>
      </c>
      <c r="B127" s="11">
        <v>7.2931999999999997</v>
      </c>
    </row>
    <row r="128" spans="1:2" x14ac:dyDescent="0.2">
      <c r="A128" s="10">
        <v>10472</v>
      </c>
      <c r="B128" s="11">
        <v>7.5727000000000002</v>
      </c>
    </row>
    <row r="129" spans="1:2" x14ac:dyDescent="0.2">
      <c r="A129" s="10">
        <v>10502</v>
      </c>
      <c r="B129" s="11">
        <v>7.7123999999999997</v>
      </c>
    </row>
    <row r="130" spans="1:2" x14ac:dyDescent="0.2">
      <c r="A130" s="10">
        <v>10533</v>
      </c>
      <c r="B130" s="11">
        <v>7.4608999999999996</v>
      </c>
    </row>
    <row r="131" spans="1:2" x14ac:dyDescent="0.2">
      <c r="A131" s="10">
        <v>10563</v>
      </c>
      <c r="B131" s="11">
        <v>7.0416999999999996</v>
      </c>
    </row>
    <row r="132" spans="1:2" x14ac:dyDescent="0.2">
      <c r="A132" s="10">
        <v>10594</v>
      </c>
      <c r="B132" s="11">
        <v>7.4608999999999996</v>
      </c>
    </row>
    <row r="133" spans="1:2" x14ac:dyDescent="0.2">
      <c r="A133" s="10">
        <v>10625</v>
      </c>
      <c r="B133" s="11">
        <v>7.7683</v>
      </c>
    </row>
    <row r="134" spans="1:2" x14ac:dyDescent="0.2">
      <c r="A134" s="10">
        <v>10653</v>
      </c>
      <c r="B134" s="11">
        <v>7.88</v>
      </c>
    </row>
    <row r="135" spans="1:2" x14ac:dyDescent="0.2">
      <c r="A135" s="10">
        <v>10684</v>
      </c>
      <c r="B135" s="11">
        <v>8.1036000000000001</v>
      </c>
    </row>
    <row r="136" spans="1:2" x14ac:dyDescent="0.2">
      <c r="A136" s="10">
        <v>10714</v>
      </c>
      <c r="B136" s="11">
        <v>8.2992000000000008</v>
      </c>
    </row>
    <row r="137" spans="1:2" x14ac:dyDescent="0.2">
      <c r="A137" s="10">
        <v>10745</v>
      </c>
      <c r="B137" s="11">
        <v>8.2154000000000007</v>
      </c>
    </row>
    <row r="138" spans="1:2" x14ac:dyDescent="0.2">
      <c r="A138" s="10">
        <v>10775</v>
      </c>
      <c r="B138" s="11">
        <v>8.0477000000000007</v>
      </c>
    </row>
    <row r="139" spans="1:2" x14ac:dyDescent="0.2">
      <c r="A139" s="10">
        <v>10806</v>
      </c>
      <c r="B139" s="11">
        <v>8.1874000000000002</v>
      </c>
    </row>
    <row r="140" spans="1:2" x14ac:dyDescent="0.2">
      <c r="A140" s="10">
        <v>10837</v>
      </c>
      <c r="B140" s="11">
        <v>8.3551000000000002</v>
      </c>
    </row>
    <row r="141" spans="1:2" x14ac:dyDescent="0.2">
      <c r="A141" s="10">
        <v>10867</v>
      </c>
      <c r="B141" s="11">
        <v>8.2154000000000007</v>
      </c>
    </row>
    <row r="142" spans="1:2" x14ac:dyDescent="0.2">
      <c r="A142" s="10">
        <v>10898</v>
      </c>
      <c r="B142" s="11">
        <v>7.4608999999999996</v>
      </c>
    </row>
    <row r="143" spans="1:2" x14ac:dyDescent="0.2">
      <c r="A143" s="10">
        <v>10928</v>
      </c>
      <c r="B143" s="11">
        <v>6.7064000000000004</v>
      </c>
    </row>
    <row r="144" spans="1:2" x14ac:dyDescent="0.2">
      <c r="A144" s="10">
        <v>10959</v>
      </c>
      <c r="B144" s="11">
        <v>6.9020000000000001</v>
      </c>
    </row>
    <row r="145" spans="1:2" x14ac:dyDescent="0.2">
      <c r="A145" s="10">
        <v>10990</v>
      </c>
      <c r="B145" s="11">
        <v>7.1535000000000002</v>
      </c>
    </row>
    <row r="146" spans="1:2" x14ac:dyDescent="0.2">
      <c r="A146" s="10">
        <v>11018</v>
      </c>
      <c r="B146" s="11">
        <v>7.0975999999999999</v>
      </c>
    </row>
    <row r="147" spans="1:2" x14ac:dyDescent="0.2">
      <c r="A147" s="10">
        <v>11049</v>
      </c>
      <c r="B147" s="11">
        <v>7.1814</v>
      </c>
    </row>
    <row r="148" spans="1:2" x14ac:dyDescent="0.2">
      <c r="A148" s="10">
        <v>11079</v>
      </c>
      <c r="B148" s="11">
        <v>7.1535000000000002</v>
      </c>
    </row>
    <row r="149" spans="1:2" x14ac:dyDescent="0.2">
      <c r="A149" s="10">
        <v>11110</v>
      </c>
      <c r="B149" s="11">
        <v>6.8741000000000003</v>
      </c>
    </row>
    <row r="150" spans="1:2" x14ac:dyDescent="0.2">
      <c r="A150" s="10">
        <v>11140</v>
      </c>
      <c r="B150" s="11">
        <v>6.3432000000000004</v>
      </c>
    </row>
    <row r="151" spans="1:2" x14ac:dyDescent="0.2">
      <c r="A151" s="10">
        <v>11171</v>
      </c>
      <c r="B151" s="11">
        <v>6.3151999999999999</v>
      </c>
    </row>
    <row r="152" spans="1:2" x14ac:dyDescent="0.2">
      <c r="A152" s="10">
        <v>11202</v>
      </c>
      <c r="B152" s="11">
        <v>6.4269999999999996</v>
      </c>
    </row>
    <row r="153" spans="1:2" x14ac:dyDescent="0.2">
      <c r="A153" s="10">
        <v>11232</v>
      </c>
      <c r="B153" s="11">
        <v>6.2034000000000002</v>
      </c>
    </row>
    <row r="154" spans="1:2" x14ac:dyDescent="0.2">
      <c r="A154" s="10">
        <v>11263</v>
      </c>
      <c r="B154" s="11">
        <v>5.7563000000000004</v>
      </c>
    </row>
    <row r="155" spans="1:2" x14ac:dyDescent="0.2">
      <c r="A155" s="10">
        <v>11293</v>
      </c>
      <c r="B155" s="11">
        <v>5.3651</v>
      </c>
    </row>
    <row r="156" spans="1:2" x14ac:dyDescent="0.2">
      <c r="A156" s="10">
        <v>11324</v>
      </c>
      <c r="B156" s="11">
        <v>5.3930999999999996</v>
      </c>
    </row>
    <row r="157" spans="1:2" x14ac:dyDescent="0.2">
      <c r="A157" s="10">
        <v>11355</v>
      </c>
      <c r="B157" s="11">
        <v>5.7004999999999999</v>
      </c>
    </row>
    <row r="158" spans="1:2" x14ac:dyDescent="0.2">
      <c r="A158" s="10">
        <v>11383</v>
      </c>
      <c r="B158" s="11">
        <v>5.8402000000000003</v>
      </c>
    </row>
    <row r="159" spans="1:2" x14ac:dyDescent="0.2">
      <c r="A159" s="10">
        <v>11414</v>
      </c>
      <c r="B159" s="11">
        <v>5.9798999999999998</v>
      </c>
    </row>
    <row r="160" spans="1:2" x14ac:dyDescent="0.2">
      <c r="A160" s="10">
        <v>11444</v>
      </c>
      <c r="B160" s="11">
        <v>5.9240000000000004</v>
      </c>
    </row>
    <row r="161" spans="1:2" x14ac:dyDescent="0.2">
      <c r="A161" s="10">
        <v>11475</v>
      </c>
      <c r="B161" s="11">
        <v>5.7004999999999999</v>
      </c>
    </row>
    <row r="162" spans="1:2" x14ac:dyDescent="0.2">
      <c r="A162" s="10">
        <v>11505</v>
      </c>
      <c r="B162" s="11">
        <v>5.4768999999999997</v>
      </c>
    </row>
    <row r="163" spans="1:2" x14ac:dyDescent="0.2">
      <c r="A163" s="10">
        <v>11536</v>
      </c>
      <c r="B163" s="11">
        <v>5.3651</v>
      </c>
    </row>
    <row r="164" spans="1:2" x14ac:dyDescent="0.2">
      <c r="A164" s="10">
        <v>11567</v>
      </c>
      <c r="B164" s="11">
        <v>5.3372000000000002</v>
      </c>
    </row>
    <row r="165" spans="1:2" x14ac:dyDescent="0.2">
      <c r="A165" s="10">
        <v>11597</v>
      </c>
      <c r="B165" s="11">
        <v>5.0857000000000001</v>
      </c>
    </row>
    <row r="166" spans="1:2" x14ac:dyDescent="0.2">
      <c r="A166" s="10">
        <v>11628</v>
      </c>
      <c r="B166" s="11">
        <v>4.8342000000000001</v>
      </c>
    </row>
    <row r="167" spans="1:2" x14ac:dyDescent="0.2">
      <c r="A167" s="10">
        <v>11658</v>
      </c>
      <c r="B167" s="11">
        <v>4.5548000000000002</v>
      </c>
    </row>
    <row r="168" spans="1:2" x14ac:dyDescent="0.2">
      <c r="A168" s="10">
        <v>11689</v>
      </c>
      <c r="B168" s="11">
        <v>4.5267999999999997</v>
      </c>
    </row>
    <row r="169" spans="1:2" x14ac:dyDescent="0.2">
      <c r="A169" s="10">
        <v>11720</v>
      </c>
      <c r="B169" s="11">
        <v>4.6106999999999996</v>
      </c>
    </row>
    <row r="170" spans="1:2" x14ac:dyDescent="0.2">
      <c r="A170" s="10">
        <v>11749</v>
      </c>
      <c r="B170" s="11">
        <v>4.4988999999999999</v>
      </c>
    </row>
    <row r="171" spans="1:2" x14ac:dyDescent="0.2">
      <c r="A171" s="10">
        <v>11780</v>
      </c>
      <c r="B171" s="11">
        <v>4.3033000000000001</v>
      </c>
    </row>
    <row r="172" spans="1:2" x14ac:dyDescent="0.2">
      <c r="A172" s="10">
        <v>11810</v>
      </c>
      <c r="B172" s="11">
        <v>4.1635999999999997</v>
      </c>
    </row>
    <row r="173" spans="1:2" x14ac:dyDescent="0.2">
      <c r="A173" s="10">
        <v>11841</v>
      </c>
      <c r="B173" s="11">
        <v>4.0237999999999996</v>
      </c>
    </row>
    <row r="174" spans="1:2" x14ac:dyDescent="0.2">
      <c r="A174" s="10">
        <v>11871</v>
      </c>
      <c r="B174" s="11">
        <v>3.7724000000000002</v>
      </c>
    </row>
    <row r="175" spans="1:2" x14ac:dyDescent="0.2">
      <c r="A175" s="10">
        <v>11902</v>
      </c>
      <c r="B175" s="11">
        <v>3.9121000000000001</v>
      </c>
    </row>
    <row r="176" spans="1:2" x14ac:dyDescent="0.2">
      <c r="A176" s="10">
        <v>11933</v>
      </c>
      <c r="B176" s="11">
        <v>4.3871000000000002</v>
      </c>
    </row>
    <row r="177" spans="1:2" x14ac:dyDescent="0.2">
      <c r="A177" s="10">
        <v>11963</v>
      </c>
      <c r="B177" s="11">
        <v>4.4988999999999999</v>
      </c>
    </row>
    <row r="178" spans="1:2" x14ac:dyDescent="0.2">
      <c r="A178" s="10">
        <v>11994</v>
      </c>
      <c r="B178" s="11">
        <v>4.3033000000000001</v>
      </c>
    </row>
    <row r="179" spans="1:2" x14ac:dyDescent="0.2">
      <c r="A179" s="10">
        <v>12024</v>
      </c>
      <c r="B179" s="11">
        <v>4.0518000000000001</v>
      </c>
    </row>
    <row r="180" spans="1:2" x14ac:dyDescent="0.2">
      <c r="A180" s="10">
        <v>12055</v>
      </c>
      <c r="B180" s="11">
        <v>4.0518000000000001</v>
      </c>
    </row>
    <row r="181" spans="1:2" x14ac:dyDescent="0.2">
      <c r="A181" s="10">
        <v>12086</v>
      </c>
      <c r="B181" s="11">
        <v>4.1914999999999996</v>
      </c>
    </row>
    <row r="182" spans="1:2" x14ac:dyDescent="0.2">
      <c r="A182" s="10">
        <v>12114</v>
      </c>
      <c r="B182" s="11">
        <v>3.9121000000000001</v>
      </c>
    </row>
    <row r="183" spans="1:2" x14ac:dyDescent="0.2">
      <c r="A183" s="10">
        <v>12145</v>
      </c>
      <c r="B183" s="11">
        <v>4.2752999999999997</v>
      </c>
    </row>
    <row r="184" spans="1:2" x14ac:dyDescent="0.2">
      <c r="A184" s="10">
        <v>12175</v>
      </c>
      <c r="B184" s="11">
        <v>5.0019</v>
      </c>
    </row>
    <row r="185" spans="1:2" x14ac:dyDescent="0.2">
      <c r="A185" s="10">
        <v>12206</v>
      </c>
      <c r="B185" s="11">
        <v>5.7283999999999997</v>
      </c>
    </row>
    <row r="186" spans="1:2" x14ac:dyDescent="0.2">
      <c r="A186" s="10">
        <v>12236</v>
      </c>
      <c r="B186" s="11">
        <v>6.0917000000000003</v>
      </c>
    </row>
    <row r="187" spans="1:2" x14ac:dyDescent="0.2">
      <c r="A187" s="10">
        <v>12267</v>
      </c>
      <c r="B187" s="11">
        <v>5.9240000000000004</v>
      </c>
    </row>
    <row r="188" spans="1:2" x14ac:dyDescent="0.2">
      <c r="A188" s="10">
        <v>12298</v>
      </c>
      <c r="B188" s="11">
        <v>5.8121999999999998</v>
      </c>
    </row>
    <row r="189" spans="1:2" x14ac:dyDescent="0.2">
      <c r="A189" s="10">
        <v>12328</v>
      </c>
      <c r="B189" s="11">
        <v>5.3930999999999996</v>
      </c>
    </row>
    <row r="190" spans="1:2" x14ac:dyDescent="0.2">
      <c r="A190" s="10">
        <v>12359</v>
      </c>
      <c r="B190" s="11">
        <v>4.9739000000000004</v>
      </c>
    </row>
    <row r="191" spans="1:2" x14ac:dyDescent="0.2">
      <c r="A191" s="10">
        <v>12389</v>
      </c>
      <c r="B191" s="11">
        <v>4.8342000000000001</v>
      </c>
    </row>
    <row r="192" spans="1:2" x14ac:dyDescent="0.2">
      <c r="A192" s="10">
        <v>12420</v>
      </c>
      <c r="B192" s="11">
        <v>5.0019</v>
      </c>
    </row>
    <row r="193" spans="1:2" x14ac:dyDescent="0.2">
      <c r="A193" s="10">
        <v>12451</v>
      </c>
      <c r="B193" s="11">
        <v>5.4768999999999997</v>
      </c>
    </row>
    <row r="194" spans="1:2" x14ac:dyDescent="0.2">
      <c r="A194" s="10">
        <v>12479</v>
      </c>
      <c r="B194" s="11">
        <v>5.7563000000000004</v>
      </c>
    </row>
    <row r="195" spans="1:2" x14ac:dyDescent="0.2">
      <c r="A195" s="10">
        <v>12510</v>
      </c>
      <c r="B195" s="11">
        <v>5.8681000000000001</v>
      </c>
    </row>
    <row r="196" spans="1:2" x14ac:dyDescent="0.2">
      <c r="A196" s="10">
        <v>12540</v>
      </c>
      <c r="B196" s="11">
        <v>5.9519000000000002</v>
      </c>
    </row>
    <row r="197" spans="1:2" x14ac:dyDescent="0.2">
      <c r="A197" s="10">
        <v>12571</v>
      </c>
      <c r="B197" s="11">
        <v>5.8402000000000003</v>
      </c>
    </row>
    <row r="198" spans="1:2" x14ac:dyDescent="0.2">
      <c r="A198" s="10">
        <v>12601</v>
      </c>
      <c r="B198" s="11">
        <v>5.3091999999999997</v>
      </c>
    </row>
    <row r="199" spans="1:2" x14ac:dyDescent="0.2">
      <c r="A199" s="10">
        <v>12632</v>
      </c>
      <c r="B199" s="11">
        <v>5.3372000000000002</v>
      </c>
    </row>
    <row r="200" spans="1:2" x14ac:dyDescent="0.2">
      <c r="A200" s="10">
        <v>12663</v>
      </c>
      <c r="B200" s="11">
        <v>5.2253999999999996</v>
      </c>
    </row>
    <row r="201" spans="1:2" x14ac:dyDescent="0.2">
      <c r="A201" s="10">
        <v>12693</v>
      </c>
      <c r="B201" s="11">
        <v>5.3091999999999997</v>
      </c>
    </row>
    <row r="202" spans="1:2" x14ac:dyDescent="0.2">
      <c r="A202" s="10">
        <v>12724</v>
      </c>
      <c r="B202" s="11">
        <v>5.1416000000000004</v>
      </c>
    </row>
    <row r="203" spans="1:2" x14ac:dyDescent="0.2">
      <c r="A203" s="10">
        <v>12754</v>
      </c>
      <c r="B203" s="11">
        <v>5.3372000000000002</v>
      </c>
    </row>
    <row r="204" spans="1:2" x14ac:dyDescent="0.2">
      <c r="A204" s="10">
        <v>12785</v>
      </c>
      <c r="B204" s="11">
        <v>5.8402000000000003</v>
      </c>
    </row>
    <row r="205" spans="1:2" x14ac:dyDescent="0.2">
      <c r="A205" s="10">
        <v>12816</v>
      </c>
      <c r="B205" s="11">
        <v>6.1755000000000004</v>
      </c>
    </row>
    <row r="206" spans="1:2" x14ac:dyDescent="0.2">
      <c r="A206" s="10">
        <v>12844</v>
      </c>
      <c r="B206" s="11">
        <v>6.1475</v>
      </c>
    </row>
    <row r="207" spans="1:2" x14ac:dyDescent="0.2">
      <c r="A207" s="10">
        <v>12875</v>
      </c>
      <c r="B207" s="11">
        <v>6.0636999999999999</v>
      </c>
    </row>
    <row r="208" spans="1:2" x14ac:dyDescent="0.2">
      <c r="A208" s="10">
        <v>12905</v>
      </c>
      <c r="B208" s="11">
        <v>6.0636999999999999</v>
      </c>
    </row>
    <row r="209" spans="1:2" x14ac:dyDescent="0.2">
      <c r="A209" s="10">
        <v>12936</v>
      </c>
      <c r="B209" s="11">
        <v>6.0636999999999999</v>
      </c>
    </row>
    <row r="210" spans="1:2" x14ac:dyDescent="0.2">
      <c r="A210" s="10">
        <v>12966</v>
      </c>
      <c r="B210" s="11">
        <v>5.9798999999999998</v>
      </c>
    </row>
    <row r="211" spans="1:2" x14ac:dyDescent="0.2">
      <c r="A211" s="10">
        <v>12997</v>
      </c>
      <c r="B211" s="11">
        <v>6.3151999999999999</v>
      </c>
    </row>
    <row r="212" spans="1:2" x14ac:dyDescent="0.2">
      <c r="A212" s="10">
        <v>13028</v>
      </c>
      <c r="B212" s="11">
        <v>6.5667</v>
      </c>
    </row>
    <row r="213" spans="1:2" x14ac:dyDescent="0.2">
      <c r="A213" s="10">
        <v>13058</v>
      </c>
      <c r="B213" s="11">
        <v>6.8741000000000003</v>
      </c>
    </row>
    <row r="214" spans="1:2" x14ac:dyDescent="0.2">
      <c r="A214" s="10">
        <v>13089</v>
      </c>
      <c r="B214" s="11">
        <v>6.8741000000000003</v>
      </c>
    </row>
    <row r="215" spans="1:2" x14ac:dyDescent="0.2">
      <c r="A215" s="10">
        <v>13119</v>
      </c>
      <c r="B215" s="11">
        <v>6.7064000000000004</v>
      </c>
    </row>
    <row r="216" spans="1:2" x14ac:dyDescent="0.2">
      <c r="A216" s="10">
        <v>13150</v>
      </c>
      <c r="B216" s="11">
        <v>6.5667</v>
      </c>
    </row>
    <row r="217" spans="1:2" x14ac:dyDescent="0.2">
      <c r="A217" s="10">
        <v>13181</v>
      </c>
      <c r="B217" s="11">
        <v>6.5667</v>
      </c>
    </row>
    <row r="218" spans="1:2" x14ac:dyDescent="0.2">
      <c r="A218" s="10">
        <v>13210</v>
      </c>
      <c r="B218" s="11">
        <v>6.6784999999999997</v>
      </c>
    </row>
    <row r="219" spans="1:2" x14ac:dyDescent="0.2">
      <c r="A219" s="10">
        <v>13241</v>
      </c>
      <c r="B219" s="11">
        <v>7.1535000000000002</v>
      </c>
    </row>
    <row r="220" spans="1:2" x14ac:dyDescent="0.2">
      <c r="A220" s="10">
        <v>13271</v>
      </c>
      <c r="B220" s="11">
        <v>7.3771000000000004</v>
      </c>
    </row>
    <row r="221" spans="1:2" x14ac:dyDescent="0.2">
      <c r="A221" s="10">
        <v>13302</v>
      </c>
      <c r="B221" s="11">
        <v>7.4050000000000002</v>
      </c>
    </row>
    <row r="222" spans="1:2" x14ac:dyDescent="0.2">
      <c r="A222" s="10">
        <v>13332</v>
      </c>
      <c r="B222" s="11">
        <v>7.4050000000000002</v>
      </c>
    </row>
    <row r="223" spans="1:2" x14ac:dyDescent="0.2">
      <c r="A223" s="10">
        <v>13363</v>
      </c>
      <c r="B223" s="11">
        <v>7.6565000000000003</v>
      </c>
    </row>
    <row r="224" spans="1:2" x14ac:dyDescent="0.2">
      <c r="A224" s="10">
        <v>13394</v>
      </c>
      <c r="B224" s="11">
        <v>7.9638999999999998</v>
      </c>
    </row>
    <row r="225" spans="1:2" x14ac:dyDescent="0.2">
      <c r="A225" s="10">
        <v>13424</v>
      </c>
      <c r="B225" s="11">
        <v>8.1874000000000002</v>
      </c>
    </row>
    <row r="226" spans="1:2" x14ac:dyDescent="0.2">
      <c r="A226" s="10">
        <v>13455</v>
      </c>
      <c r="B226" s="11">
        <v>8.2154000000000007</v>
      </c>
    </row>
    <row r="227" spans="1:2" x14ac:dyDescent="0.2">
      <c r="A227" s="10">
        <v>13485</v>
      </c>
      <c r="B227" s="11">
        <v>8.2154000000000007</v>
      </c>
    </row>
    <row r="228" spans="1:2" x14ac:dyDescent="0.2">
      <c r="A228" s="10">
        <v>13516</v>
      </c>
      <c r="B228" s="11">
        <v>7.9917999999999996</v>
      </c>
    </row>
    <row r="229" spans="1:2" x14ac:dyDescent="0.2">
      <c r="A229" s="10">
        <v>13547</v>
      </c>
      <c r="B229" s="11">
        <v>8.3270999999999997</v>
      </c>
    </row>
    <row r="230" spans="1:2" x14ac:dyDescent="0.2">
      <c r="A230" s="10">
        <v>13575</v>
      </c>
      <c r="B230" s="11">
        <v>8.6624999999999996</v>
      </c>
    </row>
    <row r="231" spans="1:2" x14ac:dyDescent="0.2">
      <c r="A231" s="10">
        <v>13606</v>
      </c>
      <c r="B231" s="11">
        <v>8.7182999999999993</v>
      </c>
    </row>
    <row r="232" spans="1:2" x14ac:dyDescent="0.2">
      <c r="A232" s="10">
        <v>13636</v>
      </c>
      <c r="B232" s="11">
        <v>8.8300999999999998</v>
      </c>
    </row>
    <row r="233" spans="1:2" x14ac:dyDescent="0.2">
      <c r="A233" s="10">
        <v>13667</v>
      </c>
      <c r="B233" s="11">
        <v>8.5785999999999998</v>
      </c>
    </row>
    <row r="234" spans="1:2" x14ac:dyDescent="0.2">
      <c r="A234" s="10">
        <v>13697</v>
      </c>
      <c r="B234" s="11">
        <v>8.4389000000000003</v>
      </c>
    </row>
    <row r="235" spans="1:2" x14ac:dyDescent="0.2">
      <c r="A235" s="10">
        <v>13728</v>
      </c>
      <c r="B235" s="11">
        <v>8.5785999999999998</v>
      </c>
    </row>
    <row r="236" spans="1:2" x14ac:dyDescent="0.2">
      <c r="A236" s="10">
        <v>13759</v>
      </c>
      <c r="B236" s="11">
        <v>8.5227000000000004</v>
      </c>
    </row>
    <row r="237" spans="1:2" x14ac:dyDescent="0.2">
      <c r="A237" s="10">
        <v>13789</v>
      </c>
      <c r="B237" s="11">
        <v>7.9917999999999996</v>
      </c>
    </row>
    <row r="238" spans="1:2" x14ac:dyDescent="0.2">
      <c r="A238" s="10">
        <v>13820</v>
      </c>
      <c r="B238" s="11">
        <v>7.0137999999999998</v>
      </c>
    </row>
    <row r="239" spans="1:2" x14ac:dyDescent="0.2">
      <c r="A239" s="10">
        <v>13850</v>
      </c>
      <c r="B239" s="11">
        <v>6.2034000000000002</v>
      </c>
    </row>
    <row r="240" spans="1:2" x14ac:dyDescent="0.2">
      <c r="A240" s="10">
        <v>13881</v>
      </c>
      <c r="B240" s="11">
        <v>5.9240000000000004</v>
      </c>
    </row>
    <row r="241" spans="1:2" x14ac:dyDescent="0.2">
      <c r="A241" s="10">
        <v>13912</v>
      </c>
      <c r="B241" s="11">
        <v>5.9798999999999998</v>
      </c>
    </row>
    <row r="242" spans="1:2" x14ac:dyDescent="0.2">
      <c r="A242" s="10">
        <v>13940</v>
      </c>
      <c r="B242" s="11">
        <v>6.0636999999999999</v>
      </c>
    </row>
    <row r="243" spans="1:2" x14ac:dyDescent="0.2">
      <c r="A243" s="10">
        <v>13971</v>
      </c>
      <c r="B243" s="11">
        <v>5.9240000000000004</v>
      </c>
    </row>
    <row r="244" spans="1:2" x14ac:dyDescent="0.2">
      <c r="A244" s="10">
        <v>14001</v>
      </c>
      <c r="B244" s="11">
        <v>5.8681000000000001</v>
      </c>
    </row>
    <row r="245" spans="1:2" x14ac:dyDescent="0.2">
      <c r="A245" s="10">
        <v>14032</v>
      </c>
      <c r="B245" s="11">
        <v>5.8681000000000001</v>
      </c>
    </row>
    <row r="246" spans="1:2" x14ac:dyDescent="0.2">
      <c r="A246" s="10">
        <v>14062</v>
      </c>
      <c r="B246" s="11">
        <v>6.1755000000000004</v>
      </c>
    </row>
    <row r="247" spans="1:2" x14ac:dyDescent="0.2">
      <c r="A247" s="10">
        <v>14093</v>
      </c>
      <c r="B247" s="11">
        <v>6.6505000000000001</v>
      </c>
    </row>
    <row r="248" spans="1:2" x14ac:dyDescent="0.2">
      <c r="A248" s="10">
        <v>14124</v>
      </c>
      <c r="B248" s="11">
        <v>7.0416999999999996</v>
      </c>
    </row>
    <row r="249" spans="1:2" x14ac:dyDescent="0.2">
      <c r="A249" s="10">
        <v>14154</v>
      </c>
      <c r="B249" s="11">
        <v>7.2373000000000003</v>
      </c>
    </row>
    <row r="250" spans="1:2" x14ac:dyDescent="0.2">
      <c r="A250" s="10">
        <v>14185</v>
      </c>
      <c r="B250" s="11">
        <v>7.3771000000000004</v>
      </c>
    </row>
    <row r="251" spans="1:2" x14ac:dyDescent="0.2">
      <c r="A251" s="10">
        <v>14215</v>
      </c>
      <c r="B251" s="11">
        <v>7.1814</v>
      </c>
    </row>
    <row r="252" spans="1:2" x14ac:dyDescent="0.2">
      <c r="A252" s="10">
        <v>14246</v>
      </c>
      <c r="B252" s="11">
        <v>7.3771000000000004</v>
      </c>
    </row>
    <row r="253" spans="1:2" x14ac:dyDescent="0.2">
      <c r="A253" s="10">
        <v>14277</v>
      </c>
      <c r="B253" s="11">
        <v>7.3771000000000004</v>
      </c>
    </row>
    <row r="254" spans="1:2" x14ac:dyDescent="0.2">
      <c r="A254" s="10">
        <v>14305</v>
      </c>
      <c r="B254" s="11">
        <v>7.3771000000000004</v>
      </c>
    </row>
    <row r="255" spans="1:2" x14ac:dyDescent="0.2">
      <c r="A255" s="10">
        <v>14336</v>
      </c>
      <c r="B255" s="11">
        <v>7.2373000000000003</v>
      </c>
    </row>
    <row r="256" spans="1:2" x14ac:dyDescent="0.2">
      <c r="A256" s="10">
        <v>14366</v>
      </c>
      <c r="B256" s="11">
        <v>7.2652999999999999</v>
      </c>
    </row>
    <row r="257" spans="1:2" x14ac:dyDescent="0.2">
      <c r="A257" s="10">
        <v>14397</v>
      </c>
      <c r="B257" s="11">
        <v>7.5167999999999999</v>
      </c>
    </row>
    <row r="258" spans="1:2" x14ac:dyDescent="0.2">
      <c r="A258" s="10">
        <v>14427</v>
      </c>
      <c r="B258" s="11">
        <v>7.6565000000000003</v>
      </c>
    </row>
    <row r="259" spans="1:2" x14ac:dyDescent="0.2">
      <c r="A259" s="10">
        <v>14458</v>
      </c>
      <c r="B259" s="11">
        <v>7.7683</v>
      </c>
    </row>
    <row r="260" spans="1:2" x14ac:dyDescent="0.2">
      <c r="A260" s="10">
        <v>14489</v>
      </c>
      <c r="B260" s="11">
        <v>8.3551000000000002</v>
      </c>
    </row>
    <row r="261" spans="1:2" x14ac:dyDescent="0.2">
      <c r="A261" s="10">
        <v>14519</v>
      </c>
      <c r="B261" s="11">
        <v>8.8859999999999992</v>
      </c>
    </row>
    <row r="262" spans="1:2" x14ac:dyDescent="0.2">
      <c r="A262" s="10">
        <v>14550</v>
      </c>
      <c r="B262" s="11">
        <v>9.1374999999999993</v>
      </c>
    </row>
    <row r="263" spans="1:2" x14ac:dyDescent="0.2">
      <c r="A263" s="10">
        <v>14580</v>
      </c>
      <c r="B263" s="11">
        <v>9.0815999999999999</v>
      </c>
    </row>
    <row r="264" spans="1:2" x14ac:dyDescent="0.2">
      <c r="A264" s="10">
        <v>14611</v>
      </c>
      <c r="B264" s="11">
        <v>8.9419000000000004</v>
      </c>
    </row>
    <row r="265" spans="1:2" x14ac:dyDescent="0.2">
      <c r="A265" s="10">
        <v>14642</v>
      </c>
      <c r="B265" s="11">
        <v>8.5785999999999998</v>
      </c>
    </row>
    <row r="266" spans="1:2" x14ac:dyDescent="0.2">
      <c r="A266" s="10">
        <v>14671</v>
      </c>
      <c r="B266" s="11">
        <v>8.3551000000000002</v>
      </c>
    </row>
    <row r="267" spans="1:2" x14ac:dyDescent="0.2">
      <c r="A267" s="10">
        <v>14702</v>
      </c>
      <c r="B267" s="11">
        <v>8.4109999999999996</v>
      </c>
    </row>
    <row r="268" spans="1:2" x14ac:dyDescent="0.2">
      <c r="A268" s="10">
        <v>14732</v>
      </c>
      <c r="B268" s="11">
        <v>8.6904000000000003</v>
      </c>
    </row>
    <row r="269" spans="1:2" x14ac:dyDescent="0.2">
      <c r="A269" s="10">
        <v>14763</v>
      </c>
      <c r="B269" s="11">
        <v>9.0536999999999992</v>
      </c>
    </row>
    <row r="270" spans="1:2" x14ac:dyDescent="0.2">
      <c r="A270" s="10">
        <v>14793</v>
      </c>
      <c r="B270" s="11">
        <v>9.0815999999999999</v>
      </c>
    </row>
    <row r="271" spans="1:2" x14ac:dyDescent="0.2">
      <c r="A271" s="10">
        <v>14824</v>
      </c>
      <c r="B271" s="11">
        <v>9.1934000000000005</v>
      </c>
    </row>
    <row r="272" spans="1:2" x14ac:dyDescent="0.2">
      <c r="A272" s="10">
        <v>14855</v>
      </c>
      <c r="B272" s="11">
        <v>9.5007999999999999</v>
      </c>
    </row>
    <row r="273" spans="1:2" x14ac:dyDescent="0.2">
      <c r="A273" s="10">
        <v>14885</v>
      </c>
      <c r="B273" s="11">
        <v>9.7242999999999995</v>
      </c>
    </row>
    <row r="274" spans="1:2" x14ac:dyDescent="0.2">
      <c r="A274" s="10">
        <v>14916</v>
      </c>
      <c r="B274" s="11">
        <v>9.9757999999999996</v>
      </c>
    </row>
    <row r="275" spans="1:2" x14ac:dyDescent="0.2">
      <c r="A275" s="10">
        <v>14946</v>
      </c>
      <c r="B275" s="11">
        <v>10.2552</v>
      </c>
    </row>
    <row r="276" spans="1:2" x14ac:dyDescent="0.2">
      <c r="A276" s="10">
        <v>14977</v>
      </c>
      <c r="B276" s="11">
        <v>10.4788</v>
      </c>
    </row>
    <row r="277" spans="1:2" x14ac:dyDescent="0.2">
      <c r="A277" s="10">
        <v>15008</v>
      </c>
      <c r="B277" s="11">
        <v>10.702299999999999</v>
      </c>
    </row>
    <row r="278" spans="1:2" x14ac:dyDescent="0.2">
      <c r="A278" s="10">
        <v>15036</v>
      </c>
      <c r="B278" s="11">
        <v>10.9818</v>
      </c>
    </row>
    <row r="279" spans="1:2" x14ac:dyDescent="0.2">
      <c r="A279" s="10">
        <v>15067</v>
      </c>
      <c r="B279" s="11">
        <v>10.9259</v>
      </c>
    </row>
    <row r="280" spans="1:2" x14ac:dyDescent="0.2">
      <c r="A280" s="10">
        <v>15097</v>
      </c>
      <c r="B280" s="11">
        <v>11.456799999999999</v>
      </c>
    </row>
    <row r="281" spans="1:2" x14ac:dyDescent="0.2">
      <c r="A281" s="10">
        <v>15128</v>
      </c>
      <c r="B281" s="11">
        <v>11.6524</v>
      </c>
    </row>
    <row r="282" spans="1:2" x14ac:dyDescent="0.2">
      <c r="A282" s="10">
        <v>15158</v>
      </c>
      <c r="B282" s="11">
        <v>11.680300000000001</v>
      </c>
    </row>
    <row r="283" spans="1:2" x14ac:dyDescent="0.2">
      <c r="A283" s="10">
        <v>15189</v>
      </c>
      <c r="B283" s="11">
        <v>11.8759</v>
      </c>
    </row>
    <row r="284" spans="1:2" x14ac:dyDescent="0.2">
      <c r="A284" s="10">
        <v>15220</v>
      </c>
      <c r="B284" s="11">
        <v>11.9877</v>
      </c>
    </row>
    <row r="285" spans="1:2" x14ac:dyDescent="0.2">
      <c r="A285" s="10">
        <v>15250</v>
      </c>
      <c r="B285" s="11">
        <v>12.1554</v>
      </c>
    </row>
    <row r="286" spans="1:2" x14ac:dyDescent="0.2">
      <c r="A286" s="10">
        <v>15281</v>
      </c>
      <c r="B286" s="11">
        <v>12.2392</v>
      </c>
    </row>
    <row r="287" spans="1:2" x14ac:dyDescent="0.2">
      <c r="A287" s="10">
        <v>15311</v>
      </c>
      <c r="B287" s="11">
        <v>12.3789</v>
      </c>
    </row>
    <row r="288" spans="1:2" x14ac:dyDescent="0.2">
      <c r="A288" s="10">
        <v>15342</v>
      </c>
      <c r="B288" s="11">
        <v>12.602499999999999</v>
      </c>
    </row>
    <row r="289" spans="1:2" x14ac:dyDescent="0.2">
      <c r="A289" s="10">
        <v>15373</v>
      </c>
      <c r="B289" s="11">
        <v>12.770099999999999</v>
      </c>
    </row>
    <row r="290" spans="1:2" x14ac:dyDescent="0.2">
      <c r="A290" s="10">
        <v>15401</v>
      </c>
      <c r="B290" s="11">
        <v>12.8819</v>
      </c>
    </row>
    <row r="291" spans="1:2" x14ac:dyDescent="0.2">
      <c r="A291" s="10">
        <v>15432</v>
      </c>
      <c r="B291" s="11">
        <v>12.4628</v>
      </c>
    </row>
    <row r="292" spans="1:2" x14ac:dyDescent="0.2">
      <c r="A292" s="10">
        <v>15462</v>
      </c>
      <c r="B292" s="11">
        <v>12.518599999999999</v>
      </c>
    </row>
    <row r="293" spans="1:2" x14ac:dyDescent="0.2">
      <c r="A293" s="10">
        <v>15493</v>
      </c>
      <c r="B293" s="11">
        <v>12.6304</v>
      </c>
    </row>
    <row r="294" spans="1:2" x14ac:dyDescent="0.2">
      <c r="A294" s="10">
        <v>15523</v>
      </c>
      <c r="B294" s="11">
        <v>12.853999999999999</v>
      </c>
    </row>
    <row r="295" spans="1:2" x14ac:dyDescent="0.2">
      <c r="A295" s="10">
        <v>15554</v>
      </c>
      <c r="B295" s="11">
        <v>13.3011</v>
      </c>
    </row>
    <row r="296" spans="1:2" x14ac:dyDescent="0.2">
      <c r="A296" s="10">
        <v>15585</v>
      </c>
      <c r="B296" s="11">
        <v>13.6084</v>
      </c>
    </row>
    <row r="297" spans="1:2" x14ac:dyDescent="0.2">
      <c r="A297" s="10">
        <v>15615</v>
      </c>
      <c r="B297" s="11">
        <v>14.083500000000001</v>
      </c>
    </row>
    <row r="298" spans="1:2" x14ac:dyDescent="0.2">
      <c r="A298" s="10">
        <v>15646</v>
      </c>
      <c r="B298" s="11">
        <v>14.418799999999999</v>
      </c>
    </row>
    <row r="299" spans="1:2" x14ac:dyDescent="0.2">
      <c r="A299" s="10">
        <v>15676</v>
      </c>
      <c r="B299" s="11">
        <v>14.7262</v>
      </c>
    </row>
    <row r="300" spans="1:2" x14ac:dyDescent="0.2">
      <c r="A300" s="10">
        <v>15707</v>
      </c>
      <c r="B300" s="11">
        <v>14.893800000000001</v>
      </c>
    </row>
    <row r="301" spans="1:2" x14ac:dyDescent="0.2">
      <c r="A301" s="10">
        <v>15738</v>
      </c>
      <c r="B301" s="11">
        <v>15.257099999999999</v>
      </c>
    </row>
    <row r="302" spans="1:2" x14ac:dyDescent="0.2">
      <c r="A302" s="10">
        <v>15766</v>
      </c>
      <c r="B302" s="11">
        <v>15.424799999999999</v>
      </c>
    </row>
    <row r="303" spans="1:2" x14ac:dyDescent="0.2">
      <c r="A303" s="10">
        <v>15797</v>
      </c>
      <c r="B303" s="11">
        <v>15.5924</v>
      </c>
    </row>
    <row r="304" spans="1:2" x14ac:dyDescent="0.2">
      <c r="A304" s="10">
        <v>15827</v>
      </c>
      <c r="B304" s="11">
        <v>15.732100000000001</v>
      </c>
    </row>
    <row r="305" spans="1:2" x14ac:dyDescent="0.2">
      <c r="A305" s="10">
        <v>15858</v>
      </c>
      <c r="B305" s="11">
        <v>15.732100000000001</v>
      </c>
    </row>
    <row r="306" spans="1:2" x14ac:dyDescent="0.2">
      <c r="A306" s="10">
        <v>15888</v>
      </c>
      <c r="B306" s="11">
        <v>16.0395</v>
      </c>
    </row>
    <row r="307" spans="1:2" x14ac:dyDescent="0.2">
      <c r="A307" s="10">
        <v>15919</v>
      </c>
      <c r="B307" s="11">
        <v>16.402799999999999</v>
      </c>
    </row>
    <row r="308" spans="1:2" x14ac:dyDescent="0.2">
      <c r="A308" s="10">
        <v>15950</v>
      </c>
      <c r="B308" s="11">
        <v>16.738099999999999</v>
      </c>
    </row>
    <row r="309" spans="1:2" x14ac:dyDescent="0.2">
      <c r="A309" s="10">
        <v>15980</v>
      </c>
      <c r="B309" s="11">
        <v>16.989599999999999</v>
      </c>
    </row>
    <row r="310" spans="1:2" x14ac:dyDescent="0.2">
      <c r="A310" s="10">
        <v>16011</v>
      </c>
      <c r="B310" s="11">
        <v>17.1572</v>
      </c>
    </row>
    <row r="311" spans="1:2" x14ac:dyDescent="0.2">
      <c r="A311" s="10">
        <v>16041</v>
      </c>
      <c r="B311" s="11">
        <v>16.9057</v>
      </c>
    </row>
    <row r="312" spans="1:2" x14ac:dyDescent="0.2">
      <c r="A312" s="10">
        <v>16072</v>
      </c>
      <c r="B312" s="11">
        <v>17.241099999999999</v>
      </c>
    </row>
    <row r="313" spans="1:2" x14ac:dyDescent="0.2">
      <c r="A313" s="10">
        <v>16103</v>
      </c>
      <c r="B313" s="11">
        <v>17.464600000000001</v>
      </c>
    </row>
    <row r="314" spans="1:2" x14ac:dyDescent="0.2">
      <c r="A314" s="10">
        <v>16132</v>
      </c>
      <c r="B314" s="11">
        <v>17.492599999999999</v>
      </c>
    </row>
    <row r="315" spans="1:2" x14ac:dyDescent="0.2">
      <c r="A315" s="10">
        <v>16163</v>
      </c>
      <c r="B315" s="11">
        <v>17.492599999999999</v>
      </c>
    </row>
    <row r="316" spans="1:2" x14ac:dyDescent="0.2">
      <c r="A316" s="10">
        <v>16193</v>
      </c>
      <c r="B316" s="11">
        <v>17.464600000000001</v>
      </c>
    </row>
    <row r="317" spans="1:2" x14ac:dyDescent="0.2">
      <c r="A317" s="10">
        <v>16224</v>
      </c>
      <c r="B317" s="11">
        <v>17.492599999999999</v>
      </c>
    </row>
    <row r="318" spans="1:2" x14ac:dyDescent="0.2">
      <c r="A318" s="10">
        <v>16254</v>
      </c>
      <c r="B318" s="11">
        <v>17.241099999999999</v>
      </c>
    </row>
    <row r="319" spans="1:2" x14ac:dyDescent="0.2">
      <c r="A319" s="10">
        <v>16285</v>
      </c>
      <c r="B319" s="11">
        <v>17.4087</v>
      </c>
    </row>
    <row r="320" spans="1:2" x14ac:dyDescent="0.2">
      <c r="A320" s="10">
        <v>16316</v>
      </c>
      <c r="B320" s="11">
        <v>17.1572</v>
      </c>
    </row>
    <row r="321" spans="1:2" x14ac:dyDescent="0.2">
      <c r="A321" s="10">
        <v>16346</v>
      </c>
      <c r="B321" s="11">
        <v>17.1572</v>
      </c>
    </row>
    <row r="322" spans="1:2" x14ac:dyDescent="0.2">
      <c r="A322" s="10">
        <v>16377</v>
      </c>
      <c r="B322" s="11">
        <v>17.017499999999998</v>
      </c>
    </row>
    <row r="323" spans="1:2" x14ac:dyDescent="0.2">
      <c r="A323" s="10">
        <v>16407</v>
      </c>
      <c r="B323" s="11">
        <v>16.9057</v>
      </c>
    </row>
    <row r="324" spans="1:2" x14ac:dyDescent="0.2">
      <c r="A324" s="10">
        <v>16438</v>
      </c>
      <c r="B324" s="11">
        <v>16.933700000000002</v>
      </c>
    </row>
    <row r="325" spans="1:2" x14ac:dyDescent="0.2">
      <c r="A325" s="10">
        <v>16469</v>
      </c>
      <c r="B325" s="11">
        <v>16.989599999999999</v>
      </c>
    </row>
    <row r="326" spans="1:2" x14ac:dyDescent="0.2">
      <c r="A326" s="10">
        <v>16497</v>
      </c>
      <c r="B326" s="11">
        <v>16.933700000000002</v>
      </c>
    </row>
    <row r="327" spans="1:2" x14ac:dyDescent="0.2">
      <c r="A327" s="10">
        <v>16528</v>
      </c>
      <c r="B327" s="11">
        <v>16.654299999999999</v>
      </c>
    </row>
    <row r="328" spans="1:2" x14ac:dyDescent="0.2">
      <c r="A328" s="10">
        <v>16558</v>
      </c>
      <c r="B328" s="11">
        <v>16.291</v>
      </c>
    </row>
    <row r="329" spans="1:2" x14ac:dyDescent="0.2">
      <c r="A329" s="10">
        <v>16589</v>
      </c>
      <c r="B329" s="11">
        <v>15.983599999999999</v>
      </c>
    </row>
    <row r="330" spans="1:2" x14ac:dyDescent="0.2">
      <c r="A330" s="10">
        <v>16619</v>
      </c>
      <c r="B330" s="11">
        <v>15.424799999999999</v>
      </c>
    </row>
    <row r="331" spans="1:2" x14ac:dyDescent="0.2">
      <c r="A331" s="10">
        <v>16650</v>
      </c>
      <c r="B331" s="11">
        <v>13.7761</v>
      </c>
    </row>
    <row r="332" spans="1:2" x14ac:dyDescent="0.2">
      <c r="A332" s="10">
        <v>16681</v>
      </c>
      <c r="B332" s="11">
        <v>12.4907</v>
      </c>
    </row>
    <row r="333" spans="1:2" x14ac:dyDescent="0.2">
      <c r="A333" s="10">
        <v>16711</v>
      </c>
      <c r="B333" s="11">
        <v>11.931800000000001</v>
      </c>
    </row>
    <row r="334" spans="1:2" x14ac:dyDescent="0.2">
      <c r="A334" s="10">
        <v>16742</v>
      </c>
      <c r="B334" s="11">
        <v>12.3789</v>
      </c>
    </row>
    <row r="335" spans="1:2" x14ac:dyDescent="0.2">
      <c r="A335" s="10">
        <v>16772</v>
      </c>
      <c r="B335" s="11">
        <v>12.351000000000001</v>
      </c>
    </row>
    <row r="336" spans="1:2" x14ac:dyDescent="0.2">
      <c r="A336" s="10">
        <v>16803</v>
      </c>
      <c r="B336" s="11">
        <v>11.8201</v>
      </c>
    </row>
    <row r="337" spans="1:2" x14ac:dyDescent="0.2">
      <c r="A337" s="10">
        <v>16834</v>
      </c>
      <c r="B337" s="11">
        <v>11.289099999999999</v>
      </c>
    </row>
    <row r="338" spans="1:2" x14ac:dyDescent="0.2">
      <c r="A338" s="10">
        <v>16862</v>
      </c>
      <c r="B338" s="11">
        <v>12.4907</v>
      </c>
    </row>
    <row r="339" spans="1:2" x14ac:dyDescent="0.2">
      <c r="A339" s="10">
        <v>16893</v>
      </c>
      <c r="B339" s="11">
        <v>12.2392</v>
      </c>
    </row>
    <row r="340" spans="1:2" x14ac:dyDescent="0.2">
      <c r="A340" s="10">
        <v>16923</v>
      </c>
      <c r="B340" s="11">
        <v>11.7921</v>
      </c>
    </row>
    <row r="341" spans="1:2" x14ac:dyDescent="0.2">
      <c r="A341" s="10">
        <v>16954</v>
      </c>
      <c r="B341" s="11">
        <v>12.602499999999999</v>
      </c>
    </row>
    <row r="342" spans="1:2" x14ac:dyDescent="0.2">
      <c r="A342" s="10">
        <v>16984</v>
      </c>
      <c r="B342" s="11">
        <v>12.8819</v>
      </c>
    </row>
    <row r="343" spans="1:2" x14ac:dyDescent="0.2">
      <c r="A343" s="10">
        <v>17015</v>
      </c>
      <c r="B343" s="11">
        <v>13.3569</v>
      </c>
    </row>
    <row r="344" spans="1:2" x14ac:dyDescent="0.2">
      <c r="A344" s="10">
        <v>17046</v>
      </c>
      <c r="B344" s="11">
        <v>13.6084</v>
      </c>
    </row>
    <row r="345" spans="1:2" x14ac:dyDescent="0.2">
      <c r="A345" s="10">
        <v>17076</v>
      </c>
      <c r="B345" s="11">
        <v>13.7761</v>
      </c>
    </row>
    <row r="346" spans="1:2" x14ac:dyDescent="0.2">
      <c r="A346" s="10">
        <v>17107</v>
      </c>
      <c r="B346" s="11">
        <v>13.832000000000001</v>
      </c>
    </row>
    <row r="347" spans="1:2" x14ac:dyDescent="0.2">
      <c r="A347" s="10">
        <v>17137</v>
      </c>
      <c r="B347" s="11">
        <v>13.804</v>
      </c>
    </row>
    <row r="348" spans="1:2" x14ac:dyDescent="0.2">
      <c r="A348" s="10">
        <v>17168</v>
      </c>
      <c r="B348" s="11">
        <v>14.083500000000001</v>
      </c>
    </row>
    <row r="349" spans="1:2" x14ac:dyDescent="0.2">
      <c r="A349" s="10">
        <v>17199</v>
      </c>
      <c r="B349" s="11">
        <v>14.3629</v>
      </c>
    </row>
    <row r="350" spans="1:2" x14ac:dyDescent="0.2">
      <c r="A350" s="10">
        <v>17227</v>
      </c>
      <c r="B350" s="11">
        <v>14.418799999999999</v>
      </c>
    </row>
    <row r="351" spans="1:2" x14ac:dyDescent="0.2">
      <c r="A351" s="10">
        <v>17258</v>
      </c>
      <c r="B351" s="11">
        <v>14.1394</v>
      </c>
    </row>
    <row r="352" spans="1:2" x14ac:dyDescent="0.2">
      <c r="A352" s="10">
        <v>17288</v>
      </c>
      <c r="B352" s="11">
        <v>14.0555</v>
      </c>
    </row>
    <row r="353" spans="1:2" x14ac:dyDescent="0.2">
      <c r="A353" s="10">
        <v>17319</v>
      </c>
      <c r="B353" s="11">
        <v>14.167299999999999</v>
      </c>
    </row>
    <row r="354" spans="1:2" x14ac:dyDescent="0.2">
      <c r="A354" s="10">
        <v>17349</v>
      </c>
      <c r="B354" s="11">
        <v>13.3569</v>
      </c>
    </row>
    <row r="355" spans="1:2" x14ac:dyDescent="0.2">
      <c r="A355" s="10">
        <v>17380</v>
      </c>
      <c r="B355" s="11">
        <v>14.3629</v>
      </c>
    </row>
    <row r="356" spans="1:2" x14ac:dyDescent="0.2">
      <c r="A356" s="10">
        <v>17411</v>
      </c>
      <c r="B356" s="11">
        <v>14.7262</v>
      </c>
    </row>
    <row r="357" spans="1:2" x14ac:dyDescent="0.2">
      <c r="A357" s="10">
        <v>17441</v>
      </c>
      <c r="B357" s="11">
        <v>15.145300000000001</v>
      </c>
    </row>
    <row r="358" spans="1:2" x14ac:dyDescent="0.2">
      <c r="A358" s="10">
        <v>17472</v>
      </c>
      <c r="B358" s="11">
        <v>15.0335</v>
      </c>
    </row>
    <row r="359" spans="1:2" x14ac:dyDescent="0.2">
      <c r="A359" s="10">
        <v>17502</v>
      </c>
      <c r="B359" s="11">
        <v>14.754099999999999</v>
      </c>
    </row>
    <row r="360" spans="1:2" x14ac:dyDescent="0.2">
      <c r="A360" s="10">
        <v>17533</v>
      </c>
      <c r="B360" s="11">
        <v>14.837899999999999</v>
      </c>
    </row>
    <row r="361" spans="1:2" x14ac:dyDescent="0.2">
      <c r="A361" s="10">
        <v>17564</v>
      </c>
      <c r="B361" s="11">
        <v>15.005599999999999</v>
      </c>
    </row>
    <row r="362" spans="1:2" x14ac:dyDescent="0.2">
      <c r="A362" s="10">
        <v>17593</v>
      </c>
      <c r="B362" s="11">
        <v>14.7821</v>
      </c>
    </row>
    <row r="363" spans="1:2" x14ac:dyDescent="0.2">
      <c r="A363" s="10">
        <v>17624</v>
      </c>
      <c r="B363" s="11">
        <v>14.642300000000001</v>
      </c>
    </row>
    <row r="364" spans="1:2" x14ac:dyDescent="0.2">
      <c r="A364" s="10">
        <v>17654</v>
      </c>
      <c r="B364" s="11">
        <v>14.754099999999999</v>
      </c>
    </row>
    <row r="365" spans="1:2" x14ac:dyDescent="0.2">
      <c r="A365" s="10">
        <v>17685</v>
      </c>
      <c r="B365" s="11">
        <v>15.0335</v>
      </c>
    </row>
    <row r="366" spans="1:2" x14ac:dyDescent="0.2">
      <c r="A366" s="10">
        <v>17715</v>
      </c>
      <c r="B366" s="11">
        <v>14.3629</v>
      </c>
    </row>
    <row r="367" spans="1:2" x14ac:dyDescent="0.2">
      <c r="A367" s="10">
        <v>17746</v>
      </c>
      <c r="B367" s="11">
        <v>15.2012</v>
      </c>
    </row>
    <row r="368" spans="1:2" x14ac:dyDescent="0.2">
      <c r="A368" s="10">
        <v>17777</v>
      </c>
      <c r="B368" s="11">
        <v>15.4527</v>
      </c>
    </row>
    <row r="369" spans="1:2" x14ac:dyDescent="0.2">
      <c r="A369" s="10">
        <v>17807</v>
      </c>
      <c r="B369" s="11">
        <v>15.788</v>
      </c>
    </row>
    <row r="370" spans="1:2" x14ac:dyDescent="0.2">
      <c r="A370" s="10">
        <v>17838</v>
      </c>
      <c r="B370" s="11">
        <v>15.257099999999999</v>
      </c>
    </row>
    <row r="371" spans="1:2" x14ac:dyDescent="0.2">
      <c r="A371" s="10">
        <v>17868</v>
      </c>
      <c r="B371" s="11">
        <v>14.7821</v>
      </c>
    </row>
    <row r="372" spans="1:2" x14ac:dyDescent="0.2">
      <c r="A372" s="10">
        <v>17899</v>
      </c>
      <c r="B372" s="11">
        <v>14.6144</v>
      </c>
    </row>
    <row r="373" spans="1:2" x14ac:dyDescent="0.2">
      <c r="A373" s="10">
        <v>17930</v>
      </c>
      <c r="B373" s="11">
        <v>14.642300000000001</v>
      </c>
    </row>
    <row r="374" spans="1:2" x14ac:dyDescent="0.2">
      <c r="A374" s="10">
        <v>17958</v>
      </c>
      <c r="B374" s="11">
        <v>14.3629</v>
      </c>
    </row>
    <row r="375" spans="1:2" x14ac:dyDescent="0.2">
      <c r="A375" s="10">
        <v>17989</v>
      </c>
      <c r="B375" s="11">
        <v>14.0555</v>
      </c>
    </row>
    <row r="376" spans="1:2" x14ac:dyDescent="0.2">
      <c r="A376" s="10">
        <v>18019</v>
      </c>
      <c r="B376" s="11">
        <v>13.7761</v>
      </c>
    </row>
    <row r="377" spans="1:2" x14ac:dyDescent="0.2">
      <c r="A377" s="10">
        <v>18050</v>
      </c>
      <c r="B377" s="11">
        <v>13.832000000000001</v>
      </c>
    </row>
    <row r="378" spans="1:2" x14ac:dyDescent="0.2">
      <c r="A378" s="10">
        <v>18080</v>
      </c>
      <c r="B378" s="11">
        <v>13.1334</v>
      </c>
    </row>
    <row r="379" spans="1:2" x14ac:dyDescent="0.2">
      <c r="A379" s="10">
        <v>18111</v>
      </c>
      <c r="B379" s="11">
        <v>14.251099999999999</v>
      </c>
    </row>
    <row r="380" spans="1:2" x14ac:dyDescent="0.2">
      <c r="A380" s="10">
        <v>18142</v>
      </c>
      <c r="B380" s="11">
        <v>14.6144</v>
      </c>
    </row>
    <row r="381" spans="1:2" x14ac:dyDescent="0.2">
      <c r="A381" s="10">
        <v>18172</v>
      </c>
      <c r="B381" s="11">
        <v>14.307</v>
      </c>
    </row>
    <row r="382" spans="1:2" x14ac:dyDescent="0.2">
      <c r="A382" s="10">
        <v>18203</v>
      </c>
      <c r="B382" s="11">
        <v>14.251099999999999</v>
      </c>
    </row>
    <row r="383" spans="1:2" x14ac:dyDescent="0.2">
      <c r="A383" s="10">
        <v>18233</v>
      </c>
      <c r="B383" s="11">
        <v>14.167299999999999</v>
      </c>
    </row>
    <row r="384" spans="1:2" x14ac:dyDescent="0.2">
      <c r="A384" s="10">
        <v>18264</v>
      </c>
      <c r="B384" s="11">
        <v>14.5306</v>
      </c>
    </row>
    <row r="385" spans="1:2" x14ac:dyDescent="0.2">
      <c r="A385" s="10">
        <v>18295</v>
      </c>
      <c r="B385" s="11">
        <v>14.7262</v>
      </c>
    </row>
    <row r="386" spans="1:2" x14ac:dyDescent="0.2">
      <c r="A386" s="10">
        <v>18323</v>
      </c>
      <c r="B386" s="11">
        <v>15.2012</v>
      </c>
    </row>
    <row r="387" spans="1:2" x14ac:dyDescent="0.2">
      <c r="A387" s="10">
        <v>18354</v>
      </c>
      <c r="B387" s="11">
        <v>15.564500000000001</v>
      </c>
    </row>
    <row r="388" spans="1:2" x14ac:dyDescent="0.2">
      <c r="A388" s="10">
        <v>18384</v>
      </c>
      <c r="B388" s="11">
        <v>15.7042</v>
      </c>
    </row>
    <row r="389" spans="1:2" x14ac:dyDescent="0.2">
      <c r="A389" s="10">
        <v>18415</v>
      </c>
      <c r="B389" s="11">
        <v>16.318899999999999</v>
      </c>
    </row>
    <row r="390" spans="1:2" x14ac:dyDescent="0.2">
      <c r="A390" s="10">
        <v>18445</v>
      </c>
      <c r="B390" s="11">
        <v>15.8439</v>
      </c>
    </row>
    <row r="391" spans="1:2" x14ac:dyDescent="0.2">
      <c r="A391" s="10">
        <v>18476</v>
      </c>
      <c r="B391" s="11">
        <v>17.632300000000001</v>
      </c>
    </row>
    <row r="392" spans="1:2" x14ac:dyDescent="0.2">
      <c r="A392" s="10">
        <v>18507</v>
      </c>
      <c r="B392" s="11">
        <v>17.771999999999998</v>
      </c>
    </row>
    <row r="393" spans="1:2" x14ac:dyDescent="0.2">
      <c r="A393" s="10">
        <v>18537</v>
      </c>
      <c r="B393" s="11">
        <v>18.247</v>
      </c>
    </row>
    <row r="394" spans="1:2" x14ac:dyDescent="0.2">
      <c r="A394" s="10">
        <v>18568</v>
      </c>
      <c r="B394" s="11">
        <v>17.632300000000001</v>
      </c>
    </row>
    <row r="395" spans="1:2" x14ac:dyDescent="0.2">
      <c r="A395" s="10">
        <v>18598</v>
      </c>
      <c r="B395" s="11">
        <v>17.604299999999999</v>
      </c>
    </row>
    <row r="396" spans="1:2" x14ac:dyDescent="0.2">
      <c r="A396" s="10">
        <v>18629</v>
      </c>
      <c r="B396" s="11">
        <v>17.716100000000001</v>
      </c>
    </row>
    <row r="397" spans="1:2" x14ac:dyDescent="0.2">
      <c r="A397" s="10">
        <v>18660</v>
      </c>
      <c r="B397" s="11">
        <v>18.107299999999999</v>
      </c>
    </row>
    <row r="398" spans="1:2" x14ac:dyDescent="0.2">
      <c r="A398" s="10">
        <v>18688</v>
      </c>
      <c r="B398" s="11">
        <v>18.247</v>
      </c>
    </row>
    <row r="399" spans="1:2" x14ac:dyDescent="0.2">
      <c r="A399" s="10">
        <v>18719</v>
      </c>
      <c r="B399" s="11">
        <v>18.051400000000001</v>
      </c>
    </row>
    <row r="400" spans="1:2" x14ac:dyDescent="0.2">
      <c r="A400" s="10">
        <v>18749</v>
      </c>
      <c r="B400" s="11">
        <v>17.7441</v>
      </c>
    </row>
    <row r="401" spans="1:2" x14ac:dyDescent="0.2">
      <c r="A401" s="10">
        <v>18780</v>
      </c>
      <c r="B401" s="11">
        <v>17.939699999999998</v>
      </c>
    </row>
    <row r="402" spans="1:2" x14ac:dyDescent="0.2">
      <c r="A402" s="10">
        <v>18810</v>
      </c>
      <c r="B402" s="11">
        <v>16.626300000000001</v>
      </c>
    </row>
    <row r="403" spans="1:2" x14ac:dyDescent="0.2">
      <c r="A403" s="10">
        <v>18841</v>
      </c>
      <c r="B403" s="11">
        <v>17.520499999999998</v>
      </c>
    </row>
    <row r="404" spans="1:2" x14ac:dyDescent="0.2">
      <c r="A404" s="10">
        <v>18872</v>
      </c>
      <c r="B404" s="11">
        <v>17.939699999999998</v>
      </c>
    </row>
    <row r="405" spans="1:2" x14ac:dyDescent="0.2">
      <c r="A405" s="10">
        <v>18902</v>
      </c>
      <c r="B405" s="11">
        <v>18.0794</v>
      </c>
    </row>
    <row r="406" spans="1:2" x14ac:dyDescent="0.2">
      <c r="A406" s="10">
        <v>18933</v>
      </c>
      <c r="B406" s="11">
        <v>17.855799999999999</v>
      </c>
    </row>
    <row r="407" spans="1:2" x14ac:dyDescent="0.2">
      <c r="A407" s="10">
        <v>18963</v>
      </c>
      <c r="B407" s="11">
        <v>17.604299999999999</v>
      </c>
    </row>
    <row r="408" spans="1:2" x14ac:dyDescent="0.2">
      <c r="A408" s="10">
        <v>18994</v>
      </c>
      <c r="B408" s="11">
        <v>17.883800000000001</v>
      </c>
    </row>
    <row r="409" spans="1:2" x14ac:dyDescent="0.2">
      <c r="A409" s="10">
        <v>19025</v>
      </c>
      <c r="B409" s="11">
        <v>18.302900000000001</v>
      </c>
    </row>
    <row r="410" spans="1:2" x14ac:dyDescent="0.2">
      <c r="A410" s="10">
        <v>19054</v>
      </c>
      <c r="B410" s="11">
        <v>18.4147</v>
      </c>
    </row>
    <row r="411" spans="1:2" x14ac:dyDescent="0.2">
      <c r="A411" s="10">
        <v>19085</v>
      </c>
      <c r="B411" s="11">
        <v>17.939699999999998</v>
      </c>
    </row>
    <row r="412" spans="1:2" x14ac:dyDescent="0.2">
      <c r="A412" s="10">
        <v>19115</v>
      </c>
      <c r="B412" s="11">
        <v>17.632300000000001</v>
      </c>
    </row>
    <row r="413" spans="1:2" x14ac:dyDescent="0.2">
      <c r="A413" s="10">
        <v>19146</v>
      </c>
      <c r="B413" s="11">
        <v>17.688199999999998</v>
      </c>
    </row>
    <row r="414" spans="1:2" x14ac:dyDescent="0.2">
      <c r="A414" s="10">
        <v>19176</v>
      </c>
      <c r="B414" s="11">
        <v>16.402799999999999</v>
      </c>
    </row>
    <row r="415" spans="1:2" x14ac:dyDescent="0.2">
      <c r="A415" s="10">
        <v>19207</v>
      </c>
      <c r="B415" s="11">
        <v>18.470600000000001</v>
      </c>
    </row>
    <row r="416" spans="1:2" x14ac:dyDescent="0.2">
      <c r="A416" s="10">
        <v>19238</v>
      </c>
      <c r="B416" s="11">
        <v>19.5045</v>
      </c>
    </row>
    <row r="417" spans="1:2" x14ac:dyDescent="0.2">
      <c r="A417" s="10">
        <v>19268</v>
      </c>
      <c r="B417" s="11">
        <v>19.895700000000001</v>
      </c>
    </row>
    <row r="418" spans="1:2" x14ac:dyDescent="0.2">
      <c r="A418" s="10">
        <v>19299</v>
      </c>
      <c r="B418" s="11">
        <v>19.895700000000001</v>
      </c>
    </row>
    <row r="419" spans="1:2" x14ac:dyDescent="0.2">
      <c r="A419" s="10">
        <v>19329</v>
      </c>
      <c r="B419" s="11">
        <v>19.5883</v>
      </c>
    </row>
    <row r="420" spans="1:2" x14ac:dyDescent="0.2">
      <c r="A420" s="10">
        <v>19360</v>
      </c>
      <c r="B420" s="11">
        <v>19.783899999999999</v>
      </c>
    </row>
    <row r="421" spans="1:2" x14ac:dyDescent="0.2">
      <c r="A421" s="10">
        <v>19391</v>
      </c>
      <c r="B421" s="11">
        <v>20.314800000000002</v>
      </c>
    </row>
    <row r="422" spans="1:2" x14ac:dyDescent="0.2">
      <c r="A422" s="10">
        <v>19419</v>
      </c>
      <c r="B422" s="11">
        <v>20.566299999999998</v>
      </c>
    </row>
    <row r="423" spans="1:2" x14ac:dyDescent="0.2">
      <c r="A423" s="10">
        <v>19450</v>
      </c>
      <c r="B423" s="11">
        <v>20.370699999999999</v>
      </c>
    </row>
    <row r="424" spans="1:2" x14ac:dyDescent="0.2">
      <c r="A424" s="10">
        <v>19480</v>
      </c>
      <c r="B424" s="11">
        <v>20.370699999999999</v>
      </c>
    </row>
    <row r="425" spans="1:2" x14ac:dyDescent="0.2">
      <c r="A425" s="10">
        <v>19511</v>
      </c>
      <c r="B425" s="11">
        <v>20.426600000000001</v>
      </c>
    </row>
    <row r="426" spans="1:2" x14ac:dyDescent="0.2">
      <c r="A426" s="10">
        <v>19541</v>
      </c>
      <c r="B426" s="11">
        <v>19.4207</v>
      </c>
    </row>
    <row r="427" spans="1:2" x14ac:dyDescent="0.2">
      <c r="A427" s="10">
        <v>19572</v>
      </c>
      <c r="B427" s="11">
        <v>20.370699999999999</v>
      </c>
    </row>
    <row r="428" spans="1:2" x14ac:dyDescent="0.2">
      <c r="A428" s="10">
        <v>19603</v>
      </c>
      <c r="B428" s="11">
        <v>20.259</v>
      </c>
    </row>
    <row r="429" spans="1:2" x14ac:dyDescent="0.2">
      <c r="A429" s="10">
        <v>19633</v>
      </c>
      <c r="B429" s="11">
        <v>20.370699999999999</v>
      </c>
    </row>
    <row r="430" spans="1:2" x14ac:dyDescent="0.2">
      <c r="A430" s="10">
        <v>19664</v>
      </c>
      <c r="B430" s="11">
        <v>19.4207</v>
      </c>
    </row>
    <row r="431" spans="1:2" x14ac:dyDescent="0.2">
      <c r="A431" s="10">
        <v>19694</v>
      </c>
      <c r="B431" s="11">
        <v>18.638200000000001</v>
      </c>
    </row>
    <row r="432" spans="1:2" x14ac:dyDescent="0.2">
      <c r="A432" s="10">
        <v>19725</v>
      </c>
      <c r="B432" s="11">
        <v>18.722100000000001</v>
      </c>
    </row>
    <row r="433" spans="1:2" x14ac:dyDescent="0.2">
      <c r="A433" s="10">
        <v>19756</v>
      </c>
      <c r="B433" s="11">
        <v>19.0015</v>
      </c>
    </row>
    <row r="434" spans="1:2" x14ac:dyDescent="0.2">
      <c r="A434" s="10">
        <v>19784</v>
      </c>
      <c r="B434" s="11">
        <v>18.9177</v>
      </c>
    </row>
    <row r="435" spans="1:2" x14ac:dyDescent="0.2">
      <c r="A435" s="10">
        <v>19815</v>
      </c>
      <c r="B435" s="11">
        <v>18.694099999999999</v>
      </c>
    </row>
    <row r="436" spans="1:2" x14ac:dyDescent="0.2">
      <c r="A436" s="10">
        <v>19845</v>
      </c>
      <c r="B436" s="11">
        <v>18.722100000000001</v>
      </c>
    </row>
    <row r="437" spans="1:2" x14ac:dyDescent="0.2">
      <c r="A437" s="10">
        <v>19876</v>
      </c>
      <c r="B437" s="11">
        <v>18.945599999999999</v>
      </c>
    </row>
    <row r="438" spans="1:2" x14ac:dyDescent="0.2">
      <c r="A438" s="10">
        <v>19906</v>
      </c>
      <c r="B438" s="11">
        <v>17.8279</v>
      </c>
    </row>
    <row r="439" spans="1:2" x14ac:dyDescent="0.2">
      <c r="A439" s="10">
        <v>19937</v>
      </c>
      <c r="B439" s="11">
        <v>18.722100000000001</v>
      </c>
    </row>
    <row r="440" spans="1:2" x14ac:dyDescent="0.2">
      <c r="A440" s="10">
        <v>19968</v>
      </c>
      <c r="B440" s="11">
        <v>19.113299999999999</v>
      </c>
    </row>
    <row r="441" spans="1:2" x14ac:dyDescent="0.2">
      <c r="A441" s="10">
        <v>19998</v>
      </c>
      <c r="B441" s="11">
        <v>19.532399999999999</v>
      </c>
    </row>
    <row r="442" spans="1:2" x14ac:dyDescent="0.2">
      <c r="A442" s="10">
        <v>20029</v>
      </c>
      <c r="B442" s="11">
        <v>19.5883</v>
      </c>
    </row>
    <row r="443" spans="1:2" x14ac:dyDescent="0.2">
      <c r="A443" s="10">
        <v>20059</v>
      </c>
      <c r="B443" s="11">
        <v>19.5045</v>
      </c>
    </row>
    <row r="444" spans="1:2" x14ac:dyDescent="0.2">
      <c r="A444" s="10">
        <v>20090</v>
      </c>
      <c r="B444" s="11">
        <v>19.979500000000002</v>
      </c>
    </row>
    <row r="445" spans="1:2" x14ac:dyDescent="0.2">
      <c r="A445" s="10">
        <v>20121</v>
      </c>
      <c r="B445" s="11">
        <v>20.510400000000001</v>
      </c>
    </row>
    <row r="446" spans="1:2" x14ac:dyDescent="0.2">
      <c r="A446" s="10">
        <v>20149</v>
      </c>
      <c r="B446" s="11">
        <v>20.985499999999998</v>
      </c>
    </row>
    <row r="447" spans="1:2" x14ac:dyDescent="0.2">
      <c r="A447" s="10">
        <v>20180</v>
      </c>
      <c r="B447" s="11">
        <v>21.153099999999998</v>
      </c>
    </row>
    <row r="448" spans="1:2" x14ac:dyDescent="0.2">
      <c r="A448" s="10">
        <v>20210</v>
      </c>
      <c r="B448" s="11">
        <v>21.320799999999998</v>
      </c>
    </row>
    <row r="449" spans="1:2" x14ac:dyDescent="0.2">
      <c r="A449" s="10">
        <v>20241</v>
      </c>
      <c r="B449" s="11">
        <v>21.572299999999998</v>
      </c>
    </row>
    <row r="450" spans="1:2" x14ac:dyDescent="0.2">
      <c r="A450" s="10">
        <v>20271</v>
      </c>
      <c r="B450" s="11">
        <v>20.370699999999999</v>
      </c>
    </row>
    <row r="451" spans="1:2" x14ac:dyDescent="0.2">
      <c r="A451" s="10">
        <v>20302</v>
      </c>
      <c r="B451" s="11">
        <v>21.404599999999999</v>
      </c>
    </row>
    <row r="452" spans="1:2" x14ac:dyDescent="0.2">
      <c r="A452" s="10">
        <v>20333</v>
      </c>
      <c r="B452" s="11">
        <v>21.935600000000001</v>
      </c>
    </row>
    <row r="453" spans="1:2" x14ac:dyDescent="0.2">
      <c r="A453" s="10">
        <v>20363</v>
      </c>
      <c r="B453" s="11">
        <v>22.606200000000001</v>
      </c>
    </row>
    <row r="454" spans="1:2" x14ac:dyDescent="0.2">
      <c r="A454" s="10">
        <v>20394</v>
      </c>
      <c r="B454" s="11">
        <v>22.3827</v>
      </c>
    </row>
    <row r="455" spans="1:2" x14ac:dyDescent="0.2">
      <c r="A455" s="10">
        <v>20424</v>
      </c>
      <c r="B455" s="11">
        <v>22.0473</v>
      </c>
    </row>
    <row r="456" spans="1:2" x14ac:dyDescent="0.2">
      <c r="A456" s="10">
        <v>20455</v>
      </c>
      <c r="B456" s="11">
        <v>22.103200000000001</v>
      </c>
    </row>
    <row r="457" spans="1:2" x14ac:dyDescent="0.2">
      <c r="A457" s="10">
        <v>20486</v>
      </c>
      <c r="B457" s="11">
        <v>22.326799999999999</v>
      </c>
    </row>
    <row r="458" spans="1:2" x14ac:dyDescent="0.2">
      <c r="A458" s="10">
        <v>20515</v>
      </c>
      <c r="B458" s="11">
        <v>22.354700000000001</v>
      </c>
    </row>
    <row r="459" spans="1:2" x14ac:dyDescent="0.2">
      <c r="A459" s="10">
        <v>20546</v>
      </c>
      <c r="B459" s="11">
        <v>22.494399999999999</v>
      </c>
    </row>
    <row r="460" spans="1:2" x14ac:dyDescent="0.2">
      <c r="A460" s="10">
        <v>20576</v>
      </c>
      <c r="B460" s="11">
        <v>22.159099999999999</v>
      </c>
    </row>
    <row r="461" spans="1:2" x14ac:dyDescent="0.2">
      <c r="A461" s="10">
        <v>20607</v>
      </c>
      <c r="B461" s="11">
        <v>22.270900000000001</v>
      </c>
    </row>
    <row r="462" spans="1:2" x14ac:dyDescent="0.2">
      <c r="A462" s="10">
        <v>20637</v>
      </c>
      <c r="B462" s="11">
        <v>20.147200000000002</v>
      </c>
    </row>
    <row r="463" spans="1:2" x14ac:dyDescent="0.2">
      <c r="A463" s="10">
        <v>20668</v>
      </c>
      <c r="B463" s="11">
        <v>22.0473</v>
      </c>
    </row>
    <row r="464" spans="1:2" x14ac:dyDescent="0.2">
      <c r="A464" s="10">
        <v>20699</v>
      </c>
      <c r="B464" s="11">
        <v>22.857700000000001</v>
      </c>
    </row>
    <row r="465" spans="1:2" x14ac:dyDescent="0.2">
      <c r="A465" s="10">
        <v>20729</v>
      </c>
      <c r="B465" s="11">
        <v>23.3048</v>
      </c>
    </row>
    <row r="466" spans="1:2" x14ac:dyDescent="0.2">
      <c r="A466" s="10">
        <v>20760</v>
      </c>
      <c r="B466" s="11">
        <v>22.857700000000001</v>
      </c>
    </row>
    <row r="467" spans="1:2" x14ac:dyDescent="0.2">
      <c r="A467" s="10">
        <v>20790</v>
      </c>
      <c r="B467" s="11">
        <v>22.6342</v>
      </c>
    </row>
    <row r="468" spans="1:2" x14ac:dyDescent="0.2">
      <c r="A468" s="10">
        <v>20821</v>
      </c>
      <c r="B468" s="11">
        <v>22.6342</v>
      </c>
    </row>
    <row r="469" spans="1:2" x14ac:dyDescent="0.2">
      <c r="A469" s="10">
        <v>20852</v>
      </c>
      <c r="B469" s="11">
        <v>23.193000000000001</v>
      </c>
    </row>
    <row r="470" spans="1:2" x14ac:dyDescent="0.2">
      <c r="A470" s="10">
        <v>20880</v>
      </c>
      <c r="B470" s="11">
        <v>23.221</v>
      </c>
    </row>
    <row r="471" spans="1:2" x14ac:dyDescent="0.2">
      <c r="A471" s="10">
        <v>20911</v>
      </c>
      <c r="B471" s="11">
        <v>22.745899999999999</v>
      </c>
    </row>
    <row r="472" spans="1:2" x14ac:dyDescent="0.2">
      <c r="A472" s="10">
        <v>20941</v>
      </c>
      <c r="B472" s="11">
        <v>22.578299999999999</v>
      </c>
    </row>
    <row r="473" spans="1:2" x14ac:dyDescent="0.2">
      <c r="A473" s="10">
        <v>20972</v>
      </c>
      <c r="B473" s="11">
        <v>23.0533</v>
      </c>
    </row>
    <row r="474" spans="1:2" x14ac:dyDescent="0.2">
      <c r="A474" s="10">
        <v>21002</v>
      </c>
      <c r="B474" s="11">
        <v>21.684100000000001</v>
      </c>
    </row>
    <row r="475" spans="1:2" x14ac:dyDescent="0.2">
      <c r="A475" s="10">
        <v>21033</v>
      </c>
      <c r="B475" s="11">
        <v>22.941500000000001</v>
      </c>
    </row>
    <row r="476" spans="1:2" x14ac:dyDescent="0.2">
      <c r="A476" s="10">
        <v>21064</v>
      </c>
      <c r="B476" s="11">
        <v>22.997399999999999</v>
      </c>
    </row>
    <row r="477" spans="1:2" x14ac:dyDescent="0.2">
      <c r="A477" s="10">
        <v>21094</v>
      </c>
      <c r="B477" s="11">
        <v>22.857700000000001</v>
      </c>
    </row>
    <row r="478" spans="1:2" x14ac:dyDescent="0.2">
      <c r="A478" s="10">
        <v>21125</v>
      </c>
      <c r="B478" s="11">
        <v>22.0473</v>
      </c>
    </row>
    <row r="479" spans="1:2" x14ac:dyDescent="0.2">
      <c r="A479" s="10">
        <v>21155</v>
      </c>
      <c r="B479" s="11">
        <v>21.097300000000001</v>
      </c>
    </row>
    <row r="480" spans="1:2" x14ac:dyDescent="0.2">
      <c r="A480" s="10">
        <v>21186</v>
      </c>
      <c r="B480" s="11">
        <v>20.817799999999998</v>
      </c>
    </row>
    <row r="481" spans="1:2" x14ac:dyDescent="0.2">
      <c r="A481" s="10">
        <v>21217</v>
      </c>
      <c r="B481" s="11">
        <v>20.5943</v>
      </c>
    </row>
    <row r="482" spans="1:2" x14ac:dyDescent="0.2">
      <c r="A482" s="10">
        <v>21245</v>
      </c>
      <c r="B482" s="11">
        <v>20.370699999999999</v>
      </c>
    </row>
    <row r="483" spans="1:2" x14ac:dyDescent="0.2">
      <c r="A483" s="10">
        <v>21276</v>
      </c>
      <c r="B483" s="11">
        <v>19.979500000000002</v>
      </c>
    </row>
    <row r="484" spans="1:2" x14ac:dyDescent="0.2">
      <c r="A484" s="10">
        <v>21306</v>
      </c>
      <c r="B484" s="11">
        <v>20.0913</v>
      </c>
    </row>
    <row r="485" spans="1:2" x14ac:dyDescent="0.2">
      <c r="A485" s="10">
        <v>21337</v>
      </c>
      <c r="B485" s="11">
        <v>21.041399999999999</v>
      </c>
    </row>
    <row r="486" spans="1:2" x14ac:dyDescent="0.2">
      <c r="A486" s="10">
        <v>21367</v>
      </c>
      <c r="B486" s="11">
        <v>20.035399999999999</v>
      </c>
    </row>
    <row r="487" spans="1:2" x14ac:dyDescent="0.2">
      <c r="A487" s="10">
        <v>21398</v>
      </c>
      <c r="B487" s="11">
        <v>21.432600000000001</v>
      </c>
    </row>
    <row r="488" spans="1:2" x14ac:dyDescent="0.2">
      <c r="A488" s="10">
        <v>21429</v>
      </c>
      <c r="B488" s="11">
        <v>22.159099999999999</v>
      </c>
    </row>
    <row r="489" spans="1:2" x14ac:dyDescent="0.2">
      <c r="A489" s="10">
        <v>21459</v>
      </c>
      <c r="B489" s="11">
        <v>22.3827</v>
      </c>
    </row>
    <row r="490" spans="1:2" x14ac:dyDescent="0.2">
      <c r="A490" s="10">
        <v>21490</v>
      </c>
      <c r="B490" s="11">
        <v>22.69</v>
      </c>
    </row>
    <row r="491" spans="1:2" x14ac:dyDescent="0.2">
      <c r="A491" s="10">
        <v>21520</v>
      </c>
      <c r="B491" s="11">
        <v>22.215</v>
      </c>
    </row>
    <row r="492" spans="1:2" x14ac:dyDescent="0.2">
      <c r="A492" s="10">
        <v>21551</v>
      </c>
      <c r="B492" s="11">
        <v>22.606200000000001</v>
      </c>
    </row>
    <row r="493" spans="1:2" x14ac:dyDescent="0.2">
      <c r="A493" s="10">
        <v>21582</v>
      </c>
      <c r="B493" s="11">
        <v>23.3048</v>
      </c>
    </row>
    <row r="494" spans="1:2" x14ac:dyDescent="0.2">
      <c r="A494" s="10">
        <v>21610</v>
      </c>
      <c r="B494" s="11">
        <v>23.8078</v>
      </c>
    </row>
    <row r="495" spans="1:2" x14ac:dyDescent="0.2">
      <c r="A495" s="10">
        <v>21641</v>
      </c>
      <c r="B495" s="11">
        <v>24.254899999999999</v>
      </c>
    </row>
    <row r="496" spans="1:2" x14ac:dyDescent="0.2">
      <c r="A496" s="10">
        <v>21671</v>
      </c>
      <c r="B496" s="11">
        <v>24.534300000000002</v>
      </c>
    </row>
    <row r="497" spans="1:2" x14ac:dyDescent="0.2">
      <c r="A497" s="10">
        <v>21702</v>
      </c>
      <c r="B497" s="11">
        <v>25.0093</v>
      </c>
    </row>
    <row r="498" spans="1:2" x14ac:dyDescent="0.2">
      <c r="A498" s="10">
        <v>21732</v>
      </c>
      <c r="B498" s="11">
        <v>22.9695</v>
      </c>
    </row>
    <row r="499" spans="1:2" x14ac:dyDescent="0.2">
      <c r="A499" s="10">
        <v>21763</v>
      </c>
      <c r="B499" s="11">
        <v>23.109200000000001</v>
      </c>
    </row>
    <row r="500" spans="1:2" x14ac:dyDescent="0.2">
      <c r="A500" s="10">
        <v>21794</v>
      </c>
      <c r="B500" s="11">
        <v>23.5563</v>
      </c>
    </row>
    <row r="501" spans="1:2" x14ac:dyDescent="0.2">
      <c r="A501" s="10">
        <v>21824</v>
      </c>
      <c r="B501" s="11">
        <v>23.584199999999999</v>
      </c>
    </row>
    <row r="502" spans="1:2" x14ac:dyDescent="0.2">
      <c r="A502" s="10">
        <v>21855</v>
      </c>
      <c r="B502" s="11">
        <v>23.221</v>
      </c>
    </row>
    <row r="503" spans="1:2" x14ac:dyDescent="0.2">
      <c r="A503" s="10">
        <v>21885</v>
      </c>
      <c r="B503" s="11">
        <v>24.0593</v>
      </c>
    </row>
    <row r="504" spans="1:2" x14ac:dyDescent="0.2">
      <c r="A504" s="10">
        <v>21916</v>
      </c>
      <c r="B504" s="11">
        <v>24.7578</v>
      </c>
    </row>
    <row r="505" spans="1:2" x14ac:dyDescent="0.2">
      <c r="A505" s="10">
        <v>21947</v>
      </c>
      <c r="B505" s="11">
        <v>24.897600000000001</v>
      </c>
    </row>
    <row r="506" spans="1:2" x14ac:dyDescent="0.2">
      <c r="A506" s="10">
        <v>21976</v>
      </c>
      <c r="B506" s="11">
        <v>24.841699999999999</v>
      </c>
    </row>
    <row r="507" spans="1:2" x14ac:dyDescent="0.2">
      <c r="A507" s="10">
        <v>22007</v>
      </c>
      <c r="B507" s="11">
        <v>24.646100000000001</v>
      </c>
    </row>
    <row r="508" spans="1:2" x14ac:dyDescent="0.2">
      <c r="A508" s="10">
        <v>22037</v>
      </c>
      <c r="B508" s="11">
        <v>24.590199999999999</v>
      </c>
    </row>
    <row r="509" spans="1:2" x14ac:dyDescent="0.2">
      <c r="A509" s="10">
        <v>22068</v>
      </c>
      <c r="B509" s="11">
        <v>24.646100000000001</v>
      </c>
    </row>
    <row r="510" spans="1:2" x14ac:dyDescent="0.2">
      <c r="A510" s="10">
        <v>22098</v>
      </c>
      <c r="B510" s="11">
        <v>23.165099999999999</v>
      </c>
    </row>
    <row r="511" spans="1:2" x14ac:dyDescent="0.2">
      <c r="A511" s="10">
        <v>22129</v>
      </c>
      <c r="B511" s="11">
        <v>23.947500000000002</v>
      </c>
    </row>
    <row r="512" spans="1:2" x14ac:dyDescent="0.2">
      <c r="A512" s="10">
        <v>22160</v>
      </c>
      <c r="B512" s="11">
        <v>24.3108</v>
      </c>
    </row>
    <row r="513" spans="1:2" x14ac:dyDescent="0.2">
      <c r="A513" s="10">
        <v>22190</v>
      </c>
      <c r="B513" s="11">
        <v>24.422499999999999</v>
      </c>
    </row>
    <row r="514" spans="1:2" x14ac:dyDescent="0.2">
      <c r="A514" s="10">
        <v>22221</v>
      </c>
      <c r="B514" s="11">
        <v>23.5563</v>
      </c>
    </row>
    <row r="515" spans="1:2" x14ac:dyDescent="0.2">
      <c r="A515" s="10">
        <v>22251</v>
      </c>
      <c r="B515" s="11">
        <v>22.522400000000001</v>
      </c>
    </row>
    <row r="516" spans="1:2" x14ac:dyDescent="0.2">
      <c r="A516" s="10">
        <v>22282</v>
      </c>
      <c r="B516" s="11">
        <v>22.6342</v>
      </c>
    </row>
    <row r="517" spans="1:2" x14ac:dyDescent="0.2">
      <c r="A517" s="10">
        <v>22313</v>
      </c>
      <c r="B517" s="11">
        <v>22.8856</v>
      </c>
    </row>
    <row r="518" spans="1:2" x14ac:dyDescent="0.2">
      <c r="A518" s="10">
        <v>22341</v>
      </c>
      <c r="B518" s="11">
        <v>23.193000000000001</v>
      </c>
    </row>
    <row r="519" spans="1:2" x14ac:dyDescent="0.2">
      <c r="A519" s="10">
        <v>22372</v>
      </c>
      <c r="B519" s="11">
        <v>23.779800000000002</v>
      </c>
    </row>
    <row r="520" spans="1:2" x14ac:dyDescent="0.2">
      <c r="A520" s="10">
        <v>22402</v>
      </c>
      <c r="B520" s="11">
        <v>24.1431</v>
      </c>
    </row>
    <row r="521" spans="1:2" x14ac:dyDescent="0.2">
      <c r="A521" s="10">
        <v>22433</v>
      </c>
      <c r="B521" s="11">
        <v>24.841699999999999</v>
      </c>
    </row>
    <row r="522" spans="1:2" x14ac:dyDescent="0.2">
      <c r="A522" s="10">
        <v>22463</v>
      </c>
      <c r="B522" s="11">
        <v>23.584199999999999</v>
      </c>
    </row>
    <row r="523" spans="1:2" x14ac:dyDescent="0.2">
      <c r="A523" s="10">
        <v>22494</v>
      </c>
      <c r="B523" s="11">
        <v>24.785799999999998</v>
      </c>
    </row>
    <row r="524" spans="1:2" x14ac:dyDescent="0.2">
      <c r="A524" s="10">
        <v>22525</v>
      </c>
      <c r="B524" s="11">
        <v>25.372599999999998</v>
      </c>
    </row>
    <row r="525" spans="1:2" x14ac:dyDescent="0.2">
      <c r="A525" s="10">
        <v>22555</v>
      </c>
      <c r="B525" s="11">
        <v>25.959399999999999</v>
      </c>
    </row>
    <row r="526" spans="1:2" x14ac:dyDescent="0.2">
      <c r="A526" s="10">
        <v>22586</v>
      </c>
      <c r="B526" s="11">
        <v>25.735900000000001</v>
      </c>
    </row>
    <row r="527" spans="1:2" x14ac:dyDescent="0.2">
      <c r="A527" s="10">
        <v>22616</v>
      </c>
      <c r="B527" s="11">
        <v>25.3447</v>
      </c>
    </row>
    <row r="528" spans="1:2" x14ac:dyDescent="0.2">
      <c r="A528" s="10">
        <v>22647</v>
      </c>
      <c r="B528" s="11">
        <v>25.149100000000001</v>
      </c>
    </row>
    <row r="529" spans="1:2" x14ac:dyDescent="0.2">
      <c r="A529" s="10">
        <v>22678</v>
      </c>
      <c r="B529" s="11">
        <v>25.9315</v>
      </c>
    </row>
    <row r="530" spans="1:2" x14ac:dyDescent="0.2">
      <c r="A530" s="10">
        <v>22706</v>
      </c>
      <c r="B530" s="11">
        <v>26.322700000000001</v>
      </c>
    </row>
    <row r="531" spans="1:2" x14ac:dyDescent="0.2">
      <c r="A531" s="10">
        <v>22737</v>
      </c>
      <c r="B531" s="11">
        <v>26.4344</v>
      </c>
    </row>
    <row r="532" spans="1:2" x14ac:dyDescent="0.2">
      <c r="A532" s="10">
        <v>22767</v>
      </c>
      <c r="B532" s="11">
        <v>26.4344</v>
      </c>
    </row>
    <row r="533" spans="1:2" x14ac:dyDescent="0.2">
      <c r="A533" s="10">
        <v>22798</v>
      </c>
      <c r="B533" s="11">
        <v>26.797699999999999</v>
      </c>
    </row>
    <row r="534" spans="1:2" x14ac:dyDescent="0.2">
      <c r="A534" s="10">
        <v>22828</v>
      </c>
      <c r="B534" s="11">
        <v>25.456399999999999</v>
      </c>
    </row>
    <row r="535" spans="1:2" x14ac:dyDescent="0.2">
      <c r="A535" s="10">
        <v>22859</v>
      </c>
      <c r="B535" s="11">
        <v>26.2668</v>
      </c>
    </row>
    <row r="536" spans="1:2" x14ac:dyDescent="0.2">
      <c r="A536" s="10">
        <v>22890</v>
      </c>
      <c r="B536" s="11">
        <v>27.2727</v>
      </c>
    </row>
    <row r="537" spans="1:2" x14ac:dyDescent="0.2">
      <c r="A537" s="10">
        <v>22920</v>
      </c>
      <c r="B537" s="11">
        <v>27.384499999999999</v>
      </c>
    </row>
    <row r="538" spans="1:2" x14ac:dyDescent="0.2">
      <c r="A538" s="10">
        <v>22951</v>
      </c>
      <c r="B538" s="11">
        <v>26.881499999999999</v>
      </c>
    </row>
    <row r="539" spans="1:2" x14ac:dyDescent="0.2">
      <c r="A539" s="10">
        <v>22981</v>
      </c>
      <c r="B539" s="11">
        <v>26.210899999999999</v>
      </c>
    </row>
    <row r="540" spans="1:2" x14ac:dyDescent="0.2">
      <c r="A540" s="10">
        <v>23012</v>
      </c>
      <c r="B540" s="11">
        <v>26.4344</v>
      </c>
    </row>
    <row r="541" spans="1:2" x14ac:dyDescent="0.2">
      <c r="A541" s="10">
        <v>23043</v>
      </c>
      <c r="B541" s="11">
        <v>27.300699999999999</v>
      </c>
    </row>
    <row r="542" spans="1:2" x14ac:dyDescent="0.2">
      <c r="A542" s="10">
        <v>23071</v>
      </c>
      <c r="B542" s="11">
        <v>27.664000000000001</v>
      </c>
    </row>
    <row r="543" spans="1:2" x14ac:dyDescent="0.2">
      <c r="A543" s="10">
        <v>23102</v>
      </c>
      <c r="B543" s="11">
        <v>27.887499999999999</v>
      </c>
    </row>
    <row r="544" spans="1:2" x14ac:dyDescent="0.2">
      <c r="A544" s="10">
        <v>23132</v>
      </c>
      <c r="B544" s="11">
        <v>28.166899999999998</v>
      </c>
    </row>
    <row r="545" spans="1:2" x14ac:dyDescent="0.2">
      <c r="A545" s="10">
        <v>23163</v>
      </c>
      <c r="B545" s="11">
        <v>28.697900000000001</v>
      </c>
    </row>
    <row r="546" spans="1:2" x14ac:dyDescent="0.2">
      <c r="A546" s="10">
        <v>23193</v>
      </c>
      <c r="B546" s="11">
        <v>26.797699999999999</v>
      </c>
    </row>
    <row r="547" spans="1:2" x14ac:dyDescent="0.2">
      <c r="A547" s="10">
        <v>23224</v>
      </c>
      <c r="B547" s="11">
        <v>27.580100000000002</v>
      </c>
    </row>
    <row r="548" spans="1:2" x14ac:dyDescent="0.2">
      <c r="A548" s="10">
        <v>23255</v>
      </c>
      <c r="B548" s="11">
        <v>28.8096</v>
      </c>
    </row>
    <row r="549" spans="1:2" x14ac:dyDescent="0.2">
      <c r="A549" s="10">
        <v>23285</v>
      </c>
      <c r="B549" s="11">
        <v>29.284700000000001</v>
      </c>
    </row>
    <row r="550" spans="1:2" x14ac:dyDescent="0.2">
      <c r="A550" s="10">
        <v>23316</v>
      </c>
      <c r="B550" s="11">
        <v>28.753799999999998</v>
      </c>
    </row>
    <row r="551" spans="1:2" x14ac:dyDescent="0.2">
      <c r="A551" s="10">
        <v>23346</v>
      </c>
      <c r="B551" s="11">
        <v>27.9434</v>
      </c>
    </row>
    <row r="552" spans="1:2" x14ac:dyDescent="0.2">
      <c r="A552" s="10">
        <v>23377</v>
      </c>
      <c r="B552" s="11">
        <v>28.306699999999999</v>
      </c>
    </row>
    <row r="553" spans="1:2" x14ac:dyDescent="0.2">
      <c r="A553" s="10">
        <v>23408</v>
      </c>
      <c r="B553" s="11">
        <v>29.145</v>
      </c>
    </row>
    <row r="554" spans="1:2" x14ac:dyDescent="0.2">
      <c r="A554" s="10">
        <v>23437</v>
      </c>
      <c r="B554" s="11">
        <v>29.284700000000001</v>
      </c>
    </row>
    <row r="555" spans="1:2" x14ac:dyDescent="0.2">
      <c r="A555" s="10">
        <v>23468</v>
      </c>
      <c r="B555" s="11">
        <v>29.759699999999999</v>
      </c>
    </row>
    <row r="556" spans="1:2" x14ac:dyDescent="0.2">
      <c r="A556" s="10">
        <v>23498</v>
      </c>
      <c r="B556" s="11">
        <v>29.8994</v>
      </c>
    </row>
    <row r="557" spans="1:2" x14ac:dyDescent="0.2">
      <c r="A557" s="10">
        <v>23529</v>
      </c>
      <c r="B557" s="11">
        <v>30.374500000000001</v>
      </c>
    </row>
    <row r="558" spans="1:2" x14ac:dyDescent="0.2">
      <c r="A558" s="10">
        <v>23559</v>
      </c>
      <c r="B558" s="11">
        <v>28.586099999999998</v>
      </c>
    </row>
    <row r="559" spans="1:2" x14ac:dyDescent="0.2">
      <c r="A559" s="10">
        <v>23590</v>
      </c>
      <c r="B559" s="11">
        <v>29.703800000000001</v>
      </c>
    </row>
    <row r="560" spans="1:2" x14ac:dyDescent="0.2">
      <c r="A560" s="10">
        <v>23621</v>
      </c>
      <c r="B560" s="11">
        <v>30.9054</v>
      </c>
    </row>
    <row r="561" spans="1:2" x14ac:dyDescent="0.2">
      <c r="A561" s="10">
        <v>23651</v>
      </c>
      <c r="B561" s="11">
        <v>30.6539</v>
      </c>
    </row>
    <row r="562" spans="1:2" x14ac:dyDescent="0.2">
      <c r="A562" s="10">
        <v>23682</v>
      </c>
      <c r="B562" s="11">
        <v>30.849499999999999</v>
      </c>
    </row>
    <row r="563" spans="1:2" x14ac:dyDescent="0.2">
      <c r="A563" s="10">
        <v>23712</v>
      </c>
      <c r="B563" s="11">
        <v>30.458300000000001</v>
      </c>
    </row>
    <row r="564" spans="1:2" x14ac:dyDescent="0.2">
      <c r="A564" s="10">
        <v>23743</v>
      </c>
      <c r="B564" s="11">
        <v>30.961300000000001</v>
      </c>
    </row>
    <row r="565" spans="1:2" x14ac:dyDescent="0.2">
      <c r="A565" s="10">
        <v>23774</v>
      </c>
      <c r="B565" s="11">
        <v>31.771699999999999</v>
      </c>
    </row>
    <row r="566" spans="1:2" x14ac:dyDescent="0.2">
      <c r="A566" s="10">
        <v>23802</v>
      </c>
      <c r="B566" s="11">
        <v>32.442300000000003</v>
      </c>
    </row>
    <row r="567" spans="1:2" x14ac:dyDescent="0.2">
      <c r="A567" s="10">
        <v>23833</v>
      </c>
      <c r="B567" s="11">
        <v>32.442300000000003</v>
      </c>
    </row>
    <row r="568" spans="1:2" x14ac:dyDescent="0.2">
      <c r="A568" s="10">
        <v>23863</v>
      </c>
      <c r="B568" s="11">
        <v>32.693800000000003</v>
      </c>
    </row>
    <row r="569" spans="1:2" x14ac:dyDescent="0.2">
      <c r="A569" s="10">
        <v>23894</v>
      </c>
      <c r="B569" s="11">
        <v>33.476199999999999</v>
      </c>
    </row>
    <row r="570" spans="1:2" x14ac:dyDescent="0.2">
      <c r="A570" s="10">
        <v>23924</v>
      </c>
      <c r="B570" s="11">
        <v>31.6599</v>
      </c>
    </row>
    <row r="571" spans="1:2" x14ac:dyDescent="0.2">
      <c r="A571" s="10">
        <v>23955</v>
      </c>
      <c r="B571" s="11">
        <v>32.637900000000002</v>
      </c>
    </row>
    <row r="572" spans="1:2" x14ac:dyDescent="0.2">
      <c r="A572" s="10">
        <v>23986</v>
      </c>
      <c r="B572" s="11">
        <v>33.727699999999999</v>
      </c>
    </row>
    <row r="573" spans="1:2" x14ac:dyDescent="0.2">
      <c r="A573" s="10">
        <v>24016</v>
      </c>
      <c r="B573" s="11">
        <v>34.510100000000001</v>
      </c>
    </row>
    <row r="574" spans="1:2" x14ac:dyDescent="0.2">
      <c r="A574" s="10">
        <v>24047</v>
      </c>
      <c r="B574" s="11">
        <v>33.9512</v>
      </c>
    </row>
    <row r="575" spans="1:2" x14ac:dyDescent="0.2">
      <c r="A575" s="10">
        <v>24077</v>
      </c>
      <c r="B575" s="11">
        <v>33.392400000000002</v>
      </c>
    </row>
    <row r="576" spans="1:2" x14ac:dyDescent="0.2">
      <c r="A576" s="10">
        <v>24108</v>
      </c>
      <c r="B576" s="11">
        <v>33.867400000000004</v>
      </c>
    </row>
    <row r="577" spans="1:2" x14ac:dyDescent="0.2">
      <c r="A577" s="10">
        <v>24139</v>
      </c>
      <c r="B577" s="11">
        <v>34.817500000000003</v>
      </c>
    </row>
    <row r="578" spans="1:2" x14ac:dyDescent="0.2">
      <c r="A578" s="10">
        <v>24167</v>
      </c>
      <c r="B578" s="11">
        <v>35.516100000000002</v>
      </c>
    </row>
    <row r="579" spans="1:2" x14ac:dyDescent="0.2">
      <c r="A579" s="10">
        <v>24198</v>
      </c>
      <c r="B579" s="11">
        <v>35.4602</v>
      </c>
    </row>
    <row r="580" spans="1:2" x14ac:dyDescent="0.2">
      <c r="A580" s="10">
        <v>24228</v>
      </c>
      <c r="B580" s="11">
        <v>35.7117</v>
      </c>
    </row>
    <row r="581" spans="1:2" x14ac:dyDescent="0.2">
      <c r="A581" s="10">
        <v>24259</v>
      </c>
      <c r="B581" s="11">
        <v>36.521999999999998</v>
      </c>
    </row>
    <row r="582" spans="1:2" x14ac:dyDescent="0.2">
      <c r="A582" s="10">
        <v>24289</v>
      </c>
      <c r="B582" s="11">
        <v>34.258600000000001</v>
      </c>
    </row>
    <row r="583" spans="1:2" x14ac:dyDescent="0.2">
      <c r="A583" s="10">
        <v>24320</v>
      </c>
      <c r="B583" s="11">
        <v>35.488100000000003</v>
      </c>
    </row>
    <row r="584" spans="1:2" x14ac:dyDescent="0.2">
      <c r="A584" s="10">
        <v>24351</v>
      </c>
      <c r="B584" s="11">
        <v>37.136800000000001</v>
      </c>
    </row>
    <row r="585" spans="1:2" x14ac:dyDescent="0.2">
      <c r="A585" s="10">
        <v>24381</v>
      </c>
      <c r="B585" s="11">
        <v>37.527999999999999</v>
      </c>
    </row>
    <row r="586" spans="1:2" x14ac:dyDescent="0.2">
      <c r="A586" s="10">
        <v>24412</v>
      </c>
      <c r="B586" s="11">
        <v>36.521999999999998</v>
      </c>
    </row>
    <row r="587" spans="1:2" x14ac:dyDescent="0.2">
      <c r="A587" s="10">
        <v>24442</v>
      </c>
      <c r="B587" s="11">
        <v>35.599899999999998</v>
      </c>
    </row>
    <row r="588" spans="1:2" x14ac:dyDescent="0.2">
      <c r="A588" s="10">
        <v>24473</v>
      </c>
      <c r="B588" s="11">
        <v>35.823500000000003</v>
      </c>
    </row>
    <row r="589" spans="1:2" x14ac:dyDescent="0.2">
      <c r="A589" s="10">
        <v>24504</v>
      </c>
      <c r="B589" s="11">
        <v>36.192900000000002</v>
      </c>
    </row>
    <row r="590" spans="1:2" x14ac:dyDescent="0.2">
      <c r="A590" s="10">
        <v>24532</v>
      </c>
      <c r="B590" s="11">
        <v>36.137500000000003</v>
      </c>
    </row>
    <row r="591" spans="1:2" x14ac:dyDescent="0.2">
      <c r="A591" s="10">
        <v>24563</v>
      </c>
      <c r="B591" s="11">
        <v>36.342500000000001</v>
      </c>
    </row>
    <row r="592" spans="1:2" x14ac:dyDescent="0.2">
      <c r="A592" s="10">
        <v>24593</v>
      </c>
      <c r="B592" s="11">
        <v>36.046799999999998</v>
      </c>
    </row>
    <row r="593" spans="1:2" x14ac:dyDescent="0.2">
      <c r="A593" s="10">
        <v>24624</v>
      </c>
      <c r="B593" s="11">
        <v>36.871400000000001</v>
      </c>
    </row>
    <row r="594" spans="1:2" x14ac:dyDescent="0.2">
      <c r="A594" s="10">
        <v>24654</v>
      </c>
      <c r="B594" s="11">
        <v>34.445999999999998</v>
      </c>
    </row>
    <row r="595" spans="1:2" x14ac:dyDescent="0.2">
      <c r="A595" s="10">
        <v>24685</v>
      </c>
      <c r="B595" s="11">
        <v>36.333799999999997</v>
      </c>
    </row>
    <row r="596" spans="1:2" x14ac:dyDescent="0.2">
      <c r="A596" s="10">
        <v>24716</v>
      </c>
      <c r="B596" s="11">
        <v>37.396599999999999</v>
      </c>
    </row>
    <row r="597" spans="1:2" x14ac:dyDescent="0.2">
      <c r="A597" s="10">
        <v>24746</v>
      </c>
      <c r="B597" s="11">
        <v>37.631399999999999</v>
      </c>
    </row>
    <row r="598" spans="1:2" x14ac:dyDescent="0.2">
      <c r="A598" s="10">
        <v>24777</v>
      </c>
      <c r="B598" s="11">
        <v>37.491500000000002</v>
      </c>
    </row>
    <row r="599" spans="1:2" x14ac:dyDescent="0.2">
      <c r="A599" s="10">
        <v>24807</v>
      </c>
      <c r="B599" s="11">
        <v>36.845799999999997</v>
      </c>
    </row>
    <row r="600" spans="1:2" x14ac:dyDescent="0.2">
      <c r="A600" s="10">
        <v>24838</v>
      </c>
      <c r="B600" s="11">
        <v>36.920200000000001</v>
      </c>
    </row>
    <row r="601" spans="1:2" x14ac:dyDescent="0.2">
      <c r="A601" s="10">
        <v>24869</v>
      </c>
      <c r="B601" s="11">
        <v>37.882800000000003</v>
      </c>
    </row>
    <row r="602" spans="1:2" x14ac:dyDescent="0.2">
      <c r="A602" s="10">
        <v>24898</v>
      </c>
      <c r="B602" s="11">
        <v>38.221600000000002</v>
      </c>
    </row>
    <row r="603" spans="1:2" x14ac:dyDescent="0.2">
      <c r="A603" s="10">
        <v>24929</v>
      </c>
      <c r="B603" s="11">
        <v>38.023499999999999</v>
      </c>
    </row>
    <row r="604" spans="1:2" x14ac:dyDescent="0.2">
      <c r="A604" s="10">
        <v>24959</v>
      </c>
      <c r="B604" s="11">
        <v>38.563000000000002</v>
      </c>
    </row>
    <row r="605" spans="1:2" x14ac:dyDescent="0.2">
      <c r="A605" s="10">
        <v>24990</v>
      </c>
      <c r="B605" s="11">
        <v>39.569099999999999</v>
      </c>
    </row>
    <row r="606" spans="1:2" x14ac:dyDescent="0.2">
      <c r="A606" s="10">
        <v>25020</v>
      </c>
      <c r="B606" s="11">
        <v>37.042299999999997</v>
      </c>
    </row>
    <row r="607" spans="1:2" x14ac:dyDescent="0.2">
      <c r="A607" s="10">
        <v>25051</v>
      </c>
      <c r="B607" s="11">
        <v>38.150700000000001</v>
      </c>
    </row>
    <row r="608" spans="1:2" x14ac:dyDescent="0.2">
      <c r="A608" s="10">
        <v>25082</v>
      </c>
      <c r="B608" s="11">
        <v>39.669600000000003</v>
      </c>
    </row>
    <row r="609" spans="1:2" x14ac:dyDescent="0.2">
      <c r="A609" s="10">
        <v>25112</v>
      </c>
      <c r="B609" s="11">
        <v>39.810699999999997</v>
      </c>
    </row>
    <row r="610" spans="1:2" x14ac:dyDescent="0.2">
      <c r="A610" s="10">
        <v>25143</v>
      </c>
      <c r="B610" s="11">
        <v>39.624000000000002</v>
      </c>
    </row>
    <row r="611" spans="1:2" x14ac:dyDescent="0.2">
      <c r="A611" s="10">
        <v>25173</v>
      </c>
      <c r="B611" s="11">
        <v>38.490099999999998</v>
      </c>
    </row>
    <row r="612" spans="1:2" x14ac:dyDescent="0.2">
      <c r="A612" s="10">
        <v>25204</v>
      </c>
      <c r="B612" s="11">
        <v>38.863199999999999</v>
      </c>
    </row>
    <row r="613" spans="1:2" x14ac:dyDescent="0.2">
      <c r="A613" s="10">
        <v>25235</v>
      </c>
      <c r="B613" s="11">
        <v>40.0321</v>
      </c>
    </row>
    <row r="614" spans="1:2" x14ac:dyDescent="0.2">
      <c r="A614" s="10">
        <v>25263</v>
      </c>
      <c r="B614" s="11">
        <v>40.544699999999999</v>
      </c>
    </row>
    <row r="615" spans="1:2" x14ac:dyDescent="0.2">
      <c r="A615" s="10">
        <v>25294</v>
      </c>
      <c r="B615" s="11">
        <v>40.179600000000001</v>
      </c>
    </row>
    <row r="616" spans="1:2" x14ac:dyDescent="0.2">
      <c r="A616" s="10">
        <v>25324</v>
      </c>
      <c r="B616" s="11">
        <v>40.091799999999999</v>
      </c>
    </row>
    <row r="617" spans="1:2" x14ac:dyDescent="0.2">
      <c r="A617" s="10">
        <v>25355</v>
      </c>
      <c r="B617" s="11">
        <v>41.385899999999999</v>
      </c>
    </row>
    <row r="618" spans="1:2" x14ac:dyDescent="0.2">
      <c r="A618" s="10">
        <v>25385</v>
      </c>
      <c r="B618" s="11">
        <v>38.916400000000003</v>
      </c>
    </row>
    <row r="619" spans="1:2" x14ac:dyDescent="0.2">
      <c r="A619" s="10">
        <v>25416</v>
      </c>
      <c r="B619" s="11">
        <v>40.447600000000001</v>
      </c>
    </row>
    <row r="620" spans="1:2" x14ac:dyDescent="0.2">
      <c r="A620" s="10">
        <v>25447</v>
      </c>
      <c r="B620" s="11">
        <v>41.706499999999998</v>
      </c>
    </row>
    <row r="621" spans="1:2" x14ac:dyDescent="0.2">
      <c r="A621" s="10">
        <v>25477</v>
      </c>
      <c r="B621" s="11">
        <v>41.662999999999997</v>
      </c>
    </row>
    <row r="622" spans="1:2" x14ac:dyDescent="0.2">
      <c r="A622" s="10">
        <v>25508</v>
      </c>
      <c r="B622" s="11">
        <v>40.462499999999999</v>
      </c>
    </row>
    <row r="623" spans="1:2" x14ac:dyDescent="0.2">
      <c r="A623" s="10">
        <v>25538</v>
      </c>
      <c r="B623" s="11">
        <v>39.106299999999997</v>
      </c>
    </row>
    <row r="624" spans="1:2" x14ac:dyDescent="0.2">
      <c r="A624" s="10">
        <v>25569</v>
      </c>
      <c r="B624" s="11">
        <v>38.5</v>
      </c>
    </row>
    <row r="625" spans="1:2" x14ac:dyDescent="0.2">
      <c r="A625" s="10">
        <v>25600</v>
      </c>
      <c r="B625" s="11">
        <v>39.461300000000001</v>
      </c>
    </row>
    <row r="626" spans="1:2" x14ac:dyDescent="0.2">
      <c r="A626" s="10">
        <v>25628</v>
      </c>
      <c r="B626" s="11">
        <v>39.5672</v>
      </c>
    </row>
    <row r="627" spans="1:2" x14ac:dyDescent="0.2">
      <c r="A627" s="10">
        <v>25659</v>
      </c>
      <c r="B627" s="11">
        <v>39.289099999999998</v>
      </c>
    </row>
    <row r="628" spans="1:2" x14ac:dyDescent="0.2">
      <c r="A628" s="10">
        <v>25689</v>
      </c>
      <c r="B628" s="11">
        <v>39.307699999999997</v>
      </c>
    </row>
    <row r="629" spans="1:2" x14ac:dyDescent="0.2">
      <c r="A629" s="10">
        <v>25720</v>
      </c>
      <c r="B629" s="11">
        <v>40.106900000000003</v>
      </c>
    </row>
    <row r="630" spans="1:2" x14ac:dyDescent="0.2">
      <c r="A630" s="10">
        <v>25750</v>
      </c>
      <c r="B630" s="11">
        <v>37.768300000000004</v>
      </c>
    </row>
    <row r="631" spans="1:2" x14ac:dyDescent="0.2">
      <c r="A631" s="10">
        <v>25781</v>
      </c>
      <c r="B631" s="11">
        <v>39.016100000000002</v>
      </c>
    </row>
    <row r="632" spans="1:2" x14ac:dyDescent="0.2">
      <c r="A632" s="10">
        <v>25812</v>
      </c>
      <c r="B632" s="11">
        <v>39.881599999999999</v>
      </c>
    </row>
    <row r="633" spans="1:2" x14ac:dyDescent="0.2">
      <c r="A633" s="10">
        <v>25842</v>
      </c>
      <c r="B633" s="11">
        <v>38.961500000000001</v>
      </c>
    </row>
    <row r="634" spans="1:2" x14ac:dyDescent="0.2">
      <c r="A634" s="10">
        <v>25873</v>
      </c>
      <c r="B634" s="11">
        <v>37.910899999999998</v>
      </c>
    </row>
    <row r="635" spans="1:2" x14ac:dyDescent="0.2">
      <c r="A635" s="10">
        <v>25903</v>
      </c>
      <c r="B635" s="11">
        <v>37.556199999999997</v>
      </c>
    </row>
    <row r="636" spans="1:2" x14ac:dyDescent="0.2">
      <c r="A636" s="10">
        <v>25934</v>
      </c>
      <c r="B636" s="11">
        <v>38.037500000000001</v>
      </c>
    </row>
    <row r="637" spans="1:2" x14ac:dyDescent="0.2">
      <c r="A637" s="10">
        <v>25965</v>
      </c>
      <c r="B637" s="11">
        <v>39.027700000000003</v>
      </c>
    </row>
    <row r="638" spans="1:2" x14ac:dyDescent="0.2">
      <c r="A638" s="10">
        <v>25993</v>
      </c>
      <c r="B638" s="11">
        <v>39.091200000000001</v>
      </c>
    </row>
    <row r="639" spans="1:2" x14ac:dyDescent="0.2">
      <c r="A639" s="10">
        <v>26024</v>
      </c>
      <c r="B639" s="11">
        <v>39.158499999999997</v>
      </c>
    </row>
    <row r="640" spans="1:2" x14ac:dyDescent="0.2">
      <c r="A640" s="10">
        <v>26054</v>
      </c>
      <c r="B640" s="11">
        <v>39.435200000000002</v>
      </c>
    </row>
    <row r="641" spans="1:2" x14ac:dyDescent="0.2">
      <c r="A641" s="10">
        <v>26085</v>
      </c>
      <c r="B641" s="11">
        <v>40.479999999999997</v>
      </c>
    </row>
    <row r="642" spans="1:2" x14ac:dyDescent="0.2">
      <c r="A642" s="10">
        <v>26115</v>
      </c>
      <c r="B642" s="11">
        <v>37.848599999999998</v>
      </c>
    </row>
    <row r="643" spans="1:2" x14ac:dyDescent="0.2">
      <c r="A643" s="10">
        <v>26146</v>
      </c>
      <c r="B643" s="11">
        <v>39.1357</v>
      </c>
    </row>
    <row r="644" spans="1:2" x14ac:dyDescent="0.2">
      <c r="A644" s="10">
        <v>26177</v>
      </c>
      <c r="B644" s="11">
        <v>40.923099999999998</v>
      </c>
    </row>
    <row r="645" spans="1:2" x14ac:dyDescent="0.2">
      <c r="A645" s="10">
        <v>26207</v>
      </c>
      <c r="B645" s="11">
        <v>41.128599999999999</v>
      </c>
    </row>
    <row r="646" spans="1:2" x14ac:dyDescent="0.2">
      <c r="A646" s="10">
        <v>26238</v>
      </c>
      <c r="B646" s="11">
        <v>40.351700000000001</v>
      </c>
    </row>
    <row r="647" spans="1:2" x14ac:dyDescent="0.2">
      <c r="A647" s="10">
        <v>26268</v>
      </c>
      <c r="B647" s="11">
        <v>39.260399999999997</v>
      </c>
    </row>
    <row r="648" spans="1:2" x14ac:dyDescent="0.2">
      <c r="A648" s="10">
        <v>26299</v>
      </c>
      <c r="B648" s="11">
        <v>40.6158</v>
      </c>
    </row>
    <row r="649" spans="1:2" x14ac:dyDescent="0.2">
      <c r="A649" s="10">
        <v>26330</v>
      </c>
      <c r="B649" s="11">
        <v>41.879800000000003</v>
      </c>
    </row>
    <row r="650" spans="1:2" x14ac:dyDescent="0.2">
      <c r="A650" s="10">
        <v>26359</v>
      </c>
      <c r="B650" s="11">
        <v>42.341999999999999</v>
      </c>
    </row>
    <row r="651" spans="1:2" x14ac:dyDescent="0.2">
      <c r="A651" s="10">
        <v>26390</v>
      </c>
      <c r="B651" s="11">
        <v>42.898400000000002</v>
      </c>
    </row>
    <row r="652" spans="1:2" x14ac:dyDescent="0.2">
      <c r="A652" s="10">
        <v>26420</v>
      </c>
      <c r="B652" s="11">
        <v>42.9285</v>
      </c>
    </row>
    <row r="653" spans="1:2" x14ac:dyDescent="0.2">
      <c r="A653" s="10">
        <v>26451</v>
      </c>
      <c r="B653" s="11">
        <v>43.9664</v>
      </c>
    </row>
    <row r="654" spans="1:2" x14ac:dyDescent="0.2">
      <c r="A654" s="10">
        <v>26481</v>
      </c>
      <c r="B654" s="11">
        <v>41.359099999999998</v>
      </c>
    </row>
    <row r="655" spans="1:2" x14ac:dyDescent="0.2">
      <c r="A655" s="10">
        <v>26512</v>
      </c>
      <c r="B655" s="11">
        <v>43.136000000000003</v>
      </c>
    </row>
    <row r="656" spans="1:2" x14ac:dyDescent="0.2">
      <c r="A656" s="10">
        <v>26543</v>
      </c>
      <c r="B656" s="11">
        <v>44.7453</v>
      </c>
    </row>
    <row r="657" spans="1:5" x14ac:dyDescent="0.2">
      <c r="A657" s="10">
        <v>26573</v>
      </c>
      <c r="B657" s="11">
        <v>45.507199999999997</v>
      </c>
    </row>
    <row r="658" spans="1:5" x14ac:dyDescent="0.2">
      <c r="A658" s="10">
        <v>26604</v>
      </c>
      <c r="B658" s="11">
        <v>45.345999999999997</v>
      </c>
    </row>
    <row r="659" spans="1:5" x14ac:dyDescent="0.2">
      <c r="A659" s="10">
        <v>26634</v>
      </c>
      <c r="B659" s="11">
        <v>44.706600000000002</v>
      </c>
    </row>
    <row r="660" spans="1:5" x14ac:dyDescent="0.2">
      <c r="A660" s="10">
        <v>26665</v>
      </c>
      <c r="B660" s="11">
        <v>44.784599999999998</v>
      </c>
    </row>
    <row r="661" spans="1:5" x14ac:dyDescent="0.2">
      <c r="A661" s="10">
        <v>26696</v>
      </c>
      <c r="B661" s="11">
        <v>46.387500000000003</v>
      </c>
    </row>
    <row r="662" spans="1:5" x14ac:dyDescent="0.2">
      <c r="A662" s="10">
        <v>26724</v>
      </c>
      <c r="B662" s="11">
        <v>46.560099999999998</v>
      </c>
    </row>
    <row r="663" spans="1:5" x14ac:dyDescent="0.2">
      <c r="A663" s="10">
        <v>26755</v>
      </c>
      <c r="B663" s="11">
        <v>46.349600000000002</v>
      </c>
    </row>
    <row r="664" spans="1:5" x14ac:dyDescent="0.2">
      <c r="A664" s="10">
        <v>26785</v>
      </c>
      <c r="B664" s="11">
        <v>46.731699999999996</v>
      </c>
    </row>
    <row r="665" spans="1:5" x14ac:dyDescent="0.2">
      <c r="A665" s="10">
        <v>26816</v>
      </c>
      <c r="B665" s="11">
        <v>47.816299999999998</v>
      </c>
    </row>
    <row r="666" spans="1:5" x14ac:dyDescent="0.2">
      <c r="A666" s="10">
        <v>26846</v>
      </c>
      <c r="B666" s="11">
        <v>45.552799999999998</v>
      </c>
    </row>
    <row r="667" spans="1:5" x14ac:dyDescent="0.2">
      <c r="A667" s="10">
        <v>26877</v>
      </c>
      <c r="B667" s="11">
        <v>46.299700000000001</v>
      </c>
    </row>
    <row r="668" spans="1:5" x14ac:dyDescent="0.2">
      <c r="A668" s="10">
        <v>26908</v>
      </c>
      <c r="B668" s="11">
        <v>48.043999999999997</v>
      </c>
    </row>
    <row r="669" spans="1:5" x14ac:dyDescent="0.2">
      <c r="A669" s="10">
        <v>26938</v>
      </c>
      <c r="B669" s="11">
        <v>48.588299999999997</v>
      </c>
    </row>
    <row r="670" spans="1:5" x14ac:dyDescent="0.2">
      <c r="A670" s="10">
        <v>26969</v>
      </c>
      <c r="B670" s="11">
        <v>48.171700000000001</v>
      </c>
    </row>
    <row r="671" spans="1:5" x14ac:dyDescent="0.2">
      <c r="A671" s="10">
        <v>26999</v>
      </c>
      <c r="B671" s="11">
        <v>46.731099999999998</v>
      </c>
    </row>
    <row r="672" spans="1:5" x14ac:dyDescent="0.2">
      <c r="A672" s="10">
        <v>27030</v>
      </c>
      <c r="B672" s="11">
        <v>46.274500000000003</v>
      </c>
      <c r="D672" s="9">
        <f>'1'!M2</f>
        <v>46.274500000000003</v>
      </c>
      <c r="E672" s="9" t="b">
        <f>EXACT(B672,D672)</f>
        <v>1</v>
      </c>
    </row>
    <row r="673" spans="1:5" x14ac:dyDescent="0.2">
      <c r="A673" s="10">
        <v>27061</v>
      </c>
      <c r="B673" s="11">
        <v>47.020400000000002</v>
      </c>
      <c r="D673" s="9">
        <f>'1'!M3</f>
        <v>47.020400000000002</v>
      </c>
      <c r="E673" s="9" t="b">
        <f t="shared" ref="E673:E736" si="0">EXACT(B673,D673)</f>
        <v>1</v>
      </c>
    </row>
    <row r="674" spans="1:5" x14ac:dyDescent="0.2">
      <c r="A674" s="10">
        <v>27089</v>
      </c>
      <c r="B674" s="11">
        <v>47.263599999999997</v>
      </c>
      <c r="D674" s="9">
        <f>'1'!M4</f>
        <v>47.263599999999997</v>
      </c>
      <c r="E674" s="9" t="b">
        <f t="shared" si="0"/>
        <v>1</v>
      </c>
    </row>
    <row r="675" spans="1:5" x14ac:dyDescent="0.2">
      <c r="A675" s="10">
        <v>27120</v>
      </c>
      <c r="B675" s="11">
        <v>46.653100000000002</v>
      </c>
      <c r="D675" s="9">
        <f>'1'!M5</f>
        <v>46.653100000000002</v>
      </c>
      <c r="E675" s="9" t="b">
        <f t="shared" si="0"/>
        <v>1</v>
      </c>
    </row>
    <row r="676" spans="1:5" x14ac:dyDescent="0.2">
      <c r="A676" s="10">
        <v>27150</v>
      </c>
      <c r="B676" s="11">
        <v>47.516500000000001</v>
      </c>
      <c r="D676" s="9">
        <f>'1'!M6</f>
        <v>47.516500000000001</v>
      </c>
      <c r="E676" s="9" t="b">
        <f t="shared" si="0"/>
        <v>1</v>
      </c>
    </row>
    <row r="677" spans="1:5" x14ac:dyDescent="0.2">
      <c r="A677" s="10">
        <v>27181</v>
      </c>
      <c r="B677" s="11">
        <v>48.454999999999998</v>
      </c>
      <c r="D677" s="9">
        <f>'1'!M7</f>
        <v>48.454999999999998</v>
      </c>
      <c r="E677" s="9" t="b">
        <f t="shared" si="0"/>
        <v>1</v>
      </c>
    </row>
    <row r="678" spans="1:5" x14ac:dyDescent="0.2">
      <c r="A678" s="10">
        <v>27211</v>
      </c>
      <c r="B678" s="11">
        <v>46.1372</v>
      </c>
      <c r="D678" s="9">
        <f>'1'!M8</f>
        <v>46.1372</v>
      </c>
      <c r="E678" s="9" t="b">
        <f t="shared" si="0"/>
        <v>1</v>
      </c>
    </row>
    <row r="679" spans="1:5" x14ac:dyDescent="0.2">
      <c r="A679" s="10">
        <v>27242</v>
      </c>
      <c r="B679" s="11">
        <v>46.670900000000003</v>
      </c>
      <c r="D679" s="9">
        <f>'1'!M9</f>
        <v>46.670900000000003</v>
      </c>
      <c r="E679" s="9" t="b">
        <f t="shared" si="0"/>
        <v>1</v>
      </c>
    </row>
    <row r="680" spans="1:5" x14ac:dyDescent="0.2">
      <c r="A680" s="10">
        <v>27273</v>
      </c>
      <c r="B680" s="11">
        <v>47.822099999999999</v>
      </c>
      <c r="D680" s="9">
        <f>'1'!M10</f>
        <v>47.822099999999999</v>
      </c>
      <c r="E680" s="9" t="b">
        <f t="shared" si="0"/>
        <v>1</v>
      </c>
    </row>
    <row r="681" spans="1:5" x14ac:dyDescent="0.2">
      <c r="A681" s="10">
        <v>27303</v>
      </c>
      <c r="B681" s="11">
        <v>47.799399999999999</v>
      </c>
      <c r="D681" s="9">
        <f>'1'!M11</f>
        <v>47.799399999999999</v>
      </c>
      <c r="E681" s="9" t="b">
        <f t="shared" si="0"/>
        <v>1</v>
      </c>
    </row>
    <row r="682" spans="1:5" x14ac:dyDescent="0.2">
      <c r="A682" s="10">
        <v>27334</v>
      </c>
      <c r="B682" s="11">
        <v>45.579599999999999</v>
      </c>
      <c r="D682" s="9">
        <f>'1'!M12</f>
        <v>45.579599999999999</v>
      </c>
      <c r="E682" s="9" t="b">
        <f t="shared" si="0"/>
        <v>1</v>
      </c>
    </row>
    <row r="683" spans="1:5" x14ac:dyDescent="0.2">
      <c r="A683" s="10">
        <v>27364</v>
      </c>
      <c r="B683" s="11">
        <v>43.168799999999997</v>
      </c>
      <c r="D683" s="9">
        <f>'1'!M13</f>
        <v>43.168799999999997</v>
      </c>
      <c r="E683" s="9" t="b">
        <f t="shared" si="0"/>
        <v>1</v>
      </c>
    </row>
    <row r="684" spans="1:5" x14ac:dyDescent="0.2">
      <c r="A684" s="10">
        <v>27395</v>
      </c>
      <c r="B684" s="11">
        <v>42.203499999999998</v>
      </c>
      <c r="D684" s="9">
        <f>'1'!M14</f>
        <v>42.203499999999998</v>
      </c>
      <c r="E684" s="9" t="b">
        <f t="shared" si="0"/>
        <v>1</v>
      </c>
    </row>
    <row r="685" spans="1:5" x14ac:dyDescent="0.2">
      <c r="A685" s="10">
        <v>27426</v>
      </c>
      <c r="B685" s="11">
        <v>42.02</v>
      </c>
      <c r="D685" s="9">
        <f>'1'!M15</f>
        <v>42.02</v>
      </c>
      <c r="E685" s="9" t="b">
        <f t="shared" si="0"/>
        <v>1</v>
      </c>
    </row>
    <row r="686" spans="1:5" x14ac:dyDescent="0.2">
      <c r="A686" s="10">
        <v>27454</v>
      </c>
      <c r="B686" s="11">
        <v>41.602200000000003</v>
      </c>
      <c r="D686" s="9">
        <f>'1'!M16</f>
        <v>41.602200000000003</v>
      </c>
      <c r="E686" s="9" t="b">
        <f t="shared" si="0"/>
        <v>1</v>
      </c>
    </row>
    <row r="687" spans="1:5" x14ac:dyDescent="0.2">
      <c r="A687" s="10">
        <v>27485</v>
      </c>
      <c r="B687" s="11">
        <v>41.706600000000002</v>
      </c>
      <c r="D687" s="9">
        <f>'1'!M17</f>
        <v>41.706600000000002</v>
      </c>
      <c r="E687" s="9" t="b">
        <f t="shared" si="0"/>
        <v>1</v>
      </c>
    </row>
    <row r="688" spans="1:5" x14ac:dyDescent="0.2">
      <c r="A688" s="10">
        <v>27515</v>
      </c>
      <c r="B688" s="11">
        <v>41.499899999999997</v>
      </c>
      <c r="D688" s="9">
        <f>'1'!M18</f>
        <v>41.499899999999997</v>
      </c>
      <c r="E688" s="9" t="b">
        <f t="shared" si="0"/>
        <v>1</v>
      </c>
    </row>
    <row r="689" spans="1:5" x14ac:dyDescent="0.2">
      <c r="A689" s="10">
        <v>27546</v>
      </c>
      <c r="B689" s="11">
        <v>42.703600000000002</v>
      </c>
      <c r="D689" s="9">
        <f>'1'!M19</f>
        <v>42.703600000000002</v>
      </c>
      <c r="E689" s="9" t="b">
        <f t="shared" si="0"/>
        <v>1</v>
      </c>
    </row>
    <row r="690" spans="1:5" x14ac:dyDescent="0.2">
      <c r="A690" s="10">
        <v>27576</v>
      </c>
      <c r="B690" s="11">
        <v>40.905500000000004</v>
      </c>
      <c r="D690" s="9">
        <f>'1'!M20</f>
        <v>40.905500000000004</v>
      </c>
      <c r="E690" s="9" t="b">
        <f t="shared" si="0"/>
        <v>1</v>
      </c>
    </row>
    <row r="691" spans="1:5" x14ac:dyDescent="0.2">
      <c r="A691" s="10">
        <v>27607</v>
      </c>
      <c r="B691" s="11">
        <v>42.557699999999997</v>
      </c>
      <c r="D691" s="9">
        <f>'1'!M21</f>
        <v>42.557699999999997</v>
      </c>
      <c r="E691" s="9" t="b">
        <f t="shared" si="0"/>
        <v>1</v>
      </c>
    </row>
    <row r="692" spans="1:5" x14ac:dyDescent="0.2">
      <c r="A692" s="10">
        <v>27638</v>
      </c>
      <c r="B692" s="11">
        <v>43.923200000000001</v>
      </c>
      <c r="D692" s="9">
        <f>'1'!M22</f>
        <v>43.923200000000001</v>
      </c>
      <c r="E692" s="9" t="b">
        <f t="shared" si="0"/>
        <v>1</v>
      </c>
    </row>
    <row r="693" spans="1:5" x14ac:dyDescent="0.2">
      <c r="A693" s="10">
        <v>27668</v>
      </c>
      <c r="B693" s="11">
        <v>44.157899999999998</v>
      </c>
      <c r="D693" s="9">
        <f>'1'!M23</f>
        <v>44.157899999999998</v>
      </c>
      <c r="E693" s="9" t="b">
        <f t="shared" si="0"/>
        <v>1</v>
      </c>
    </row>
    <row r="694" spans="1:5" x14ac:dyDescent="0.2">
      <c r="A694" s="10">
        <v>27699</v>
      </c>
      <c r="B694" s="11">
        <v>43.698799999999999</v>
      </c>
      <c r="D694" s="9">
        <f>'1'!M24</f>
        <v>43.698799999999999</v>
      </c>
      <c r="E694" s="9" t="b">
        <f t="shared" si="0"/>
        <v>1</v>
      </c>
    </row>
    <row r="695" spans="1:5" x14ac:dyDescent="0.2">
      <c r="A695" s="10">
        <v>27729</v>
      </c>
      <c r="B695" s="11">
        <v>43.442300000000003</v>
      </c>
      <c r="D695" s="9">
        <f>'1'!M25</f>
        <v>43.442300000000003</v>
      </c>
      <c r="E695" s="9" t="b">
        <f t="shared" si="0"/>
        <v>1</v>
      </c>
    </row>
    <row r="696" spans="1:5" x14ac:dyDescent="0.2">
      <c r="A696" s="10">
        <v>27760</v>
      </c>
      <c r="B696" s="11">
        <v>43.846499999999999</v>
      </c>
      <c r="D696" s="9">
        <f>'1'!M26</f>
        <v>43.846499999999999</v>
      </c>
      <c r="E696" s="9" t="b">
        <f t="shared" si="0"/>
        <v>1</v>
      </c>
    </row>
    <row r="697" spans="1:5" x14ac:dyDescent="0.2">
      <c r="A697" s="10">
        <v>27791</v>
      </c>
      <c r="B697" s="11">
        <v>45.151000000000003</v>
      </c>
      <c r="D697" s="9">
        <f>'1'!M27</f>
        <v>45.151000000000003</v>
      </c>
      <c r="E697" s="9" t="b">
        <f t="shared" si="0"/>
        <v>1</v>
      </c>
    </row>
    <row r="698" spans="1:5" x14ac:dyDescent="0.2">
      <c r="A698" s="10">
        <v>27820</v>
      </c>
      <c r="B698" s="11">
        <v>45.440199999999997</v>
      </c>
      <c r="D698" s="9">
        <f>'1'!M28</f>
        <v>45.440199999999997</v>
      </c>
      <c r="E698" s="9" t="b">
        <f t="shared" si="0"/>
        <v>1</v>
      </c>
    </row>
    <row r="699" spans="1:5" x14ac:dyDescent="0.2">
      <c r="A699" s="10">
        <v>27851</v>
      </c>
      <c r="B699" s="11">
        <v>45.061700000000002</v>
      </c>
      <c r="D699" s="9">
        <f>'1'!M29</f>
        <v>45.061700000000002</v>
      </c>
      <c r="E699" s="9" t="b">
        <f t="shared" si="0"/>
        <v>1</v>
      </c>
    </row>
    <row r="700" spans="1:5" x14ac:dyDescent="0.2">
      <c r="A700" s="10">
        <v>27881</v>
      </c>
      <c r="B700" s="11">
        <v>45.791699999999999</v>
      </c>
      <c r="D700" s="9">
        <f>'1'!M30</f>
        <v>45.791699999999999</v>
      </c>
      <c r="E700" s="9" t="b">
        <f t="shared" si="0"/>
        <v>1</v>
      </c>
    </row>
    <row r="701" spans="1:5" x14ac:dyDescent="0.2">
      <c r="A701" s="10">
        <v>27912</v>
      </c>
      <c r="B701" s="11">
        <v>46.774299999999997</v>
      </c>
      <c r="D701" s="9">
        <f>'1'!M31</f>
        <v>46.774299999999997</v>
      </c>
      <c r="E701" s="9" t="b">
        <f t="shared" si="0"/>
        <v>1</v>
      </c>
    </row>
    <row r="702" spans="1:5" x14ac:dyDescent="0.2">
      <c r="A702" s="10">
        <v>27942</v>
      </c>
      <c r="B702" s="11">
        <v>44.566400000000002</v>
      </c>
      <c r="D702" s="9">
        <f>'1'!M32</f>
        <v>44.566400000000002</v>
      </c>
      <c r="E702" s="9" t="b">
        <f t="shared" si="0"/>
        <v>1</v>
      </c>
    </row>
    <row r="703" spans="1:5" x14ac:dyDescent="0.2">
      <c r="A703" s="10">
        <v>27973</v>
      </c>
      <c r="B703" s="11">
        <v>45.85</v>
      </c>
      <c r="D703" s="9">
        <f>'1'!M33</f>
        <v>45.85</v>
      </c>
      <c r="E703" s="9" t="b">
        <f t="shared" si="0"/>
        <v>1</v>
      </c>
    </row>
    <row r="704" spans="1:5" x14ac:dyDescent="0.2">
      <c r="A704" s="10">
        <v>28004</v>
      </c>
      <c r="B704" s="11">
        <v>46.877600000000001</v>
      </c>
      <c r="D704" s="9">
        <f>'1'!M34</f>
        <v>46.877600000000001</v>
      </c>
      <c r="E704" s="9" t="b">
        <f t="shared" si="0"/>
        <v>1</v>
      </c>
    </row>
    <row r="705" spans="1:5" x14ac:dyDescent="0.2">
      <c r="A705" s="10">
        <v>28034</v>
      </c>
      <c r="B705" s="11">
        <v>47.1648</v>
      </c>
      <c r="D705" s="9">
        <f>'1'!M35</f>
        <v>47.1648</v>
      </c>
      <c r="E705" s="9" t="b">
        <f t="shared" si="0"/>
        <v>1</v>
      </c>
    </row>
    <row r="706" spans="1:5" x14ac:dyDescent="0.2">
      <c r="A706" s="10">
        <v>28065</v>
      </c>
      <c r="B706" s="11">
        <v>47.2136</v>
      </c>
      <c r="D706" s="9">
        <f>'1'!M36</f>
        <v>47.2136</v>
      </c>
      <c r="E706" s="9" t="b">
        <f t="shared" si="0"/>
        <v>1</v>
      </c>
    </row>
    <row r="707" spans="1:5" x14ac:dyDescent="0.2">
      <c r="A707" s="10">
        <v>28095</v>
      </c>
      <c r="B707" s="11">
        <v>46.916699999999999</v>
      </c>
      <c r="D707" s="9">
        <f>'1'!M37</f>
        <v>46.916699999999999</v>
      </c>
      <c r="E707" s="9" t="b">
        <f t="shared" si="0"/>
        <v>1</v>
      </c>
    </row>
    <row r="708" spans="1:5" x14ac:dyDescent="0.2">
      <c r="A708" s="10">
        <v>28126</v>
      </c>
      <c r="B708" s="11">
        <v>46.460599999999999</v>
      </c>
      <c r="D708" s="9">
        <f>'1'!M38</f>
        <v>46.460599999999999</v>
      </c>
      <c r="E708" s="9" t="b">
        <f t="shared" si="0"/>
        <v>1</v>
      </c>
    </row>
    <row r="709" spans="1:5" x14ac:dyDescent="0.2">
      <c r="A709" s="10">
        <v>28157</v>
      </c>
      <c r="B709" s="11">
        <v>48.1051</v>
      </c>
      <c r="D709" s="9">
        <f>'1'!M39</f>
        <v>48.1051</v>
      </c>
      <c r="E709" s="9" t="b">
        <f t="shared" si="0"/>
        <v>1</v>
      </c>
    </row>
    <row r="710" spans="1:5" x14ac:dyDescent="0.2">
      <c r="A710" s="10">
        <v>28185</v>
      </c>
      <c r="B710" s="11">
        <v>49.024700000000003</v>
      </c>
      <c r="D710" s="9">
        <f>'1'!M40</f>
        <v>49.024700000000003</v>
      </c>
      <c r="E710" s="9" t="b">
        <f t="shared" si="0"/>
        <v>1</v>
      </c>
    </row>
    <row r="711" spans="1:5" x14ac:dyDescent="0.2">
      <c r="A711" s="10">
        <v>28216</v>
      </c>
      <c r="B711" s="11">
        <v>49.0105</v>
      </c>
      <c r="D711" s="9">
        <f>'1'!M41</f>
        <v>49.0105</v>
      </c>
      <c r="E711" s="9" t="b">
        <f t="shared" si="0"/>
        <v>1</v>
      </c>
    </row>
    <row r="712" spans="1:5" x14ac:dyDescent="0.2">
      <c r="A712" s="10">
        <v>28246</v>
      </c>
      <c r="B712" s="11">
        <v>49.581000000000003</v>
      </c>
      <c r="D712" s="9">
        <f>'1'!M42</f>
        <v>49.581000000000003</v>
      </c>
      <c r="E712" s="9" t="b">
        <f t="shared" si="0"/>
        <v>1</v>
      </c>
    </row>
    <row r="713" spans="1:5" x14ac:dyDescent="0.2">
      <c r="A713" s="10">
        <v>28277</v>
      </c>
      <c r="B713" s="11">
        <v>51.018000000000001</v>
      </c>
      <c r="D713" s="9">
        <f>'1'!M43</f>
        <v>51.018000000000001</v>
      </c>
      <c r="E713" s="9" t="b">
        <f t="shared" si="0"/>
        <v>1</v>
      </c>
    </row>
    <row r="714" spans="1:5" x14ac:dyDescent="0.2">
      <c r="A714" s="10">
        <v>28307</v>
      </c>
      <c r="B714" s="11">
        <v>48.5381</v>
      </c>
      <c r="D714" s="9">
        <f>'1'!M44</f>
        <v>48.5381</v>
      </c>
      <c r="E714" s="9" t="b">
        <f t="shared" si="0"/>
        <v>1</v>
      </c>
    </row>
    <row r="715" spans="1:5" x14ac:dyDescent="0.2">
      <c r="A715" s="10">
        <v>28338</v>
      </c>
      <c r="B715" s="11">
        <v>49.317999999999998</v>
      </c>
      <c r="D715" s="9">
        <f>'1'!M45</f>
        <v>49.317999999999998</v>
      </c>
      <c r="E715" s="9" t="b">
        <f t="shared" si="0"/>
        <v>1</v>
      </c>
    </row>
    <row r="716" spans="1:5" x14ac:dyDescent="0.2">
      <c r="A716" s="10">
        <v>28369</v>
      </c>
      <c r="B716" s="11">
        <v>50.667999999999999</v>
      </c>
      <c r="D716" s="9">
        <f>'1'!M46</f>
        <v>50.667999999999999</v>
      </c>
      <c r="E716" s="9" t="b">
        <f t="shared" si="0"/>
        <v>1</v>
      </c>
    </row>
    <row r="717" spans="1:5" x14ac:dyDescent="0.2">
      <c r="A717" s="10">
        <v>28399</v>
      </c>
      <c r="B717" s="11">
        <v>51.005800000000001</v>
      </c>
      <c r="D717" s="9">
        <f>'1'!M47</f>
        <v>51.005800000000001</v>
      </c>
      <c r="E717" s="9" t="b">
        <f t="shared" si="0"/>
        <v>1</v>
      </c>
    </row>
    <row r="718" spans="1:5" x14ac:dyDescent="0.2">
      <c r="A718" s="10">
        <v>28430</v>
      </c>
      <c r="B718" s="11">
        <v>50.331200000000003</v>
      </c>
      <c r="D718" s="9">
        <f>'1'!M48</f>
        <v>50.331200000000003</v>
      </c>
      <c r="E718" s="9" t="b">
        <f t="shared" si="0"/>
        <v>1</v>
      </c>
    </row>
    <row r="719" spans="1:5" x14ac:dyDescent="0.2">
      <c r="A719" s="10">
        <v>28460</v>
      </c>
      <c r="B719" s="11">
        <v>49.685200000000002</v>
      </c>
      <c r="D719" s="9">
        <f>'1'!M49</f>
        <v>49.685200000000002</v>
      </c>
      <c r="E719" s="9" t="b">
        <f t="shared" si="0"/>
        <v>1</v>
      </c>
    </row>
    <row r="720" spans="1:5" x14ac:dyDescent="0.2">
      <c r="A720" s="10">
        <v>28491</v>
      </c>
      <c r="B720" s="11">
        <v>48.846800000000002</v>
      </c>
      <c r="D720" s="9">
        <f>'1'!M50</f>
        <v>48.846800000000002</v>
      </c>
      <c r="E720" s="9" t="b">
        <f t="shared" si="0"/>
        <v>1</v>
      </c>
    </row>
    <row r="721" spans="1:5" x14ac:dyDescent="0.2">
      <c r="A721" s="10">
        <v>28522</v>
      </c>
      <c r="B721" s="11">
        <v>50.154699999999998</v>
      </c>
      <c r="D721" s="9">
        <f>'1'!M51</f>
        <v>50.154699999999998</v>
      </c>
      <c r="E721" s="9" t="b">
        <f t="shared" si="0"/>
        <v>1</v>
      </c>
    </row>
    <row r="722" spans="1:5" x14ac:dyDescent="0.2">
      <c r="A722" s="10">
        <v>28550</v>
      </c>
      <c r="B722" s="11">
        <v>51.241700000000002</v>
      </c>
      <c r="D722" s="9">
        <f>'1'!M52</f>
        <v>51.241700000000002</v>
      </c>
      <c r="E722" s="9" t="b">
        <f t="shared" si="0"/>
        <v>1</v>
      </c>
    </row>
    <row r="723" spans="1:5" x14ac:dyDescent="0.2">
      <c r="A723" s="10">
        <v>28581</v>
      </c>
      <c r="B723" s="11">
        <v>52.292499999999997</v>
      </c>
      <c r="D723" s="9">
        <f>'1'!M53</f>
        <v>52.292499999999997</v>
      </c>
      <c r="E723" s="9" t="b">
        <f t="shared" si="0"/>
        <v>1</v>
      </c>
    </row>
    <row r="724" spans="1:5" x14ac:dyDescent="0.2">
      <c r="A724" s="10">
        <v>28611</v>
      </c>
      <c r="B724" s="11">
        <v>52.164200000000001</v>
      </c>
      <c r="D724" s="9">
        <f>'1'!M54</f>
        <v>52.164200000000001</v>
      </c>
      <c r="E724" s="9" t="b">
        <f t="shared" si="0"/>
        <v>1</v>
      </c>
    </row>
    <row r="725" spans="1:5" x14ac:dyDescent="0.2">
      <c r="A725" s="10">
        <v>28642</v>
      </c>
      <c r="B725" s="11">
        <v>53.552399999999999</v>
      </c>
      <c r="D725" s="9">
        <f>'1'!M55</f>
        <v>53.552399999999999</v>
      </c>
      <c r="E725" s="9" t="b">
        <f t="shared" si="0"/>
        <v>1</v>
      </c>
    </row>
    <row r="726" spans="1:5" x14ac:dyDescent="0.2">
      <c r="A726" s="10">
        <v>28672</v>
      </c>
      <c r="B726" s="11">
        <v>50.840800000000002</v>
      </c>
      <c r="D726" s="9">
        <f>'1'!M56</f>
        <v>50.840800000000002</v>
      </c>
      <c r="E726" s="9" t="b">
        <f t="shared" si="0"/>
        <v>1</v>
      </c>
    </row>
    <row r="727" spans="1:5" x14ac:dyDescent="0.2">
      <c r="A727" s="10">
        <v>28703</v>
      </c>
      <c r="B727" s="11">
        <v>52.027500000000003</v>
      </c>
      <c r="D727" s="9">
        <f>'1'!M57</f>
        <v>52.027500000000003</v>
      </c>
      <c r="E727" s="9" t="b">
        <f t="shared" si="0"/>
        <v>1</v>
      </c>
    </row>
    <row r="728" spans="1:5" x14ac:dyDescent="0.2">
      <c r="A728" s="10">
        <v>28734</v>
      </c>
      <c r="B728" s="11">
        <v>53.371099999999998</v>
      </c>
      <c r="D728" s="9">
        <f>'1'!M58</f>
        <v>53.371099999999998</v>
      </c>
      <c r="E728" s="9" t="b">
        <f t="shared" si="0"/>
        <v>1</v>
      </c>
    </row>
    <row r="729" spans="1:5" x14ac:dyDescent="0.2">
      <c r="A729" s="10">
        <v>28764</v>
      </c>
      <c r="B729" s="11">
        <v>54.019799999999996</v>
      </c>
      <c r="D729" s="9">
        <f>'1'!M59</f>
        <v>54.019799999999996</v>
      </c>
      <c r="E729" s="9" t="b">
        <f t="shared" si="0"/>
        <v>1</v>
      </c>
    </row>
    <row r="730" spans="1:5" x14ac:dyDescent="0.2">
      <c r="A730" s="10">
        <v>28795</v>
      </c>
      <c r="B730" s="11">
        <v>53.6175</v>
      </c>
      <c r="D730" s="9">
        <f>'1'!M60</f>
        <v>53.6175</v>
      </c>
      <c r="E730" s="9" t="b">
        <f t="shared" si="0"/>
        <v>1</v>
      </c>
    </row>
    <row r="731" spans="1:5" x14ac:dyDescent="0.2">
      <c r="A731" s="10">
        <v>28825</v>
      </c>
      <c r="B731" s="11">
        <v>53.2104</v>
      </c>
      <c r="D731" s="9">
        <f>'1'!M61</f>
        <v>53.2104</v>
      </c>
      <c r="E731" s="9" t="b">
        <f t="shared" si="0"/>
        <v>1</v>
      </c>
    </row>
    <row r="732" spans="1:5" x14ac:dyDescent="0.2">
      <c r="A732" s="10">
        <v>28856</v>
      </c>
      <c r="B732" s="11">
        <v>52.588500000000003</v>
      </c>
      <c r="D732" s="9">
        <f>'1'!M62</f>
        <v>52.588500000000003</v>
      </c>
      <c r="E732" s="9" t="b">
        <f t="shared" si="0"/>
        <v>1</v>
      </c>
    </row>
    <row r="733" spans="1:5" x14ac:dyDescent="0.2">
      <c r="A733" s="10">
        <v>28887</v>
      </c>
      <c r="B733" s="11">
        <v>54.075899999999997</v>
      </c>
      <c r="D733" s="9">
        <f>'1'!M63</f>
        <v>54.075899999999997</v>
      </c>
      <c r="E733" s="9" t="b">
        <f t="shared" si="0"/>
        <v>1</v>
      </c>
    </row>
    <row r="734" spans="1:5" x14ac:dyDescent="0.2">
      <c r="A734" s="10">
        <v>28915</v>
      </c>
      <c r="B734" s="11">
        <v>54.734000000000002</v>
      </c>
      <c r="D734" s="9">
        <f>'1'!M64</f>
        <v>54.734000000000002</v>
      </c>
      <c r="E734" s="9" t="b">
        <f t="shared" si="0"/>
        <v>1</v>
      </c>
    </row>
    <row r="735" spans="1:5" x14ac:dyDescent="0.2">
      <c r="A735" s="10">
        <v>28946</v>
      </c>
      <c r="B735" s="11">
        <v>53.040799999999997</v>
      </c>
      <c r="D735" s="9">
        <f>'1'!M65</f>
        <v>53.040799999999997</v>
      </c>
      <c r="E735" s="9" t="b">
        <f t="shared" si="0"/>
        <v>1</v>
      </c>
    </row>
    <row r="736" spans="1:5" x14ac:dyDescent="0.2">
      <c r="A736" s="10">
        <v>28976</v>
      </c>
      <c r="B736" s="11">
        <v>53.898600000000002</v>
      </c>
      <c r="D736" s="9">
        <f>'1'!M66</f>
        <v>53.898600000000002</v>
      </c>
      <c r="E736" s="9" t="b">
        <f t="shared" si="0"/>
        <v>1</v>
      </c>
    </row>
    <row r="737" spans="1:5" x14ac:dyDescent="0.2">
      <c r="A737" s="10">
        <v>29007</v>
      </c>
      <c r="B737" s="11">
        <v>54.911299999999997</v>
      </c>
      <c r="D737" s="9">
        <f>'1'!M67</f>
        <v>54.911299999999997</v>
      </c>
      <c r="E737" s="9" t="b">
        <f t="shared" ref="E737:E800" si="1">EXACT(B737,D737)</f>
        <v>1</v>
      </c>
    </row>
    <row r="738" spans="1:5" x14ac:dyDescent="0.2">
      <c r="A738" s="10">
        <v>29037</v>
      </c>
      <c r="B738" s="11">
        <v>52.276200000000003</v>
      </c>
      <c r="D738" s="9">
        <f>'1'!M68</f>
        <v>52.276200000000003</v>
      </c>
      <c r="E738" s="9" t="b">
        <f t="shared" si="1"/>
        <v>1</v>
      </c>
    </row>
    <row r="739" spans="1:5" x14ac:dyDescent="0.2">
      <c r="A739" s="10">
        <v>29068</v>
      </c>
      <c r="B739" s="11">
        <v>53.045400000000001</v>
      </c>
      <c r="D739" s="9">
        <f>'1'!M69</f>
        <v>53.045400000000001</v>
      </c>
      <c r="E739" s="9" t="b">
        <f t="shared" si="1"/>
        <v>1</v>
      </c>
    </row>
    <row r="740" spans="1:5" x14ac:dyDescent="0.2">
      <c r="A740" s="10">
        <v>29099</v>
      </c>
      <c r="B740" s="11">
        <v>54.078899999999997</v>
      </c>
      <c r="D740" s="9">
        <f>'1'!M70</f>
        <v>54.078899999999997</v>
      </c>
      <c r="E740" s="9" t="b">
        <f t="shared" si="1"/>
        <v>1</v>
      </c>
    </row>
    <row r="741" spans="1:5" x14ac:dyDescent="0.2">
      <c r="A741" s="10">
        <v>29129</v>
      </c>
      <c r="B741" s="11">
        <v>54.450899999999997</v>
      </c>
      <c r="D741" s="9">
        <f>'1'!M71</f>
        <v>54.450899999999997</v>
      </c>
      <c r="E741" s="9" t="b">
        <f t="shared" si="1"/>
        <v>1</v>
      </c>
    </row>
    <row r="742" spans="1:5" x14ac:dyDescent="0.2">
      <c r="A742" s="10">
        <v>29160</v>
      </c>
      <c r="B742" s="11">
        <v>53.691600000000001</v>
      </c>
      <c r="D742" s="9">
        <f>'1'!M72</f>
        <v>53.691600000000001</v>
      </c>
      <c r="E742" s="9" t="b">
        <f t="shared" si="1"/>
        <v>1</v>
      </c>
    </row>
    <row r="743" spans="1:5" x14ac:dyDescent="0.2">
      <c r="A743" s="10">
        <v>29190</v>
      </c>
      <c r="B743" s="11">
        <v>53.203000000000003</v>
      </c>
      <c r="D743" s="9">
        <f>'1'!M73</f>
        <v>53.203000000000003</v>
      </c>
      <c r="E743" s="9" t="b">
        <f t="shared" si="1"/>
        <v>1</v>
      </c>
    </row>
    <row r="744" spans="1:5" x14ac:dyDescent="0.2">
      <c r="A744" s="10">
        <v>29221</v>
      </c>
      <c r="B744" s="11">
        <v>53.202300000000001</v>
      </c>
      <c r="D744" s="9">
        <f>'1'!M74</f>
        <v>53.202300000000001</v>
      </c>
      <c r="E744" s="9" t="b">
        <f t="shared" si="1"/>
        <v>1</v>
      </c>
    </row>
    <row r="745" spans="1:5" x14ac:dyDescent="0.2">
      <c r="A745" s="10">
        <v>29252</v>
      </c>
      <c r="B745" s="11">
        <v>54.2363</v>
      </c>
      <c r="D745" s="9">
        <f>'1'!M75</f>
        <v>54.2363</v>
      </c>
      <c r="E745" s="9" t="b">
        <f t="shared" si="1"/>
        <v>1</v>
      </c>
    </row>
    <row r="746" spans="1:5" x14ac:dyDescent="0.2">
      <c r="A746" s="10">
        <v>29281</v>
      </c>
      <c r="B746" s="11">
        <v>54.461799999999997</v>
      </c>
      <c r="D746" s="9">
        <f>'1'!M76</f>
        <v>54.461799999999997</v>
      </c>
      <c r="E746" s="9" t="b">
        <f t="shared" si="1"/>
        <v>1</v>
      </c>
    </row>
    <row r="747" spans="1:5" x14ac:dyDescent="0.2">
      <c r="A747" s="10">
        <v>29312</v>
      </c>
      <c r="B747" s="11">
        <v>52.591700000000003</v>
      </c>
      <c r="D747" s="9">
        <f>'1'!M77</f>
        <v>52.591700000000003</v>
      </c>
      <c r="E747" s="9" t="b">
        <f t="shared" si="1"/>
        <v>1</v>
      </c>
    </row>
    <row r="748" spans="1:5" x14ac:dyDescent="0.2">
      <c r="A748" s="10">
        <v>29342</v>
      </c>
      <c r="B748" s="11">
        <v>51.205500000000001</v>
      </c>
      <c r="D748" s="9">
        <f>'1'!M78</f>
        <v>51.205500000000001</v>
      </c>
      <c r="E748" s="9" t="b">
        <f t="shared" si="1"/>
        <v>1</v>
      </c>
    </row>
    <row r="749" spans="1:5" x14ac:dyDescent="0.2">
      <c r="A749" s="10">
        <v>29373</v>
      </c>
      <c r="B749" s="11">
        <v>51.501300000000001</v>
      </c>
      <c r="D749" s="9">
        <f>'1'!M79</f>
        <v>51.501300000000001</v>
      </c>
      <c r="E749" s="9" t="b">
        <f t="shared" si="1"/>
        <v>1</v>
      </c>
    </row>
    <row r="750" spans="1:5" x14ac:dyDescent="0.2">
      <c r="A750" s="10">
        <v>29403</v>
      </c>
      <c r="B750" s="11">
        <v>49.051600000000001</v>
      </c>
      <c r="D750" s="9">
        <f>'1'!M80</f>
        <v>49.051600000000001</v>
      </c>
      <c r="E750" s="9" t="b">
        <f t="shared" si="1"/>
        <v>1</v>
      </c>
    </row>
    <row r="751" spans="1:5" x14ac:dyDescent="0.2">
      <c r="A751" s="10">
        <v>29434</v>
      </c>
      <c r="B751" s="11">
        <v>50.597000000000001</v>
      </c>
      <c r="D751" s="9">
        <f>'1'!M81</f>
        <v>50.597000000000001</v>
      </c>
      <c r="E751" s="9" t="b">
        <f t="shared" si="1"/>
        <v>1</v>
      </c>
    </row>
    <row r="752" spans="1:5" x14ac:dyDescent="0.2">
      <c r="A752" s="10">
        <v>29465</v>
      </c>
      <c r="B752" s="11">
        <v>52.056100000000001</v>
      </c>
      <c r="D752" s="9">
        <f>'1'!M82</f>
        <v>52.056100000000001</v>
      </c>
      <c r="E752" s="9" t="b">
        <f t="shared" si="1"/>
        <v>1</v>
      </c>
    </row>
    <row r="753" spans="1:5" x14ac:dyDescent="0.2">
      <c r="A753" s="10">
        <v>29495</v>
      </c>
      <c r="B753" s="11">
        <v>52.631500000000003</v>
      </c>
      <c r="D753" s="9">
        <f>'1'!M83</f>
        <v>52.631500000000003</v>
      </c>
      <c r="E753" s="9" t="b">
        <f t="shared" si="1"/>
        <v>1</v>
      </c>
    </row>
    <row r="754" spans="1:5" x14ac:dyDescent="0.2">
      <c r="A754" s="10">
        <v>29526</v>
      </c>
      <c r="B754" s="11">
        <v>52.954599999999999</v>
      </c>
      <c r="D754" s="9">
        <f>'1'!M84</f>
        <v>52.954599999999999</v>
      </c>
      <c r="E754" s="9" t="b">
        <f t="shared" si="1"/>
        <v>1</v>
      </c>
    </row>
    <row r="755" spans="1:5" x14ac:dyDescent="0.2">
      <c r="A755" s="10">
        <v>29556</v>
      </c>
      <c r="B755" s="11">
        <v>52.888800000000003</v>
      </c>
      <c r="D755" s="9">
        <f>'1'!M85</f>
        <v>52.888800000000003</v>
      </c>
      <c r="E755" s="9" t="b">
        <f t="shared" si="1"/>
        <v>1</v>
      </c>
    </row>
    <row r="756" spans="1:5" x14ac:dyDescent="0.2">
      <c r="A756" s="10">
        <v>29587</v>
      </c>
      <c r="B756" s="11">
        <v>52.526299999999999</v>
      </c>
      <c r="D756" s="9">
        <f>'1'!M86</f>
        <v>52.526299999999999</v>
      </c>
      <c r="E756" s="9" t="b">
        <f t="shared" si="1"/>
        <v>1</v>
      </c>
    </row>
    <row r="757" spans="1:5" x14ac:dyDescent="0.2">
      <c r="A757" s="10">
        <v>29618</v>
      </c>
      <c r="B757" s="11">
        <v>53.074599999999997</v>
      </c>
      <c r="D757" s="9">
        <f>'1'!M87</f>
        <v>53.074599999999997</v>
      </c>
      <c r="E757" s="9" t="b">
        <f t="shared" si="1"/>
        <v>1</v>
      </c>
    </row>
    <row r="758" spans="1:5" x14ac:dyDescent="0.2">
      <c r="A758" s="10">
        <v>29646</v>
      </c>
      <c r="B758" s="11">
        <v>53.657699999999998</v>
      </c>
      <c r="D758" s="9">
        <f>'1'!M88</f>
        <v>53.657699999999998</v>
      </c>
      <c r="E758" s="9" t="b">
        <f t="shared" si="1"/>
        <v>1</v>
      </c>
    </row>
    <row r="759" spans="1:5" x14ac:dyDescent="0.2">
      <c r="A759" s="10">
        <v>29677</v>
      </c>
      <c r="B759" s="11">
        <v>52.546999999999997</v>
      </c>
      <c r="D759" s="9">
        <f>'1'!M89</f>
        <v>52.546999999999997</v>
      </c>
      <c r="E759" s="9" t="b">
        <f t="shared" si="1"/>
        <v>1</v>
      </c>
    </row>
    <row r="760" spans="1:5" x14ac:dyDescent="0.2">
      <c r="A760" s="10">
        <v>29707</v>
      </c>
      <c r="B760" s="11">
        <v>52.8476</v>
      </c>
      <c r="D760" s="9">
        <f>'1'!M90</f>
        <v>52.8476</v>
      </c>
      <c r="E760" s="9" t="b">
        <f t="shared" si="1"/>
        <v>1</v>
      </c>
    </row>
    <row r="761" spans="1:5" x14ac:dyDescent="0.2">
      <c r="A761" s="10">
        <v>29738</v>
      </c>
      <c r="B761" s="11">
        <v>54.043700000000001</v>
      </c>
      <c r="D761" s="9">
        <f>'1'!M91</f>
        <v>54.043700000000001</v>
      </c>
      <c r="E761" s="9" t="b">
        <f t="shared" si="1"/>
        <v>1</v>
      </c>
    </row>
    <row r="762" spans="1:5" x14ac:dyDescent="0.2">
      <c r="A762" s="10">
        <v>29768</v>
      </c>
      <c r="B762" s="11">
        <v>52.405700000000003</v>
      </c>
      <c r="D762" s="9">
        <f>'1'!M92</f>
        <v>52.405700000000003</v>
      </c>
      <c r="E762" s="9" t="b">
        <f t="shared" si="1"/>
        <v>1</v>
      </c>
    </row>
    <row r="763" spans="1:5" x14ac:dyDescent="0.2">
      <c r="A763" s="10">
        <v>29799</v>
      </c>
      <c r="B763" s="11">
        <v>53.600499999999997</v>
      </c>
      <c r="D763" s="9">
        <f>'1'!M93</f>
        <v>53.600499999999997</v>
      </c>
      <c r="E763" s="9" t="b">
        <f t="shared" si="1"/>
        <v>1</v>
      </c>
    </row>
    <row r="764" spans="1:5" x14ac:dyDescent="0.2">
      <c r="A764" s="10">
        <v>29830</v>
      </c>
      <c r="B764" s="11">
        <v>53.619599999999998</v>
      </c>
      <c r="D764" s="9">
        <f>'1'!M94</f>
        <v>53.619599999999998</v>
      </c>
      <c r="E764" s="9" t="b">
        <f t="shared" si="1"/>
        <v>1</v>
      </c>
    </row>
    <row r="765" spans="1:5" x14ac:dyDescent="0.2">
      <c r="A765" s="10">
        <v>29860</v>
      </c>
      <c r="B765" s="11">
        <v>53.3889</v>
      </c>
      <c r="D765" s="9">
        <f>'1'!M95</f>
        <v>53.3889</v>
      </c>
      <c r="E765" s="9" t="b">
        <f t="shared" si="1"/>
        <v>1</v>
      </c>
    </row>
    <row r="766" spans="1:5" x14ac:dyDescent="0.2">
      <c r="A766" s="10">
        <v>29891</v>
      </c>
      <c r="B766" s="11">
        <v>52.287799999999997</v>
      </c>
      <c r="D766" s="9">
        <f>'1'!M96</f>
        <v>52.287799999999997</v>
      </c>
      <c r="E766" s="9" t="b">
        <f t="shared" si="1"/>
        <v>1</v>
      </c>
    </row>
    <row r="767" spans="1:5" x14ac:dyDescent="0.2">
      <c r="A767" s="10">
        <v>29921</v>
      </c>
      <c r="B767" s="11">
        <v>51.530700000000003</v>
      </c>
      <c r="D767" s="9">
        <f>'1'!M97</f>
        <v>51.530700000000003</v>
      </c>
      <c r="E767" s="9" t="b">
        <f t="shared" si="1"/>
        <v>1</v>
      </c>
    </row>
    <row r="768" spans="1:5" x14ac:dyDescent="0.2">
      <c r="A768" s="10">
        <v>29952</v>
      </c>
      <c r="B768" s="11">
        <v>50.627099999999999</v>
      </c>
      <c r="D768" s="9">
        <f>'1'!M98</f>
        <v>50.627099999999999</v>
      </c>
      <c r="E768" s="9" t="b">
        <f t="shared" si="1"/>
        <v>1</v>
      </c>
    </row>
    <row r="769" spans="1:5" x14ac:dyDescent="0.2">
      <c r="A769" s="10">
        <v>29983</v>
      </c>
      <c r="B769" s="11">
        <v>52.182000000000002</v>
      </c>
      <c r="D769" s="9">
        <f>'1'!M99</f>
        <v>52.182000000000002</v>
      </c>
      <c r="E769" s="9" t="b">
        <f t="shared" si="1"/>
        <v>1</v>
      </c>
    </row>
    <row r="770" spans="1:5" x14ac:dyDescent="0.2">
      <c r="A770" s="10">
        <v>30011</v>
      </c>
      <c r="B770" s="11">
        <v>51.8934</v>
      </c>
      <c r="D770" s="9">
        <f>'1'!M100</f>
        <v>51.8934</v>
      </c>
      <c r="E770" s="9" t="b">
        <f t="shared" si="1"/>
        <v>1</v>
      </c>
    </row>
    <row r="771" spans="1:5" x14ac:dyDescent="0.2">
      <c r="A771" s="10">
        <v>30042</v>
      </c>
      <c r="B771" s="11">
        <v>50.6205</v>
      </c>
      <c r="D771" s="9">
        <f>'1'!M101</f>
        <v>50.6205</v>
      </c>
      <c r="E771" s="9" t="b">
        <f t="shared" si="1"/>
        <v>1</v>
      </c>
    </row>
    <row r="772" spans="1:5" x14ac:dyDescent="0.2">
      <c r="A772" s="10">
        <v>30072</v>
      </c>
      <c r="B772" s="11">
        <v>50.202500000000001</v>
      </c>
      <c r="D772" s="9">
        <f>'1'!M102</f>
        <v>50.202500000000001</v>
      </c>
      <c r="E772" s="9" t="b">
        <f t="shared" si="1"/>
        <v>1</v>
      </c>
    </row>
    <row r="773" spans="1:5" x14ac:dyDescent="0.2">
      <c r="A773" s="10">
        <v>30103</v>
      </c>
      <c r="B773" s="11">
        <v>51.030099999999997</v>
      </c>
      <c r="D773" s="9">
        <f>'1'!M103</f>
        <v>51.030099999999997</v>
      </c>
      <c r="E773" s="9" t="b">
        <f t="shared" si="1"/>
        <v>1</v>
      </c>
    </row>
    <row r="774" spans="1:5" x14ac:dyDescent="0.2">
      <c r="A774" s="10">
        <v>30133</v>
      </c>
      <c r="B774" s="11">
        <v>49.148299999999999</v>
      </c>
      <c r="D774" s="9">
        <f>'1'!M104</f>
        <v>49.148299999999999</v>
      </c>
      <c r="E774" s="9" t="b">
        <f t="shared" si="1"/>
        <v>1</v>
      </c>
    </row>
    <row r="775" spans="1:5" x14ac:dyDescent="0.2">
      <c r="A775" s="10">
        <v>30164</v>
      </c>
      <c r="B775" s="11">
        <v>49.895400000000002</v>
      </c>
      <c r="D775" s="9">
        <f>'1'!M105</f>
        <v>49.895400000000002</v>
      </c>
      <c r="E775" s="9" t="b">
        <f t="shared" si="1"/>
        <v>1</v>
      </c>
    </row>
    <row r="776" spans="1:5" x14ac:dyDescent="0.2">
      <c r="A776" s="10">
        <v>30195</v>
      </c>
      <c r="B776" s="11">
        <v>50.1205</v>
      </c>
      <c r="D776" s="9">
        <f>'1'!M106</f>
        <v>50.1205</v>
      </c>
      <c r="E776" s="9" t="b">
        <f t="shared" si="1"/>
        <v>1</v>
      </c>
    </row>
    <row r="777" spans="1:5" x14ac:dyDescent="0.2">
      <c r="A777" s="10">
        <v>30225</v>
      </c>
      <c r="B777" s="11">
        <v>49.642400000000002</v>
      </c>
      <c r="D777" s="9">
        <f>'1'!M107</f>
        <v>49.642400000000002</v>
      </c>
      <c r="E777" s="9" t="b">
        <f t="shared" si="1"/>
        <v>1</v>
      </c>
    </row>
    <row r="778" spans="1:5" x14ac:dyDescent="0.2">
      <c r="A778" s="10">
        <v>30256</v>
      </c>
      <c r="B778" s="11">
        <v>48.909599999999998</v>
      </c>
      <c r="D778" s="9">
        <f>'1'!M108</f>
        <v>48.909599999999998</v>
      </c>
      <c r="E778" s="9" t="b">
        <f t="shared" si="1"/>
        <v>1</v>
      </c>
    </row>
    <row r="779" spans="1:5" x14ac:dyDescent="0.2">
      <c r="A779" s="10">
        <v>30286</v>
      </c>
      <c r="B779" s="11">
        <v>48.288800000000002</v>
      </c>
      <c r="D779" s="9">
        <f>'1'!M109</f>
        <v>48.288800000000002</v>
      </c>
      <c r="E779" s="9" t="b">
        <f t="shared" si="1"/>
        <v>1</v>
      </c>
    </row>
    <row r="780" spans="1:5" x14ac:dyDescent="0.2">
      <c r="A780" s="10">
        <v>30317</v>
      </c>
      <c r="B780" s="11">
        <v>49.619</v>
      </c>
      <c r="D780" s="9">
        <f>'1'!M110</f>
        <v>49.619</v>
      </c>
      <c r="E780" s="9" t="b">
        <f t="shared" si="1"/>
        <v>1</v>
      </c>
    </row>
    <row r="781" spans="1:5" x14ac:dyDescent="0.2">
      <c r="A781" s="10">
        <v>30348</v>
      </c>
      <c r="B781" s="11">
        <v>49.755699999999997</v>
      </c>
      <c r="D781" s="9">
        <f>'1'!M111</f>
        <v>49.755699999999997</v>
      </c>
      <c r="E781" s="9" t="b">
        <f t="shared" si="1"/>
        <v>1</v>
      </c>
    </row>
    <row r="782" spans="1:5" x14ac:dyDescent="0.2">
      <c r="A782" s="10">
        <v>30376</v>
      </c>
      <c r="B782" s="11">
        <v>50.262</v>
      </c>
      <c r="D782" s="9">
        <f>'1'!M112</f>
        <v>50.262</v>
      </c>
      <c r="E782" s="9" t="b">
        <f t="shared" si="1"/>
        <v>1</v>
      </c>
    </row>
    <row r="783" spans="1:5" x14ac:dyDescent="0.2">
      <c r="A783" s="10">
        <v>30407</v>
      </c>
      <c r="B783" s="11">
        <v>50.160699999999999</v>
      </c>
      <c r="D783" s="9">
        <f>'1'!M113</f>
        <v>50.160699999999999</v>
      </c>
      <c r="E783" s="9" t="b">
        <f t="shared" si="1"/>
        <v>1</v>
      </c>
    </row>
    <row r="784" spans="1:5" x14ac:dyDescent="0.2">
      <c r="A784" s="10">
        <v>30437</v>
      </c>
      <c r="B784" s="11">
        <v>50.2956</v>
      </c>
      <c r="D784" s="9">
        <f>'1'!M114</f>
        <v>50.2956</v>
      </c>
      <c r="E784" s="9" t="b">
        <f t="shared" si="1"/>
        <v>1</v>
      </c>
    </row>
    <row r="785" spans="1:5" x14ac:dyDescent="0.2">
      <c r="A785" s="10">
        <v>30468</v>
      </c>
      <c r="B785" s="11">
        <v>51.6648</v>
      </c>
      <c r="D785" s="9">
        <f>'1'!M115</f>
        <v>51.6648</v>
      </c>
      <c r="E785" s="9" t="b">
        <f t="shared" si="1"/>
        <v>1</v>
      </c>
    </row>
    <row r="786" spans="1:5" x14ac:dyDescent="0.2">
      <c r="A786" s="10">
        <v>30498</v>
      </c>
      <c r="B786" s="11">
        <v>50.612400000000001</v>
      </c>
      <c r="D786" s="9">
        <f>'1'!M116</f>
        <v>50.612400000000001</v>
      </c>
      <c r="E786" s="9" t="b">
        <f t="shared" si="1"/>
        <v>1</v>
      </c>
    </row>
    <row r="787" spans="1:5" x14ac:dyDescent="0.2">
      <c r="A787" s="10">
        <v>30529</v>
      </c>
      <c r="B787" s="11">
        <v>52.325299999999999</v>
      </c>
      <c r="D787" s="9">
        <f>'1'!M117</f>
        <v>52.325299999999999</v>
      </c>
      <c r="E787" s="9" t="b">
        <f t="shared" si="1"/>
        <v>1</v>
      </c>
    </row>
    <row r="788" spans="1:5" x14ac:dyDescent="0.2">
      <c r="A788" s="10">
        <v>30560</v>
      </c>
      <c r="B788" s="11">
        <v>53.664499999999997</v>
      </c>
      <c r="D788" s="9">
        <f>'1'!M118</f>
        <v>53.664499999999997</v>
      </c>
      <c r="E788" s="9" t="b">
        <f t="shared" si="1"/>
        <v>1</v>
      </c>
    </row>
    <row r="789" spans="1:5" x14ac:dyDescent="0.2">
      <c r="A789" s="10">
        <v>30590</v>
      </c>
      <c r="B789" s="11">
        <v>53.934899999999999</v>
      </c>
      <c r="D789" s="9">
        <f>'1'!M119</f>
        <v>53.934899999999999</v>
      </c>
      <c r="E789" s="9" t="b">
        <f t="shared" si="1"/>
        <v>1</v>
      </c>
    </row>
    <row r="790" spans="1:5" x14ac:dyDescent="0.2">
      <c r="A790" s="10">
        <v>30621</v>
      </c>
      <c r="B790" s="11">
        <v>53.416200000000003</v>
      </c>
      <c r="D790" s="9">
        <f>'1'!M120</f>
        <v>53.416200000000003</v>
      </c>
      <c r="E790" s="9" t="b">
        <f t="shared" si="1"/>
        <v>1</v>
      </c>
    </row>
    <row r="791" spans="1:5" x14ac:dyDescent="0.2">
      <c r="A791" s="10">
        <v>30651</v>
      </c>
      <c r="B791" s="11">
        <v>53.368699999999997</v>
      </c>
      <c r="D791" s="9">
        <f>'1'!M121</f>
        <v>53.368699999999997</v>
      </c>
      <c r="E791" s="9" t="b">
        <f t="shared" si="1"/>
        <v>1</v>
      </c>
    </row>
    <row r="792" spans="1:5" x14ac:dyDescent="0.2">
      <c r="A792" s="10">
        <v>30682</v>
      </c>
      <c r="B792" s="11">
        <v>55.121099999999998</v>
      </c>
      <c r="D792" s="9">
        <f>'1'!M122</f>
        <v>55.121099999999998</v>
      </c>
      <c r="E792" s="9" t="b">
        <f t="shared" si="1"/>
        <v>1</v>
      </c>
    </row>
    <row r="793" spans="1:5" x14ac:dyDescent="0.2">
      <c r="A793" s="10">
        <v>30713</v>
      </c>
      <c r="B793" s="11">
        <v>55.866399999999999</v>
      </c>
      <c r="D793" s="9">
        <f>'1'!M123</f>
        <v>55.866399999999999</v>
      </c>
      <c r="E793" s="9" t="b">
        <f t="shared" si="1"/>
        <v>1</v>
      </c>
    </row>
    <row r="794" spans="1:5" x14ac:dyDescent="0.2">
      <c r="A794" s="10">
        <v>30742</v>
      </c>
      <c r="B794" s="11">
        <v>56.238399999999999</v>
      </c>
      <c r="D794" s="9">
        <f>'1'!M124</f>
        <v>56.238399999999999</v>
      </c>
      <c r="E794" s="9" t="b">
        <f t="shared" si="1"/>
        <v>1</v>
      </c>
    </row>
    <row r="795" spans="1:5" x14ac:dyDescent="0.2">
      <c r="A795" s="10">
        <v>30773</v>
      </c>
      <c r="B795" s="11">
        <v>55.831600000000002</v>
      </c>
      <c r="D795" s="9">
        <f>'1'!M125</f>
        <v>55.831600000000002</v>
      </c>
      <c r="E795" s="9" t="b">
        <f t="shared" si="1"/>
        <v>1</v>
      </c>
    </row>
    <row r="796" spans="1:5" x14ac:dyDescent="0.2">
      <c r="A796" s="10">
        <v>30803</v>
      </c>
      <c r="B796" s="11">
        <v>55.7898</v>
      </c>
      <c r="D796" s="9">
        <f>'1'!M126</f>
        <v>55.7898</v>
      </c>
      <c r="E796" s="9" t="b">
        <f t="shared" si="1"/>
        <v>1</v>
      </c>
    </row>
    <row r="797" spans="1:5" x14ac:dyDescent="0.2">
      <c r="A797" s="10">
        <v>30834</v>
      </c>
      <c r="B797" s="11">
        <v>57.145200000000003</v>
      </c>
      <c r="D797" s="9">
        <f>'1'!M127</f>
        <v>57.145200000000003</v>
      </c>
      <c r="E797" s="9" t="b">
        <f t="shared" si="1"/>
        <v>1</v>
      </c>
    </row>
    <row r="798" spans="1:5" x14ac:dyDescent="0.2">
      <c r="A798" s="10">
        <v>30864</v>
      </c>
      <c r="B798" s="11">
        <v>55.269500000000001</v>
      </c>
      <c r="D798" s="9">
        <f>'1'!M128</f>
        <v>55.269500000000001</v>
      </c>
      <c r="E798" s="9" t="b">
        <f t="shared" si="1"/>
        <v>1</v>
      </c>
    </row>
    <row r="799" spans="1:5" x14ac:dyDescent="0.2">
      <c r="A799" s="10">
        <v>30895</v>
      </c>
      <c r="B799" s="11">
        <v>56.647100000000002</v>
      </c>
      <c r="D799" s="9">
        <f>'1'!M129</f>
        <v>56.647100000000002</v>
      </c>
      <c r="E799" s="9" t="b">
        <f t="shared" si="1"/>
        <v>1</v>
      </c>
    </row>
    <row r="800" spans="1:5" x14ac:dyDescent="0.2">
      <c r="A800" s="10">
        <v>30926</v>
      </c>
      <c r="B800" s="11">
        <v>57.1858</v>
      </c>
      <c r="D800" s="9">
        <f>'1'!M130</f>
        <v>57.1858</v>
      </c>
      <c r="E800" s="9" t="b">
        <f t="shared" si="1"/>
        <v>1</v>
      </c>
    </row>
    <row r="801" spans="1:5" x14ac:dyDescent="0.2">
      <c r="A801" s="10">
        <v>30956</v>
      </c>
      <c r="B801" s="11">
        <v>56.808900000000001</v>
      </c>
      <c r="D801" s="9">
        <f>'1'!M131</f>
        <v>56.808900000000001</v>
      </c>
      <c r="E801" s="9" t="b">
        <f t="shared" ref="E801:E864" si="2">EXACT(B801,D801)</f>
        <v>1</v>
      </c>
    </row>
    <row r="802" spans="1:5" x14ac:dyDescent="0.2">
      <c r="A802" s="10">
        <v>30987</v>
      </c>
      <c r="B802" s="11">
        <v>56.319299999999998</v>
      </c>
      <c r="D802" s="9">
        <f>'1'!M132</f>
        <v>56.319299999999998</v>
      </c>
      <c r="E802" s="9" t="b">
        <f t="shared" si="2"/>
        <v>1</v>
      </c>
    </row>
    <row r="803" spans="1:5" x14ac:dyDescent="0.2">
      <c r="A803" s="10">
        <v>31017</v>
      </c>
      <c r="B803" s="11">
        <v>56.066200000000002</v>
      </c>
      <c r="D803" s="9">
        <f>'1'!M133</f>
        <v>56.066200000000002</v>
      </c>
      <c r="E803" s="9" t="b">
        <f t="shared" si="2"/>
        <v>1</v>
      </c>
    </row>
    <row r="804" spans="1:5" x14ac:dyDescent="0.2">
      <c r="A804" s="10">
        <v>31048</v>
      </c>
      <c r="B804" s="11">
        <v>56.655099999999997</v>
      </c>
      <c r="D804" s="9">
        <f>'1'!M134</f>
        <v>56.655099999999997</v>
      </c>
      <c r="E804" s="9" t="b">
        <f t="shared" si="2"/>
        <v>1</v>
      </c>
    </row>
    <row r="805" spans="1:5" x14ac:dyDescent="0.2">
      <c r="A805" s="10">
        <v>31079</v>
      </c>
      <c r="B805" s="11">
        <v>57.452300000000001</v>
      </c>
      <c r="D805" s="9">
        <f>'1'!M135</f>
        <v>57.452300000000001</v>
      </c>
      <c r="E805" s="9" t="b">
        <f t="shared" si="2"/>
        <v>1</v>
      </c>
    </row>
    <row r="806" spans="1:5" x14ac:dyDescent="0.2">
      <c r="A806" s="10">
        <v>31107</v>
      </c>
      <c r="B806" s="11">
        <v>57.456600000000002</v>
      </c>
      <c r="D806" s="9">
        <f>'1'!M136</f>
        <v>57.456600000000002</v>
      </c>
      <c r="E806" s="9" t="b">
        <f t="shared" si="2"/>
        <v>1</v>
      </c>
    </row>
    <row r="807" spans="1:5" x14ac:dyDescent="0.2">
      <c r="A807" s="10">
        <v>31138</v>
      </c>
      <c r="B807" s="11">
        <v>56.4482</v>
      </c>
      <c r="D807" s="9">
        <f>'1'!M137</f>
        <v>56.4482</v>
      </c>
      <c r="E807" s="9" t="b">
        <f t="shared" si="2"/>
        <v>1</v>
      </c>
    </row>
    <row r="808" spans="1:5" x14ac:dyDescent="0.2">
      <c r="A808" s="10">
        <v>31168</v>
      </c>
      <c r="B808" s="11">
        <v>56.403100000000002</v>
      </c>
      <c r="D808" s="9">
        <f>'1'!M138</f>
        <v>56.403100000000002</v>
      </c>
      <c r="E808" s="9" t="b">
        <f t="shared" si="2"/>
        <v>1</v>
      </c>
    </row>
    <row r="809" spans="1:5" x14ac:dyDescent="0.2">
      <c r="A809" s="10">
        <v>31199</v>
      </c>
      <c r="B809" s="11">
        <v>57.666800000000002</v>
      </c>
      <c r="D809" s="9">
        <f>'1'!M139</f>
        <v>57.666800000000002</v>
      </c>
      <c r="E809" s="9" t="b">
        <f t="shared" si="2"/>
        <v>1</v>
      </c>
    </row>
    <row r="810" spans="1:5" x14ac:dyDescent="0.2">
      <c r="A810" s="10">
        <v>31229</v>
      </c>
      <c r="B810" s="11">
        <v>55.265000000000001</v>
      </c>
      <c r="D810" s="9">
        <f>'1'!M140</f>
        <v>55.265000000000001</v>
      </c>
      <c r="E810" s="9" t="b">
        <f t="shared" si="2"/>
        <v>1</v>
      </c>
    </row>
    <row r="811" spans="1:5" x14ac:dyDescent="0.2">
      <c r="A811" s="10">
        <v>31260</v>
      </c>
      <c r="B811" s="11">
        <v>56.858800000000002</v>
      </c>
      <c r="D811" s="9">
        <f>'1'!M141</f>
        <v>56.858800000000002</v>
      </c>
      <c r="E811" s="9" t="b">
        <f t="shared" si="2"/>
        <v>1</v>
      </c>
    </row>
    <row r="812" spans="1:5" x14ac:dyDescent="0.2">
      <c r="A812" s="10">
        <v>31291</v>
      </c>
      <c r="B812" s="11">
        <v>57.681600000000003</v>
      </c>
      <c r="D812" s="9">
        <f>'1'!M142</f>
        <v>57.681600000000003</v>
      </c>
      <c r="E812" s="9" t="b">
        <f t="shared" si="2"/>
        <v>1</v>
      </c>
    </row>
    <row r="813" spans="1:5" x14ac:dyDescent="0.2">
      <c r="A813" s="10">
        <v>31321</v>
      </c>
      <c r="B813" s="11">
        <v>57.1096</v>
      </c>
      <c r="D813" s="9">
        <f>'1'!M143</f>
        <v>57.1096</v>
      </c>
      <c r="E813" s="9" t="b">
        <f t="shared" si="2"/>
        <v>1</v>
      </c>
    </row>
    <row r="814" spans="1:5" x14ac:dyDescent="0.2">
      <c r="A814" s="10">
        <v>31352</v>
      </c>
      <c r="B814" s="11">
        <v>56.588000000000001</v>
      </c>
      <c r="D814" s="9">
        <f>'1'!M144</f>
        <v>56.588000000000001</v>
      </c>
      <c r="E814" s="9" t="b">
        <f t="shared" si="2"/>
        <v>1</v>
      </c>
    </row>
    <row r="815" spans="1:5" x14ac:dyDescent="0.2">
      <c r="A815" s="10">
        <v>31382</v>
      </c>
      <c r="B815" s="11">
        <v>57.000599999999999</v>
      </c>
      <c r="D815" s="9">
        <f>'1'!M145</f>
        <v>57.000599999999999</v>
      </c>
      <c r="E815" s="9" t="b">
        <f t="shared" si="2"/>
        <v>1</v>
      </c>
    </row>
    <row r="816" spans="1:5" x14ac:dyDescent="0.2">
      <c r="A816" s="10">
        <v>31413</v>
      </c>
      <c r="B816" s="11">
        <v>57.923699999999997</v>
      </c>
      <c r="D816" s="9">
        <f>'1'!M146</f>
        <v>57.923699999999997</v>
      </c>
      <c r="E816" s="9" t="b">
        <f t="shared" si="2"/>
        <v>1</v>
      </c>
    </row>
    <row r="817" spans="1:5" x14ac:dyDescent="0.2">
      <c r="A817" s="10">
        <v>31444</v>
      </c>
      <c r="B817" s="11">
        <v>58.052500000000002</v>
      </c>
      <c r="D817" s="9">
        <f>'1'!M147</f>
        <v>58.052500000000002</v>
      </c>
      <c r="E817" s="9" t="b">
        <f t="shared" si="2"/>
        <v>1</v>
      </c>
    </row>
    <row r="818" spans="1:5" x14ac:dyDescent="0.2">
      <c r="A818" s="10">
        <v>31472</v>
      </c>
      <c r="B818" s="11">
        <v>57.243299999999998</v>
      </c>
      <c r="D818" s="9">
        <f>'1'!M148</f>
        <v>57.243299999999998</v>
      </c>
      <c r="E818" s="9" t="b">
        <f t="shared" si="2"/>
        <v>1</v>
      </c>
    </row>
    <row r="819" spans="1:5" x14ac:dyDescent="0.2">
      <c r="A819" s="10">
        <v>31503</v>
      </c>
      <c r="B819" s="11">
        <v>57.045699999999997</v>
      </c>
      <c r="D819" s="9">
        <f>'1'!M149</f>
        <v>57.045699999999997</v>
      </c>
      <c r="E819" s="9" t="b">
        <f t="shared" si="2"/>
        <v>1</v>
      </c>
    </row>
    <row r="820" spans="1:5" x14ac:dyDescent="0.2">
      <c r="A820" s="10">
        <v>31533</v>
      </c>
      <c r="B820" s="11">
        <v>56.668399999999998</v>
      </c>
      <c r="D820" s="9">
        <f>'1'!M150</f>
        <v>56.668399999999998</v>
      </c>
      <c r="E820" s="9" t="b">
        <f t="shared" si="2"/>
        <v>1</v>
      </c>
    </row>
    <row r="821" spans="1:5" x14ac:dyDescent="0.2">
      <c r="A821" s="10">
        <v>31564</v>
      </c>
      <c r="B821" s="11">
        <v>57.844299999999997</v>
      </c>
      <c r="D821" s="9">
        <f>'1'!M151</f>
        <v>57.844299999999997</v>
      </c>
      <c r="E821" s="9" t="b">
        <f t="shared" si="2"/>
        <v>1</v>
      </c>
    </row>
    <row r="822" spans="1:5" x14ac:dyDescent="0.2">
      <c r="A822" s="10">
        <v>31594</v>
      </c>
      <c r="B822" s="11">
        <v>55.9375</v>
      </c>
      <c r="D822" s="9">
        <f>'1'!M152</f>
        <v>55.9375</v>
      </c>
      <c r="E822" s="9" t="b">
        <f t="shared" si="2"/>
        <v>1</v>
      </c>
    </row>
    <row r="823" spans="1:5" x14ac:dyDescent="0.2">
      <c r="A823" s="10">
        <v>31625</v>
      </c>
      <c r="B823" s="11">
        <v>57.5002</v>
      </c>
      <c r="D823" s="9">
        <f>'1'!M153</f>
        <v>57.5002</v>
      </c>
      <c r="E823" s="9" t="b">
        <f t="shared" si="2"/>
        <v>1</v>
      </c>
    </row>
    <row r="824" spans="1:5" x14ac:dyDescent="0.2">
      <c r="A824" s="10">
        <v>31656</v>
      </c>
      <c r="B824" s="11">
        <v>58.129899999999999</v>
      </c>
      <c r="D824" s="9">
        <f>'1'!M154</f>
        <v>58.129899999999999</v>
      </c>
      <c r="E824" s="9" t="b">
        <f t="shared" si="2"/>
        <v>1</v>
      </c>
    </row>
    <row r="825" spans="1:5" x14ac:dyDescent="0.2">
      <c r="A825" s="10">
        <v>31686</v>
      </c>
      <c r="B825" s="11">
        <v>57.961599999999997</v>
      </c>
      <c r="D825" s="9">
        <f>'1'!M155</f>
        <v>57.961599999999997</v>
      </c>
      <c r="E825" s="9" t="b">
        <f t="shared" si="2"/>
        <v>1</v>
      </c>
    </row>
    <row r="826" spans="1:5" x14ac:dyDescent="0.2">
      <c r="A826" s="10">
        <v>31717</v>
      </c>
      <c r="B826" s="11">
        <v>57.483600000000003</v>
      </c>
      <c r="D826" s="9">
        <f>'1'!M156</f>
        <v>57.483600000000003</v>
      </c>
      <c r="E826" s="9" t="b">
        <f t="shared" si="2"/>
        <v>1</v>
      </c>
    </row>
    <row r="827" spans="1:5" x14ac:dyDescent="0.2">
      <c r="A827" s="10">
        <v>31747</v>
      </c>
      <c r="B827" s="11">
        <v>57.675800000000002</v>
      </c>
      <c r="D827" s="9">
        <f>'1'!M157</f>
        <v>57.675800000000002</v>
      </c>
      <c r="E827" s="9" t="b">
        <f t="shared" si="2"/>
        <v>1</v>
      </c>
    </row>
    <row r="828" spans="1:5" x14ac:dyDescent="0.2">
      <c r="A828" s="10">
        <v>31778</v>
      </c>
      <c r="B828" s="11">
        <v>58.1586</v>
      </c>
      <c r="D828" s="9">
        <f>'1'!M158</f>
        <v>58.1586</v>
      </c>
      <c r="E828" s="9" t="b">
        <f t="shared" si="2"/>
        <v>1</v>
      </c>
    </row>
    <row r="829" spans="1:5" x14ac:dyDescent="0.2">
      <c r="A829" s="10">
        <v>31809</v>
      </c>
      <c r="B829" s="11">
        <v>59.514000000000003</v>
      </c>
      <c r="D829" s="9">
        <f>'1'!M159</f>
        <v>59.514000000000003</v>
      </c>
      <c r="E829" s="9" t="b">
        <f t="shared" si="2"/>
        <v>1</v>
      </c>
    </row>
    <row r="830" spans="1:5" x14ac:dyDescent="0.2">
      <c r="A830" s="10">
        <v>31837</v>
      </c>
      <c r="B830" s="11">
        <v>59.518500000000003</v>
      </c>
      <c r="D830" s="9">
        <f>'1'!M160</f>
        <v>59.518500000000003</v>
      </c>
      <c r="E830" s="9" t="b">
        <f t="shared" si="2"/>
        <v>1</v>
      </c>
    </row>
    <row r="831" spans="1:5" x14ac:dyDescent="0.2">
      <c r="A831" s="10">
        <v>31868</v>
      </c>
      <c r="B831" s="11">
        <v>58.784799999999997</v>
      </c>
      <c r="D831" s="9">
        <f>'1'!M161</f>
        <v>58.784799999999997</v>
      </c>
      <c r="E831" s="9" t="b">
        <f t="shared" si="2"/>
        <v>1</v>
      </c>
    </row>
    <row r="832" spans="1:5" x14ac:dyDescent="0.2">
      <c r="A832" s="10">
        <v>31898</v>
      </c>
      <c r="B832" s="11">
        <v>59.301699999999997</v>
      </c>
      <c r="D832" s="9">
        <f>'1'!M162</f>
        <v>59.301699999999997</v>
      </c>
      <c r="E832" s="9" t="b">
        <f t="shared" si="2"/>
        <v>1</v>
      </c>
    </row>
    <row r="833" spans="1:5" x14ac:dyDescent="0.2">
      <c r="A833" s="10">
        <v>31929</v>
      </c>
      <c r="B833" s="11">
        <v>61.117199999999997</v>
      </c>
      <c r="D833" s="9">
        <f>'1'!M163</f>
        <v>61.117199999999997</v>
      </c>
      <c r="E833" s="9" t="b">
        <f t="shared" si="2"/>
        <v>1</v>
      </c>
    </row>
    <row r="834" spans="1:5" x14ac:dyDescent="0.2">
      <c r="A834" s="10">
        <v>31959</v>
      </c>
      <c r="B834" s="11">
        <v>59.162300000000002</v>
      </c>
      <c r="D834" s="9">
        <f>'1'!M164</f>
        <v>59.162300000000002</v>
      </c>
      <c r="E834" s="9" t="b">
        <f t="shared" si="2"/>
        <v>1</v>
      </c>
    </row>
    <row r="835" spans="1:5" x14ac:dyDescent="0.2">
      <c r="A835" s="10">
        <v>31990</v>
      </c>
      <c r="B835" s="11">
        <v>61.464500000000001</v>
      </c>
      <c r="D835" s="9">
        <f>'1'!M165</f>
        <v>61.464500000000001</v>
      </c>
      <c r="E835" s="9" t="b">
        <f t="shared" si="2"/>
        <v>1</v>
      </c>
    </row>
    <row r="836" spans="1:5" x14ac:dyDescent="0.2">
      <c r="A836" s="10">
        <v>32021</v>
      </c>
      <c r="B836" s="11">
        <v>61.8001</v>
      </c>
      <c r="D836" s="9">
        <f>'1'!M166</f>
        <v>61.8001</v>
      </c>
      <c r="E836" s="9" t="b">
        <f t="shared" si="2"/>
        <v>1</v>
      </c>
    </row>
    <row r="837" spans="1:5" x14ac:dyDescent="0.2">
      <c r="A837" s="10">
        <v>32051</v>
      </c>
      <c r="B837" s="11">
        <v>62.5349</v>
      </c>
      <c r="D837" s="9">
        <f>'1'!M167</f>
        <v>62.5349</v>
      </c>
      <c r="E837" s="9" t="b">
        <f t="shared" si="2"/>
        <v>1</v>
      </c>
    </row>
    <row r="838" spans="1:5" x14ac:dyDescent="0.2">
      <c r="A838" s="10">
        <v>32082</v>
      </c>
      <c r="B838" s="11">
        <v>62.050800000000002</v>
      </c>
      <c r="D838" s="9">
        <f>'1'!M168</f>
        <v>62.050800000000002</v>
      </c>
      <c r="E838" s="9" t="b">
        <f t="shared" si="2"/>
        <v>1</v>
      </c>
    </row>
    <row r="839" spans="1:5" x14ac:dyDescent="0.2">
      <c r="A839" s="10">
        <v>32112</v>
      </c>
      <c r="B839" s="11">
        <v>61.858199999999997</v>
      </c>
      <c r="D839" s="9">
        <f>'1'!M169</f>
        <v>61.858199999999997</v>
      </c>
      <c r="E839" s="9" t="b">
        <f t="shared" si="2"/>
        <v>1</v>
      </c>
    </row>
    <row r="840" spans="1:5" x14ac:dyDescent="0.2">
      <c r="A840" s="10">
        <v>32143</v>
      </c>
      <c r="B840" s="11">
        <v>62.565600000000003</v>
      </c>
      <c r="D840" s="9">
        <f>'1'!M170</f>
        <v>62.565600000000003</v>
      </c>
      <c r="E840" s="9" t="b">
        <f t="shared" si="2"/>
        <v>1</v>
      </c>
    </row>
    <row r="841" spans="1:5" x14ac:dyDescent="0.2">
      <c r="A841" s="10">
        <v>32174</v>
      </c>
      <c r="B841" s="11">
        <v>63.313400000000001</v>
      </c>
      <c r="D841" s="9">
        <f>'1'!M171</f>
        <v>63.313400000000001</v>
      </c>
      <c r="E841" s="9" t="b">
        <f t="shared" si="2"/>
        <v>1</v>
      </c>
    </row>
    <row r="842" spans="1:5" x14ac:dyDescent="0.2">
      <c r="A842" s="10">
        <v>32203</v>
      </c>
      <c r="B842" s="11">
        <v>63.372700000000002</v>
      </c>
      <c r="D842" s="9">
        <f>'1'!M172</f>
        <v>63.372700000000002</v>
      </c>
      <c r="E842" s="9" t="b">
        <f t="shared" si="2"/>
        <v>1</v>
      </c>
    </row>
    <row r="843" spans="1:5" x14ac:dyDescent="0.2">
      <c r="A843" s="10">
        <v>32234</v>
      </c>
      <c r="B843" s="11">
        <v>62.882800000000003</v>
      </c>
      <c r="D843" s="9">
        <f>'1'!M173</f>
        <v>62.882800000000003</v>
      </c>
      <c r="E843" s="9" t="b">
        <f t="shared" si="2"/>
        <v>1</v>
      </c>
    </row>
    <row r="844" spans="1:5" x14ac:dyDescent="0.2">
      <c r="A844" s="10">
        <v>32264</v>
      </c>
      <c r="B844" s="11">
        <v>62.851799999999997</v>
      </c>
      <c r="D844" s="9">
        <f>'1'!M174</f>
        <v>62.851799999999997</v>
      </c>
      <c r="E844" s="9" t="b">
        <f t="shared" si="2"/>
        <v>1</v>
      </c>
    </row>
    <row r="845" spans="1:5" x14ac:dyDescent="0.2">
      <c r="A845" s="10">
        <v>32295</v>
      </c>
      <c r="B845" s="11">
        <v>64.706999999999994</v>
      </c>
      <c r="D845" s="9">
        <f>'1'!M175</f>
        <v>64.706999999999994</v>
      </c>
      <c r="E845" s="9" t="b">
        <f t="shared" si="2"/>
        <v>1</v>
      </c>
    </row>
    <row r="846" spans="1:5" x14ac:dyDescent="0.2">
      <c r="A846" s="10">
        <v>32325</v>
      </c>
      <c r="B846" s="11">
        <v>62.297800000000002</v>
      </c>
      <c r="D846" s="9">
        <f>'1'!M176</f>
        <v>62.297800000000002</v>
      </c>
      <c r="E846" s="9" t="b">
        <f t="shared" si="2"/>
        <v>1</v>
      </c>
    </row>
    <row r="847" spans="1:5" x14ac:dyDescent="0.2">
      <c r="A847" s="10">
        <v>32356</v>
      </c>
      <c r="B847" s="11">
        <v>64.417100000000005</v>
      </c>
      <c r="D847" s="9">
        <f>'1'!M177</f>
        <v>64.417100000000005</v>
      </c>
      <c r="E847" s="9" t="b">
        <f t="shared" si="2"/>
        <v>1</v>
      </c>
    </row>
    <row r="848" spans="1:5" x14ac:dyDescent="0.2">
      <c r="A848" s="10">
        <v>32387</v>
      </c>
      <c r="B848" s="11">
        <v>64.678200000000004</v>
      </c>
      <c r="D848" s="9">
        <f>'1'!M178</f>
        <v>64.678200000000004</v>
      </c>
      <c r="E848" s="9" t="b">
        <f t="shared" si="2"/>
        <v>1</v>
      </c>
    </row>
    <row r="849" spans="1:5" x14ac:dyDescent="0.2">
      <c r="A849" s="10">
        <v>32417</v>
      </c>
      <c r="B849" s="11">
        <v>64.647199999999998</v>
      </c>
      <c r="D849" s="9">
        <f>'1'!M179</f>
        <v>64.647199999999998</v>
      </c>
      <c r="E849" s="9" t="b">
        <f t="shared" si="2"/>
        <v>1</v>
      </c>
    </row>
    <row r="850" spans="1:5" x14ac:dyDescent="0.2">
      <c r="A850" s="10">
        <v>32448</v>
      </c>
      <c r="B850" s="11">
        <v>63.814399999999999</v>
      </c>
      <c r="D850" s="9">
        <f>'1'!M180</f>
        <v>63.814399999999999</v>
      </c>
      <c r="E850" s="9" t="b">
        <f t="shared" si="2"/>
        <v>1</v>
      </c>
    </row>
    <row r="851" spans="1:5" x14ac:dyDescent="0.2">
      <c r="A851" s="10">
        <v>32478</v>
      </c>
      <c r="B851" s="11">
        <v>63.5364</v>
      </c>
      <c r="D851" s="9">
        <f>'1'!M181</f>
        <v>63.5364</v>
      </c>
      <c r="E851" s="9" t="b">
        <f t="shared" si="2"/>
        <v>1</v>
      </c>
    </row>
    <row r="852" spans="1:5" x14ac:dyDescent="0.2">
      <c r="A852" s="10">
        <v>32509</v>
      </c>
      <c r="B852" s="11">
        <v>64.293400000000005</v>
      </c>
      <c r="D852" s="9">
        <f>'1'!M182</f>
        <v>64.293400000000005</v>
      </c>
      <c r="E852" s="9" t="b">
        <f t="shared" si="2"/>
        <v>1</v>
      </c>
    </row>
    <row r="853" spans="1:5" x14ac:dyDescent="0.2">
      <c r="A853" s="10">
        <v>32540</v>
      </c>
      <c r="B853" s="11">
        <v>64.540300000000002</v>
      </c>
      <c r="D853" s="9">
        <f>'1'!M183</f>
        <v>64.540300000000002</v>
      </c>
      <c r="E853" s="9" t="b">
        <f t="shared" si="2"/>
        <v>1</v>
      </c>
    </row>
    <row r="854" spans="1:5" x14ac:dyDescent="0.2">
      <c r="A854" s="10">
        <v>32568</v>
      </c>
      <c r="B854" s="11">
        <v>64.225999999999999</v>
      </c>
      <c r="D854" s="9">
        <f>'1'!M184</f>
        <v>64.225999999999999</v>
      </c>
      <c r="E854" s="9" t="b">
        <f t="shared" si="2"/>
        <v>1</v>
      </c>
    </row>
    <row r="855" spans="1:5" x14ac:dyDescent="0.2">
      <c r="A855" s="10">
        <v>32599</v>
      </c>
      <c r="B855" s="11">
        <v>64.342500000000001</v>
      </c>
      <c r="D855" s="9">
        <f>'1'!M185</f>
        <v>64.342500000000001</v>
      </c>
      <c r="E855" s="9" t="b">
        <f t="shared" si="2"/>
        <v>1</v>
      </c>
    </row>
    <row r="856" spans="1:5" x14ac:dyDescent="0.2">
      <c r="A856" s="10">
        <v>32629</v>
      </c>
      <c r="B856" s="11">
        <v>63.446399999999997</v>
      </c>
      <c r="D856" s="9">
        <f>'1'!M186</f>
        <v>63.446399999999997</v>
      </c>
      <c r="E856" s="9" t="b">
        <f t="shared" si="2"/>
        <v>1</v>
      </c>
    </row>
    <row r="857" spans="1:5" x14ac:dyDescent="0.2">
      <c r="A857" s="10">
        <v>32660</v>
      </c>
      <c r="B857" s="11">
        <v>65.186700000000002</v>
      </c>
      <c r="D857" s="9">
        <f>'1'!M187</f>
        <v>65.186700000000002</v>
      </c>
      <c r="E857" s="9" t="b">
        <f t="shared" si="2"/>
        <v>1</v>
      </c>
    </row>
    <row r="858" spans="1:5" x14ac:dyDescent="0.2">
      <c r="A858" s="10">
        <v>32690</v>
      </c>
      <c r="B858" s="11">
        <v>62.100999999999999</v>
      </c>
      <c r="D858" s="9">
        <f>'1'!M188</f>
        <v>62.100999999999999</v>
      </c>
      <c r="E858" s="9" t="b">
        <f t="shared" si="2"/>
        <v>1</v>
      </c>
    </row>
    <row r="859" spans="1:5" x14ac:dyDescent="0.2">
      <c r="A859" s="10">
        <v>32721</v>
      </c>
      <c r="B859" s="11">
        <v>64.7714</v>
      </c>
      <c r="D859" s="9">
        <f>'1'!M189</f>
        <v>64.7714</v>
      </c>
      <c r="E859" s="9" t="b">
        <f t="shared" si="2"/>
        <v>1</v>
      </c>
    </row>
    <row r="860" spans="1:5" x14ac:dyDescent="0.2">
      <c r="A860" s="10">
        <v>32752</v>
      </c>
      <c r="B860" s="11">
        <v>64.865200000000002</v>
      </c>
      <c r="D860" s="9">
        <f>'1'!M190</f>
        <v>64.865200000000002</v>
      </c>
      <c r="E860" s="9" t="b">
        <f t="shared" si="2"/>
        <v>1</v>
      </c>
    </row>
    <row r="861" spans="1:5" x14ac:dyDescent="0.2">
      <c r="A861" s="10">
        <v>32782</v>
      </c>
      <c r="B861" s="11">
        <v>64.500100000000003</v>
      </c>
      <c r="D861" s="9">
        <f>'1'!M191</f>
        <v>64.500100000000003</v>
      </c>
      <c r="E861" s="9" t="b">
        <f t="shared" si="2"/>
        <v>1</v>
      </c>
    </row>
    <row r="862" spans="1:5" x14ac:dyDescent="0.2">
      <c r="A862" s="10">
        <v>32813</v>
      </c>
      <c r="B862" s="11">
        <v>63.796799999999998</v>
      </c>
      <c r="D862" s="9">
        <f>'1'!M192</f>
        <v>63.796799999999998</v>
      </c>
      <c r="E862" s="9" t="b">
        <f t="shared" si="2"/>
        <v>1</v>
      </c>
    </row>
    <row r="863" spans="1:5" x14ac:dyDescent="0.2">
      <c r="A863" s="10">
        <v>32843</v>
      </c>
      <c r="B863" s="11">
        <v>63.823</v>
      </c>
      <c r="D863" s="9">
        <f>'1'!M193</f>
        <v>63.823</v>
      </c>
      <c r="E863" s="9" t="b">
        <f t="shared" si="2"/>
        <v>1</v>
      </c>
    </row>
    <row r="864" spans="1:5" x14ac:dyDescent="0.2">
      <c r="A864" s="10">
        <v>32874</v>
      </c>
      <c r="B864" s="11">
        <v>63.792999999999999</v>
      </c>
      <c r="D864" s="9">
        <f>'1'!M194</f>
        <v>63.792999999999999</v>
      </c>
      <c r="E864" s="9" t="b">
        <f t="shared" si="2"/>
        <v>1</v>
      </c>
    </row>
    <row r="865" spans="1:5" x14ac:dyDescent="0.2">
      <c r="A865" s="10">
        <v>32905</v>
      </c>
      <c r="B865" s="11">
        <v>64.740399999999994</v>
      </c>
      <c r="D865" s="9">
        <f>'1'!M195</f>
        <v>64.740399999999994</v>
      </c>
      <c r="E865" s="9" t="b">
        <f t="shared" ref="E865:E928" si="3">EXACT(B865,D865)</f>
        <v>1</v>
      </c>
    </row>
    <row r="866" spans="1:5" x14ac:dyDescent="0.2">
      <c r="A866" s="10">
        <v>32933</v>
      </c>
      <c r="B866" s="11">
        <v>65.078800000000001</v>
      </c>
      <c r="D866" s="9">
        <f>'1'!M196</f>
        <v>65.078800000000001</v>
      </c>
      <c r="E866" s="9" t="b">
        <f t="shared" si="3"/>
        <v>1</v>
      </c>
    </row>
    <row r="867" spans="1:5" x14ac:dyDescent="0.2">
      <c r="A867" s="10">
        <v>32964</v>
      </c>
      <c r="B867" s="11">
        <v>63.743400000000001</v>
      </c>
      <c r="D867" s="9">
        <f>'1'!M197</f>
        <v>63.743400000000001</v>
      </c>
      <c r="E867" s="9" t="b">
        <f t="shared" si="3"/>
        <v>1</v>
      </c>
    </row>
    <row r="868" spans="1:5" x14ac:dyDescent="0.2">
      <c r="A868" s="10">
        <v>32994</v>
      </c>
      <c r="B868" s="11">
        <v>64.403599999999997</v>
      </c>
      <c r="D868" s="9">
        <f>'1'!M198</f>
        <v>64.403599999999997</v>
      </c>
      <c r="E868" s="9" t="b">
        <f t="shared" si="3"/>
        <v>1</v>
      </c>
    </row>
    <row r="869" spans="1:5" x14ac:dyDescent="0.2">
      <c r="A869" s="10">
        <v>33025</v>
      </c>
      <c r="B869" s="11">
        <v>66.392499999999998</v>
      </c>
      <c r="D869" s="9">
        <f>'1'!M199</f>
        <v>66.392499999999998</v>
      </c>
      <c r="E869" s="9" t="b">
        <f t="shared" si="3"/>
        <v>1</v>
      </c>
    </row>
    <row r="870" spans="1:5" x14ac:dyDescent="0.2">
      <c r="A870" s="10">
        <v>33055</v>
      </c>
      <c r="B870" s="11">
        <v>63.935000000000002</v>
      </c>
      <c r="D870" s="9">
        <f>'1'!M200</f>
        <v>63.935000000000002</v>
      </c>
      <c r="E870" s="9" t="b">
        <f t="shared" si="3"/>
        <v>1</v>
      </c>
    </row>
    <row r="871" spans="1:5" x14ac:dyDescent="0.2">
      <c r="A871" s="10">
        <v>33086</v>
      </c>
      <c r="B871" s="11">
        <v>66.143699999999995</v>
      </c>
      <c r="D871" s="9">
        <f>'1'!M201</f>
        <v>66.143699999999995</v>
      </c>
      <c r="E871" s="9" t="b">
        <f t="shared" si="3"/>
        <v>1</v>
      </c>
    </row>
    <row r="872" spans="1:5" x14ac:dyDescent="0.2">
      <c r="A872" s="10">
        <v>33117</v>
      </c>
      <c r="B872" s="11">
        <v>66.628399999999999</v>
      </c>
      <c r="D872" s="9">
        <f>'1'!M202</f>
        <v>66.628399999999999</v>
      </c>
      <c r="E872" s="9" t="b">
        <f t="shared" si="3"/>
        <v>1</v>
      </c>
    </row>
    <row r="873" spans="1:5" x14ac:dyDescent="0.2">
      <c r="A873" s="10">
        <v>33147</v>
      </c>
      <c r="B873" s="11">
        <v>65.686599999999999</v>
      </c>
      <c r="D873" s="9">
        <f>'1'!M203</f>
        <v>65.686599999999999</v>
      </c>
      <c r="E873" s="9" t="b">
        <f t="shared" si="3"/>
        <v>1</v>
      </c>
    </row>
    <row r="874" spans="1:5" x14ac:dyDescent="0.2">
      <c r="A874" s="10">
        <v>33178</v>
      </c>
      <c r="B874" s="11">
        <v>63.977600000000002</v>
      </c>
      <c r="D874" s="9">
        <f>'1'!M204</f>
        <v>63.977600000000002</v>
      </c>
      <c r="E874" s="9" t="b">
        <f t="shared" si="3"/>
        <v>1</v>
      </c>
    </row>
    <row r="875" spans="1:5" x14ac:dyDescent="0.2">
      <c r="A875" s="10">
        <v>33208</v>
      </c>
      <c r="B875" s="11">
        <v>63.084699999999998</v>
      </c>
      <c r="D875" s="9">
        <f>'1'!M205</f>
        <v>63.084699999999998</v>
      </c>
      <c r="E875" s="9" t="b">
        <f t="shared" si="3"/>
        <v>1</v>
      </c>
    </row>
    <row r="876" spans="1:5" x14ac:dyDescent="0.2">
      <c r="A876" s="10">
        <v>33239</v>
      </c>
      <c r="B876" s="11">
        <v>63.376300000000001</v>
      </c>
      <c r="D876" s="9">
        <f>'1'!M206</f>
        <v>63.376300000000001</v>
      </c>
      <c r="E876" s="9" t="b">
        <f t="shared" si="3"/>
        <v>1</v>
      </c>
    </row>
    <row r="877" spans="1:5" x14ac:dyDescent="0.2">
      <c r="A877" s="10">
        <v>33270</v>
      </c>
      <c r="B877" s="11">
        <v>63.129399999999997</v>
      </c>
      <c r="D877" s="9">
        <f>'1'!M207</f>
        <v>63.129399999999997</v>
      </c>
      <c r="E877" s="9" t="b">
        <f t="shared" si="3"/>
        <v>1</v>
      </c>
    </row>
    <row r="878" spans="1:5" x14ac:dyDescent="0.2">
      <c r="A878" s="10">
        <v>33298</v>
      </c>
      <c r="B878" s="11">
        <v>62.412799999999997</v>
      </c>
      <c r="D878" s="9">
        <f>'1'!M208</f>
        <v>62.412799999999997</v>
      </c>
      <c r="E878" s="9" t="b">
        <f t="shared" si="3"/>
        <v>1</v>
      </c>
    </row>
    <row r="879" spans="1:5" x14ac:dyDescent="0.2">
      <c r="A879" s="10">
        <v>33329</v>
      </c>
      <c r="B879" s="11">
        <v>62.413800000000002</v>
      </c>
      <c r="D879" s="9">
        <f>'1'!M209</f>
        <v>62.413800000000002</v>
      </c>
      <c r="E879" s="9" t="b">
        <f t="shared" si="3"/>
        <v>1</v>
      </c>
    </row>
    <row r="880" spans="1:5" x14ac:dyDescent="0.2">
      <c r="A880" s="10">
        <v>33359</v>
      </c>
      <c r="B880" s="11">
        <v>62.825499999999998</v>
      </c>
      <c r="D880" s="9">
        <f>'1'!M210</f>
        <v>62.825499999999998</v>
      </c>
      <c r="E880" s="9" t="b">
        <f t="shared" si="3"/>
        <v>1</v>
      </c>
    </row>
    <row r="881" spans="1:5" x14ac:dyDescent="0.2">
      <c r="A881" s="10">
        <v>33390</v>
      </c>
      <c r="B881" s="11">
        <v>65.195499999999996</v>
      </c>
      <c r="D881" s="9">
        <f>'1'!M211</f>
        <v>65.195499999999996</v>
      </c>
      <c r="E881" s="9" t="b">
        <f t="shared" si="3"/>
        <v>1</v>
      </c>
    </row>
    <row r="882" spans="1:5" x14ac:dyDescent="0.2">
      <c r="A882" s="10">
        <v>33420</v>
      </c>
      <c r="B882" s="11">
        <v>62.862200000000001</v>
      </c>
      <c r="D882" s="9">
        <f>'1'!M212</f>
        <v>62.862200000000001</v>
      </c>
      <c r="E882" s="9" t="b">
        <f t="shared" si="3"/>
        <v>1</v>
      </c>
    </row>
    <row r="883" spans="1:5" x14ac:dyDescent="0.2">
      <c r="A883" s="10">
        <v>33451</v>
      </c>
      <c r="B883" s="11">
        <v>65.123500000000007</v>
      </c>
      <c r="D883" s="9">
        <f>'1'!M213</f>
        <v>65.123500000000007</v>
      </c>
      <c r="E883" s="9" t="b">
        <f t="shared" si="3"/>
        <v>1</v>
      </c>
    </row>
    <row r="884" spans="1:5" x14ac:dyDescent="0.2">
      <c r="A884" s="10">
        <v>33482</v>
      </c>
      <c r="B884" s="11">
        <v>65.803399999999996</v>
      </c>
      <c r="D884" s="9">
        <f>'1'!M214</f>
        <v>65.803399999999996</v>
      </c>
      <c r="E884" s="9" t="b">
        <f t="shared" si="3"/>
        <v>1</v>
      </c>
    </row>
    <row r="885" spans="1:5" x14ac:dyDescent="0.2">
      <c r="A885" s="10">
        <v>33512</v>
      </c>
      <c r="B885" s="11">
        <v>65.3125</v>
      </c>
      <c r="D885" s="9">
        <f>'1'!M215</f>
        <v>65.3125</v>
      </c>
      <c r="E885" s="9" t="b">
        <f t="shared" si="3"/>
        <v>1</v>
      </c>
    </row>
    <row r="886" spans="1:5" x14ac:dyDescent="0.2">
      <c r="A886" s="10">
        <v>33543</v>
      </c>
      <c r="B886" s="11">
        <v>64.176500000000004</v>
      </c>
      <c r="D886" s="9">
        <f>'1'!M216</f>
        <v>64.176500000000004</v>
      </c>
      <c r="E886" s="9" t="b">
        <f t="shared" si="3"/>
        <v>1</v>
      </c>
    </row>
    <row r="887" spans="1:5" x14ac:dyDescent="0.2">
      <c r="A887" s="10">
        <v>33573</v>
      </c>
      <c r="B887" s="11">
        <v>63.324800000000003</v>
      </c>
      <c r="D887" s="9">
        <f>'1'!M217</f>
        <v>63.324800000000003</v>
      </c>
      <c r="E887" s="9" t="b">
        <f t="shared" si="3"/>
        <v>1</v>
      </c>
    </row>
    <row r="888" spans="1:5" x14ac:dyDescent="0.2">
      <c r="A888" s="10">
        <v>33604</v>
      </c>
      <c r="B888" s="11">
        <v>63.555199999999999</v>
      </c>
      <c r="D888" s="9">
        <f>'1'!M218</f>
        <v>63.555199999999999</v>
      </c>
      <c r="E888" s="9" t="b">
        <f t="shared" si="3"/>
        <v>1</v>
      </c>
    </row>
    <row r="889" spans="1:5" x14ac:dyDescent="0.2">
      <c r="A889" s="10">
        <v>33635</v>
      </c>
      <c r="B889" s="11">
        <v>64.444900000000004</v>
      </c>
      <c r="D889" s="9">
        <f>'1'!M219</f>
        <v>64.444900000000004</v>
      </c>
      <c r="E889" s="9" t="b">
        <f t="shared" si="3"/>
        <v>1</v>
      </c>
    </row>
    <row r="890" spans="1:5" x14ac:dyDescent="0.2">
      <c r="A890" s="10">
        <v>33664</v>
      </c>
      <c r="B890" s="11">
        <v>65.131299999999996</v>
      </c>
      <c r="D890" s="9">
        <f>'1'!M220</f>
        <v>65.131299999999996</v>
      </c>
      <c r="E890" s="9" t="b">
        <f t="shared" si="3"/>
        <v>1</v>
      </c>
    </row>
    <row r="891" spans="1:5" x14ac:dyDescent="0.2">
      <c r="A891" s="10">
        <v>33695</v>
      </c>
      <c r="B891" s="11">
        <v>64.429500000000004</v>
      </c>
      <c r="D891" s="9">
        <f>'1'!M221</f>
        <v>64.429500000000004</v>
      </c>
      <c r="E891" s="9" t="b">
        <f t="shared" si="3"/>
        <v>1</v>
      </c>
    </row>
    <row r="892" spans="1:5" x14ac:dyDescent="0.2">
      <c r="A892" s="10">
        <v>33725</v>
      </c>
      <c r="B892" s="11">
        <v>64.941800000000001</v>
      </c>
      <c r="D892" s="9">
        <f>'1'!M222</f>
        <v>64.941800000000001</v>
      </c>
      <c r="E892" s="9" t="b">
        <f t="shared" si="3"/>
        <v>1</v>
      </c>
    </row>
    <row r="893" spans="1:5" x14ac:dyDescent="0.2">
      <c r="A893" s="10">
        <v>33756</v>
      </c>
      <c r="B893" s="11">
        <v>66.739900000000006</v>
      </c>
      <c r="D893" s="9">
        <f>'1'!M223</f>
        <v>66.739900000000006</v>
      </c>
      <c r="E893" s="9" t="b">
        <f t="shared" si="3"/>
        <v>1</v>
      </c>
    </row>
    <row r="894" spans="1:5" x14ac:dyDescent="0.2">
      <c r="A894" s="10">
        <v>33786</v>
      </c>
      <c r="B894" s="11">
        <v>64.691699999999997</v>
      </c>
      <c r="D894" s="9">
        <f>'1'!M224</f>
        <v>64.691699999999997</v>
      </c>
      <c r="E894" s="9" t="b">
        <f t="shared" si="3"/>
        <v>1</v>
      </c>
    </row>
    <row r="895" spans="1:5" x14ac:dyDescent="0.2">
      <c r="A895" s="10">
        <v>33817</v>
      </c>
      <c r="B895" s="11">
        <v>66.764799999999994</v>
      </c>
      <c r="D895" s="9">
        <f>'1'!M225</f>
        <v>66.764799999999994</v>
      </c>
      <c r="E895" s="9" t="b">
        <f t="shared" si="3"/>
        <v>1</v>
      </c>
    </row>
    <row r="896" spans="1:5" x14ac:dyDescent="0.2">
      <c r="A896" s="10">
        <v>33848</v>
      </c>
      <c r="B896" s="11">
        <v>66.951400000000007</v>
      </c>
      <c r="D896" s="9">
        <f>'1'!M226</f>
        <v>66.951400000000007</v>
      </c>
      <c r="E896" s="9" t="b">
        <f t="shared" si="3"/>
        <v>1</v>
      </c>
    </row>
    <row r="897" spans="1:5" x14ac:dyDescent="0.2">
      <c r="A897" s="10">
        <v>33878</v>
      </c>
      <c r="B897" s="11">
        <v>67.2483</v>
      </c>
      <c r="D897" s="9">
        <f>'1'!M227</f>
        <v>67.2483</v>
      </c>
      <c r="E897" s="9" t="b">
        <f t="shared" si="3"/>
        <v>1</v>
      </c>
    </row>
    <row r="898" spans="1:5" x14ac:dyDescent="0.2">
      <c r="A898" s="10">
        <v>33909</v>
      </c>
      <c r="B898" s="11">
        <v>66.735500000000002</v>
      </c>
      <c r="D898" s="9">
        <f>'1'!M228</f>
        <v>66.735500000000002</v>
      </c>
      <c r="E898" s="9" t="b">
        <f t="shared" si="3"/>
        <v>1</v>
      </c>
    </row>
    <row r="899" spans="1:5" x14ac:dyDescent="0.2">
      <c r="A899" s="10">
        <v>33939</v>
      </c>
      <c r="B899" s="11">
        <v>66.328900000000004</v>
      </c>
      <c r="D899" s="9">
        <f>'1'!M229</f>
        <v>66.328900000000004</v>
      </c>
      <c r="E899" s="9" t="b">
        <f t="shared" si="3"/>
        <v>1</v>
      </c>
    </row>
    <row r="900" spans="1:5" x14ac:dyDescent="0.2">
      <c r="A900" s="10">
        <v>33970</v>
      </c>
      <c r="B900" s="11">
        <v>66.668099999999995</v>
      </c>
      <c r="D900" s="9">
        <f>'1'!M230</f>
        <v>66.668099999999995</v>
      </c>
      <c r="E900" s="9" t="b">
        <f t="shared" si="3"/>
        <v>1</v>
      </c>
    </row>
    <row r="901" spans="1:5" x14ac:dyDescent="0.2">
      <c r="A901" s="10">
        <v>34001</v>
      </c>
      <c r="B901" s="11">
        <v>67.633399999999995</v>
      </c>
      <c r="D901" s="9">
        <f>'1'!M231</f>
        <v>67.633399999999995</v>
      </c>
      <c r="E901" s="9" t="b">
        <f t="shared" si="3"/>
        <v>1</v>
      </c>
    </row>
    <row r="902" spans="1:5" x14ac:dyDescent="0.2">
      <c r="A902" s="10">
        <v>34029</v>
      </c>
      <c r="B902" s="11">
        <v>67.6601</v>
      </c>
      <c r="D902" s="9">
        <f>'1'!M232</f>
        <v>67.6601</v>
      </c>
      <c r="E902" s="9" t="b">
        <f t="shared" si="3"/>
        <v>1</v>
      </c>
    </row>
    <row r="903" spans="1:5" x14ac:dyDescent="0.2">
      <c r="A903" s="10">
        <v>34060</v>
      </c>
      <c r="B903" s="11">
        <v>66.626499999999993</v>
      </c>
      <c r="D903" s="9">
        <f>'1'!M233</f>
        <v>66.626499999999993</v>
      </c>
      <c r="E903" s="9" t="b">
        <f t="shared" si="3"/>
        <v>1</v>
      </c>
    </row>
    <row r="904" spans="1:5" x14ac:dyDescent="0.2">
      <c r="A904" s="10">
        <v>34090</v>
      </c>
      <c r="B904" s="11">
        <v>66.659000000000006</v>
      </c>
      <c r="D904" s="9">
        <f>'1'!M234</f>
        <v>66.659000000000006</v>
      </c>
      <c r="E904" s="9" t="b">
        <f t="shared" si="3"/>
        <v>1</v>
      </c>
    </row>
    <row r="905" spans="1:5" x14ac:dyDescent="0.2">
      <c r="A905" s="10">
        <v>34121</v>
      </c>
      <c r="B905" s="11">
        <v>68.622100000000003</v>
      </c>
      <c r="D905" s="9">
        <f>'1'!M235</f>
        <v>68.622100000000003</v>
      </c>
      <c r="E905" s="9" t="b">
        <f t="shared" si="3"/>
        <v>1</v>
      </c>
    </row>
    <row r="906" spans="1:5" x14ac:dyDescent="0.2">
      <c r="A906" s="10">
        <v>34151</v>
      </c>
      <c r="B906" s="11">
        <v>66.290599999999998</v>
      </c>
      <c r="D906" s="9">
        <f>'1'!M236</f>
        <v>66.290599999999998</v>
      </c>
      <c r="E906" s="9" t="b">
        <f t="shared" si="3"/>
        <v>1</v>
      </c>
    </row>
    <row r="907" spans="1:5" x14ac:dyDescent="0.2">
      <c r="A907" s="10">
        <v>34182</v>
      </c>
      <c r="B907" s="11">
        <v>68.603399999999993</v>
      </c>
      <c r="D907" s="9">
        <f>'1'!M237</f>
        <v>68.603399999999993</v>
      </c>
      <c r="E907" s="9" t="b">
        <f t="shared" si="3"/>
        <v>1</v>
      </c>
    </row>
    <row r="908" spans="1:5" x14ac:dyDescent="0.2">
      <c r="A908" s="10">
        <v>34213</v>
      </c>
      <c r="B908" s="11">
        <v>68.933599999999998</v>
      </c>
      <c r="D908" s="9">
        <f>'1'!M238</f>
        <v>68.933599999999998</v>
      </c>
      <c r="E908" s="9" t="b">
        <f t="shared" si="3"/>
        <v>1</v>
      </c>
    </row>
    <row r="909" spans="1:5" x14ac:dyDescent="0.2">
      <c r="A909" s="10">
        <v>34243</v>
      </c>
      <c r="B909" s="11">
        <v>69.089299999999994</v>
      </c>
      <c r="D909" s="9">
        <f>'1'!M239</f>
        <v>69.089299999999994</v>
      </c>
      <c r="E909" s="9" t="b">
        <f t="shared" si="3"/>
        <v>1</v>
      </c>
    </row>
    <row r="910" spans="1:5" x14ac:dyDescent="0.2">
      <c r="A910" s="10">
        <v>34274</v>
      </c>
      <c r="B910" s="11">
        <v>68.610299999999995</v>
      </c>
      <c r="D910" s="9">
        <f>'1'!M240</f>
        <v>68.610299999999995</v>
      </c>
      <c r="E910" s="9" t="b">
        <f t="shared" si="3"/>
        <v>1</v>
      </c>
    </row>
    <row r="911" spans="1:5" x14ac:dyDescent="0.2">
      <c r="A911" s="10">
        <v>34304</v>
      </c>
      <c r="B911" s="11">
        <v>68.372500000000002</v>
      </c>
      <c r="D911" s="9">
        <f>'1'!M241</f>
        <v>68.372500000000002</v>
      </c>
      <c r="E911" s="9" t="b">
        <f t="shared" si="3"/>
        <v>1</v>
      </c>
    </row>
    <row r="912" spans="1:5" x14ac:dyDescent="0.2">
      <c r="A912" s="10">
        <v>34335</v>
      </c>
      <c r="B912" s="11">
        <v>68.945300000000003</v>
      </c>
      <c r="D912" s="9">
        <f>'1'!M242</f>
        <v>68.945300000000003</v>
      </c>
      <c r="E912" s="9" t="b">
        <f t="shared" si="3"/>
        <v>1</v>
      </c>
    </row>
    <row r="913" spans="1:5" x14ac:dyDescent="0.2">
      <c r="A913" s="10">
        <v>34366</v>
      </c>
      <c r="B913" s="11">
        <v>69.530199999999994</v>
      </c>
      <c r="D913" s="9">
        <f>'1'!M243</f>
        <v>69.530199999999994</v>
      </c>
      <c r="E913" s="9" t="b">
        <f t="shared" si="3"/>
        <v>1</v>
      </c>
    </row>
    <row r="914" spans="1:5" x14ac:dyDescent="0.2">
      <c r="A914" s="10">
        <v>34394</v>
      </c>
      <c r="B914" s="11">
        <v>70.371899999999997</v>
      </c>
      <c r="D914" s="9">
        <f>'1'!M244</f>
        <v>70.371899999999997</v>
      </c>
      <c r="E914" s="9" t="b">
        <f t="shared" si="3"/>
        <v>1</v>
      </c>
    </row>
    <row r="915" spans="1:5" x14ac:dyDescent="0.2">
      <c r="A915" s="10">
        <v>34425</v>
      </c>
      <c r="B915" s="11">
        <v>69.565100000000001</v>
      </c>
      <c r="D915" s="9">
        <f>'1'!M245</f>
        <v>69.565100000000001</v>
      </c>
      <c r="E915" s="9" t="b">
        <f t="shared" si="3"/>
        <v>1</v>
      </c>
    </row>
    <row r="916" spans="1:5" x14ac:dyDescent="0.2">
      <c r="A916" s="10">
        <v>34455</v>
      </c>
      <c r="B916" s="11">
        <v>70.033199999999994</v>
      </c>
      <c r="D916" s="9">
        <f>'1'!M246</f>
        <v>70.033199999999994</v>
      </c>
      <c r="E916" s="9" t="b">
        <f t="shared" si="3"/>
        <v>1</v>
      </c>
    </row>
    <row r="917" spans="1:5" x14ac:dyDescent="0.2">
      <c r="A917" s="10">
        <v>34486</v>
      </c>
      <c r="B917" s="11">
        <v>72.504900000000006</v>
      </c>
      <c r="D917" s="9">
        <f>'1'!M247</f>
        <v>72.504900000000006</v>
      </c>
      <c r="E917" s="9" t="b">
        <f t="shared" si="3"/>
        <v>1</v>
      </c>
    </row>
    <row r="918" spans="1:5" x14ac:dyDescent="0.2">
      <c r="A918" s="10">
        <v>34516</v>
      </c>
      <c r="B918" s="11">
        <v>69.581999999999994</v>
      </c>
      <c r="D918" s="9">
        <f>'1'!M248</f>
        <v>69.581999999999994</v>
      </c>
      <c r="E918" s="9" t="b">
        <f t="shared" si="3"/>
        <v>1</v>
      </c>
    </row>
    <row r="919" spans="1:5" x14ac:dyDescent="0.2">
      <c r="A919" s="10">
        <v>34547</v>
      </c>
      <c r="B919" s="11">
        <v>72.782700000000006</v>
      </c>
      <c r="D919" s="9">
        <f>'1'!M249</f>
        <v>72.782700000000006</v>
      </c>
      <c r="E919" s="9" t="b">
        <f t="shared" si="3"/>
        <v>1</v>
      </c>
    </row>
    <row r="920" spans="1:5" x14ac:dyDescent="0.2">
      <c r="A920" s="10">
        <v>34578</v>
      </c>
      <c r="B920" s="11">
        <v>73.375200000000007</v>
      </c>
      <c r="D920" s="9">
        <f>'1'!M250</f>
        <v>73.375200000000007</v>
      </c>
      <c r="E920" s="9" t="b">
        <f t="shared" si="3"/>
        <v>1</v>
      </c>
    </row>
    <row r="921" spans="1:5" x14ac:dyDescent="0.2">
      <c r="A921" s="10">
        <v>34608</v>
      </c>
      <c r="B921" s="11">
        <v>73.3977</v>
      </c>
      <c r="D921" s="9">
        <f>'1'!M251</f>
        <v>73.3977</v>
      </c>
      <c r="E921" s="9" t="b">
        <f t="shared" si="3"/>
        <v>1</v>
      </c>
    </row>
    <row r="922" spans="1:5" x14ac:dyDescent="0.2">
      <c r="A922" s="10">
        <v>34639</v>
      </c>
      <c r="B922" s="11">
        <v>73.036900000000003</v>
      </c>
      <c r="D922" s="9">
        <f>'1'!M252</f>
        <v>73.036900000000003</v>
      </c>
      <c r="E922" s="9" t="b">
        <f t="shared" si="3"/>
        <v>1</v>
      </c>
    </row>
    <row r="923" spans="1:5" x14ac:dyDescent="0.2">
      <c r="A923" s="10">
        <v>34669</v>
      </c>
      <c r="B923" s="11">
        <v>73.175600000000003</v>
      </c>
      <c r="D923" s="9">
        <f>'1'!M253</f>
        <v>73.175600000000003</v>
      </c>
      <c r="E923" s="9" t="b">
        <f t="shared" si="3"/>
        <v>1</v>
      </c>
    </row>
    <row r="924" spans="1:5" x14ac:dyDescent="0.2">
      <c r="A924" s="10">
        <v>34700</v>
      </c>
      <c r="B924" s="11">
        <v>73.3322</v>
      </c>
      <c r="D924" s="9">
        <f>'1'!M254</f>
        <v>73.3322</v>
      </c>
      <c r="E924" s="9" t="b">
        <f t="shared" si="3"/>
        <v>1</v>
      </c>
    </row>
    <row r="925" spans="1:5" x14ac:dyDescent="0.2">
      <c r="A925" s="10">
        <v>34731</v>
      </c>
      <c r="B925" s="11">
        <v>74.106700000000004</v>
      </c>
      <c r="D925" s="9">
        <f>'1'!M255</f>
        <v>74.106700000000004</v>
      </c>
      <c r="E925" s="9" t="b">
        <f t="shared" si="3"/>
        <v>1</v>
      </c>
    </row>
    <row r="926" spans="1:5" x14ac:dyDescent="0.2">
      <c r="A926" s="10">
        <v>34759</v>
      </c>
      <c r="B926" s="11">
        <v>74.580500000000001</v>
      </c>
      <c r="D926" s="9">
        <f>'1'!M256</f>
        <v>74.580500000000001</v>
      </c>
      <c r="E926" s="9" t="b">
        <f t="shared" si="3"/>
        <v>1</v>
      </c>
    </row>
    <row r="927" spans="1:5" x14ac:dyDescent="0.2">
      <c r="A927" s="10">
        <v>34790</v>
      </c>
      <c r="B927" s="11">
        <v>72.598799999999997</v>
      </c>
      <c r="D927" s="9">
        <f>'1'!M257</f>
        <v>72.598799999999997</v>
      </c>
      <c r="E927" s="9" t="b">
        <f t="shared" si="3"/>
        <v>1</v>
      </c>
    </row>
    <row r="928" spans="1:5" x14ac:dyDescent="0.2">
      <c r="A928" s="10">
        <v>34820</v>
      </c>
      <c r="B928" s="11">
        <v>73.269099999999995</v>
      </c>
      <c r="D928" s="9">
        <f>'1'!M258</f>
        <v>73.269099999999995</v>
      </c>
      <c r="E928" s="9" t="b">
        <f t="shared" si="3"/>
        <v>1</v>
      </c>
    </row>
    <row r="929" spans="1:5" x14ac:dyDescent="0.2">
      <c r="A929" s="10">
        <v>34851</v>
      </c>
      <c r="B929" s="11">
        <v>75.869399999999999</v>
      </c>
      <c r="D929" s="9">
        <f>'1'!M259</f>
        <v>75.869399999999999</v>
      </c>
      <c r="E929" s="9" t="b">
        <f t="shared" ref="E929:E992" si="4">EXACT(B929,D929)</f>
        <v>1</v>
      </c>
    </row>
    <row r="930" spans="1:5" x14ac:dyDescent="0.2">
      <c r="A930" s="10">
        <v>34881</v>
      </c>
      <c r="B930" s="11">
        <v>72.534999999999997</v>
      </c>
      <c r="D930" s="9">
        <f>'1'!M260</f>
        <v>72.534999999999997</v>
      </c>
      <c r="E930" s="9" t="b">
        <f t="shared" si="4"/>
        <v>1</v>
      </c>
    </row>
    <row r="931" spans="1:5" x14ac:dyDescent="0.2">
      <c r="A931" s="10">
        <v>34912</v>
      </c>
      <c r="B931" s="11">
        <v>76.267399999999995</v>
      </c>
      <c r="D931" s="9">
        <f>'1'!M261</f>
        <v>76.267399999999995</v>
      </c>
      <c r="E931" s="9" t="b">
        <f t="shared" si="4"/>
        <v>1</v>
      </c>
    </row>
    <row r="932" spans="1:5" x14ac:dyDescent="0.2">
      <c r="A932" s="10">
        <v>34943</v>
      </c>
      <c r="B932" s="11">
        <v>76.952299999999994</v>
      </c>
      <c r="D932" s="9">
        <f>'1'!M262</f>
        <v>76.952299999999994</v>
      </c>
      <c r="E932" s="9" t="b">
        <f t="shared" si="4"/>
        <v>1</v>
      </c>
    </row>
    <row r="933" spans="1:5" x14ac:dyDescent="0.2">
      <c r="A933" s="10">
        <v>34973</v>
      </c>
      <c r="B933" s="11">
        <v>75.983000000000004</v>
      </c>
      <c r="D933" s="9">
        <f>'1'!M263</f>
        <v>75.983000000000004</v>
      </c>
      <c r="E933" s="9" t="b">
        <f t="shared" si="4"/>
        <v>1</v>
      </c>
    </row>
    <row r="934" spans="1:5" x14ac:dyDescent="0.2">
      <c r="A934" s="10">
        <v>35004</v>
      </c>
      <c r="B934" s="11">
        <v>75.396199999999993</v>
      </c>
      <c r="D934" s="9">
        <f>'1'!M264</f>
        <v>75.396199999999993</v>
      </c>
      <c r="E934" s="9" t="b">
        <f t="shared" si="4"/>
        <v>1</v>
      </c>
    </row>
    <row r="935" spans="1:5" x14ac:dyDescent="0.2">
      <c r="A935" s="10">
        <v>35034</v>
      </c>
      <c r="B935" s="11">
        <v>75.235799999999998</v>
      </c>
      <c r="D935" s="9">
        <f>'1'!M265</f>
        <v>75.235799999999998</v>
      </c>
      <c r="E935" s="9" t="b">
        <f t="shared" si="4"/>
        <v>1</v>
      </c>
    </row>
    <row r="936" spans="1:5" x14ac:dyDescent="0.2">
      <c r="A936" s="10">
        <v>35065</v>
      </c>
      <c r="B936" s="11">
        <v>74.680300000000003</v>
      </c>
      <c r="D936" s="9">
        <f>'1'!M266</f>
        <v>74.680300000000003</v>
      </c>
      <c r="E936" s="9" t="b">
        <f t="shared" si="4"/>
        <v>1</v>
      </c>
    </row>
    <row r="937" spans="1:5" x14ac:dyDescent="0.2">
      <c r="A937" s="10">
        <v>35096</v>
      </c>
      <c r="B937" s="11">
        <v>76.506399999999999</v>
      </c>
      <c r="D937" s="9">
        <f>'1'!M267</f>
        <v>76.506399999999999</v>
      </c>
      <c r="E937" s="9" t="b">
        <f t="shared" si="4"/>
        <v>1</v>
      </c>
    </row>
    <row r="938" spans="1:5" x14ac:dyDescent="0.2">
      <c r="A938" s="10">
        <v>35125</v>
      </c>
      <c r="B938" s="11">
        <v>76.899799999999999</v>
      </c>
      <c r="D938" s="9">
        <f>'1'!M268</f>
        <v>76.899799999999999</v>
      </c>
      <c r="E938" s="9" t="b">
        <f t="shared" si="4"/>
        <v>1</v>
      </c>
    </row>
    <row r="939" spans="1:5" x14ac:dyDescent="0.2">
      <c r="A939" s="10">
        <v>35156</v>
      </c>
      <c r="B939" s="11">
        <v>75.8964</v>
      </c>
      <c r="D939" s="9">
        <f>'1'!M269</f>
        <v>75.8964</v>
      </c>
      <c r="E939" s="9" t="b">
        <f t="shared" si="4"/>
        <v>1</v>
      </c>
    </row>
    <row r="940" spans="1:5" x14ac:dyDescent="0.2">
      <c r="A940" s="10">
        <v>35186</v>
      </c>
      <c r="B940" s="11">
        <v>76.554000000000002</v>
      </c>
      <c r="D940" s="9">
        <f>'1'!M270</f>
        <v>76.554000000000002</v>
      </c>
      <c r="E940" s="9" t="b">
        <f t="shared" si="4"/>
        <v>1</v>
      </c>
    </row>
    <row r="941" spans="1:5" x14ac:dyDescent="0.2">
      <c r="A941" s="10">
        <v>35217</v>
      </c>
      <c r="B941" s="11">
        <v>79.692099999999996</v>
      </c>
      <c r="D941" s="9">
        <f>'1'!M271</f>
        <v>79.692099999999996</v>
      </c>
      <c r="E941" s="9" t="b">
        <f t="shared" si="4"/>
        <v>1</v>
      </c>
    </row>
    <row r="942" spans="1:5" x14ac:dyDescent="0.2">
      <c r="A942" s="10">
        <v>35247</v>
      </c>
      <c r="B942" s="11">
        <v>76.225800000000007</v>
      </c>
      <c r="D942" s="9">
        <f>'1'!M272</f>
        <v>76.225800000000007</v>
      </c>
      <c r="E942" s="9" t="b">
        <f t="shared" si="4"/>
        <v>1</v>
      </c>
    </row>
    <row r="943" spans="1:5" x14ac:dyDescent="0.2">
      <c r="A943" s="10">
        <v>35278</v>
      </c>
      <c r="B943" s="11">
        <v>79.870199999999997</v>
      </c>
      <c r="D943" s="9">
        <f>'1'!M273</f>
        <v>79.870199999999997</v>
      </c>
      <c r="E943" s="9" t="b">
        <f t="shared" si="4"/>
        <v>1</v>
      </c>
    </row>
    <row r="944" spans="1:5" x14ac:dyDescent="0.2">
      <c r="A944" s="10">
        <v>35309</v>
      </c>
      <c r="B944" s="11">
        <v>80.947500000000005</v>
      </c>
      <c r="D944" s="9">
        <f>'1'!M274</f>
        <v>80.947500000000005</v>
      </c>
      <c r="E944" s="9" t="b">
        <f t="shared" si="4"/>
        <v>1</v>
      </c>
    </row>
    <row r="945" spans="1:5" x14ac:dyDescent="0.2">
      <c r="A945" s="10">
        <v>35339</v>
      </c>
      <c r="B945" s="11">
        <v>79.9619</v>
      </c>
      <c r="D945" s="9">
        <f>'1'!M275</f>
        <v>79.9619</v>
      </c>
      <c r="E945" s="9" t="b">
        <f t="shared" si="4"/>
        <v>1</v>
      </c>
    </row>
    <row r="946" spans="1:5" x14ac:dyDescent="0.2">
      <c r="A946" s="10">
        <v>35370</v>
      </c>
      <c r="B946" s="11">
        <v>79.871700000000004</v>
      </c>
      <c r="D946" s="9">
        <f>'1'!M276</f>
        <v>79.871700000000004</v>
      </c>
      <c r="E946" s="9" t="b">
        <f t="shared" si="4"/>
        <v>1</v>
      </c>
    </row>
    <row r="947" spans="1:5" x14ac:dyDescent="0.2">
      <c r="A947" s="10">
        <v>35400</v>
      </c>
      <c r="B947" s="11">
        <v>79.697199999999995</v>
      </c>
      <c r="D947" s="9">
        <f>'1'!M277</f>
        <v>79.697199999999995</v>
      </c>
      <c r="E947" s="9" t="b">
        <f t="shared" si="4"/>
        <v>1</v>
      </c>
    </row>
    <row r="948" spans="1:5" x14ac:dyDescent="0.2">
      <c r="A948" s="10">
        <v>35431</v>
      </c>
      <c r="B948" s="11">
        <v>79.762299999999996</v>
      </c>
      <c r="D948" s="9">
        <f>'1'!M278</f>
        <v>79.762299999999996</v>
      </c>
      <c r="E948" s="9" t="b">
        <f t="shared" si="4"/>
        <v>1</v>
      </c>
    </row>
    <row r="949" spans="1:5" x14ac:dyDescent="0.2">
      <c r="A949" s="10">
        <v>35462</v>
      </c>
      <c r="B949" s="11">
        <v>81.440700000000007</v>
      </c>
      <c r="D949" s="9">
        <f>'1'!M279</f>
        <v>81.440700000000007</v>
      </c>
      <c r="E949" s="9" t="b">
        <f t="shared" si="4"/>
        <v>1</v>
      </c>
    </row>
    <row r="950" spans="1:5" x14ac:dyDescent="0.2">
      <c r="A950" s="10">
        <v>35490</v>
      </c>
      <c r="B950" s="11">
        <v>82.321100000000001</v>
      </c>
      <c r="D950" s="9">
        <f>'1'!M280</f>
        <v>82.321100000000001</v>
      </c>
      <c r="E950" s="9" t="b">
        <f t="shared" si="4"/>
        <v>1</v>
      </c>
    </row>
    <row r="951" spans="1:5" x14ac:dyDescent="0.2">
      <c r="A951" s="10">
        <v>35521</v>
      </c>
      <c r="B951" s="11">
        <v>81.412300000000002</v>
      </c>
      <c r="D951" s="9">
        <f>'1'!M281</f>
        <v>81.412300000000002</v>
      </c>
      <c r="E951" s="9" t="b">
        <f t="shared" si="4"/>
        <v>1</v>
      </c>
    </row>
    <row r="952" spans="1:5" x14ac:dyDescent="0.2">
      <c r="A952" s="10">
        <v>35551</v>
      </c>
      <c r="B952" s="11">
        <v>81.5137</v>
      </c>
      <c r="D952" s="9">
        <f>'1'!M282</f>
        <v>81.5137</v>
      </c>
      <c r="E952" s="9" t="b">
        <f t="shared" si="4"/>
        <v>1</v>
      </c>
    </row>
    <row r="953" spans="1:5" x14ac:dyDescent="0.2">
      <c r="A953" s="10">
        <v>35582</v>
      </c>
      <c r="B953" s="11">
        <v>84.075999999999993</v>
      </c>
      <c r="D953" s="9">
        <f>'1'!M283</f>
        <v>84.075999999999993</v>
      </c>
      <c r="E953" s="9" t="b">
        <f t="shared" si="4"/>
        <v>1</v>
      </c>
    </row>
    <row r="954" spans="1:5" x14ac:dyDescent="0.2">
      <c r="A954" s="10">
        <v>35612</v>
      </c>
      <c r="B954" s="11">
        <v>80.716300000000004</v>
      </c>
      <c r="D954" s="9">
        <f>'1'!M284</f>
        <v>80.716300000000004</v>
      </c>
      <c r="E954" s="9" t="b">
        <f t="shared" si="4"/>
        <v>1</v>
      </c>
    </row>
    <row r="955" spans="1:5" x14ac:dyDescent="0.2">
      <c r="A955" s="10">
        <v>35643</v>
      </c>
      <c r="B955" s="11">
        <v>85.2607</v>
      </c>
      <c r="D955" s="9">
        <f>'1'!M285</f>
        <v>85.2607</v>
      </c>
      <c r="E955" s="9" t="b">
        <f t="shared" si="4"/>
        <v>1</v>
      </c>
    </row>
    <row r="956" spans="1:5" x14ac:dyDescent="0.2">
      <c r="A956" s="10">
        <v>35674</v>
      </c>
      <c r="B956" s="11">
        <v>86.751499999999993</v>
      </c>
      <c r="D956" s="9">
        <f>'1'!M286</f>
        <v>86.751499999999993</v>
      </c>
      <c r="E956" s="9" t="b">
        <f t="shared" si="4"/>
        <v>1</v>
      </c>
    </row>
    <row r="957" spans="1:5" x14ac:dyDescent="0.2">
      <c r="A957" s="10">
        <v>35704</v>
      </c>
      <c r="B957" s="11">
        <v>86.739800000000002</v>
      </c>
      <c r="D957" s="9">
        <f>'1'!M287</f>
        <v>86.739800000000002</v>
      </c>
      <c r="E957" s="9" t="b">
        <f t="shared" si="4"/>
        <v>1</v>
      </c>
    </row>
    <row r="958" spans="1:5" x14ac:dyDescent="0.2">
      <c r="A958" s="10">
        <v>35735</v>
      </c>
      <c r="B958" s="11">
        <v>87.084100000000007</v>
      </c>
      <c r="D958" s="9">
        <f>'1'!M288</f>
        <v>87.084100000000007</v>
      </c>
      <c r="E958" s="9" t="b">
        <f t="shared" si="4"/>
        <v>1</v>
      </c>
    </row>
    <row r="959" spans="1:5" x14ac:dyDescent="0.2">
      <c r="A959" s="10">
        <v>35765</v>
      </c>
      <c r="B959" s="11">
        <v>86.895099999999999</v>
      </c>
      <c r="D959" s="9">
        <f>'1'!M289</f>
        <v>86.895099999999999</v>
      </c>
      <c r="E959" s="9" t="b">
        <f t="shared" si="4"/>
        <v>1</v>
      </c>
    </row>
    <row r="960" spans="1:5" x14ac:dyDescent="0.2">
      <c r="A960" s="10">
        <v>35796</v>
      </c>
      <c r="B960" s="11">
        <v>86.482100000000003</v>
      </c>
      <c r="D960" s="9">
        <f>'1'!M290</f>
        <v>86.482100000000003</v>
      </c>
      <c r="E960" s="9" t="b">
        <f t="shared" si="4"/>
        <v>1</v>
      </c>
    </row>
    <row r="961" spans="1:5" x14ac:dyDescent="0.2">
      <c r="A961" s="10">
        <v>35827</v>
      </c>
      <c r="B961" s="11">
        <v>87.638099999999994</v>
      </c>
      <c r="D961" s="9">
        <f>'1'!M291</f>
        <v>87.638099999999994</v>
      </c>
      <c r="E961" s="9" t="b">
        <f t="shared" si="4"/>
        <v>1</v>
      </c>
    </row>
    <row r="962" spans="1:5" x14ac:dyDescent="0.2">
      <c r="A962" s="10">
        <v>35855</v>
      </c>
      <c r="B962" s="11">
        <v>88.436499999999995</v>
      </c>
      <c r="D962" s="9">
        <f>'1'!M292</f>
        <v>88.436499999999995</v>
      </c>
      <c r="E962" s="9" t="b">
        <f t="shared" si="4"/>
        <v>1</v>
      </c>
    </row>
    <row r="963" spans="1:5" x14ac:dyDescent="0.2">
      <c r="A963" s="10">
        <v>35886</v>
      </c>
      <c r="B963" s="11">
        <v>86.300799999999995</v>
      </c>
      <c r="D963" s="9">
        <f>'1'!M293</f>
        <v>86.300799999999995</v>
      </c>
      <c r="E963" s="9" t="b">
        <f t="shared" si="4"/>
        <v>1</v>
      </c>
    </row>
    <row r="964" spans="1:5" x14ac:dyDescent="0.2">
      <c r="A964" s="10">
        <v>35916</v>
      </c>
      <c r="B964" s="11">
        <v>87.599400000000003</v>
      </c>
      <c r="D964" s="9">
        <f>'1'!M294</f>
        <v>87.599400000000003</v>
      </c>
      <c r="E964" s="9" t="b">
        <f t="shared" si="4"/>
        <v>1</v>
      </c>
    </row>
    <row r="965" spans="1:5" x14ac:dyDescent="0.2">
      <c r="A965" s="10">
        <v>35947</v>
      </c>
      <c r="B965" s="11">
        <v>89.001900000000006</v>
      </c>
      <c r="D965" s="9">
        <f>'1'!M295</f>
        <v>89.001900000000006</v>
      </c>
      <c r="E965" s="9" t="b">
        <f t="shared" si="4"/>
        <v>1</v>
      </c>
    </row>
    <row r="966" spans="1:5" x14ac:dyDescent="0.2">
      <c r="A966" s="10">
        <v>35977</v>
      </c>
      <c r="B966" s="11">
        <v>85.706100000000006</v>
      </c>
      <c r="D966" s="9">
        <f>'1'!M296</f>
        <v>85.706100000000006</v>
      </c>
      <c r="E966" s="9" t="b">
        <f t="shared" si="4"/>
        <v>1</v>
      </c>
    </row>
    <row r="967" spans="1:5" x14ac:dyDescent="0.2">
      <c r="A967" s="10">
        <v>36008</v>
      </c>
      <c r="B967" s="11">
        <v>90.473399999999998</v>
      </c>
      <c r="D967" s="9">
        <f>'1'!M297</f>
        <v>90.473399999999998</v>
      </c>
      <c r="E967" s="9" t="b">
        <f t="shared" si="4"/>
        <v>1</v>
      </c>
    </row>
    <row r="968" spans="1:5" x14ac:dyDescent="0.2">
      <c r="A968" s="10">
        <v>36039</v>
      </c>
      <c r="B968" s="11">
        <v>90.215100000000007</v>
      </c>
      <c r="D968" s="9">
        <f>'1'!M298</f>
        <v>90.215100000000007</v>
      </c>
      <c r="E968" s="9" t="b">
        <f t="shared" si="4"/>
        <v>1</v>
      </c>
    </row>
    <row r="969" spans="1:5" x14ac:dyDescent="0.2">
      <c r="A969" s="10">
        <v>36069</v>
      </c>
      <c r="B969" s="11">
        <v>90.847499999999997</v>
      </c>
      <c r="D969" s="9">
        <f>'1'!M299</f>
        <v>90.847499999999997</v>
      </c>
      <c r="E969" s="9" t="b">
        <f t="shared" si="4"/>
        <v>1</v>
      </c>
    </row>
    <row r="970" spans="1:5" x14ac:dyDescent="0.2">
      <c r="A970" s="10">
        <v>36100</v>
      </c>
      <c r="B970" s="11">
        <v>89.981499999999997</v>
      </c>
      <c r="D970" s="9">
        <f>'1'!M300</f>
        <v>89.981499999999997</v>
      </c>
      <c r="E970" s="9" t="b">
        <f t="shared" si="4"/>
        <v>1</v>
      </c>
    </row>
    <row r="971" spans="1:5" x14ac:dyDescent="0.2">
      <c r="A971" s="10">
        <v>36130</v>
      </c>
      <c r="B971" s="11">
        <v>89.849400000000003</v>
      </c>
      <c r="D971" s="9">
        <f>'1'!M301</f>
        <v>89.849400000000003</v>
      </c>
      <c r="E971" s="9" t="b">
        <f t="shared" si="4"/>
        <v>1</v>
      </c>
    </row>
    <row r="972" spans="1:5" x14ac:dyDescent="0.2">
      <c r="A972" s="10">
        <v>36161</v>
      </c>
      <c r="B972" s="11">
        <v>89.878799999999998</v>
      </c>
      <c r="D972" s="9">
        <f>'1'!M302</f>
        <v>89.878799999999998</v>
      </c>
      <c r="E972" s="9" t="b">
        <f t="shared" si="4"/>
        <v>1</v>
      </c>
    </row>
    <row r="973" spans="1:5" x14ac:dyDescent="0.2">
      <c r="A973" s="10">
        <v>36192</v>
      </c>
      <c r="B973" s="11">
        <v>90.911100000000005</v>
      </c>
      <c r="D973" s="9">
        <f>'1'!M303</f>
        <v>90.911100000000005</v>
      </c>
      <c r="E973" s="9" t="b">
        <f t="shared" si="4"/>
        <v>1</v>
      </c>
    </row>
    <row r="974" spans="1:5" x14ac:dyDescent="0.2">
      <c r="A974" s="10">
        <v>36220</v>
      </c>
      <c r="B974" s="11">
        <v>92.314999999999998</v>
      </c>
      <c r="D974" s="9">
        <f>'1'!M304</f>
        <v>92.314999999999998</v>
      </c>
      <c r="E974" s="9" t="b">
        <f t="shared" si="4"/>
        <v>1</v>
      </c>
    </row>
    <row r="975" spans="1:5" x14ac:dyDescent="0.2">
      <c r="A975" s="10">
        <v>36251</v>
      </c>
      <c r="B975" s="11">
        <v>90.366399999999999</v>
      </c>
      <c r="D975" s="9">
        <f>'1'!M305</f>
        <v>90.366399999999999</v>
      </c>
      <c r="E975" s="9" t="b">
        <f t="shared" si="4"/>
        <v>1</v>
      </c>
    </row>
    <row r="976" spans="1:5" x14ac:dyDescent="0.2">
      <c r="A976" s="10">
        <v>36281</v>
      </c>
      <c r="B976" s="11">
        <v>91.286799999999999</v>
      </c>
      <c r="D976" s="9">
        <f>'1'!M306</f>
        <v>91.286799999999999</v>
      </c>
      <c r="E976" s="9" t="b">
        <f t="shared" si="4"/>
        <v>1</v>
      </c>
    </row>
    <row r="977" spans="1:5" x14ac:dyDescent="0.2">
      <c r="A977" s="10">
        <v>36312</v>
      </c>
      <c r="B977" s="11">
        <v>93.722399999999993</v>
      </c>
      <c r="D977" s="9">
        <f>'1'!M307</f>
        <v>93.722399999999993</v>
      </c>
      <c r="E977" s="9" t="b">
        <f t="shared" si="4"/>
        <v>1</v>
      </c>
    </row>
    <row r="978" spans="1:5" x14ac:dyDescent="0.2">
      <c r="A978" s="10">
        <v>36342</v>
      </c>
      <c r="B978" s="11">
        <v>89.908500000000004</v>
      </c>
      <c r="D978" s="9">
        <f>'1'!M308</f>
        <v>89.908500000000004</v>
      </c>
      <c r="E978" s="9" t="b">
        <f t="shared" si="4"/>
        <v>1</v>
      </c>
    </row>
    <row r="979" spans="1:5" x14ac:dyDescent="0.2">
      <c r="A979" s="10">
        <v>36373</v>
      </c>
      <c r="B979" s="11">
        <v>94.292599999999993</v>
      </c>
      <c r="D979" s="9">
        <f>'1'!M309</f>
        <v>94.292599999999993</v>
      </c>
      <c r="E979" s="9" t="b">
        <f t="shared" si="4"/>
        <v>1</v>
      </c>
    </row>
    <row r="980" spans="1:5" x14ac:dyDescent="0.2">
      <c r="A980" s="10">
        <v>36404</v>
      </c>
      <c r="B980" s="11">
        <v>93.817300000000003</v>
      </c>
      <c r="D980" s="9">
        <f>'1'!M310</f>
        <v>93.817300000000003</v>
      </c>
      <c r="E980" s="9" t="b">
        <f t="shared" si="4"/>
        <v>1</v>
      </c>
    </row>
    <row r="981" spans="1:5" x14ac:dyDescent="0.2">
      <c r="A981" s="10">
        <v>36434</v>
      </c>
      <c r="B981" s="11">
        <v>94.794700000000006</v>
      </c>
      <c r="D981" s="9">
        <f>'1'!M311</f>
        <v>94.794700000000006</v>
      </c>
      <c r="E981" s="9" t="b">
        <f t="shared" si="4"/>
        <v>1</v>
      </c>
    </row>
    <row r="982" spans="1:5" x14ac:dyDescent="0.2">
      <c r="A982" s="10">
        <v>36465</v>
      </c>
      <c r="B982" s="11">
        <v>94.173900000000003</v>
      </c>
      <c r="D982" s="9">
        <f>'1'!M312</f>
        <v>94.173900000000003</v>
      </c>
      <c r="E982" s="9" t="b">
        <f t="shared" si="4"/>
        <v>1</v>
      </c>
    </row>
    <row r="983" spans="1:5" x14ac:dyDescent="0.2">
      <c r="A983" s="10">
        <v>36495</v>
      </c>
      <c r="B983" s="11">
        <v>94.250900000000001</v>
      </c>
      <c r="D983" s="9">
        <f>'1'!M313</f>
        <v>94.250900000000001</v>
      </c>
      <c r="E983" s="9" t="b">
        <f t="shared" si="4"/>
        <v>1</v>
      </c>
    </row>
    <row r="984" spans="1:5" x14ac:dyDescent="0.2">
      <c r="A984" s="10">
        <v>36526</v>
      </c>
      <c r="B984" s="11">
        <v>93.992199999999997</v>
      </c>
      <c r="D984" s="9">
        <f>'1'!M314</f>
        <v>93.992199999999997</v>
      </c>
      <c r="E984" s="9" t="b">
        <f t="shared" si="4"/>
        <v>1</v>
      </c>
    </row>
    <row r="985" spans="1:5" x14ac:dyDescent="0.2">
      <c r="A985" s="10">
        <v>36557</v>
      </c>
      <c r="B985" s="11">
        <v>94.7928</v>
      </c>
      <c r="D985" s="9">
        <f>'1'!M315</f>
        <v>94.7928</v>
      </c>
      <c r="E985" s="9" t="b">
        <f t="shared" si="4"/>
        <v>1</v>
      </c>
    </row>
    <row r="986" spans="1:5" x14ac:dyDescent="0.2">
      <c r="A986" s="10">
        <v>36586</v>
      </c>
      <c r="B986" s="11">
        <v>96.501300000000001</v>
      </c>
      <c r="D986" s="9">
        <f>'1'!M316</f>
        <v>96.501300000000001</v>
      </c>
      <c r="E986" s="9" t="b">
        <f t="shared" si="4"/>
        <v>1</v>
      </c>
    </row>
    <row r="987" spans="1:5" x14ac:dyDescent="0.2">
      <c r="A987" s="10">
        <v>36617</v>
      </c>
      <c r="B987" s="11">
        <v>95.156499999999994</v>
      </c>
      <c r="D987" s="9">
        <f>'1'!M317</f>
        <v>95.156499999999994</v>
      </c>
      <c r="E987" s="9" t="b">
        <f t="shared" si="4"/>
        <v>1</v>
      </c>
    </row>
    <row r="988" spans="1:5" x14ac:dyDescent="0.2">
      <c r="A988" s="10">
        <v>36647</v>
      </c>
      <c r="B988" s="11">
        <v>95.5304</v>
      </c>
      <c r="D988" s="9">
        <f>'1'!M318</f>
        <v>95.5304</v>
      </c>
      <c r="E988" s="9" t="b">
        <f t="shared" si="4"/>
        <v>1</v>
      </c>
    </row>
    <row r="989" spans="1:5" x14ac:dyDescent="0.2">
      <c r="A989" s="10">
        <v>36678</v>
      </c>
      <c r="B989" s="11">
        <v>98.6524</v>
      </c>
      <c r="D989" s="9">
        <f>'1'!M319</f>
        <v>98.6524</v>
      </c>
      <c r="E989" s="9" t="b">
        <f t="shared" si="4"/>
        <v>1</v>
      </c>
    </row>
    <row r="990" spans="1:5" x14ac:dyDescent="0.2">
      <c r="A990" s="10">
        <v>36708</v>
      </c>
      <c r="B990" s="11">
        <v>93.926900000000003</v>
      </c>
      <c r="D990" s="9">
        <f>'1'!M320</f>
        <v>93.926900000000003</v>
      </c>
      <c r="E990" s="9" t="b">
        <f t="shared" si="4"/>
        <v>1</v>
      </c>
    </row>
    <row r="991" spans="1:5" x14ac:dyDescent="0.2">
      <c r="A991" s="10">
        <v>36739</v>
      </c>
      <c r="B991" s="11">
        <v>97.557100000000005</v>
      </c>
      <c r="D991" s="9">
        <f>'1'!M321</f>
        <v>97.557100000000005</v>
      </c>
      <c r="E991" s="9" t="b">
        <f t="shared" si="4"/>
        <v>1</v>
      </c>
    </row>
    <row r="992" spans="1:5" x14ac:dyDescent="0.2">
      <c r="A992" s="10">
        <v>36770</v>
      </c>
      <c r="B992" s="11">
        <v>98.060299999999998</v>
      </c>
      <c r="D992" s="9">
        <f>'1'!M322</f>
        <v>98.060299999999998</v>
      </c>
      <c r="E992" s="9" t="b">
        <f t="shared" si="4"/>
        <v>1</v>
      </c>
    </row>
    <row r="993" spans="1:5" x14ac:dyDescent="0.2">
      <c r="A993" s="10">
        <v>36800</v>
      </c>
      <c r="B993" s="11">
        <v>97.144999999999996</v>
      </c>
      <c r="D993" s="9">
        <f>'1'!M323</f>
        <v>97.144999999999996</v>
      </c>
      <c r="E993" s="9" t="b">
        <f t="shared" ref="E993:E1056" si="5">EXACT(B993,D993)</f>
        <v>1</v>
      </c>
    </row>
    <row r="994" spans="1:5" x14ac:dyDescent="0.2">
      <c r="A994" s="10">
        <v>36831</v>
      </c>
      <c r="B994" s="11">
        <v>96.061499999999995</v>
      </c>
      <c r="D994" s="9">
        <f>'1'!M324</f>
        <v>96.061499999999995</v>
      </c>
      <c r="E994" s="9" t="b">
        <f t="shared" si="5"/>
        <v>1</v>
      </c>
    </row>
    <row r="995" spans="1:5" x14ac:dyDescent="0.2">
      <c r="A995" s="10">
        <v>36861</v>
      </c>
      <c r="B995" s="11">
        <v>95.621799999999993</v>
      </c>
      <c r="D995" s="9">
        <f>'1'!M325</f>
        <v>95.621799999999993</v>
      </c>
      <c r="E995" s="9" t="b">
        <f t="shared" si="5"/>
        <v>1</v>
      </c>
    </row>
    <row r="996" spans="1:5" x14ac:dyDescent="0.2">
      <c r="A996" s="10">
        <v>36892</v>
      </c>
      <c r="B996" s="11">
        <v>94.373800000000003</v>
      </c>
      <c r="D996" s="9">
        <f>'1'!M326</f>
        <v>94.373800000000003</v>
      </c>
      <c r="E996" s="9" t="b">
        <f t="shared" si="5"/>
        <v>1</v>
      </c>
    </row>
    <row r="997" spans="1:5" x14ac:dyDescent="0.2">
      <c r="A997" s="10">
        <v>36923</v>
      </c>
      <c r="B997" s="11">
        <v>94.546099999999996</v>
      </c>
      <c r="D997" s="9">
        <f>'1'!M327</f>
        <v>94.546099999999996</v>
      </c>
      <c r="E997" s="9" t="b">
        <f t="shared" si="5"/>
        <v>1</v>
      </c>
    </row>
    <row r="998" spans="1:5" x14ac:dyDescent="0.2">
      <c r="A998" s="10">
        <v>36951</v>
      </c>
      <c r="B998" s="11">
        <v>95.468999999999994</v>
      </c>
      <c r="D998" s="9">
        <f>'1'!M328</f>
        <v>95.468999999999994</v>
      </c>
      <c r="E998" s="9" t="b">
        <f t="shared" si="5"/>
        <v>1</v>
      </c>
    </row>
    <row r="999" spans="1:5" x14ac:dyDescent="0.2">
      <c r="A999" s="10">
        <v>36982</v>
      </c>
      <c r="B999" s="11">
        <v>92.240200000000002</v>
      </c>
      <c r="D999" s="9">
        <f>'1'!M329</f>
        <v>92.240200000000002</v>
      </c>
      <c r="E999" s="9" t="b">
        <f t="shared" si="5"/>
        <v>1</v>
      </c>
    </row>
    <row r="1000" spans="1:5" x14ac:dyDescent="0.2">
      <c r="A1000" s="10">
        <v>37012</v>
      </c>
      <c r="B1000" s="11">
        <v>93.028800000000004</v>
      </c>
      <c r="D1000" s="9">
        <f>'1'!M330</f>
        <v>93.028800000000004</v>
      </c>
      <c r="E1000" s="9" t="b">
        <f t="shared" si="5"/>
        <v>1</v>
      </c>
    </row>
    <row r="1001" spans="1:5" x14ac:dyDescent="0.2">
      <c r="A1001" s="10">
        <v>37043</v>
      </c>
      <c r="B1001" s="11">
        <v>95.281599999999997</v>
      </c>
      <c r="D1001" s="9">
        <f>'1'!M331</f>
        <v>95.281599999999997</v>
      </c>
      <c r="E1001" s="9" t="b">
        <f t="shared" si="5"/>
        <v>1</v>
      </c>
    </row>
    <row r="1002" spans="1:5" x14ac:dyDescent="0.2">
      <c r="A1002" s="10">
        <v>37073</v>
      </c>
      <c r="B1002" s="11">
        <v>90.755200000000002</v>
      </c>
      <c r="D1002" s="9">
        <f>'1'!M332</f>
        <v>90.755200000000002</v>
      </c>
      <c r="E1002" s="9" t="b">
        <f t="shared" si="5"/>
        <v>1</v>
      </c>
    </row>
    <row r="1003" spans="1:5" x14ac:dyDescent="0.2">
      <c r="A1003" s="10">
        <v>37104</v>
      </c>
      <c r="B1003" s="11">
        <v>94.307299999999998</v>
      </c>
      <c r="D1003" s="9">
        <f>'1'!M333</f>
        <v>94.307299999999998</v>
      </c>
      <c r="E1003" s="9" t="b">
        <f t="shared" si="5"/>
        <v>1</v>
      </c>
    </row>
    <row r="1004" spans="1:5" x14ac:dyDescent="0.2">
      <c r="A1004" s="10">
        <v>37135</v>
      </c>
      <c r="B1004" s="11">
        <v>93.504499999999993</v>
      </c>
      <c r="D1004" s="9">
        <f>'1'!M334</f>
        <v>93.504499999999993</v>
      </c>
      <c r="E1004" s="9" t="b">
        <f t="shared" si="5"/>
        <v>1</v>
      </c>
    </row>
    <row r="1005" spans="1:5" x14ac:dyDescent="0.2">
      <c r="A1005" s="10">
        <v>37165</v>
      </c>
      <c r="B1005" s="11">
        <v>92.373099999999994</v>
      </c>
      <c r="D1005" s="9">
        <f>'1'!M335</f>
        <v>92.373099999999994</v>
      </c>
      <c r="E1005" s="9" t="b">
        <f t="shared" si="5"/>
        <v>1</v>
      </c>
    </row>
    <row r="1006" spans="1:5" x14ac:dyDescent="0.2">
      <c r="A1006" s="10">
        <v>37196</v>
      </c>
      <c r="B1006" s="11">
        <v>90.792500000000004</v>
      </c>
      <c r="D1006" s="9">
        <f>'1'!M336</f>
        <v>90.792500000000004</v>
      </c>
      <c r="E1006" s="9" t="b">
        <f t="shared" si="5"/>
        <v>1</v>
      </c>
    </row>
    <row r="1007" spans="1:5" x14ac:dyDescent="0.2">
      <c r="A1007" s="10">
        <v>37226</v>
      </c>
      <c r="B1007" s="11">
        <v>90.366</v>
      </c>
      <c r="D1007" s="9">
        <f>'1'!M337</f>
        <v>90.366</v>
      </c>
      <c r="E1007" s="9" t="b">
        <f t="shared" si="5"/>
        <v>1</v>
      </c>
    </row>
    <row r="1008" spans="1:5" x14ac:dyDescent="0.2">
      <c r="A1008" s="10">
        <v>37257</v>
      </c>
      <c r="B1008" s="11">
        <v>90.781800000000004</v>
      </c>
      <c r="D1008" s="9">
        <f>'1'!M338</f>
        <v>90.781800000000004</v>
      </c>
      <c r="E1008" s="9" t="b">
        <f t="shared" si="5"/>
        <v>1</v>
      </c>
    </row>
    <row r="1009" spans="1:5" x14ac:dyDescent="0.2">
      <c r="A1009" s="10">
        <v>37288</v>
      </c>
      <c r="B1009" s="11">
        <v>91.490399999999994</v>
      </c>
      <c r="D1009" s="9">
        <f>'1'!M339</f>
        <v>91.490399999999994</v>
      </c>
      <c r="E1009" s="9" t="b">
        <f t="shared" si="5"/>
        <v>1</v>
      </c>
    </row>
    <row r="1010" spans="1:5" x14ac:dyDescent="0.2">
      <c r="A1010" s="10">
        <v>37316</v>
      </c>
      <c r="B1010" s="11">
        <v>93.037000000000006</v>
      </c>
      <c r="D1010" s="9">
        <f>'1'!M340</f>
        <v>93.037000000000006</v>
      </c>
      <c r="E1010" s="9" t="b">
        <f t="shared" si="5"/>
        <v>1</v>
      </c>
    </row>
    <row r="1011" spans="1:5" x14ac:dyDescent="0.2">
      <c r="A1011" s="10">
        <v>37347</v>
      </c>
      <c r="B1011" s="11">
        <v>92.090800000000002</v>
      </c>
      <c r="D1011" s="9">
        <f>'1'!M341</f>
        <v>92.090800000000002</v>
      </c>
      <c r="E1011" s="9" t="b">
        <f t="shared" si="5"/>
        <v>1</v>
      </c>
    </row>
    <row r="1012" spans="1:5" x14ac:dyDescent="0.2">
      <c r="A1012" s="10">
        <v>37377</v>
      </c>
      <c r="B1012" s="11">
        <v>92.603399999999993</v>
      </c>
      <c r="D1012" s="9">
        <f>'1'!M342</f>
        <v>92.603399999999993</v>
      </c>
      <c r="E1012" s="9" t="b">
        <f t="shared" si="5"/>
        <v>1</v>
      </c>
    </row>
    <row r="1013" spans="1:5" x14ac:dyDescent="0.2">
      <c r="A1013" s="10">
        <v>37408</v>
      </c>
      <c r="B1013" s="11">
        <v>96.425700000000006</v>
      </c>
      <c r="D1013" s="9">
        <f>'1'!M343</f>
        <v>96.425700000000006</v>
      </c>
      <c r="E1013" s="9" t="b">
        <f t="shared" si="5"/>
        <v>1</v>
      </c>
    </row>
    <row r="1014" spans="1:5" x14ac:dyDescent="0.2">
      <c r="A1014" s="10">
        <v>37438</v>
      </c>
      <c r="B1014" s="11">
        <v>91.649199999999993</v>
      </c>
      <c r="D1014" s="9">
        <f>'1'!M344</f>
        <v>91.649199999999993</v>
      </c>
      <c r="E1014" s="9" t="b">
        <f t="shared" si="5"/>
        <v>1</v>
      </c>
    </row>
    <row r="1015" spans="1:5" x14ac:dyDescent="0.2">
      <c r="A1015" s="10">
        <v>37469</v>
      </c>
      <c r="B1015" s="11">
        <v>95.8827</v>
      </c>
      <c r="D1015" s="9">
        <f>'1'!M345</f>
        <v>95.8827</v>
      </c>
      <c r="E1015" s="9" t="b">
        <f t="shared" si="5"/>
        <v>1</v>
      </c>
    </row>
    <row r="1016" spans="1:5" x14ac:dyDescent="0.2">
      <c r="A1016" s="10">
        <v>37500</v>
      </c>
      <c r="B1016" s="11">
        <v>95.781999999999996</v>
      </c>
      <c r="D1016" s="9">
        <f>'1'!M346</f>
        <v>95.781999999999996</v>
      </c>
      <c r="E1016" s="9" t="b">
        <f t="shared" si="5"/>
        <v>1</v>
      </c>
    </row>
    <row r="1017" spans="1:5" x14ac:dyDescent="0.2">
      <c r="A1017" s="10">
        <v>37530</v>
      </c>
      <c r="B1017" s="11">
        <v>94.534599999999998</v>
      </c>
      <c r="D1017" s="9">
        <f>'1'!M347</f>
        <v>94.534599999999998</v>
      </c>
      <c r="E1017" s="9" t="b">
        <f t="shared" si="5"/>
        <v>1</v>
      </c>
    </row>
    <row r="1018" spans="1:5" x14ac:dyDescent="0.2">
      <c r="A1018" s="10">
        <v>37561</v>
      </c>
      <c r="B1018" s="11">
        <v>93.5441</v>
      </c>
      <c r="D1018" s="9">
        <f>'1'!M348</f>
        <v>93.5441</v>
      </c>
      <c r="E1018" s="9" t="b">
        <f t="shared" si="5"/>
        <v>1</v>
      </c>
    </row>
    <row r="1019" spans="1:5" x14ac:dyDescent="0.2">
      <c r="A1019" s="10">
        <v>37591</v>
      </c>
      <c r="B1019" s="11">
        <v>92.710800000000006</v>
      </c>
      <c r="D1019" s="9">
        <f>'1'!M349</f>
        <v>92.710800000000006</v>
      </c>
      <c r="E1019" s="9" t="b">
        <f t="shared" si="5"/>
        <v>1</v>
      </c>
    </row>
    <row r="1020" spans="1:5" x14ac:dyDescent="0.2">
      <c r="A1020" s="10">
        <v>37622</v>
      </c>
      <c r="B1020" s="11">
        <v>93.242500000000007</v>
      </c>
      <c r="D1020" s="9">
        <f>'1'!M350</f>
        <v>93.242500000000007</v>
      </c>
      <c r="E1020" s="9" t="b">
        <f t="shared" si="5"/>
        <v>1</v>
      </c>
    </row>
    <row r="1021" spans="1:5" x14ac:dyDescent="0.2">
      <c r="A1021" s="10">
        <v>37653</v>
      </c>
      <c r="B1021" s="11">
        <v>94.432199999999995</v>
      </c>
      <c r="D1021" s="9">
        <f>'1'!M351</f>
        <v>94.432199999999995</v>
      </c>
      <c r="E1021" s="9" t="b">
        <f t="shared" si="5"/>
        <v>1</v>
      </c>
    </row>
    <row r="1022" spans="1:5" x14ac:dyDescent="0.2">
      <c r="A1022" s="10">
        <v>37681</v>
      </c>
      <c r="B1022" s="11">
        <v>95.154499999999999</v>
      </c>
      <c r="D1022" s="9">
        <f>'1'!M352</f>
        <v>95.154499999999999</v>
      </c>
      <c r="E1022" s="9" t="b">
        <f t="shared" si="5"/>
        <v>1</v>
      </c>
    </row>
    <row r="1023" spans="1:5" x14ac:dyDescent="0.2">
      <c r="A1023" s="10">
        <v>37712</v>
      </c>
      <c r="B1023" s="11">
        <v>92.493899999999996</v>
      </c>
      <c r="D1023" s="9">
        <f>'1'!M353</f>
        <v>92.493899999999996</v>
      </c>
      <c r="E1023" s="9" t="b">
        <f t="shared" si="5"/>
        <v>1</v>
      </c>
    </row>
    <row r="1024" spans="1:5" x14ac:dyDescent="0.2">
      <c r="A1024" s="10">
        <v>37742</v>
      </c>
      <c r="B1024" s="11">
        <v>93.114999999999995</v>
      </c>
      <c r="D1024" s="9">
        <f>'1'!M354</f>
        <v>93.114999999999995</v>
      </c>
      <c r="E1024" s="9" t="b">
        <f t="shared" si="5"/>
        <v>1</v>
      </c>
    </row>
    <row r="1025" spans="1:5" x14ac:dyDescent="0.2">
      <c r="A1025" s="10">
        <v>37773</v>
      </c>
      <c r="B1025" s="11">
        <v>96.022999999999996</v>
      </c>
      <c r="D1025" s="9">
        <f>'1'!M355</f>
        <v>96.022999999999996</v>
      </c>
      <c r="E1025" s="9" t="b">
        <f t="shared" si="5"/>
        <v>1</v>
      </c>
    </row>
    <row r="1026" spans="1:5" x14ac:dyDescent="0.2">
      <c r="A1026" s="10">
        <v>37803</v>
      </c>
      <c r="B1026" s="11">
        <v>91.774699999999996</v>
      </c>
      <c r="D1026" s="9">
        <f>'1'!M356</f>
        <v>91.774699999999996</v>
      </c>
      <c r="E1026" s="9" t="b">
        <f t="shared" si="5"/>
        <v>1</v>
      </c>
    </row>
    <row r="1027" spans="1:5" x14ac:dyDescent="0.2">
      <c r="A1027" s="10">
        <v>37834</v>
      </c>
      <c r="B1027" s="11">
        <v>96.146199999999993</v>
      </c>
      <c r="D1027" s="9">
        <f>'1'!M357</f>
        <v>96.146199999999993</v>
      </c>
      <c r="E1027" s="9" t="b">
        <f t="shared" si="5"/>
        <v>1</v>
      </c>
    </row>
    <row r="1028" spans="1:5" x14ac:dyDescent="0.2">
      <c r="A1028" s="10">
        <v>37865</v>
      </c>
      <c r="B1028" s="11">
        <v>96.442499999999995</v>
      </c>
      <c r="D1028" s="9">
        <f>'1'!M358</f>
        <v>96.442499999999995</v>
      </c>
      <c r="E1028" s="9" t="b">
        <f t="shared" si="5"/>
        <v>1</v>
      </c>
    </row>
    <row r="1029" spans="1:5" x14ac:dyDescent="0.2">
      <c r="A1029" s="10">
        <v>37895</v>
      </c>
      <c r="B1029" s="11">
        <v>95.513400000000004</v>
      </c>
      <c r="D1029" s="9">
        <f>'1'!M359</f>
        <v>95.513400000000004</v>
      </c>
      <c r="E1029" s="9" t="b">
        <f t="shared" si="5"/>
        <v>1</v>
      </c>
    </row>
    <row r="1030" spans="1:5" x14ac:dyDescent="0.2">
      <c r="A1030" s="10">
        <v>37926</v>
      </c>
      <c r="B1030" s="11">
        <v>95.169700000000006</v>
      </c>
      <c r="D1030" s="9">
        <f>'1'!M360</f>
        <v>95.169700000000006</v>
      </c>
      <c r="E1030" s="9" t="b">
        <f t="shared" si="5"/>
        <v>1</v>
      </c>
    </row>
    <row r="1031" spans="1:5" x14ac:dyDescent="0.2">
      <c r="A1031" s="10">
        <v>37956</v>
      </c>
      <c r="B1031" s="11">
        <v>94.642499999999998</v>
      </c>
      <c r="D1031" s="9">
        <f>'1'!M361</f>
        <v>94.642499999999998</v>
      </c>
      <c r="E1031" s="9" t="b">
        <f t="shared" si="5"/>
        <v>1</v>
      </c>
    </row>
    <row r="1032" spans="1:5" x14ac:dyDescent="0.2">
      <c r="A1032" s="10">
        <v>37987</v>
      </c>
      <c r="B1032" s="11">
        <v>94.410200000000003</v>
      </c>
      <c r="D1032" s="9">
        <f>'1'!M362</f>
        <v>94.410200000000003</v>
      </c>
      <c r="E1032" s="9" t="b">
        <f t="shared" si="5"/>
        <v>1</v>
      </c>
    </row>
    <row r="1033" spans="1:5" x14ac:dyDescent="0.2">
      <c r="A1033" s="10">
        <v>38018</v>
      </c>
      <c r="B1033" s="11">
        <v>96.258899999999997</v>
      </c>
      <c r="D1033" s="9">
        <f>'1'!M363</f>
        <v>96.258899999999997</v>
      </c>
      <c r="E1033" s="9" t="b">
        <f t="shared" si="5"/>
        <v>1</v>
      </c>
    </row>
    <row r="1034" spans="1:5" x14ac:dyDescent="0.2">
      <c r="A1034" s="10">
        <v>38047</v>
      </c>
      <c r="B1034" s="11">
        <v>96.618300000000005</v>
      </c>
      <c r="D1034" s="9">
        <f>'1'!M364</f>
        <v>96.618300000000005</v>
      </c>
      <c r="E1034" s="9" t="b">
        <f t="shared" si="5"/>
        <v>1</v>
      </c>
    </row>
    <row r="1035" spans="1:5" x14ac:dyDescent="0.2">
      <c r="A1035" s="10">
        <v>38078</v>
      </c>
      <c r="B1035" s="11">
        <v>94.837100000000007</v>
      </c>
      <c r="D1035" s="9">
        <f>'1'!M365</f>
        <v>94.837100000000007</v>
      </c>
      <c r="E1035" s="9" t="b">
        <f t="shared" si="5"/>
        <v>1</v>
      </c>
    </row>
    <row r="1036" spans="1:5" x14ac:dyDescent="0.2">
      <c r="A1036" s="10">
        <v>38108</v>
      </c>
      <c r="B1036" s="11">
        <v>96.379199999999997</v>
      </c>
      <c r="D1036" s="9">
        <f>'1'!M366</f>
        <v>96.379199999999997</v>
      </c>
      <c r="E1036" s="9" t="b">
        <f t="shared" si="5"/>
        <v>1</v>
      </c>
    </row>
    <row r="1037" spans="1:5" x14ac:dyDescent="0.2">
      <c r="A1037" s="10">
        <v>38139</v>
      </c>
      <c r="B1037" s="11">
        <v>98.580600000000004</v>
      </c>
      <c r="D1037" s="9">
        <f>'1'!M367</f>
        <v>98.580600000000004</v>
      </c>
      <c r="E1037" s="9" t="b">
        <f t="shared" si="5"/>
        <v>1</v>
      </c>
    </row>
    <row r="1038" spans="1:5" x14ac:dyDescent="0.2">
      <c r="A1038" s="10">
        <v>38169</v>
      </c>
      <c r="B1038" s="11">
        <v>95.402799999999999</v>
      </c>
      <c r="D1038" s="9">
        <f>'1'!M368</f>
        <v>95.402799999999999</v>
      </c>
      <c r="E1038" s="9" t="b">
        <f t="shared" si="5"/>
        <v>1</v>
      </c>
    </row>
    <row r="1039" spans="1:5" x14ac:dyDescent="0.2">
      <c r="A1039" s="10">
        <v>38200</v>
      </c>
      <c r="B1039" s="11">
        <v>98.990200000000002</v>
      </c>
      <c r="D1039" s="9">
        <f>'1'!M369</f>
        <v>98.990200000000002</v>
      </c>
      <c r="E1039" s="9" t="b">
        <f t="shared" si="5"/>
        <v>1</v>
      </c>
    </row>
    <row r="1040" spans="1:5" x14ac:dyDescent="0.2">
      <c r="A1040" s="10">
        <v>38231</v>
      </c>
      <c r="B1040" s="11">
        <v>98.380200000000002</v>
      </c>
      <c r="D1040" s="9">
        <f>'1'!M370</f>
        <v>98.380200000000002</v>
      </c>
      <c r="E1040" s="9" t="b">
        <f t="shared" si="5"/>
        <v>1</v>
      </c>
    </row>
    <row r="1041" spans="1:5" x14ac:dyDescent="0.2">
      <c r="A1041" s="10">
        <v>38261</v>
      </c>
      <c r="B1041" s="11">
        <v>98.572999999999993</v>
      </c>
      <c r="D1041" s="9">
        <f>'1'!M371</f>
        <v>98.572999999999993</v>
      </c>
      <c r="E1041" s="9" t="b">
        <f t="shared" si="5"/>
        <v>1</v>
      </c>
    </row>
    <row r="1042" spans="1:5" x14ac:dyDescent="0.2">
      <c r="A1042" s="10">
        <v>38292</v>
      </c>
      <c r="B1042" s="11">
        <v>97.627899999999997</v>
      </c>
      <c r="D1042" s="9">
        <f>'1'!M372</f>
        <v>97.627899999999997</v>
      </c>
      <c r="E1042" s="9" t="b">
        <f t="shared" si="5"/>
        <v>1</v>
      </c>
    </row>
    <row r="1043" spans="1:5" x14ac:dyDescent="0.2">
      <c r="A1043" s="10">
        <v>38322</v>
      </c>
      <c r="B1043" s="11">
        <v>98.001499999999993</v>
      </c>
      <c r="D1043" s="9">
        <f>'1'!M373</f>
        <v>98.001499999999993</v>
      </c>
      <c r="E1043" s="9" t="b">
        <f t="shared" si="5"/>
        <v>1</v>
      </c>
    </row>
    <row r="1044" spans="1:5" x14ac:dyDescent="0.2">
      <c r="A1044" s="10">
        <v>38353</v>
      </c>
      <c r="B1044" s="11">
        <v>98.228899999999996</v>
      </c>
      <c r="D1044" s="9">
        <f>'1'!M374</f>
        <v>98.228899999999996</v>
      </c>
      <c r="E1044" s="9" t="b">
        <f t="shared" si="5"/>
        <v>1</v>
      </c>
    </row>
    <row r="1045" spans="1:5" x14ac:dyDescent="0.2">
      <c r="A1045" s="10">
        <v>38384</v>
      </c>
      <c r="B1045" s="11">
        <v>99.461399999999998</v>
      </c>
      <c r="D1045" s="9">
        <f>'1'!M375</f>
        <v>99.461399999999998</v>
      </c>
      <c r="E1045" s="9" t="b">
        <f t="shared" si="5"/>
        <v>1</v>
      </c>
    </row>
    <row r="1046" spans="1:5" x14ac:dyDescent="0.2">
      <c r="A1046" s="10">
        <v>38412</v>
      </c>
      <c r="B1046" s="11">
        <v>99.956500000000005</v>
      </c>
      <c r="D1046" s="9">
        <f>'1'!M376</f>
        <v>99.956500000000005</v>
      </c>
      <c r="E1046" s="9" t="b">
        <f t="shared" si="5"/>
        <v>1</v>
      </c>
    </row>
    <row r="1047" spans="1:5" x14ac:dyDescent="0.2">
      <c r="A1047" s="10">
        <v>38443</v>
      </c>
      <c r="B1047" s="11">
        <v>99.208399999999997</v>
      </c>
      <c r="D1047" s="9">
        <f>'1'!M377</f>
        <v>99.208399999999997</v>
      </c>
      <c r="E1047" s="9" t="b">
        <f t="shared" si="5"/>
        <v>1</v>
      </c>
    </row>
    <row r="1048" spans="1:5" x14ac:dyDescent="0.2">
      <c r="A1048" s="10">
        <v>38473</v>
      </c>
      <c r="B1048" s="11">
        <v>99.552499999999995</v>
      </c>
      <c r="D1048" s="9">
        <f>'1'!M378</f>
        <v>99.552499999999995</v>
      </c>
      <c r="E1048" s="9" t="b">
        <f t="shared" si="5"/>
        <v>1</v>
      </c>
    </row>
    <row r="1049" spans="1:5" x14ac:dyDescent="0.2">
      <c r="A1049" s="10">
        <v>38504</v>
      </c>
      <c r="B1049" s="11">
        <v>102.9842</v>
      </c>
      <c r="D1049" s="9">
        <f>'1'!M379</f>
        <v>102.9842</v>
      </c>
      <c r="E1049" s="9" t="b">
        <f t="shared" si="5"/>
        <v>1</v>
      </c>
    </row>
    <row r="1050" spans="1:5" x14ac:dyDescent="0.2">
      <c r="A1050" s="10">
        <v>38534</v>
      </c>
      <c r="B1050" s="11">
        <v>99.074200000000005</v>
      </c>
      <c r="D1050" s="9">
        <f>'1'!M380</f>
        <v>99.074200000000005</v>
      </c>
      <c r="E1050" s="9" t="b">
        <f t="shared" si="5"/>
        <v>1</v>
      </c>
    </row>
    <row r="1051" spans="1:5" x14ac:dyDescent="0.2">
      <c r="A1051" s="10">
        <v>38565</v>
      </c>
      <c r="B1051" s="11">
        <v>102.61669999999999</v>
      </c>
      <c r="D1051" s="9">
        <f>'1'!M381</f>
        <v>102.61669999999999</v>
      </c>
      <c r="E1051" s="9" t="b">
        <f t="shared" si="5"/>
        <v>1</v>
      </c>
    </row>
    <row r="1052" spans="1:5" x14ac:dyDescent="0.2">
      <c r="A1052" s="10">
        <v>38596</v>
      </c>
      <c r="B1052" s="11">
        <v>100.1392</v>
      </c>
      <c r="D1052" s="9">
        <f>'1'!M382</f>
        <v>100.1392</v>
      </c>
      <c r="E1052" s="9" t="b">
        <f t="shared" si="5"/>
        <v>1</v>
      </c>
    </row>
    <row r="1053" spans="1:5" x14ac:dyDescent="0.2">
      <c r="A1053" s="10">
        <v>38626</v>
      </c>
      <c r="B1053" s="11">
        <v>100.23520000000001</v>
      </c>
      <c r="D1053" s="9">
        <f>'1'!M383</f>
        <v>100.23520000000001</v>
      </c>
      <c r="E1053" s="9" t="b">
        <f t="shared" si="5"/>
        <v>1</v>
      </c>
    </row>
    <row r="1054" spans="1:5" x14ac:dyDescent="0.2">
      <c r="A1054" s="10">
        <v>38657</v>
      </c>
      <c r="B1054" s="11">
        <v>100.07040000000001</v>
      </c>
      <c r="D1054" s="9">
        <f>'1'!M384</f>
        <v>100.07040000000001</v>
      </c>
      <c r="E1054" s="9" t="b">
        <f t="shared" si="5"/>
        <v>1</v>
      </c>
    </row>
    <row r="1055" spans="1:5" x14ac:dyDescent="0.2">
      <c r="A1055" s="10">
        <v>38687</v>
      </c>
      <c r="B1055" s="11">
        <v>100.57989999999999</v>
      </c>
      <c r="D1055" s="9">
        <f>'1'!M385</f>
        <v>100.57989999999999</v>
      </c>
      <c r="E1055" s="9" t="b">
        <f t="shared" si="5"/>
        <v>1</v>
      </c>
    </row>
    <row r="1056" spans="1:5" x14ac:dyDescent="0.2">
      <c r="A1056" s="10">
        <v>38718</v>
      </c>
      <c r="B1056" s="11">
        <v>99.902799999999999</v>
      </c>
      <c r="D1056" s="9">
        <f>'1'!M386</f>
        <v>99.902799999999999</v>
      </c>
      <c r="E1056" s="9" t="b">
        <f t="shared" si="5"/>
        <v>1</v>
      </c>
    </row>
    <row r="1057" spans="1:5" x14ac:dyDescent="0.2">
      <c r="A1057" s="10">
        <v>38749</v>
      </c>
      <c r="B1057" s="11">
        <v>100.7886</v>
      </c>
      <c r="D1057" s="9">
        <f>'1'!M387</f>
        <v>100.7886</v>
      </c>
      <c r="E1057" s="9" t="b">
        <f t="shared" ref="E1057:E1120" si="6">EXACT(B1057,D1057)</f>
        <v>1</v>
      </c>
    </row>
    <row r="1058" spans="1:5" x14ac:dyDescent="0.2">
      <c r="A1058" s="10">
        <v>38777</v>
      </c>
      <c r="B1058" s="11">
        <v>102.1181</v>
      </c>
      <c r="D1058" s="9">
        <f>'1'!M388</f>
        <v>102.1181</v>
      </c>
      <c r="E1058" s="9" t="b">
        <f t="shared" si="6"/>
        <v>1</v>
      </c>
    </row>
    <row r="1059" spans="1:5" x14ac:dyDescent="0.2">
      <c r="A1059" s="10">
        <v>38808</v>
      </c>
      <c r="B1059" s="11">
        <v>100.13330000000001</v>
      </c>
      <c r="D1059" s="9">
        <f>'1'!M389</f>
        <v>100.13330000000001</v>
      </c>
      <c r="E1059" s="9" t="b">
        <f t="shared" si="6"/>
        <v>1</v>
      </c>
    </row>
    <row r="1060" spans="1:5" x14ac:dyDescent="0.2">
      <c r="A1060" s="10">
        <v>38838</v>
      </c>
      <c r="B1060" s="11">
        <v>101.6305</v>
      </c>
      <c r="D1060" s="9">
        <f>'1'!M390</f>
        <v>101.6305</v>
      </c>
      <c r="E1060" s="9" t="b">
        <f t="shared" si="6"/>
        <v>1</v>
      </c>
    </row>
    <row r="1061" spans="1:5" x14ac:dyDescent="0.2">
      <c r="A1061" s="10">
        <v>38869</v>
      </c>
      <c r="B1061" s="11">
        <v>105.0911</v>
      </c>
      <c r="D1061" s="9">
        <f>'1'!M391</f>
        <v>105.0911</v>
      </c>
      <c r="E1061" s="9" t="b">
        <f t="shared" si="6"/>
        <v>1</v>
      </c>
    </row>
    <row r="1062" spans="1:5" x14ac:dyDescent="0.2">
      <c r="A1062" s="10">
        <v>38899</v>
      </c>
      <c r="B1062" s="11">
        <v>101.8612</v>
      </c>
      <c r="D1062" s="9">
        <f>'1'!M392</f>
        <v>101.8612</v>
      </c>
      <c r="E1062" s="9" t="b">
        <f t="shared" si="6"/>
        <v>1</v>
      </c>
    </row>
    <row r="1063" spans="1:5" x14ac:dyDescent="0.2">
      <c r="A1063" s="10">
        <v>38930</v>
      </c>
      <c r="B1063" s="11">
        <v>105.29649999999999</v>
      </c>
      <c r="D1063" s="9">
        <f>'1'!M393</f>
        <v>105.29649999999999</v>
      </c>
      <c r="E1063" s="9" t="b">
        <f t="shared" si="6"/>
        <v>1</v>
      </c>
    </row>
    <row r="1064" spans="1:5" x14ac:dyDescent="0.2">
      <c r="A1064" s="10">
        <v>38961</v>
      </c>
      <c r="B1064" s="11">
        <v>104.31959999999999</v>
      </c>
      <c r="D1064" s="9">
        <f>'1'!M394</f>
        <v>104.31959999999999</v>
      </c>
      <c r="E1064" s="9" t="b">
        <f t="shared" si="6"/>
        <v>1</v>
      </c>
    </row>
    <row r="1065" spans="1:5" x14ac:dyDescent="0.2">
      <c r="A1065" s="10">
        <v>38991</v>
      </c>
      <c r="B1065" s="11">
        <v>103.0231</v>
      </c>
      <c r="D1065" s="9">
        <f>'1'!M395</f>
        <v>103.0231</v>
      </c>
      <c r="E1065" s="9" t="b">
        <f t="shared" si="6"/>
        <v>1</v>
      </c>
    </row>
    <row r="1066" spans="1:5" x14ac:dyDescent="0.2">
      <c r="A1066" s="10">
        <v>39022</v>
      </c>
      <c r="B1066" s="11">
        <v>101.8533</v>
      </c>
      <c r="D1066" s="9">
        <f>'1'!M396</f>
        <v>101.8533</v>
      </c>
      <c r="E1066" s="9" t="b">
        <f t="shared" si="6"/>
        <v>1</v>
      </c>
    </row>
    <row r="1067" spans="1:5" x14ac:dyDescent="0.2">
      <c r="A1067" s="10">
        <v>39052</v>
      </c>
      <c r="B1067" s="11">
        <v>102.89060000000001</v>
      </c>
      <c r="D1067" s="9">
        <f>'1'!M397</f>
        <v>102.89060000000001</v>
      </c>
      <c r="E1067" s="9" t="b">
        <f t="shared" si="6"/>
        <v>1</v>
      </c>
    </row>
    <row r="1068" spans="1:5" x14ac:dyDescent="0.2">
      <c r="A1068" s="10">
        <v>39083</v>
      </c>
      <c r="B1068" s="11">
        <v>101.7402</v>
      </c>
      <c r="D1068" s="9">
        <f>'1'!M398</f>
        <v>101.7402</v>
      </c>
      <c r="E1068" s="9" t="b">
        <f t="shared" si="6"/>
        <v>1</v>
      </c>
    </row>
    <row r="1069" spans="1:5" x14ac:dyDescent="0.2">
      <c r="A1069" s="10">
        <v>39114</v>
      </c>
      <c r="B1069" s="11">
        <v>103.3257</v>
      </c>
      <c r="D1069" s="9">
        <f>'1'!M399</f>
        <v>103.3257</v>
      </c>
      <c r="E1069" s="9" t="b">
        <f t="shared" si="6"/>
        <v>1</v>
      </c>
    </row>
    <row r="1070" spans="1:5" x14ac:dyDescent="0.2">
      <c r="A1070" s="10">
        <v>39142</v>
      </c>
      <c r="B1070" s="11">
        <v>104.4967</v>
      </c>
      <c r="D1070" s="9">
        <f>'1'!M400</f>
        <v>104.4967</v>
      </c>
      <c r="E1070" s="9" t="b">
        <f t="shared" si="6"/>
        <v>1</v>
      </c>
    </row>
    <row r="1071" spans="1:5" x14ac:dyDescent="0.2">
      <c r="A1071" s="10">
        <v>39173</v>
      </c>
      <c r="B1071" s="11">
        <v>103.5013</v>
      </c>
      <c r="D1071" s="9">
        <f>'1'!M401</f>
        <v>103.5013</v>
      </c>
      <c r="E1071" s="9" t="b">
        <f t="shared" si="6"/>
        <v>1</v>
      </c>
    </row>
    <row r="1072" spans="1:5" x14ac:dyDescent="0.2">
      <c r="A1072" s="10">
        <v>39203</v>
      </c>
      <c r="B1072" s="11">
        <v>104.5625</v>
      </c>
      <c r="D1072" s="9">
        <f>'1'!M402</f>
        <v>104.5625</v>
      </c>
      <c r="E1072" s="9" t="b">
        <f t="shared" si="6"/>
        <v>1</v>
      </c>
    </row>
    <row r="1073" spans="1:5" x14ac:dyDescent="0.2">
      <c r="A1073" s="10">
        <v>39234</v>
      </c>
      <c r="B1073" s="11">
        <v>107.67910000000001</v>
      </c>
      <c r="D1073" s="9">
        <f>'1'!M403</f>
        <v>107.67910000000001</v>
      </c>
      <c r="E1073" s="9" t="b">
        <f t="shared" si="6"/>
        <v>1</v>
      </c>
    </row>
    <row r="1074" spans="1:5" x14ac:dyDescent="0.2">
      <c r="A1074" s="10">
        <v>39264</v>
      </c>
      <c r="B1074" s="11">
        <v>104.2692</v>
      </c>
      <c r="D1074" s="9">
        <f>'1'!M404</f>
        <v>104.2692</v>
      </c>
      <c r="E1074" s="9" t="b">
        <f t="shared" si="6"/>
        <v>1</v>
      </c>
    </row>
    <row r="1075" spans="1:5" x14ac:dyDescent="0.2">
      <c r="A1075" s="10">
        <v>39295</v>
      </c>
      <c r="B1075" s="11">
        <v>107.7355</v>
      </c>
      <c r="D1075" s="9">
        <f>'1'!M405</f>
        <v>107.7355</v>
      </c>
      <c r="E1075" s="9" t="b">
        <f t="shared" si="6"/>
        <v>1</v>
      </c>
    </row>
    <row r="1076" spans="1:5" x14ac:dyDescent="0.2">
      <c r="A1076" s="10">
        <v>39326</v>
      </c>
      <c r="B1076" s="11">
        <v>107.2204</v>
      </c>
      <c r="D1076" s="9">
        <f>'1'!M406</f>
        <v>107.2204</v>
      </c>
      <c r="E1076" s="9" t="b">
        <f t="shared" si="6"/>
        <v>1</v>
      </c>
    </row>
    <row r="1077" spans="1:5" x14ac:dyDescent="0.2">
      <c r="A1077" s="10">
        <v>39356</v>
      </c>
      <c r="B1077" s="11">
        <v>105.3873</v>
      </c>
      <c r="D1077" s="9">
        <f>'1'!M407</f>
        <v>105.3873</v>
      </c>
      <c r="E1077" s="9" t="b">
        <f t="shared" si="6"/>
        <v>1</v>
      </c>
    </row>
    <row r="1078" spans="1:5" x14ac:dyDescent="0.2">
      <c r="A1078" s="10">
        <v>39387</v>
      </c>
      <c r="B1078" s="11">
        <v>104.9072</v>
      </c>
      <c r="D1078" s="9">
        <f>'1'!M408</f>
        <v>104.9072</v>
      </c>
      <c r="E1078" s="9" t="b">
        <f t="shared" si="6"/>
        <v>1</v>
      </c>
    </row>
    <row r="1079" spans="1:5" x14ac:dyDescent="0.2">
      <c r="A1079" s="10">
        <v>39417</v>
      </c>
      <c r="B1079" s="11">
        <v>104.9109</v>
      </c>
      <c r="D1079" s="9">
        <f>'1'!M409</f>
        <v>104.9109</v>
      </c>
      <c r="E1079" s="9" t="b">
        <f t="shared" si="6"/>
        <v>1</v>
      </c>
    </row>
    <row r="1080" spans="1:5" x14ac:dyDescent="0.2">
      <c r="A1080" s="10">
        <v>39448</v>
      </c>
      <c r="B1080" s="11">
        <v>104.0921</v>
      </c>
      <c r="D1080" s="9">
        <f>'1'!M410</f>
        <v>104.0921</v>
      </c>
      <c r="E1080" s="9" t="b">
        <f t="shared" si="6"/>
        <v>1</v>
      </c>
    </row>
    <row r="1081" spans="1:5" x14ac:dyDescent="0.2">
      <c r="A1081" s="10">
        <v>39479</v>
      </c>
      <c r="B1081" s="11">
        <v>103.9701</v>
      </c>
      <c r="D1081" s="9">
        <f>'1'!M411</f>
        <v>103.9701</v>
      </c>
      <c r="E1081" s="9" t="b">
        <f t="shared" si="6"/>
        <v>1</v>
      </c>
    </row>
    <row r="1082" spans="1:5" x14ac:dyDescent="0.2">
      <c r="A1082" s="10">
        <v>39508</v>
      </c>
      <c r="B1082" s="11">
        <v>104.3638</v>
      </c>
      <c r="D1082" s="9">
        <f>'1'!M412</f>
        <v>104.3638</v>
      </c>
      <c r="E1082" s="9" t="b">
        <f t="shared" si="6"/>
        <v>1</v>
      </c>
    </row>
    <row r="1083" spans="1:5" x14ac:dyDescent="0.2">
      <c r="A1083" s="10">
        <v>39539</v>
      </c>
      <c r="B1083" s="11">
        <v>102.8907</v>
      </c>
      <c r="D1083" s="9">
        <f>'1'!M413</f>
        <v>102.8907</v>
      </c>
      <c r="E1083" s="9" t="b">
        <f t="shared" si="6"/>
        <v>1</v>
      </c>
    </row>
    <row r="1084" spans="1:5" x14ac:dyDescent="0.2">
      <c r="A1084" s="10">
        <v>39569</v>
      </c>
      <c r="B1084" s="11">
        <v>102.678</v>
      </c>
      <c r="D1084" s="9">
        <f>'1'!M414</f>
        <v>102.678</v>
      </c>
      <c r="E1084" s="9" t="b">
        <f t="shared" si="6"/>
        <v>1</v>
      </c>
    </row>
    <row r="1085" spans="1:5" x14ac:dyDescent="0.2">
      <c r="A1085" s="10">
        <v>39600</v>
      </c>
      <c r="B1085" s="11">
        <v>105.55159999999999</v>
      </c>
      <c r="D1085" s="9">
        <f>'1'!M415</f>
        <v>105.55159999999999</v>
      </c>
      <c r="E1085" s="9" t="b">
        <f t="shared" si="6"/>
        <v>1</v>
      </c>
    </row>
    <row r="1086" spans="1:5" x14ac:dyDescent="0.2">
      <c r="A1086" s="10">
        <v>39630</v>
      </c>
      <c r="B1086" s="11">
        <v>102.5579</v>
      </c>
      <c r="D1086" s="9">
        <f>'1'!M416</f>
        <v>102.5579</v>
      </c>
      <c r="E1086" s="9" t="b">
        <f t="shared" si="6"/>
        <v>1</v>
      </c>
    </row>
    <row r="1087" spans="1:5" x14ac:dyDescent="0.2">
      <c r="A1087" s="10">
        <v>39661</v>
      </c>
      <c r="B1087" s="11">
        <v>103.3784</v>
      </c>
      <c r="D1087" s="9">
        <f>'1'!M417</f>
        <v>103.3784</v>
      </c>
      <c r="E1087" s="9" t="b">
        <f t="shared" si="6"/>
        <v>1</v>
      </c>
    </row>
    <row r="1088" spans="1:5" x14ac:dyDescent="0.2">
      <c r="A1088" s="10">
        <v>39692</v>
      </c>
      <c r="B1088" s="11">
        <v>98.274100000000004</v>
      </c>
      <c r="D1088" s="9">
        <f>'1'!M418</f>
        <v>98.274100000000004</v>
      </c>
      <c r="E1088" s="9" t="b">
        <f t="shared" si="6"/>
        <v>1</v>
      </c>
    </row>
    <row r="1089" spans="1:5" x14ac:dyDescent="0.2">
      <c r="A1089" s="10">
        <v>39722</v>
      </c>
      <c r="B1089" s="11">
        <v>97.801599999999993</v>
      </c>
      <c r="D1089" s="9">
        <f>'1'!M419</f>
        <v>97.801599999999993</v>
      </c>
      <c r="E1089" s="9" t="b">
        <f t="shared" si="6"/>
        <v>1</v>
      </c>
    </row>
    <row r="1090" spans="1:5" x14ac:dyDescent="0.2">
      <c r="A1090" s="10">
        <v>39753</v>
      </c>
      <c r="B1090" s="11">
        <v>95.787199999999999</v>
      </c>
      <c r="D1090" s="9">
        <f>'1'!M420</f>
        <v>95.787199999999999</v>
      </c>
      <c r="E1090" s="9" t="b">
        <f t="shared" si="6"/>
        <v>1</v>
      </c>
    </row>
    <row r="1091" spans="1:5" x14ac:dyDescent="0.2">
      <c r="A1091" s="10">
        <v>39783</v>
      </c>
      <c r="B1091" s="11">
        <v>93.643500000000003</v>
      </c>
      <c r="D1091" s="9">
        <f>'1'!M421</f>
        <v>93.643500000000003</v>
      </c>
      <c r="E1091" s="9" t="b">
        <f t="shared" si="6"/>
        <v>1</v>
      </c>
    </row>
    <row r="1092" spans="1:5" x14ac:dyDescent="0.2">
      <c r="A1092" s="10">
        <v>39814</v>
      </c>
      <c r="B1092" s="11">
        <v>90.985100000000003</v>
      </c>
      <c r="D1092" s="9">
        <f>'1'!M422</f>
        <v>90.985100000000003</v>
      </c>
      <c r="E1092" s="9" t="b">
        <f t="shared" si="6"/>
        <v>1</v>
      </c>
    </row>
    <row r="1093" spans="1:5" x14ac:dyDescent="0.2">
      <c r="A1093" s="10">
        <v>39845</v>
      </c>
      <c r="B1093" s="11">
        <v>90.284599999999998</v>
      </c>
      <c r="D1093" s="9">
        <f>'1'!M423</f>
        <v>90.284599999999998</v>
      </c>
      <c r="E1093" s="9" t="b">
        <f t="shared" si="6"/>
        <v>1</v>
      </c>
    </row>
    <row r="1094" spans="1:5" x14ac:dyDescent="0.2">
      <c r="A1094" s="10">
        <v>39873</v>
      </c>
      <c r="B1094" s="11">
        <v>89.3215</v>
      </c>
      <c r="D1094" s="9">
        <f>'1'!M424</f>
        <v>89.3215</v>
      </c>
      <c r="E1094" s="9" t="b">
        <f t="shared" si="6"/>
        <v>1</v>
      </c>
    </row>
    <row r="1095" spans="1:5" x14ac:dyDescent="0.2">
      <c r="A1095" s="10">
        <v>39904</v>
      </c>
      <c r="B1095" s="11">
        <v>86.760999999999996</v>
      </c>
      <c r="D1095" s="9">
        <f>'1'!M425</f>
        <v>86.760999999999996</v>
      </c>
      <c r="E1095" s="9" t="b">
        <f t="shared" si="6"/>
        <v>1</v>
      </c>
    </row>
    <row r="1096" spans="1:5" x14ac:dyDescent="0.2">
      <c r="A1096" s="10">
        <v>39934</v>
      </c>
      <c r="B1096" s="11">
        <v>86.953400000000002</v>
      </c>
      <c r="D1096" s="9">
        <f>'1'!M426</f>
        <v>86.953400000000002</v>
      </c>
      <c r="E1096" s="9" t="b">
        <f t="shared" si="6"/>
        <v>1</v>
      </c>
    </row>
    <row r="1097" spans="1:5" x14ac:dyDescent="0.2">
      <c r="A1097" s="10">
        <v>39965</v>
      </c>
      <c r="B1097" s="11">
        <v>89.227999999999994</v>
      </c>
      <c r="D1097" s="9">
        <f>'1'!M427</f>
        <v>89.227999999999994</v>
      </c>
      <c r="E1097" s="9" t="b">
        <f t="shared" si="6"/>
        <v>1</v>
      </c>
    </row>
    <row r="1098" spans="1:5" x14ac:dyDescent="0.2">
      <c r="A1098" s="10">
        <v>39995</v>
      </c>
      <c r="B1098" s="11">
        <v>88.433599999999998</v>
      </c>
      <c r="D1098" s="9">
        <f>'1'!M428</f>
        <v>88.433599999999998</v>
      </c>
      <c r="E1098" s="9" t="b">
        <f t="shared" si="6"/>
        <v>1</v>
      </c>
    </row>
    <row r="1099" spans="1:5" x14ac:dyDescent="0.2">
      <c r="A1099" s="10">
        <v>40026</v>
      </c>
      <c r="B1099" s="11">
        <v>91.532200000000003</v>
      </c>
      <c r="D1099" s="9">
        <f>'1'!M429</f>
        <v>91.532200000000003</v>
      </c>
      <c r="E1099" s="9" t="b">
        <f t="shared" si="6"/>
        <v>1</v>
      </c>
    </row>
    <row r="1100" spans="1:5" x14ac:dyDescent="0.2">
      <c r="A1100" s="10">
        <v>40057</v>
      </c>
      <c r="B1100" s="11">
        <v>90.794200000000004</v>
      </c>
      <c r="D1100" s="9">
        <f>'1'!M430</f>
        <v>90.794200000000004</v>
      </c>
      <c r="E1100" s="9" t="b">
        <f t="shared" si="6"/>
        <v>1</v>
      </c>
    </row>
    <row r="1101" spans="1:5" x14ac:dyDescent="0.2">
      <c r="A1101" s="10">
        <v>40087</v>
      </c>
      <c r="B1101" s="11">
        <v>90.240600000000001</v>
      </c>
      <c r="D1101" s="9">
        <f>'1'!M431</f>
        <v>90.240600000000001</v>
      </c>
      <c r="E1101" s="9" t="b">
        <f t="shared" si="6"/>
        <v>1</v>
      </c>
    </row>
    <row r="1102" spans="1:5" x14ac:dyDescent="0.2">
      <c r="A1102" s="10">
        <v>40118</v>
      </c>
      <c r="B1102" s="11">
        <v>89.951499999999996</v>
      </c>
      <c r="D1102" s="9">
        <f>'1'!M432</f>
        <v>89.951499999999996</v>
      </c>
      <c r="E1102" s="9" t="b">
        <f t="shared" si="6"/>
        <v>1</v>
      </c>
    </row>
    <row r="1103" spans="1:5" x14ac:dyDescent="0.2">
      <c r="A1103" s="10">
        <v>40148</v>
      </c>
      <c r="B1103" s="11">
        <v>90.735900000000001</v>
      </c>
      <c r="D1103" s="9">
        <f>'1'!M433</f>
        <v>90.735900000000001</v>
      </c>
      <c r="E1103" s="9" t="b">
        <f t="shared" si="6"/>
        <v>1</v>
      </c>
    </row>
    <row r="1104" spans="1:5" x14ac:dyDescent="0.2">
      <c r="A1104" s="10">
        <v>40179</v>
      </c>
      <c r="B1104" s="11">
        <v>91.588399999999993</v>
      </c>
      <c r="D1104" s="9">
        <f>'1'!M434</f>
        <v>91.588399999999993</v>
      </c>
      <c r="E1104" s="9" t="b">
        <f t="shared" si="6"/>
        <v>1</v>
      </c>
    </row>
    <row r="1105" spans="1:5" x14ac:dyDescent="0.2">
      <c r="A1105" s="10">
        <v>40210</v>
      </c>
      <c r="B1105" s="11">
        <v>91.694900000000004</v>
      </c>
      <c r="D1105" s="9">
        <f>'1'!M435</f>
        <v>91.694900000000004</v>
      </c>
      <c r="E1105" s="9" t="b">
        <f t="shared" si="6"/>
        <v>1</v>
      </c>
    </row>
    <row r="1106" spans="1:5" x14ac:dyDescent="0.2">
      <c r="A1106" s="10">
        <v>40238</v>
      </c>
      <c r="B1106" s="11">
        <v>92.855500000000006</v>
      </c>
      <c r="D1106" s="9">
        <f>'1'!M436</f>
        <v>92.855500000000006</v>
      </c>
      <c r="E1106" s="9" t="b">
        <f t="shared" si="6"/>
        <v>1</v>
      </c>
    </row>
    <row r="1107" spans="1:5" x14ac:dyDescent="0.2">
      <c r="A1107" s="10">
        <v>40269</v>
      </c>
      <c r="B1107" s="11">
        <v>91.785700000000006</v>
      </c>
      <c r="D1107" s="9">
        <f>'1'!M437</f>
        <v>91.785700000000006</v>
      </c>
      <c r="E1107" s="9" t="b">
        <f t="shared" si="6"/>
        <v>1</v>
      </c>
    </row>
    <row r="1108" spans="1:5" x14ac:dyDescent="0.2">
      <c r="A1108" s="10">
        <v>40299</v>
      </c>
      <c r="B1108" s="11">
        <v>93.748900000000006</v>
      </c>
      <c r="D1108" s="9">
        <f>'1'!M438</f>
        <v>93.748900000000006</v>
      </c>
      <c r="E1108" s="9" t="b">
        <f t="shared" si="6"/>
        <v>1</v>
      </c>
    </row>
    <row r="1109" spans="1:5" x14ac:dyDescent="0.2">
      <c r="A1109" s="10">
        <v>40330</v>
      </c>
      <c r="B1109" s="11">
        <v>96.776700000000005</v>
      </c>
      <c r="D1109" s="9">
        <f>'1'!M439</f>
        <v>96.776700000000005</v>
      </c>
      <c r="E1109" s="9" t="b">
        <f t="shared" si="6"/>
        <v>1</v>
      </c>
    </row>
    <row r="1110" spans="1:5" x14ac:dyDescent="0.2">
      <c r="A1110" s="10">
        <v>40360</v>
      </c>
      <c r="B1110" s="11">
        <v>94.9923</v>
      </c>
      <c r="D1110" s="9">
        <f>'1'!M440</f>
        <v>94.9923</v>
      </c>
      <c r="E1110" s="9" t="b">
        <f t="shared" si="6"/>
        <v>1</v>
      </c>
    </row>
    <row r="1111" spans="1:5" x14ac:dyDescent="0.2">
      <c r="A1111" s="10">
        <v>40391</v>
      </c>
      <c r="B1111" s="11">
        <v>97.721900000000005</v>
      </c>
      <c r="D1111" s="9">
        <f>'1'!M441</f>
        <v>97.721900000000005</v>
      </c>
      <c r="E1111" s="9" t="b">
        <f t="shared" si="6"/>
        <v>1</v>
      </c>
    </row>
    <row r="1112" spans="1:5" x14ac:dyDescent="0.2">
      <c r="A1112" s="10">
        <v>40422</v>
      </c>
      <c r="B1112" s="11">
        <v>96.682000000000002</v>
      </c>
      <c r="D1112" s="9">
        <f>'1'!M442</f>
        <v>96.682000000000002</v>
      </c>
      <c r="E1112" s="9" t="b">
        <f t="shared" si="6"/>
        <v>1</v>
      </c>
    </row>
    <row r="1113" spans="1:5" x14ac:dyDescent="0.2">
      <c r="A1113" s="10">
        <v>40452</v>
      </c>
      <c r="B1113" s="11">
        <v>95.526700000000005</v>
      </c>
      <c r="D1113" s="9">
        <f>'1'!M443</f>
        <v>95.526700000000005</v>
      </c>
      <c r="E1113" s="9" t="b">
        <f t="shared" si="6"/>
        <v>1</v>
      </c>
    </row>
    <row r="1114" spans="1:5" x14ac:dyDescent="0.2">
      <c r="A1114" s="10">
        <v>40483</v>
      </c>
      <c r="B1114" s="11">
        <v>94.681200000000004</v>
      </c>
      <c r="D1114" s="9">
        <f>'1'!M444</f>
        <v>94.681200000000004</v>
      </c>
      <c r="E1114" s="9" t="b">
        <f t="shared" si="6"/>
        <v>1</v>
      </c>
    </row>
    <row r="1115" spans="1:5" x14ac:dyDescent="0.2">
      <c r="A1115" s="10">
        <v>40513</v>
      </c>
      <c r="B1115" s="11">
        <v>96.134600000000006</v>
      </c>
      <c r="D1115" s="9">
        <f>'1'!M445</f>
        <v>96.134600000000006</v>
      </c>
      <c r="E1115" s="9" t="b">
        <f t="shared" si="6"/>
        <v>1</v>
      </c>
    </row>
    <row r="1116" spans="1:5" x14ac:dyDescent="0.2">
      <c r="A1116" s="10">
        <v>40544</v>
      </c>
      <c r="B1116" s="11">
        <v>96.006299999999996</v>
      </c>
      <c r="D1116" s="9">
        <f>'1'!M446</f>
        <v>96.006299999999996</v>
      </c>
      <c r="E1116" s="9" t="b">
        <f t="shared" si="6"/>
        <v>1</v>
      </c>
    </row>
    <row r="1117" spans="1:5" x14ac:dyDescent="0.2">
      <c r="A1117" s="10">
        <v>40575</v>
      </c>
      <c r="B1117" s="11">
        <v>95.217299999999994</v>
      </c>
      <c r="D1117" s="9">
        <f>'1'!M447</f>
        <v>95.217299999999994</v>
      </c>
      <c r="E1117" s="9" t="b">
        <f t="shared" si="6"/>
        <v>1</v>
      </c>
    </row>
    <row r="1118" spans="1:5" x14ac:dyDescent="0.2">
      <c r="A1118" s="10">
        <v>40603</v>
      </c>
      <c r="B1118" s="11">
        <v>96.804599999999994</v>
      </c>
      <c r="D1118" s="9">
        <f>'1'!M448</f>
        <v>96.804599999999994</v>
      </c>
      <c r="E1118" s="9" t="b">
        <f t="shared" si="6"/>
        <v>1</v>
      </c>
    </row>
    <row r="1119" spans="1:5" x14ac:dyDescent="0.2">
      <c r="A1119" s="10">
        <v>40634</v>
      </c>
      <c r="B1119" s="11">
        <v>94.841499999999996</v>
      </c>
      <c r="D1119" s="9">
        <f>'1'!M449</f>
        <v>94.841499999999996</v>
      </c>
      <c r="E1119" s="9" t="b">
        <f t="shared" si="6"/>
        <v>1</v>
      </c>
    </row>
    <row r="1120" spans="1:5" x14ac:dyDescent="0.2">
      <c r="A1120" s="10">
        <v>40664</v>
      </c>
      <c r="B1120" s="11">
        <v>95.5946</v>
      </c>
      <c r="D1120" s="9">
        <f>'1'!M450</f>
        <v>95.5946</v>
      </c>
      <c r="E1120" s="9" t="b">
        <f t="shared" si="6"/>
        <v>1</v>
      </c>
    </row>
    <row r="1121" spans="1:5" x14ac:dyDescent="0.2">
      <c r="A1121" s="10">
        <v>40695</v>
      </c>
      <c r="B1121" s="11">
        <v>98.664199999999994</v>
      </c>
      <c r="D1121" s="9">
        <f>'1'!M451</f>
        <v>98.664199999999994</v>
      </c>
      <c r="E1121" s="9" t="b">
        <f t="shared" ref="E1121:E1184" si="7">EXACT(B1121,D1121)</f>
        <v>1</v>
      </c>
    </row>
    <row r="1122" spans="1:5" x14ac:dyDescent="0.2">
      <c r="A1122" s="10">
        <v>40725</v>
      </c>
      <c r="B1122" s="11">
        <v>97.370900000000006</v>
      </c>
      <c r="D1122" s="9">
        <f>'1'!M452</f>
        <v>97.370900000000006</v>
      </c>
      <c r="E1122" s="9" t="b">
        <f t="shared" si="7"/>
        <v>1</v>
      </c>
    </row>
    <row r="1123" spans="1:5" x14ac:dyDescent="0.2">
      <c r="A1123" s="10">
        <v>40756</v>
      </c>
      <c r="B1123" s="11">
        <v>99.853300000000004</v>
      </c>
      <c r="D1123" s="9">
        <f>'1'!M453</f>
        <v>99.853300000000004</v>
      </c>
      <c r="E1123" s="9" t="b">
        <f t="shared" si="7"/>
        <v>1</v>
      </c>
    </row>
    <row r="1124" spans="1:5" x14ac:dyDescent="0.2">
      <c r="A1124" s="10">
        <v>40787</v>
      </c>
      <c r="B1124" s="11">
        <v>98.747299999999996</v>
      </c>
      <c r="D1124" s="9">
        <f>'1'!M454</f>
        <v>98.747299999999996</v>
      </c>
      <c r="E1124" s="9" t="b">
        <f t="shared" si="7"/>
        <v>1</v>
      </c>
    </row>
    <row r="1125" spans="1:5" x14ac:dyDescent="0.2">
      <c r="A1125" s="10">
        <v>40817</v>
      </c>
      <c r="B1125" s="11">
        <v>98.287700000000001</v>
      </c>
      <c r="D1125" s="9">
        <f>'1'!M455</f>
        <v>98.287700000000001</v>
      </c>
      <c r="E1125" s="9" t="b">
        <f t="shared" si="7"/>
        <v>1</v>
      </c>
    </row>
    <row r="1126" spans="1:5" x14ac:dyDescent="0.2">
      <c r="A1126" s="10">
        <v>40848</v>
      </c>
      <c r="B1126" s="11">
        <v>97.549199999999999</v>
      </c>
      <c r="D1126" s="9">
        <f>'1'!M456</f>
        <v>97.549199999999999</v>
      </c>
      <c r="E1126" s="9" t="b">
        <f t="shared" si="7"/>
        <v>1</v>
      </c>
    </row>
    <row r="1127" spans="1:5" x14ac:dyDescent="0.2">
      <c r="A1127" s="10">
        <v>40878</v>
      </c>
      <c r="B1127" s="11">
        <v>98.481399999999994</v>
      </c>
      <c r="D1127" s="9">
        <f>'1'!M457</f>
        <v>98.481399999999994</v>
      </c>
      <c r="E1127" s="9" t="b">
        <f t="shared" si="7"/>
        <v>1</v>
      </c>
    </row>
    <row r="1128" spans="1:5" x14ac:dyDescent="0.2">
      <c r="A1128" s="10">
        <v>40909</v>
      </c>
      <c r="B1128" s="11">
        <v>98.854600000000005</v>
      </c>
      <c r="D1128" s="9">
        <f>'1'!M458</f>
        <v>98.854600000000005</v>
      </c>
      <c r="E1128" s="9" t="b">
        <f t="shared" si="7"/>
        <v>1</v>
      </c>
    </row>
    <row r="1129" spans="1:5" x14ac:dyDescent="0.2">
      <c r="A1129" s="10">
        <v>40940</v>
      </c>
      <c r="B1129" s="11">
        <v>99.123800000000003</v>
      </c>
      <c r="D1129" s="9">
        <f>'1'!M459</f>
        <v>99.123800000000003</v>
      </c>
      <c r="E1129" s="9" t="b">
        <f t="shared" si="7"/>
        <v>1</v>
      </c>
    </row>
    <row r="1130" spans="1:5" x14ac:dyDescent="0.2">
      <c r="A1130" s="10">
        <v>40969</v>
      </c>
      <c r="B1130" s="11">
        <v>99.084500000000006</v>
      </c>
      <c r="D1130" s="9">
        <f>'1'!M460</f>
        <v>99.084500000000006</v>
      </c>
      <c r="E1130" s="9" t="b">
        <f t="shared" si="7"/>
        <v>1</v>
      </c>
    </row>
    <row r="1131" spans="1:5" x14ac:dyDescent="0.2">
      <c r="A1131" s="10">
        <v>41000</v>
      </c>
      <c r="B1131" s="11">
        <v>98.294799999999995</v>
      </c>
      <c r="D1131" s="9">
        <f>'1'!M461</f>
        <v>98.294799999999995</v>
      </c>
      <c r="E1131" s="9" t="b">
        <f t="shared" si="7"/>
        <v>1</v>
      </c>
    </row>
    <row r="1132" spans="1:5" x14ac:dyDescent="0.2">
      <c r="A1132" s="10">
        <v>41030</v>
      </c>
      <c r="B1132" s="11">
        <v>99.116799999999998</v>
      </c>
      <c r="D1132" s="9">
        <f>'1'!M462</f>
        <v>99.116799999999998</v>
      </c>
      <c r="E1132" s="9" t="b">
        <f t="shared" si="7"/>
        <v>1</v>
      </c>
    </row>
    <row r="1133" spans="1:5" x14ac:dyDescent="0.2">
      <c r="A1133" s="10">
        <v>41061</v>
      </c>
      <c r="B1133" s="11">
        <v>101.8729</v>
      </c>
      <c r="D1133" s="9">
        <f>'1'!M463</f>
        <v>101.8729</v>
      </c>
      <c r="E1133" s="9" t="b">
        <f t="shared" si="7"/>
        <v>1</v>
      </c>
    </row>
    <row r="1134" spans="1:5" x14ac:dyDescent="0.2">
      <c r="A1134" s="10">
        <v>41091</v>
      </c>
      <c r="B1134" s="11">
        <v>100.18210000000001</v>
      </c>
      <c r="D1134" s="9">
        <f>'1'!M464</f>
        <v>100.18210000000001</v>
      </c>
      <c r="E1134" s="9" t="b">
        <f t="shared" si="7"/>
        <v>1</v>
      </c>
    </row>
    <row r="1135" spans="1:5" x14ac:dyDescent="0.2">
      <c r="A1135" s="10">
        <v>41122</v>
      </c>
      <c r="B1135" s="11">
        <v>101.8822</v>
      </c>
      <c r="D1135" s="9">
        <f>'1'!M465</f>
        <v>101.8822</v>
      </c>
      <c r="E1135" s="9" t="b">
        <f t="shared" si="7"/>
        <v>1</v>
      </c>
    </row>
    <row r="1136" spans="1:5" x14ac:dyDescent="0.2">
      <c r="A1136" s="10">
        <v>41153</v>
      </c>
      <c r="B1136" s="11">
        <v>100.9534</v>
      </c>
      <c r="D1136" s="9">
        <f>'1'!M466</f>
        <v>100.9534</v>
      </c>
      <c r="E1136" s="9" t="b">
        <f t="shared" si="7"/>
        <v>1</v>
      </c>
    </row>
    <row r="1137" spans="1:8" x14ac:dyDescent="0.2">
      <c r="A1137" s="10">
        <v>41183</v>
      </c>
      <c r="B1137" s="11">
        <v>100.026</v>
      </c>
      <c r="D1137" s="9">
        <f>'1'!M467</f>
        <v>100.026</v>
      </c>
      <c r="E1137" s="9" t="b">
        <f t="shared" si="7"/>
        <v>1</v>
      </c>
    </row>
    <row r="1138" spans="1:8" x14ac:dyDescent="0.2">
      <c r="A1138" s="10">
        <v>41214</v>
      </c>
      <c r="B1138" s="11">
        <v>100.0301</v>
      </c>
      <c r="D1138" s="9">
        <f>'1'!M468</f>
        <v>100.0301</v>
      </c>
      <c r="E1138" s="9" t="b">
        <f t="shared" si="7"/>
        <v>1</v>
      </c>
    </row>
    <row r="1139" spans="1:8" x14ac:dyDescent="0.2">
      <c r="A1139" s="10">
        <v>41244</v>
      </c>
      <c r="B1139" s="11">
        <v>100.5789</v>
      </c>
      <c r="D1139" s="9">
        <f>'1'!M469</f>
        <v>100.5789</v>
      </c>
      <c r="E1139" s="9" t="b">
        <f t="shared" si="7"/>
        <v>1</v>
      </c>
    </row>
    <row r="1140" spans="1:8" x14ac:dyDescent="0.2">
      <c r="A1140" s="10">
        <v>41275</v>
      </c>
      <c r="B1140" s="11">
        <v>100.5607</v>
      </c>
      <c r="D1140" s="9">
        <f>'1'!M470</f>
        <v>100.5607</v>
      </c>
      <c r="E1140" s="9" t="b">
        <f t="shared" si="7"/>
        <v>1</v>
      </c>
    </row>
    <row r="1141" spans="1:8" x14ac:dyDescent="0.2">
      <c r="A1141" s="10">
        <v>41306</v>
      </c>
      <c r="B1141" s="11">
        <v>100.8241</v>
      </c>
      <c r="D1141" s="9">
        <f>'1'!M471</f>
        <v>100.8241</v>
      </c>
      <c r="E1141" s="9" t="b">
        <f t="shared" si="7"/>
        <v>1</v>
      </c>
    </row>
    <row r="1142" spans="1:8" x14ac:dyDescent="0.2">
      <c r="A1142" s="10">
        <v>41334</v>
      </c>
      <c r="B1142" s="11">
        <v>101.4091</v>
      </c>
      <c r="D1142" s="9">
        <f>'1'!M472</f>
        <v>101.4091</v>
      </c>
      <c r="E1142" s="9" t="b">
        <f t="shared" si="7"/>
        <v>1</v>
      </c>
    </row>
    <row r="1143" spans="1:8" x14ac:dyDescent="0.2">
      <c r="A1143" s="10">
        <v>41365</v>
      </c>
      <c r="B1143" s="11">
        <v>100.50449999999999</v>
      </c>
      <c r="D1143" s="9">
        <f>'1'!M473</f>
        <v>100.50449999999999</v>
      </c>
      <c r="E1143" s="9" t="b">
        <f t="shared" si="7"/>
        <v>1</v>
      </c>
    </row>
    <row r="1144" spans="1:8" x14ac:dyDescent="0.2">
      <c r="A1144" s="10">
        <v>41395</v>
      </c>
      <c r="B1144" s="11">
        <v>100.64790000000001</v>
      </c>
      <c r="D1144" s="9">
        <f>'1'!M474</f>
        <v>100.64790000000001</v>
      </c>
      <c r="E1144" s="9" t="b">
        <f t="shared" si="7"/>
        <v>1</v>
      </c>
    </row>
    <row r="1145" spans="1:8" x14ac:dyDescent="0.2">
      <c r="A1145" s="10">
        <v>41426</v>
      </c>
      <c r="B1145" s="11">
        <v>103.4528</v>
      </c>
      <c r="D1145" s="9">
        <f>'1'!M475</f>
        <v>103.4528</v>
      </c>
      <c r="E1145" s="9" t="b">
        <f t="shared" si="7"/>
        <v>1</v>
      </c>
    </row>
    <row r="1146" spans="1:8" x14ac:dyDescent="0.2">
      <c r="A1146" s="10">
        <v>41456</v>
      </c>
      <c r="B1146" s="11">
        <v>101.25579999999999</v>
      </c>
      <c r="D1146" s="9">
        <f>'1'!M476</f>
        <v>101.25579999999999</v>
      </c>
      <c r="E1146" s="9" t="b">
        <f t="shared" si="7"/>
        <v>1</v>
      </c>
    </row>
    <row r="1147" spans="1:8" x14ac:dyDescent="0.2">
      <c r="A1147" s="10">
        <v>41487</v>
      </c>
      <c r="B1147" s="11">
        <v>104.0902</v>
      </c>
      <c r="D1147" s="9">
        <f>'1'!M477</f>
        <v>104.0902</v>
      </c>
      <c r="E1147" s="9" t="b">
        <f t="shared" si="7"/>
        <v>1</v>
      </c>
    </row>
    <row r="1148" spans="1:8" x14ac:dyDescent="0.2">
      <c r="A1148" s="10">
        <v>41518</v>
      </c>
      <c r="B1148" s="11">
        <v>103.42270000000001</v>
      </c>
      <c r="D1148" s="9">
        <f>'1'!M478</f>
        <v>103.42270000000001</v>
      </c>
      <c r="E1148" s="9" t="b">
        <f t="shared" si="7"/>
        <v>1</v>
      </c>
    </row>
    <row r="1149" spans="1:8" x14ac:dyDescent="0.2">
      <c r="A1149" s="10">
        <v>41548</v>
      </c>
      <c r="B1149" s="11">
        <v>102.298</v>
      </c>
      <c r="D1149" s="9">
        <f>'1'!M479</f>
        <v>102.298</v>
      </c>
      <c r="E1149" s="9" t="b">
        <f t="shared" si="7"/>
        <v>1</v>
      </c>
    </row>
    <row r="1150" spans="1:8" x14ac:dyDescent="0.2">
      <c r="A1150" s="10">
        <v>41579</v>
      </c>
      <c r="B1150" s="11">
        <v>102.1056</v>
      </c>
      <c r="D1150" s="9">
        <f>'1'!M480</f>
        <v>102.1056</v>
      </c>
      <c r="E1150" s="9" t="b">
        <f t="shared" si="7"/>
        <v>1</v>
      </c>
      <c r="G1150" s="23"/>
      <c r="H1150" s="24"/>
    </row>
    <row r="1151" spans="1:8" x14ac:dyDescent="0.2">
      <c r="A1151" s="10">
        <v>41609</v>
      </c>
      <c r="B1151" s="11">
        <v>102.3793</v>
      </c>
      <c r="D1151" s="9">
        <f>'1'!M481</f>
        <v>102.3793</v>
      </c>
      <c r="E1151" s="9" t="b">
        <f t="shared" si="7"/>
        <v>1</v>
      </c>
      <c r="F1151" s="13"/>
      <c r="G1151" s="23"/>
      <c r="H1151" s="24"/>
    </row>
    <row r="1152" spans="1:8" x14ac:dyDescent="0.2">
      <c r="A1152" s="10">
        <v>41640</v>
      </c>
      <c r="B1152" s="11">
        <v>102.1683</v>
      </c>
      <c r="D1152" s="9">
        <f>'1'!M482</f>
        <v>102.1683</v>
      </c>
      <c r="E1152" s="9" t="b">
        <f t="shared" si="7"/>
        <v>1</v>
      </c>
      <c r="F1152" s="13"/>
      <c r="G1152" s="23"/>
      <c r="H1152" s="24"/>
    </row>
    <row r="1153" spans="1:8" x14ac:dyDescent="0.2">
      <c r="A1153" s="10">
        <v>41671</v>
      </c>
      <c r="B1153" s="11">
        <v>102.7889</v>
      </c>
      <c r="D1153" s="9">
        <f>'1'!M483</f>
        <v>102.7889</v>
      </c>
      <c r="E1153" s="9" t="b">
        <f t="shared" si="7"/>
        <v>1</v>
      </c>
      <c r="F1153" s="13"/>
      <c r="G1153" s="23"/>
      <c r="H1153" s="24"/>
    </row>
    <row r="1154" spans="1:8" x14ac:dyDescent="0.2">
      <c r="A1154" s="10">
        <v>41699</v>
      </c>
      <c r="B1154" s="11">
        <v>104.2804</v>
      </c>
      <c r="D1154" s="9">
        <f>'1'!M484</f>
        <v>104.2804</v>
      </c>
      <c r="E1154" s="9" t="b">
        <f t="shared" si="7"/>
        <v>1</v>
      </c>
      <c r="F1154" s="13"/>
      <c r="G1154" s="23"/>
      <c r="H1154" s="24"/>
    </row>
    <row r="1155" spans="1:8" x14ac:dyDescent="0.2">
      <c r="A1155" s="10">
        <v>41730</v>
      </c>
      <c r="B1155" s="11">
        <v>102.9064</v>
      </c>
      <c r="D1155" s="9">
        <f>'1'!M485</f>
        <v>102.9064</v>
      </c>
      <c r="E1155" s="9" t="b">
        <f t="shared" si="7"/>
        <v>1</v>
      </c>
      <c r="F1155" s="13"/>
      <c r="G1155" s="23"/>
      <c r="H1155" s="24"/>
    </row>
    <row r="1156" spans="1:8" x14ac:dyDescent="0.2">
      <c r="A1156" s="10">
        <v>41760</v>
      </c>
      <c r="B1156" s="11">
        <v>103.72709999999999</v>
      </c>
      <c r="D1156" s="9">
        <f>'1'!M486</f>
        <v>103.72709999999999</v>
      </c>
      <c r="E1156" s="9" t="b">
        <f t="shared" si="7"/>
        <v>1</v>
      </c>
      <c r="F1156" s="13"/>
      <c r="G1156" s="23"/>
      <c r="H1156" s="24"/>
    </row>
    <row r="1157" spans="1:8" x14ac:dyDescent="0.2">
      <c r="A1157" s="10">
        <v>41791</v>
      </c>
      <c r="B1157" s="11">
        <v>106.80759999999999</v>
      </c>
      <c r="D1157" s="9">
        <f>'1'!M487</f>
        <v>106.80759999999999</v>
      </c>
      <c r="E1157" s="9" t="b">
        <f t="shared" si="7"/>
        <v>1</v>
      </c>
      <c r="F1157" s="13"/>
      <c r="G1157" s="23"/>
      <c r="H1157" s="24"/>
    </row>
    <row r="1158" spans="1:8" x14ac:dyDescent="0.2">
      <c r="A1158" s="10">
        <v>41821</v>
      </c>
      <c r="B1158" s="11">
        <v>104.8018</v>
      </c>
      <c r="D1158" s="9">
        <f>'1'!M488</f>
        <v>104.8018</v>
      </c>
      <c r="E1158" s="9" t="b">
        <f t="shared" si="7"/>
        <v>1</v>
      </c>
      <c r="F1158" s="13"/>
      <c r="G1158" s="23"/>
      <c r="H1158" s="24"/>
    </row>
    <row r="1159" spans="1:8" x14ac:dyDescent="0.2">
      <c r="A1159" s="10">
        <v>41852</v>
      </c>
      <c r="B1159" s="11">
        <v>107.4252</v>
      </c>
      <c r="D1159" s="9">
        <f>'1'!M489</f>
        <v>107.4252</v>
      </c>
      <c r="E1159" s="9" t="b">
        <f t="shared" si="7"/>
        <v>1</v>
      </c>
      <c r="F1159" s="13"/>
      <c r="G1159" s="23"/>
      <c r="H1159" s="24"/>
    </row>
    <row r="1160" spans="1:8" x14ac:dyDescent="0.2">
      <c r="A1160" s="10">
        <v>41883</v>
      </c>
      <c r="B1160" s="11">
        <v>106.6147</v>
      </c>
      <c r="D1160" s="9">
        <f>'1'!M490</f>
        <v>106.6147</v>
      </c>
      <c r="E1160" s="9" t="b">
        <f t="shared" si="7"/>
        <v>1</v>
      </c>
      <c r="F1160" s="13"/>
      <c r="G1160" s="23"/>
      <c r="H1160" s="24"/>
    </row>
    <row r="1161" spans="1:8" x14ac:dyDescent="0.2">
      <c r="A1161" s="10">
        <v>41913</v>
      </c>
      <c r="B1161" s="11">
        <v>105.4789</v>
      </c>
      <c r="D1161" s="9">
        <f>'1'!M491</f>
        <v>105.4789</v>
      </c>
      <c r="E1161" s="9" t="b">
        <f t="shared" si="7"/>
        <v>1</v>
      </c>
      <c r="F1161" s="13"/>
      <c r="G1161" s="23"/>
      <c r="H1161" s="24"/>
    </row>
    <row r="1162" spans="1:8" x14ac:dyDescent="0.2">
      <c r="A1162" s="10">
        <v>41944</v>
      </c>
      <c r="B1162" s="11">
        <v>105.91500000000001</v>
      </c>
      <c r="D1162" s="9">
        <f>'1'!M492</f>
        <v>105.91500000000001</v>
      </c>
      <c r="E1162" s="9" t="b">
        <f t="shared" si="7"/>
        <v>1</v>
      </c>
      <c r="F1162" s="13"/>
      <c r="G1162" s="23"/>
      <c r="H1162" s="24"/>
    </row>
    <row r="1163" spans="1:8" x14ac:dyDescent="0.2">
      <c r="A1163" s="10">
        <v>41974</v>
      </c>
      <c r="B1163" s="11">
        <v>105.777</v>
      </c>
      <c r="D1163" s="9">
        <f>'1'!M493</f>
        <v>105.777</v>
      </c>
      <c r="E1163" s="9" t="b">
        <f t="shared" si="7"/>
        <v>1</v>
      </c>
      <c r="F1163" s="13"/>
      <c r="G1163" s="23"/>
      <c r="H1163" s="24"/>
    </row>
    <row r="1164" spans="1:8" x14ac:dyDescent="0.2">
      <c r="A1164" s="10">
        <v>42005</v>
      </c>
      <c r="B1164" s="11">
        <v>105.3085</v>
      </c>
      <c r="D1164" s="9">
        <f>'1'!M494</f>
        <v>105.3085</v>
      </c>
      <c r="E1164" s="9" t="b">
        <f t="shared" si="7"/>
        <v>1</v>
      </c>
      <c r="F1164" s="13"/>
      <c r="G1164" s="23"/>
      <c r="H1164" s="24"/>
    </row>
    <row r="1165" spans="1:8" x14ac:dyDescent="0.2">
      <c r="A1165" s="10">
        <v>42036</v>
      </c>
      <c r="B1165" s="11">
        <v>105.3511</v>
      </c>
      <c r="D1165" s="9">
        <f>'1'!M495</f>
        <v>105.3511</v>
      </c>
      <c r="E1165" s="9" t="b">
        <f t="shared" si="7"/>
        <v>1</v>
      </c>
      <c r="F1165" s="13"/>
      <c r="G1165" s="23"/>
      <c r="H1165" s="24"/>
    </row>
    <row r="1166" spans="1:8" x14ac:dyDescent="0.2">
      <c r="A1166" s="10">
        <v>42064</v>
      </c>
      <c r="B1166" s="11">
        <v>105.7556</v>
      </c>
      <c r="D1166" s="9">
        <f>'1'!M496</f>
        <v>105.7556</v>
      </c>
      <c r="E1166" s="9" t="b">
        <f t="shared" si="7"/>
        <v>1</v>
      </c>
      <c r="F1166" s="13"/>
      <c r="G1166" s="23"/>
      <c r="H1166" s="24"/>
    </row>
    <row r="1167" spans="1:8" x14ac:dyDescent="0.2">
      <c r="A1167" s="10">
        <v>42095</v>
      </c>
      <c r="B1167" s="11">
        <v>103.7886</v>
      </c>
      <c r="D1167" s="9">
        <f>'1'!M497</f>
        <v>103.7886</v>
      </c>
      <c r="E1167" s="9" t="b">
        <f t="shared" si="7"/>
        <v>1</v>
      </c>
      <c r="F1167" s="13"/>
      <c r="G1167" s="23"/>
      <c r="H1167" s="24"/>
    </row>
    <row r="1168" spans="1:8" x14ac:dyDescent="0.2">
      <c r="A1168" s="10">
        <v>42125</v>
      </c>
      <c r="B1168" s="11">
        <v>104.22190000000001</v>
      </c>
      <c r="D1168" s="9">
        <f>'1'!M498</f>
        <v>104.22190000000001</v>
      </c>
      <c r="E1168" s="9" t="b">
        <f t="shared" si="7"/>
        <v>1</v>
      </c>
      <c r="F1168" s="13"/>
      <c r="G1168" s="23"/>
      <c r="H1168" s="24"/>
    </row>
    <row r="1169" spans="1:8" x14ac:dyDescent="0.2">
      <c r="A1169" s="10">
        <v>42156</v>
      </c>
      <c r="B1169" s="11">
        <v>106.8813</v>
      </c>
      <c r="D1169" s="9">
        <f>'1'!M499</f>
        <v>106.8813</v>
      </c>
      <c r="E1169" s="9" t="b">
        <f t="shared" si="7"/>
        <v>1</v>
      </c>
      <c r="F1169" s="13"/>
      <c r="G1169" s="23"/>
      <c r="H1169" s="24"/>
    </row>
    <row r="1170" spans="1:8" x14ac:dyDescent="0.2">
      <c r="A1170" s="10">
        <v>42186</v>
      </c>
      <c r="B1170" s="11">
        <v>105.4284</v>
      </c>
      <c r="D1170" s="9">
        <f>'1'!M500</f>
        <v>105.4284</v>
      </c>
      <c r="E1170" s="9" t="b">
        <f t="shared" si="7"/>
        <v>1</v>
      </c>
      <c r="F1170" s="13"/>
      <c r="G1170" s="23"/>
      <c r="H1170" s="24"/>
    </row>
    <row r="1171" spans="1:8" x14ac:dyDescent="0.2">
      <c r="A1171" s="10">
        <v>42217</v>
      </c>
      <c r="B1171" s="11">
        <v>108.03879999999999</v>
      </c>
      <c r="D1171" s="9">
        <f>'1'!M501</f>
        <v>108.03879999999999</v>
      </c>
      <c r="E1171" s="9" t="b">
        <f t="shared" si="7"/>
        <v>1</v>
      </c>
      <c r="F1171" s="13"/>
      <c r="G1171" s="23"/>
      <c r="H1171" s="24"/>
    </row>
    <row r="1172" spans="1:8" x14ac:dyDescent="0.2">
      <c r="A1172" s="10">
        <v>42248</v>
      </c>
      <c r="B1172" s="11">
        <v>105.99930000000001</v>
      </c>
      <c r="D1172" s="9">
        <f>'1'!M502</f>
        <v>105.99930000000001</v>
      </c>
      <c r="E1172" s="9" t="b">
        <f t="shared" si="7"/>
        <v>1</v>
      </c>
      <c r="F1172" s="13"/>
      <c r="G1172" s="23"/>
      <c r="H1172" s="24"/>
    </row>
    <row r="1173" spans="1:8" x14ac:dyDescent="0.2">
      <c r="A1173" s="10">
        <v>42278</v>
      </c>
      <c r="B1173" s="11">
        <v>105.07299999999999</v>
      </c>
      <c r="C1173" s="14"/>
      <c r="D1173" s="9">
        <f>'1'!M503</f>
        <v>105.11</v>
      </c>
      <c r="E1173" s="9" t="b">
        <f t="shared" si="7"/>
        <v>0</v>
      </c>
      <c r="F1173" s="13"/>
      <c r="G1173" s="23"/>
      <c r="H1173" s="24"/>
    </row>
    <row r="1174" spans="1:8" x14ac:dyDescent="0.2">
      <c r="A1174" s="10">
        <v>42309</v>
      </c>
      <c r="B1174" s="11">
        <v>103.7379</v>
      </c>
      <c r="C1174" s="14"/>
      <c r="D1174" s="9">
        <f>'1'!M504</f>
        <v>103.7603</v>
      </c>
      <c r="E1174" s="9" t="b">
        <f t="shared" si="7"/>
        <v>0</v>
      </c>
      <c r="F1174" s="13"/>
      <c r="G1174" s="23"/>
      <c r="H1174" s="24"/>
    </row>
    <row r="1175" spans="1:8" x14ac:dyDescent="0.2">
      <c r="A1175" s="10">
        <v>42339</v>
      </c>
      <c r="B1175" s="11">
        <v>102.98390000000001</v>
      </c>
      <c r="C1175" s="14"/>
      <c r="D1175" s="9">
        <f>'1'!M505</f>
        <v>103.0189</v>
      </c>
      <c r="E1175" s="9" t="b">
        <f t="shared" si="7"/>
        <v>0</v>
      </c>
      <c r="F1175" s="13"/>
      <c r="G1175" s="23"/>
      <c r="H1175" s="24"/>
    </row>
    <row r="1176" spans="1:8" x14ac:dyDescent="0.2">
      <c r="A1176" s="10">
        <v>42370</v>
      </c>
      <c r="B1176" s="11">
        <v>103.7467</v>
      </c>
      <c r="C1176" s="14"/>
      <c r="D1176" s="9">
        <f>'1'!M506</f>
        <v>103.9329</v>
      </c>
      <c r="E1176" s="9" t="b">
        <f t="shared" si="7"/>
        <v>0</v>
      </c>
      <c r="F1176" s="13"/>
      <c r="G1176" s="23"/>
      <c r="H1176" s="24"/>
    </row>
    <row r="1177" spans="1:8" x14ac:dyDescent="0.2">
      <c r="A1177" s="10">
        <v>42401</v>
      </c>
      <c r="B1177" s="11">
        <v>103.5964</v>
      </c>
      <c r="C1177" s="14"/>
      <c r="D1177" s="9">
        <f>'1'!M507</f>
        <v>103.3847</v>
      </c>
      <c r="E1177" s="9" t="b">
        <f t="shared" si="7"/>
        <v>0</v>
      </c>
      <c r="F1177" s="13"/>
      <c r="G1177" s="23"/>
      <c r="H1177" s="24"/>
    </row>
    <row r="1178" spans="1:8" x14ac:dyDescent="0.2">
      <c r="A1178" s="10">
        <v>42430</v>
      </c>
      <c r="B1178" s="11">
        <v>103.0343</v>
      </c>
      <c r="C1178" s="14"/>
      <c r="D1178" s="9" t="str">
        <f>'1'!M508</f>
        <v>#N/A</v>
      </c>
      <c r="E1178" s="9" t="b">
        <f t="shared" si="7"/>
        <v>0</v>
      </c>
      <c r="F1178" s="13"/>
      <c r="G1178" s="23"/>
      <c r="H1178" s="24"/>
    </row>
    <row r="1179" spans="1:8" x14ac:dyDescent="0.2">
      <c r="A1179" s="10">
        <v>42461</v>
      </c>
      <c r="B1179" s="11">
        <v>102.8002</v>
      </c>
      <c r="C1179" s="14"/>
      <c r="D1179" s="9" t="str">
        <f>'1'!M509</f>
        <v>#N/A</v>
      </c>
      <c r="E1179" s="9" t="b">
        <f t="shared" si="7"/>
        <v>0</v>
      </c>
      <c r="F1179" s="13"/>
      <c r="G1179" s="23"/>
      <c r="H1179" s="24"/>
    </row>
    <row r="1180" spans="1:8" x14ac:dyDescent="0.2">
      <c r="A1180" s="10">
        <v>42491</v>
      </c>
      <c r="B1180" s="11">
        <v>102.8557</v>
      </c>
      <c r="C1180" s="14"/>
      <c r="D1180" s="9" t="str">
        <f>'1'!M510</f>
        <v>#N/A</v>
      </c>
      <c r="E1180" s="9" t="b">
        <f t="shared" si="7"/>
        <v>0</v>
      </c>
      <c r="F1180" s="13"/>
      <c r="G1180" s="23"/>
      <c r="H1180" s="24"/>
    </row>
    <row r="1181" spans="1:8" x14ac:dyDescent="0.2">
      <c r="A1181" s="10">
        <v>42522</v>
      </c>
      <c r="B1181" s="11">
        <v>106.4273</v>
      </c>
      <c r="C1181" s="14"/>
      <c r="D1181" s="9" t="str">
        <f>'1'!M511</f>
        <v>#N/A</v>
      </c>
      <c r="E1181" s="9" t="b">
        <f t="shared" si="7"/>
        <v>0</v>
      </c>
      <c r="F1181" s="13"/>
      <c r="G1181" s="23"/>
      <c r="H1181" s="24"/>
    </row>
    <row r="1182" spans="1:8" x14ac:dyDescent="0.2">
      <c r="A1182" s="10">
        <v>42552</v>
      </c>
      <c r="B1182" s="11">
        <v>104.4508</v>
      </c>
      <c r="C1182" s="14"/>
      <c r="D1182" s="9" t="str">
        <f>'1'!M512</f>
        <v>#N/A</v>
      </c>
      <c r="E1182" s="9" t="b">
        <f t="shared" si="7"/>
        <v>0</v>
      </c>
      <c r="F1182" s="13"/>
      <c r="G1182" s="23"/>
      <c r="H1182" s="24"/>
    </row>
    <row r="1183" spans="1:8" x14ac:dyDescent="0.2">
      <c r="A1183" s="10">
        <v>42583</v>
      </c>
      <c r="B1183" s="11">
        <v>106.93989999999999</v>
      </c>
      <c r="C1183" s="14"/>
      <c r="D1183" s="9" t="str">
        <f>'1'!M513</f>
        <v>#N/A</v>
      </c>
      <c r="E1183" s="9" t="b">
        <f t="shared" si="7"/>
        <v>0</v>
      </c>
      <c r="F1183" s="13"/>
      <c r="G1183" s="23"/>
      <c r="H1183" s="24"/>
    </row>
    <row r="1184" spans="1:8" x14ac:dyDescent="0.2">
      <c r="A1184" s="10">
        <v>42614</v>
      </c>
      <c r="B1184" s="11">
        <v>105.3682</v>
      </c>
      <c r="C1184" s="14"/>
      <c r="D1184" s="9" t="str">
        <f>'1'!M514</f>
        <v>#N/A</v>
      </c>
      <c r="E1184" s="9" t="b">
        <f t="shared" si="7"/>
        <v>0</v>
      </c>
      <c r="F1184" s="13"/>
      <c r="G1184" s="23"/>
      <c r="H1184" s="24"/>
    </row>
    <row r="1185" spans="1:8" x14ac:dyDescent="0.2">
      <c r="A1185" s="10">
        <v>42644</v>
      </c>
      <c r="B1185" s="11">
        <v>104.3895</v>
      </c>
      <c r="C1185" s="14"/>
      <c r="D1185" s="9" t="str">
        <f>'1'!M515</f>
        <v>#N/A</v>
      </c>
      <c r="E1185" s="9" t="b">
        <f t="shared" ref="E1185:E1186" si="8">EXACT(B1185,D1185)</f>
        <v>0</v>
      </c>
      <c r="F1185" s="13"/>
      <c r="G1185" s="23"/>
      <c r="H1185" s="24"/>
    </row>
    <row r="1186" spans="1:8" x14ac:dyDescent="0.2">
      <c r="A1186" s="10">
        <v>42675</v>
      </c>
      <c r="B1186" s="11">
        <v>102.8768</v>
      </c>
      <c r="C1186" s="14"/>
      <c r="D1186" s="9" t="str">
        <f>'1'!M516</f>
        <v>#N/A</v>
      </c>
      <c r="E1186" s="9" t="b">
        <f t="shared" si="8"/>
        <v>0</v>
      </c>
      <c r="F1186" s="13"/>
    </row>
    <row r="1187" spans="1:8" x14ac:dyDescent="0.2">
      <c r="A1187" s="10">
        <v>42705</v>
      </c>
      <c r="B1187" s="9">
        <v>103.51300000000001</v>
      </c>
      <c r="C1187" s="14"/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ToImport</vt:lpstr>
      <vt:lpstr>PIM_US</vt:lpstr>
      <vt:lpstr>PIM_BR</vt:lpstr>
      <vt:lpstr>1</vt:lpstr>
      <vt:lpstr>PIM(2012 = 100)</vt:lpstr>
      <vt:lpstr>OBS_PIM(2012 = 100)</vt:lpstr>
      <vt:lpstr>PIM(2002 = 100)</vt:lpstr>
      <vt:lpstr>OBS_PIM(2002 = 100)</vt:lpstr>
      <vt:lpstr>FRED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2017-01-03T19:32:24Z</dcterms:created>
  <dcterms:modified xsi:type="dcterms:W3CDTF">2020-07-03T14:30:36Z</dcterms:modified>
</cp:coreProperties>
</file>