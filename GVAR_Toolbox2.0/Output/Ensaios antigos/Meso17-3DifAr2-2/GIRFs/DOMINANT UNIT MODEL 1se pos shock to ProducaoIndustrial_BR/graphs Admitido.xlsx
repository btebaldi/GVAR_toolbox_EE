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.xml" ContentType="application/vnd.openxmlformats-officedocument.drawing+xml"/>
  <Override PartName="/xl/charts/chart5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-2\GIRFs\DOMINANT UNIT MODEL 1se pos shock to ProducaoIndustrial_BR\"/>
    </mc:Choice>
  </mc:AlternateContent>
  <bookViews>
    <workbookView xWindow="480" yWindow="30" windowWidth="16020" windowHeight="8880" activeTab="2"/>
  </bookViews>
  <sheets>
    <sheet name="Graphs" sheetId="1" r:id="rId1"/>
    <sheet name="Point Estimates" sheetId="7" r:id="rId2"/>
    <sheet name="Gráfico1" sheetId="9" r:id="rId3"/>
    <sheet name="Planilha1" sheetId="8" r:id="rId4"/>
  </sheets>
  <calcPr calcId="171027"/>
</workbook>
</file>

<file path=xl/calcChain.xml><?xml version="1.0" encoding="utf-8"?>
<calcChain xmlns="http://schemas.openxmlformats.org/spreadsheetml/2006/main">
  <c r="C2" i="8" l="1"/>
  <c r="D2" i="8"/>
  <c r="E2" i="8"/>
  <c r="F2" i="8"/>
  <c r="F8" i="8"/>
  <c r="G2" i="8"/>
  <c r="H2" i="8"/>
  <c r="I2" i="8"/>
  <c r="J2" i="8"/>
  <c r="J8" i="8"/>
  <c r="K2" i="8"/>
  <c r="L2" i="8"/>
  <c r="M2" i="8"/>
  <c r="N2" i="8"/>
  <c r="N8" i="8"/>
  <c r="O2" i="8"/>
  <c r="P2" i="8"/>
  <c r="Q2" i="8"/>
  <c r="R2" i="8"/>
  <c r="R8" i="8"/>
  <c r="S2" i="8"/>
  <c r="T2" i="8"/>
  <c r="U2" i="8"/>
  <c r="V2" i="8"/>
  <c r="V8" i="8"/>
  <c r="W2" i="8"/>
  <c r="X2" i="8"/>
  <c r="Y2" i="8"/>
  <c r="Z2" i="8"/>
  <c r="Z8" i="8"/>
  <c r="AA2" i="8"/>
  <c r="AB2" i="8"/>
  <c r="AC2" i="8"/>
  <c r="AD2" i="8"/>
  <c r="AD8" i="8"/>
  <c r="AE2" i="8"/>
  <c r="AF2" i="8"/>
  <c r="AG2" i="8"/>
  <c r="AH2" i="8"/>
  <c r="AH8" i="8"/>
  <c r="AI2" i="8"/>
  <c r="AJ2" i="8"/>
  <c r="AK2" i="8"/>
  <c r="AL2" i="8"/>
  <c r="AL8" i="8"/>
  <c r="AM2" i="8"/>
  <c r="AN2" i="8"/>
  <c r="AO2" i="8"/>
  <c r="AP2" i="8"/>
  <c r="AP8" i="8"/>
  <c r="AQ2" i="8"/>
  <c r="AR2" i="8"/>
  <c r="AS2" i="8"/>
  <c r="AT2" i="8"/>
  <c r="AT8" i="8"/>
  <c r="AU2" i="8"/>
  <c r="AV2" i="8"/>
  <c r="AW2" i="8"/>
  <c r="AX2" i="8"/>
  <c r="AX8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B3" i="8"/>
  <c r="B4" i="8"/>
  <c r="B5" i="8"/>
  <c r="B6" i="8"/>
  <c r="B2" i="8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E143" i="7"/>
  <c r="B9" i="8"/>
  <c r="E11" i="8"/>
  <c r="M11" i="8"/>
  <c r="U11" i="8"/>
  <c r="AC11" i="8"/>
  <c r="AK11" i="8"/>
  <c r="AS11" i="8"/>
  <c r="C8" i="8"/>
  <c r="D8" i="8"/>
  <c r="D11" i="8"/>
  <c r="E8" i="8"/>
  <c r="G8" i="8"/>
  <c r="H8" i="8"/>
  <c r="H11" i="8"/>
  <c r="I8" i="8"/>
  <c r="I11" i="8"/>
  <c r="K8" i="8"/>
  <c r="L8" i="8"/>
  <c r="L11" i="8"/>
  <c r="M8" i="8"/>
  <c r="O8" i="8"/>
  <c r="P8" i="8"/>
  <c r="P11" i="8"/>
  <c r="Q8" i="8"/>
  <c r="Q11" i="8"/>
  <c r="S8" i="8"/>
  <c r="T8" i="8"/>
  <c r="T11" i="8"/>
  <c r="U8" i="8"/>
  <c r="W8" i="8"/>
  <c r="X8" i="8"/>
  <c r="X11" i="8"/>
  <c r="Y8" i="8"/>
  <c r="Y11" i="8"/>
  <c r="AA8" i="8"/>
  <c r="AB8" i="8"/>
  <c r="AB11" i="8"/>
  <c r="AC8" i="8"/>
  <c r="AE8" i="8"/>
  <c r="AF8" i="8"/>
  <c r="AF11" i="8"/>
  <c r="AG8" i="8"/>
  <c r="AG11" i="8"/>
  <c r="AI8" i="8"/>
  <c r="AJ8" i="8"/>
  <c r="AJ11" i="8"/>
  <c r="AK8" i="8"/>
  <c r="AM8" i="8"/>
  <c r="AN8" i="8"/>
  <c r="AN11" i="8"/>
  <c r="AO8" i="8"/>
  <c r="AO11" i="8"/>
  <c r="AQ8" i="8"/>
  <c r="AR8" i="8"/>
  <c r="AR11" i="8"/>
  <c r="AS8" i="8"/>
  <c r="AU8" i="8"/>
  <c r="AV8" i="8"/>
  <c r="AV11" i="8"/>
  <c r="AW8" i="8"/>
  <c r="AW11" i="8"/>
  <c r="C9" i="8"/>
  <c r="C11" i="8"/>
  <c r="D9" i="8"/>
  <c r="E9" i="8"/>
  <c r="F9" i="8"/>
  <c r="G9" i="8"/>
  <c r="G11" i="8"/>
  <c r="H9" i="8"/>
  <c r="I9" i="8"/>
  <c r="J9" i="8"/>
  <c r="K9" i="8"/>
  <c r="K11" i="8"/>
  <c r="L9" i="8"/>
  <c r="M9" i="8"/>
  <c r="N9" i="8"/>
  <c r="O9" i="8"/>
  <c r="O11" i="8"/>
  <c r="P9" i="8"/>
  <c r="Q9" i="8"/>
  <c r="R9" i="8"/>
  <c r="S9" i="8"/>
  <c r="S11" i="8"/>
  <c r="T9" i="8"/>
  <c r="U9" i="8"/>
  <c r="V9" i="8"/>
  <c r="W9" i="8"/>
  <c r="W11" i="8"/>
  <c r="X9" i="8"/>
  <c r="Y9" i="8"/>
  <c r="Z9" i="8"/>
  <c r="AA9" i="8"/>
  <c r="AA11" i="8"/>
  <c r="AB9" i="8"/>
  <c r="AC9" i="8"/>
  <c r="AD9" i="8"/>
  <c r="AE9" i="8"/>
  <c r="AE11" i="8"/>
  <c r="AF9" i="8"/>
  <c r="AG9" i="8"/>
  <c r="AH9" i="8"/>
  <c r="AI9" i="8"/>
  <c r="AI11" i="8"/>
  <c r="AJ9" i="8"/>
  <c r="AK9" i="8"/>
  <c r="AL9" i="8"/>
  <c r="AM9" i="8"/>
  <c r="AM11" i="8"/>
  <c r="AN9" i="8"/>
  <c r="AO9" i="8"/>
  <c r="AP9" i="8"/>
  <c r="AQ9" i="8"/>
  <c r="AQ11" i="8"/>
  <c r="AR9" i="8"/>
  <c r="AS9" i="8"/>
  <c r="AT9" i="8"/>
  <c r="AU9" i="8"/>
  <c r="AU11" i="8"/>
  <c r="AV9" i="8"/>
  <c r="AW9" i="8"/>
  <c r="AX9" i="8"/>
  <c r="AJ135" i="1"/>
  <c r="AB135" i="1"/>
  <c r="T135" i="1"/>
  <c r="L135" i="1"/>
  <c r="D135" i="1"/>
  <c r="AJ116" i="1"/>
  <c r="AB116" i="1"/>
  <c r="T116" i="1"/>
  <c r="L116" i="1"/>
  <c r="D116" i="1"/>
  <c r="AJ97" i="1"/>
  <c r="AB97" i="1"/>
  <c r="T97" i="1"/>
  <c r="L97" i="1"/>
  <c r="D97" i="1"/>
  <c r="AJ78" i="1"/>
  <c r="AB78" i="1"/>
  <c r="T78" i="1"/>
  <c r="L78" i="1"/>
  <c r="D78" i="1"/>
  <c r="AJ59" i="1"/>
  <c r="AB59" i="1"/>
  <c r="T59" i="1"/>
  <c r="L59" i="1"/>
  <c r="D59" i="1"/>
  <c r="AJ40" i="1"/>
  <c r="AB40" i="1"/>
  <c r="T40" i="1"/>
  <c r="L40" i="1"/>
  <c r="D40" i="1"/>
  <c r="AJ21" i="1"/>
  <c r="AB21" i="1"/>
  <c r="T21" i="1"/>
  <c r="L21" i="1"/>
  <c r="D21" i="1"/>
  <c r="AJ2" i="1"/>
  <c r="AB2" i="1"/>
  <c r="T2" i="1"/>
  <c r="U2" i="1"/>
  <c r="L2" i="1"/>
  <c r="AK135" i="1"/>
  <c r="AK116" i="1"/>
  <c r="AK97" i="1"/>
  <c r="AK78" i="1"/>
  <c r="AK59" i="1"/>
  <c r="AK40" i="1"/>
  <c r="AK21" i="1"/>
  <c r="AK2" i="1"/>
  <c r="AC2" i="1"/>
  <c r="AC21" i="1"/>
  <c r="AC40" i="1"/>
  <c r="AC59" i="1"/>
  <c r="AC78" i="1"/>
  <c r="AC97" i="1"/>
  <c r="AC116" i="1"/>
  <c r="AC135" i="1"/>
  <c r="U135" i="1"/>
  <c r="U116" i="1"/>
  <c r="U97" i="1"/>
  <c r="U78" i="1"/>
  <c r="U59" i="1"/>
  <c r="U40" i="1"/>
  <c r="U21" i="1"/>
  <c r="M40" i="1"/>
  <c r="M59" i="1"/>
  <c r="M78" i="1"/>
  <c r="M97" i="1"/>
  <c r="M116" i="1"/>
  <c r="M135" i="1"/>
  <c r="E135" i="1"/>
  <c r="E116" i="1"/>
  <c r="E97" i="1"/>
  <c r="E78" i="1"/>
  <c r="E59" i="1"/>
  <c r="E40" i="1"/>
  <c r="M21" i="1"/>
  <c r="E21" i="1"/>
  <c r="M2" i="1"/>
  <c r="E2" i="1"/>
  <c r="D2" i="1"/>
  <c r="AX11" i="8"/>
  <c r="AT11" i="8"/>
  <c r="AP11" i="8"/>
  <c r="AL11" i="8"/>
  <c r="AH11" i="8"/>
  <c r="AD11" i="8"/>
  <c r="Z11" i="8"/>
  <c r="V11" i="8"/>
  <c r="R11" i="8"/>
  <c r="N11" i="8"/>
  <c r="J11" i="8"/>
  <c r="F11" i="8"/>
  <c r="B8" i="8"/>
  <c r="B11" i="8"/>
  <c r="A11" i="8"/>
</calcChain>
</file>

<file path=xl/sharedStrings.xml><?xml version="1.0" encoding="utf-8"?>
<sst xmlns="http://schemas.openxmlformats.org/spreadsheetml/2006/main" count="556" uniqueCount="283">
  <si>
    <t>Generalized Impulse Response Functions</t>
  </si>
  <si>
    <t>One s.e. Positive Shock to DOMINANT UNIT MODEL ProducaoIndustrial_BR</t>
  </si>
  <si>
    <t>Point Estimates</t>
  </si>
  <si>
    <t>Ro - Madeira-Guapore</t>
  </si>
  <si>
    <t>adm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</si>
  <si>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</si>
  <si>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</si>
  <si>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</si>
  <si>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</si>
  <si>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</si>
  <si>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</si>
  <si>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</si>
  <si>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</si>
  <si>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</si>
  <si>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</si>
  <si>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</si>
  <si>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</si>
  <si>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</si>
  <si>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</si>
  <si>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</si>
  <si>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</si>
  <si>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</si>
  <si>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</si>
  <si>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</si>
  <si>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</si>
  <si>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</si>
  <si>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</si>
  <si>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</si>
  <si>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</si>
  <si>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</si>
  <si>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</si>
  <si>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</si>
  <si>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</si>
  <si>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</si>
  <si>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</si>
  <si>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</si>
  <si>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</si>
  <si>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</si>
  <si>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</si>
  <si>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</si>
  <si>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</si>
  <si>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</si>
  <si>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</si>
  <si>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</si>
  <si>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</si>
  <si>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</si>
  <si>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</si>
  <si>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</si>
  <si>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</si>
  <si>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</si>
  <si>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</si>
  <si>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</si>
  <si>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</si>
  <si>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</si>
  <si>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</si>
  <si>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</si>
  <si>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</si>
  <si>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</si>
  <si>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</si>
  <si>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</si>
  <si>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</si>
  <si>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</si>
  <si>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</si>
  <si>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</si>
  <si>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</si>
  <si>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</si>
  <si>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</si>
  <si>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</si>
  <si>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</si>
  <si>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</si>
  <si>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</si>
  <si>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</si>
  <si>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</si>
  <si>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</si>
  <si>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</si>
  <si>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</si>
  <si>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</si>
  <si>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</si>
  <si>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</si>
  <si>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</si>
  <si>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</si>
  <si>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</si>
  <si>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</si>
  <si>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</si>
  <si>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</si>
  <si>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</si>
  <si>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</si>
  <si>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</si>
  <si>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</si>
  <si>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</si>
  <si>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</si>
  <si>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</si>
  <si>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</si>
  <si>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</si>
  <si>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</si>
  <si>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</si>
  <si>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</si>
  <si>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</si>
  <si>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</si>
  <si>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</si>
  <si>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</si>
  <si>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</si>
  <si>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</si>
  <si>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</si>
  <si>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</si>
  <si>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</si>
  <si>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</si>
  <si>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</si>
  <si>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</si>
  <si>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</si>
  <si>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</si>
  <si>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</si>
  <si>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</si>
  <si>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</si>
  <si>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</si>
  <si>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</si>
  <si>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</si>
  <si>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</si>
  <si>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</si>
  <si>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</si>
  <si>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</si>
  <si>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</si>
  <si>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</si>
  <si>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</si>
  <si>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</si>
  <si>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</si>
  <si>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</si>
  <si>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</si>
  <si>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</si>
  <si>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</si>
  <si>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</si>
  <si>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</si>
  <si>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</si>
  <si>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</si>
  <si>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</si>
  <si>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</si>
  <si>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</si>
  <si>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</si>
  <si>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</si>
  <si>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</si>
  <si>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</si>
  <si>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Ro1101</t>
  </si>
  <si>
    <t>norte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</si>
  <si>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</si>
  <si>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</si>
  <si>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</si>
  <si>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</si>
  <si>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</si>
  <si>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</si>
  <si>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</si>
  <si>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</si>
  <si>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</si>
  <si>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</si>
  <si>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</si>
  <si>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</si>
  <si>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</si>
  <si>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</si>
  <si>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</si>
  <si>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</si>
  <si>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</si>
  <si>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</si>
  <si>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</si>
  <si>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</si>
  <si>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nordeste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</si>
  <si>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</si>
  <si>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</si>
  <si>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</si>
  <si>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</si>
  <si>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</si>
  <si>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</si>
  <si>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</si>
  <si>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</si>
  <si>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</si>
  <si>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</si>
  <si>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</si>
  <si>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</si>
  <si>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</si>
  <si>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</si>
  <si>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</si>
  <si>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</si>
  <si>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</si>
  <si>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</si>
  <si>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</si>
  <si>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</si>
  <si>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</si>
  <si>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</si>
  <si>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</si>
  <si>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</si>
  <si>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</si>
  <si>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</si>
  <si>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</si>
  <si>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</si>
  <si>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</si>
  <si>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</si>
  <si>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</si>
  <si>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</si>
  <si>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</si>
  <si>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</si>
  <si>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</si>
  <si>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</si>
  <si>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</si>
  <si>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</si>
  <si>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</si>
  <si>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</si>
  <si>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</si>
  <si>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</si>
  <si>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sudeste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</si>
  <si>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</si>
  <si>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</si>
  <si>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</si>
  <si>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</si>
  <si>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</si>
  <si>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</si>
  <si>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</si>
  <si>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</si>
  <si>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</si>
  <si>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</si>
  <si>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</si>
  <si>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</si>
  <si>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</si>
  <si>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</si>
  <si>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</si>
  <si>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</si>
  <si>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</si>
  <si>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</si>
  <si>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</si>
  <si>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</si>
  <si>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</si>
  <si>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</si>
  <si>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</si>
  <si>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</si>
  <si>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</si>
  <si>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</si>
  <si>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</si>
  <si>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</si>
  <si>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</si>
  <si>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</si>
  <si>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</si>
  <si>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</si>
  <si>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</si>
  <si>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</si>
  <si>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</si>
  <si>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</si>
  <si>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</si>
  <si>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sul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</si>
  <si>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</si>
  <si>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</si>
  <si>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</si>
  <si>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</si>
  <si>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</si>
  <si>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</si>
  <si>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</si>
  <si>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</si>
  <si>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</si>
  <si>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</si>
  <si>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</si>
  <si>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</si>
  <si>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</si>
  <si>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</si>
  <si>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</si>
  <si>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</si>
  <si>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</si>
  <si>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</si>
  <si>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</si>
  <si>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</si>
  <si>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</si>
  <si>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</si>
  <si>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</si>
  <si>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centro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</si>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</sst>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6525819286518"/>
          <c:y val="0.14457888028238061"/>
          <c:w val="0.79345185750041514"/>
          <c:h val="0.7028140013726835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Estimates'!$E$5:$AS$5</c:f>
              <c:numCache>
                <c:formatCode>General</c:formatCode>
                <c:ptCount val="41"/>
                <c:pt idx="0">
                  <c:v>384.58713904283525</c:v>
                </c:pt>
                <c:pt idx="1">
                  <c:v>279.4609638848226</c:v>
                </c:pt>
                <c:pt idx="2">
                  <c:v>246.85178206298431</c:v>
                </c:pt>
                <c:pt idx="3">
                  <c:v>206.00708862996441</c:v>
                </c:pt>
                <c:pt idx="4">
                  <c:v>230.37145028429109</c:v>
                </c:pt>
                <c:pt idx="5">
                  <c:v>311.30578053646684</c:v>
                </c:pt>
                <c:pt idx="6">
                  <c:v>310.67826627621167</c:v>
                </c:pt>
                <c:pt idx="7">
                  <c:v>373.26263243303407</c:v>
                </c:pt>
                <c:pt idx="8">
                  <c:v>404.49975766528689</c:v>
                </c:pt>
                <c:pt idx="9">
                  <c:v>448.38486533729281</c:v>
                </c:pt>
                <c:pt idx="10">
                  <c:v>476.94294997681271</c:v>
                </c:pt>
                <c:pt idx="11">
                  <c:v>480.12797119477085</c:v>
                </c:pt>
                <c:pt idx="12">
                  <c:v>491.60453181150211</c:v>
                </c:pt>
                <c:pt idx="13">
                  <c:v>487.53662990549066</c:v>
                </c:pt>
                <c:pt idx="14">
                  <c:v>492.78919786841124</c:v>
                </c:pt>
                <c:pt idx="15">
                  <c:v>495.91493721975473</c:v>
                </c:pt>
                <c:pt idx="16">
                  <c:v>502.13002451082298</c:v>
                </c:pt>
                <c:pt idx="17">
                  <c:v>514.5399991424224</c:v>
                </c:pt>
                <c:pt idx="18">
                  <c:v>525.79908731854448</c:v>
                </c:pt>
                <c:pt idx="19">
                  <c:v>540.53223360871175</c:v>
                </c:pt>
                <c:pt idx="20">
                  <c:v>551.87045227929741</c:v>
                </c:pt>
                <c:pt idx="21">
                  <c:v>561.6989367435001</c:v>
                </c:pt>
                <c:pt idx="22">
                  <c:v>568.74835549911063</c:v>
                </c:pt>
                <c:pt idx="23">
                  <c:v>572.4540838918731</c:v>
                </c:pt>
                <c:pt idx="24">
                  <c:v>574.80706324266203</c:v>
                </c:pt>
                <c:pt idx="25">
                  <c:v>575.21662447183246</c:v>
                </c:pt>
                <c:pt idx="26">
                  <c:v>575.8222936417344</c:v>
                </c:pt>
                <c:pt idx="27">
                  <c:v>576.71221356183173</c:v>
                </c:pt>
                <c:pt idx="28">
                  <c:v>578.46112133266377</c:v>
                </c:pt>
                <c:pt idx="29">
                  <c:v>581.24503670600734</c:v>
                </c:pt>
                <c:pt idx="30">
                  <c:v>584.46630914251875</c:v>
                </c:pt>
                <c:pt idx="31">
                  <c:v>588.02935378563211</c:v>
                </c:pt>
                <c:pt idx="32">
                  <c:v>591.20720171886069</c:v>
                </c:pt>
                <c:pt idx="33">
                  <c:v>593.79535046262401</c:v>
                </c:pt>
                <c:pt idx="34">
                  <c:v>595.58286057068869</c:v>
                </c:pt>
                <c:pt idx="35">
                  <c:v>596.55831119528239</c:v>
                </c:pt>
                <c:pt idx="36">
                  <c:v>596.97456649132039</c:v>
                </c:pt>
                <c:pt idx="37">
                  <c:v>597.01081079105325</c:v>
                </c:pt>
                <c:pt idx="38">
                  <c:v>596.98763472862606</c:v>
                </c:pt>
                <c:pt idx="39">
                  <c:v>597.07231080477106</c:v>
                </c:pt>
                <c:pt idx="40">
                  <c:v>597.38123831763573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E-48E4-A1B5-0F9BC40FE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87616"/>
        <c:axId val="1"/>
      </c:lineChart>
      <c:catAx>
        <c:axId val="4417876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441787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 paperSize="9" orientation="landscape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E-42C4-ADB9-467E534CA23E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E-42C4-ADB9-467E534CA23E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E-42C4-ADB9-467E534C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89912"/>
        <c:axId val="1"/>
      </c:lineChart>
      <c:catAx>
        <c:axId val="4417899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441789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E-451B-82A9-5ACCCFD461A9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E-451B-82A9-5ACCCFD461A9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4E-451B-82A9-5ACCCFD46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83744"/>
        <c:axId val="1"/>
      </c:lineChart>
      <c:catAx>
        <c:axId val="5825837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83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8-4CE5-AF04-7F4789BC8DB0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8-4CE5-AF04-7F4789BC8DB0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8-4CE5-AF04-7F4789BC8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79808"/>
        <c:axId val="1"/>
      </c:lineChart>
      <c:catAx>
        <c:axId val="58257980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79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D-4DC1-A78A-A8979B411D5F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7D-4DC1-A78A-A8979B411D5F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7D-4DC1-A78A-A8979B411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84400"/>
        <c:axId val="1"/>
      </c:lineChart>
      <c:catAx>
        <c:axId val="5825844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84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5-4C4C-B09E-61678CDFD0E4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5-4C4C-B09E-61678CDFD0E4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5-4C4C-B09E-61678CDFD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21752"/>
        <c:axId val="1"/>
      </c:lineChart>
      <c:catAx>
        <c:axId val="5825217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217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Industrial Production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7-49D4-AFAF-0BE2086C57A1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7-49D4-AFAF-0BE2086C57A1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7-49D4-AFAF-0BE2086C5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18472"/>
        <c:axId val="1"/>
      </c:lineChart>
      <c:catAx>
        <c:axId val="58251847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18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3-4BBA-A6C7-F060A23C9D33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3-4BBA-A6C7-F060A23C9D33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3-4BBA-A6C7-F060A23C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17488"/>
        <c:axId val="1"/>
      </c:lineChart>
      <c:catAx>
        <c:axId val="5825174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174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A-4FC5-A6AF-FE2C0AE77B4E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A-4FC5-A6AF-FE2C0AE77B4E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A-4FC5-A6AF-FE2C0AE77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24048"/>
        <c:axId val="1"/>
      </c:lineChart>
      <c:catAx>
        <c:axId val="5825240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240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D-4B45-AC4C-6288783D8011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D-4B45-AC4C-6288783D8011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D-4B45-AC4C-6288783D8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29624"/>
        <c:axId val="1"/>
      </c:lineChart>
      <c:catAx>
        <c:axId val="5825296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296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Industrial Production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F-438B-9CB9-2ECE4341B277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F-438B-9CB9-2ECE4341B277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F-438B-9CB9-2ECE4341B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27656"/>
        <c:axId val="1"/>
      </c:lineChart>
      <c:catAx>
        <c:axId val="58252765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276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7-4265-B574-BC59FB7E48A4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7-4265-B574-BC59FB7E48A4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7-4265-B574-BC59FB7E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31264"/>
        <c:axId val="1"/>
      </c:lineChart>
      <c:catAx>
        <c:axId val="5825312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31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7-4F91-8567-51063FF10267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7-4F91-8567-51063FF10267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87-4F91-8567-51063FF10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34216"/>
        <c:axId val="1"/>
      </c:lineChart>
      <c:catAx>
        <c:axId val="5825342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342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9-466C-8482-FA7047E55D44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9-466C-8482-FA7047E55D44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9-466C-8482-FA7047E55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28640"/>
        <c:axId val="1"/>
      </c:lineChart>
      <c:catAx>
        <c:axId val="5825286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286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26633165829145"/>
          <c:y val="0.14000027343803406"/>
          <c:w val="0.79648241206030146"/>
          <c:h val="0.7080013828152008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Estimates'!$E$6:$AS$6</c:f>
              <c:numCache>
                <c:formatCode>General</c:formatCode>
                <c:ptCount val="41"/>
                <c:pt idx="0">
                  <c:v>442.77980497750076</c:v>
                </c:pt>
                <c:pt idx="1">
                  <c:v>232.57347718453235</c:v>
                </c:pt>
                <c:pt idx="2">
                  <c:v>209.61079221007589</c:v>
                </c:pt>
                <c:pt idx="3">
                  <c:v>146.99202609195299</c:v>
                </c:pt>
                <c:pt idx="4">
                  <c:v>154.26700407293959</c:v>
                </c:pt>
                <c:pt idx="5">
                  <c:v>250.43365280468984</c:v>
                </c:pt>
                <c:pt idx="6">
                  <c:v>222.19917445931401</c:v>
                </c:pt>
                <c:pt idx="7">
                  <c:v>282.43867641796351</c:v>
                </c:pt>
                <c:pt idx="8">
                  <c:v>282.08710051894656</c:v>
                </c:pt>
                <c:pt idx="9">
                  <c:v>302.65338234729575</c:v>
                </c:pt>
                <c:pt idx="10">
                  <c:v>310.38588179269721</c:v>
                </c:pt>
                <c:pt idx="11">
                  <c:v>289.45114764690271</c:v>
                </c:pt>
                <c:pt idx="12">
                  <c:v>291.08575859936582</c:v>
                </c:pt>
                <c:pt idx="13">
                  <c:v>275.53544303478276</c:v>
                </c:pt>
                <c:pt idx="14">
                  <c:v>279.81347323671116</c:v>
                </c:pt>
                <c:pt idx="15">
                  <c:v>283.33208400642741</c:v>
                </c:pt>
                <c:pt idx="16">
                  <c:v>291.15909747154052</c:v>
                </c:pt>
                <c:pt idx="17">
                  <c:v>306.39089251247276</c:v>
                </c:pt>
                <c:pt idx="18">
                  <c:v>316.82744976067045</c:v>
                </c:pt>
                <c:pt idx="19">
                  <c:v>330.44479812661626</c:v>
                </c:pt>
                <c:pt idx="20">
                  <c:v>337.7017440696813</c:v>
                </c:pt>
                <c:pt idx="21">
                  <c:v>342.94705642187853</c:v>
                </c:pt>
                <c:pt idx="22">
                  <c:v>345.52948721714716</c:v>
                </c:pt>
                <c:pt idx="23">
                  <c:v>345.39718139856188</c:v>
                </c:pt>
                <c:pt idx="24">
                  <c:v>345.96299576825271</c:v>
                </c:pt>
                <c:pt idx="25">
                  <c:v>345.90391481775009</c:v>
                </c:pt>
                <c:pt idx="26">
                  <c:v>347.77065909932048</c:v>
                </c:pt>
                <c:pt idx="27">
                  <c:v>350.76675956953096</c:v>
                </c:pt>
                <c:pt idx="28">
                  <c:v>354.96753446360196</c:v>
                </c:pt>
                <c:pt idx="29">
                  <c:v>360.13477950812148</c:v>
                </c:pt>
                <c:pt idx="30">
                  <c:v>365.14919163016128</c:v>
                </c:pt>
                <c:pt idx="31">
                  <c:v>370.00610095294479</c:v>
                </c:pt>
                <c:pt idx="32">
                  <c:v>373.91279192948269</c:v>
                </c:pt>
                <c:pt idx="33">
                  <c:v>376.96215305826371</c:v>
                </c:pt>
                <c:pt idx="34">
                  <c:v>379.18203864125422</c:v>
                </c:pt>
                <c:pt idx="35">
                  <c:v>380.7681161602614</c:v>
                </c:pt>
                <c:pt idx="36">
                  <c:v>382.16715295633816</c:v>
                </c:pt>
                <c:pt idx="37">
                  <c:v>383.5590432495793</c:v>
                </c:pt>
                <c:pt idx="38">
                  <c:v>385.24799224302137</c:v>
                </c:pt>
                <c:pt idx="39">
                  <c:v>387.26282740681688</c:v>
                </c:pt>
                <c:pt idx="40">
                  <c:v>389.57618635677761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1-41E1-B1E2-7FA78118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44384"/>
        <c:axId val="1"/>
      </c:lineChart>
      <c:catAx>
        <c:axId val="58254438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443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Estimates'!$E$7:$AS$7</c:f>
              <c:numCache>
                <c:formatCode>General</c:formatCode>
                <c:ptCount val="41"/>
                <c:pt idx="0">
                  <c:v>6.348012483317536</c:v>
                </c:pt>
                <c:pt idx="1">
                  <c:v>-2.0539293814925648</c:v>
                </c:pt>
                <c:pt idx="2">
                  <c:v>4.0696513701853245</c:v>
                </c:pt>
                <c:pt idx="3">
                  <c:v>5.0423355633058105</c:v>
                </c:pt>
                <c:pt idx="4">
                  <c:v>2.4431185808807783</c:v>
                </c:pt>
                <c:pt idx="5">
                  <c:v>4.4199511811185088</c:v>
                </c:pt>
                <c:pt idx="6">
                  <c:v>2.7926617853319495</c:v>
                </c:pt>
                <c:pt idx="7">
                  <c:v>8.1122357347824678</c:v>
                </c:pt>
                <c:pt idx="8">
                  <c:v>10.672177947074333</c:v>
                </c:pt>
                <c:pt idx="9">
                  <c:v>13.585720518123075</c:v>
                </c:pt>
                <c:pt idx="10">
                  <c:v>15.916986183091634</c:v>
                </c:pt>
                <c:pt idx="11">
                  <c:v>16.316341519457044</c:v>
                </c:pt>
                <c:pt idx="12">
                  <c:v>17.117680178796288</c:v>
                </c:pt>
                <c:pt idx="13">
                  <c:v>16.03122215963813</c:v>
                </c:pt>
                <c:pt idx="14">
                  <c:v>15.281579096877575</c:v>
                </c:pt>
                <c:pt idx="15">
                  <c:v>14.432538723910488</c:v>
                </c:pt>
                <c:pt idx="16">
                  <c:v>13.997744240982982</c:v>
                </c:pt>
                <c:pt idx="17">
                  <c:v>14.395780977568682</c:v>
                </c:pt>
                <c:pt idx="18">
                  <c:v>14.990829489686659</c:v>
                </c:pt>
                <c:pt idx="19">
                  <c:v>16.150138370354881</c:v>
                </c:pt>
                <c:pt idx="20">
                  <c:v>17.240615734300022</c:v>
                </c:pt>
                <c:pt idx="21">
                  <c:v>18.262411014832125</c:v>
                </c:pt>
                <c:pt idx="22">
                  <c:v>19.032203136926888</c:v>
                </c:pt>
                <c:pt idx="23">
                  <c:v>19.427707712725898</c:v>
                </c:pt>
                <c:pt idx="24">
                  <c:v>19.618900185309457</c:v>
                </c:pt>
                <c:pt idx="25">
                  <c:v>19.577506382606771</c:v>
                </c:pt>
                <c:pt idx="26">
                  <c:v>19.509595913502089</c:v>
                </c:pt>
                <c:pt idx="27">
                  <c:v>19.467676076993737</c:v>
                </c:pt>
                <c:pt idx="28">
                  <c:v>19.528050996727529</c:v>
                </c:pt>
                <c:pt idx="29">
                  <c:v>19.735061453902631</c:v>
                </c:pt>
                <c:pt idx="30">
                  <c:v>20.046637565907272</c:v>
                </c:pt>
                <c:pt idx="31">
                  <c:v>20.449962078096842</c:v>
                </c:pt>
                <c:pt idx="32">
                  <c:v>20.869470788876765</c:v>
                </c:pt>
                <c:pt idx="33">
                  <c:v>21.263740614155338</c:v>
                </c:pt>
                <c:pt idx="34">
                  <c:v>21.593164880372854</c:v>
                </c:pt>
                <c:pt idx="35">
                  <c:v>21.836746482117455</c:v>
                </c:pt>
                <c:pt idx="36">
                  <c:v>22.005822108518799</c:v>
                </c:pt>
                <c:pt idx="37">
                  <c:v>22.115149866285396</c:v>
                </c:pt>
                <c:pt idx="38">
                  <c:v>22.199242159137984</c:v>
                </c:pt>
                <c:pt idx="39">
                  <c:v>22.284876158852096</c:v>
                </c:pt>
                <c:pt idx="40">
                  <c:v>22.393817042755774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A-4E2B-B43F-DACCF4E7F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46352"/>
        <c:axId val="1"/>
      </c:lineChart>
      <c:catAx>
        <c:axId val="5825463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463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Estimates'!$E$8:$AS$8</c:f>
              <c:numCache>
                <c:formatCode>General</c:formatCode>
                <c:ptCount val="41"/>
                <c:pt idx="0">
                  <c:v>153.37917203920495</c:v>
                </c:pt>
                <c:pt idx="1">
                  <c:v>98.632035505598807</c:v>
                </c:pt>
                <c:pt idx="2">
                  <c:v>80.770401292527481</c:v>
                </c:pt>
                <c:pt idx="3">
                  <c:v>67.092188120109839</c:v>
                </c:pt>
                <c:pt idx="4">
                  <c:v>61.797211644379416</c:v>
                </c:pt>
                <c:pt idx="5">
                  <c:v>95.145746650986126</c:v>
                </c:pt>
                <c:pt idx="6">
                  <c:v>90.443078155417439</c:v>
                </c:pt>
                <c:pt idx="7">
                  <c:v>107.59150834712982</c:v>
                </c:pt>
                <c:pt idx="8">
                  <c:v>112.83694859929041</c:v>
                </c:pt>
                <c:pt idx="9">
                  <c:v>120.22260204015744</c:v>
                </c:pt>
                <c:pt idx="10">
                  <c:v>126.24752992406995</c:v>
                </c:pt>
                <c:pt idx="11">
                  <c:v>121.06437563095842</c:v>
                </c:pt>
                <c:pt idx="12">
                  <c:v>121.66301887170727</c:v>
                </c:pt>
                <c:pt idx="13">
                  <c:v>117.38886799130636</c:v>
                </c:pt>
                <c:pt idx="14">
                  <c:v>117.31131596506171</c:v>
                </c:pt>
                <c:pt idx="15">
                  <c:v>117.73463914191912</c:v>
                </c:pt>
                <c:pt idx="16">
                  <c:v>118.68057930060144</c:v>
                </c:pt>
                <c:pt idx="17">
                  <c:v>122.46185980308289</c:v>
                </c:pt>
                <c:pt idx="18">
                  <c:v>125.34457857444337</c:v>
                </c:pt>
                <c:pt idx="19">
                  <c:v>129.51563873221841</c:v>
                </c:pt>
                <c:pt idx="20">
                  <c:v>132.46757807627745</c:v>
                </c:pt>
                <c:pt idx="21">
                  <c:v>134.74968751174006</c:v>
                </c:pt>
                <c:pt idx="22">
                  <c:v>136.3441804207965</c:v>
                </c:pt>
                <c:pt idx="23">
                  <c:v>136.82149080043314</c:v>
                </c:pt>
                <c:pt idx="24">
                  <c:v>137.18777440365128</c:v>
                </c:pt>
                <c:pt idx="25">
                  <c:v>137.12460431410449</c:v>
                </c:pt>
                <c:pt idx="26">
                  <c:v>137.3853133577166</c:v>
                </c:pt>
                <c:pt idx="27">
                  <c:v>137.98205184990354</c:v>
                </c:pt>
                <c:pt idx="28">
                  <c:v>138.95653191668427</c:v>
                </c:pt>
                <c:pt idx="29">
                  <c:v>140.35965784607146</c:v>
                </c:pt>
                <c:pt idx="30">
                  <c:v>141.86245016579267</c:v>
                </c:pt>
                <c:pt idx="31">
                  <c:v>143.43196897801562</c:v>
                </c:pt>
                <c:pt idx="32">
                  <c:v>144.81320883408176</c:v>
                </c:pt>
                <c:pt idx="33">
                  <c:v>145.95438249630013</c:v>
                </c:pt>
                <c:pt idx="34">
                  <c:v>146.83786878205305</c:v>
                </c:pt>
                <c:pt idx="35">
                  <c:v>147.47678606132303</c:v>
                </c:pt>
                <c:pt idx="36">
                  <c:v>147.99225561969851</c:v>
                </c:pt>
                <c:pt idx="37">
                  <c:v>148.44277359193342</c:v>
                </c:pt>
                <c:pt idx="38">
                  <c:v>148.9294061865919</c:v>
                </c:pt>
                <c:pt idx="39">
                  <c:v>149.49169238694969</c:v>
                </c:pt>
                <c:pt idx="40">
                  <c:v>150.14301016102215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3-4510-8909-43CC0E62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38152"/>
        <c:axId val="1"/>
      </c:lineChart>
      <c:catAx>
        <c:axId val="5825381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38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Estimates'!$E$9:$AS$9</c:f>
              <c:numCache>
                <c:formatCode>General</c:formatCode>
                <c:ptCount val="41"/>
                <c:pt idx="0">
                  <c:v>2.9822388186886588</c:v>
                </c:pt>
                <c:pt idx="1">
                  <c:v>-7.0947536622608904</c:v>
                </c:pt>
                <c:pt idx="2">
                  <c:v>-2.7575271230836789</c:v>
                </c:pt>
                <c:pt idx="3">
                  <c:v>-1.4394646463541929</c:v>
                </c:pt>
                <c:pt idx="4">
                  <c:v>-2.1979888222576509</c:v>
                </c:pt>
                <c:pt idx="5">
                  <c:v>-0.47009289823773737</c:v>
                </c:pt>
                <c:pt idx="6">
                  <c:v>-2.602542522426269</c:v>
                </c:pt>
                <c:pt idx="7">
                  <c:v>-0.86119031807175705</c:v>
                </c:pt>
                <c:pt idx="8">
                  <c:v>-1.4007972249637208</c:v>
                </c:pt>
                <c:pt idx="9">
                  <c:v>-1.3821858274995193</c:v>
                </c:pt>
                <c:pt idx="10">
                  <c:v>-1.1239355437128644</c:v>
                </c:pt>
                <c:pt idx="11">
                  <c:v>-1.5982540847526807</c:v>
                </c:pt>
                <c:pt idx="12">
                  <c:v>-1.0415978925066278</c:v>
                </c:pt>
                <c:pt idx="13">
                  <c:v>-1.2959593714372635</c:v>
                </c:pt>
                <c:pt idx="14">
                  <c:v>-1.0932956536257019</c:v>
                </c:pt>
                <c:pt idx="15">
                  <c:v>-1.0726389413294632</c:v>
                </c:pt>
                <c:pt idx="16">
                  <c:v>-1.1036500886167671</c:v>
                </c:pt>
                <c:pt idx="17">
                  <c:v>-0.93443994283014564</c:v>
                </c:pt>
                <c:pt idx="18">
                  <c:v>-0.98882117348290399</c:v>
                </c:pt>
                <c:pt idx="19">
                  <c:v>-0.86772742588344109</c:v>
                </c:pt>
                <c:pt idx="20">
                  <c:v>-0.86307044424828594</c:v>
                </c:pt>
                <c:pt idx="21">
                  <c:v>-0.82591505966312995</c:v>
                </c:pt>
                <c:pt idx="22">
                  <c:v>-0.78082593337588557</c:v>
                </c:pt>
                <c:pt idx="23">
                  <c:v>-0.7853220945028595</c:v>
                </c:pt>
                <c:pt idx="24">
                  <c:v>-0.73940434929327747</c:v>
                </c:pt>
                <c:pt idx="25">
                  <c:v>-0.73062692429561171</c:v>
                </c:pt>
                <c:pt idx="26">
                  <c:v>-0.69160751130018339</c:v>
                </c:pt>
                <c:pt idx="27">
                  <c:v>-0.65792452759410469</c:v>
                </c:pt>
                <c:pt idx="28">
                  <c:v>-0.62750972728086407</c:v>
                </c:pt>
                <c:pt idx="29">
                  <c:v>-0.58887951818146933</c:v>
                </c:pt>
                <c:pt idx="30">
                  <c:v>-0.56518305204889707</c:v>
                </c:pt>
                <c:pt idx="31">
                  <c:v>-0.53570415183486175</c:v>
                </c:pt>
                <c:pt idx="32">
                  <c:v>-0.51486480540678292</c:v>
                </c:pt>
                <c:pt idx="33">
                  <c:v>-0.4939821653015169</c:v>
                </c:pt>
                <c:pt idx="34">
                  <c:v>-0.47305792695122112</c:v>
                </c:pt>
                <c:pt idx="35">
                  <c:v>-0.45470353365643013</c:v>
                </c:pt>
                <c:pt idx="36">
                  <c:v>-0.43371635898472594</c:v>
                </c:pt>
                <c:pt idx="37">
                  <c:v>-0.41491111949068549</c:v>
                </c:pt>
                <c:pt idx="38">
                  <c:v>-0.39496404808556251</c:v>
                </c:pt>
                <c:pt idx="39">
                  <c:v>-0.37568823322542721</c:v>
                </c:pt>
                <c:pt idx="40">
                  <c:v>-0.35700513847746534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C-40E1-8C8C-255D7EB8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41760"/>
        <c:axId val="1"/>
      </c:lineChart>
      <c:catAx>
        <c:axId val="58254176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417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Estimates'!$E$10:$AS$10</c:f>
              <c:numCache>
                <c:formatCode>General</c:formatCode>
                <c:ptCount val="41"/>
                <c:pt idx="0">
                  <c:v>2.9171056158858368</c:v>
                </c:pt>
                <c:pt idx="1">
                  <c:v>0.9077327793725718</c:v>
                </c:pt>
                <c:pt idx="2">
                  <c:v>1.674561636731579</c:v>
                </c:pt>
                <c:pt idx="3">
                  <c:v>1.8088491736531804</c:v>
                </c:pt>
                <c:pt idx="4">
                  <c:v>1.5202744764422369</c:v>
                </c:pt>
                <c:pt idx="5">
                  <c:v>2.3309652723749705</c:v>
                </c:pt>
                <c:pt idx="6">
                  <c:v>1.9714234812496874</c:v>
                </c:pt>
                <c:pt idx="7">
                  <c:v>2.4969648797604935</c:v>
                </c:pt>
                <c:pt idx="8">
                  <c:v>2.4474707859198417</c:v>
                </c:pt>
                <c:pt idx="9">
                  <c:v>2.5073180131230095</c:v>
                </c:pt>
                <c:pt idx="10">
                  <c:v>2.6490262594688341</c:v>
                </c:pt>
                <c:pt idx="11">
                  <c:v>2.4891680847810158</c:v>
                </c:pt>
                <c:pt idx="12">
                  <c:v>2.5752855208126557</c:v>
                </c:pt>
                <c:pt idx="13">
                  <c:v>2.4513490922171215</c:v>
                </c:pt>
                <c:pt idx="14">
                  <c:v>2.4641515642322322</c:v>
                </c:pt>
                <c:pt idx="15">
                  <c:v>2.4715363818586704</c:v>
                </c:pt>
                <c:pt idx="16">
                  <c:v>2.4780020722448408</c:v>
                </c:pt>
                <c:pt idx="17">
                  <c:v>2.5660009888710955</c:v>
                </c:pt>
                <c:pt idx="18">
                  <c:v>2.6027160928452582</c:v>
                </c:pt>
                <c:pt idx="19">
                  <c:v>2.6844999190544971</c:v>
                </c:pt>
                <c:pt idx="20">
                  <c:v>2.7262606718260116</c:v>
                </c:pt>
                <c:pt idx="21">
                  <c:v>2.7572282098936038</c:v>
                </c:pt>
                <c:pt idx="22">
                  <c:v>2.7784170785883471</c:v>
                </c:pt>
                <c:pt idx="23">
                  <c:v>2.7745187406052261</c:v>
                </c:pt>
                <c:pt idx="24">
                  <c:v>2.7800016719637801</c:v>
                </c:pt>
                <c:pt idx="25">
                  <c:v>2.7759919898331065</c:v>
                </c:pt>
                <c:pt idx="26">
                  <c:v>2.7835843084010881</c:v>
                </c:pt>
                <c:pt idx="27">
                  <c:v>2.7968231285068668</c:v>
                </c:pt>
                <c:pt idx="28">
                  <c:v>2.8149877876023117</c:v>
                </c:pt>
                <c:pt idx="29">
                  <c:v>2.8406435440152307</c:v>
                </c:pt>
                <c:pt idx="30">
                  <c:v>2.8646275666745615</c:v>
                </c:pt>
                <c:pt idx="31">
                  <c:v>2.8899749697386703</c:v>
                </c:pt>
                <c:pt idx="32">
                  <c:v>2.9108443830303239</c:v>
                </c:pt>
                <c:pt idx="33">
                  <c:v>2.9278924363094605</c:v>
                </c:pt>
                <c:pt idx="34">
                  <c:v>2.9411385633999165</c:v>
                </c:pt>
                <c:pt idx="35">
                  <c:v>2.9503272750922789</c:v>
                </c:pt>
                <c:pt idx="36">
                  <c:v>2.9582961443937363</c:v>
                </c:pt>
                <c:pt idx="37">
                  <c:v>2.9652570569272081</c:v>
                </c:pt>
                <c:pt idx="38">
                  <c:v>2.9733372970822511</c:v>
                </c:pt>
                <c:pt idx="39">
                  <c:v>2.9828864981276113</c:v>
                </c:pt>
                <c:pt idx="40">
                  <c:v>2.9939938779285113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4-426A-BC63-06EA4FD2F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50944"/>
        <c:axId val="1"/>
      </c:lineChart>
      <c:catAx>
        <c:axId val="5825509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509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Estimates'!$E$11:$AS$11</c:f>
              <c:numCache>
                <c:formatCode>General</c:formatCode>
                <c:ptCount val="41"/>
                <c:pt idx="0">
                  <c:v>1687.3665649960117</c:v>
                </c:pt>
                <c:pt idx="1">
                  <c:v>1388.7172509562372</c:v>
                </c:pt>
                <c:pt idx="2">
                  <c:v>1404.5391484636364</c:v>
                </c:pt>
                <c:pt idx="3">
                  <c:v>1212.5448339610273</c:v>
                </c:pt>
                <c:pt idx="4">
                  <c:v>1168.1767228729057</c:v>
                </c:pt>
                <c:pt idx="5">
                  <c:v>1461.307171472328</c:v>
                </c:pt>
                <c:pt idx="6">
                  <c:v>1318.0403145365146</c:v>
                </c:pt>
                <c:pt idx="7">
                  <c:v>1435.2416277683528</c:v>
                </c:pt>
                <c:pt idx="8">
                  <c:v>1372.0295086012177</c:v>
                </c:pt>
                <c:pt idx="9">
                  <c:v>1384.4615027747016</c:v>
                </c:pt>
                <c:pt idx="10">
                  <c:v>1378.944710928399</c:v>
                </c:pt>
                <c:pt idx="11">
                  <c:v>1274.3834797337597</c:v>
                </c:pt>
                <c:pt idx="12">
                  <c:v>1247.570339521151</c:v>
                </c:pt>
                <c:pt idx="13">
                  <c:v>1170.5346268230257</c:v>
                </c:pt>
                <c:pt idx="14">
                  <c:v>1160.028546148209</c:v>
                </c:pt>
                <c:pt idx="15">
                  <c:v>1150.5677900856631</c:v>
                </c:pt>
                <c:pt idx="16">
                  <c:v>1149.1002320716755</c:v>
                </c:pt>
                <c:pt idx="17">
                  <c:v>1168.7898163448438</c:v>
                </c:pt>
                <c:pt idx="18">
                  <c:v>1168.6087044453118</c:v>
                </c:pt>
                <c:pt idx="19">
                  <c:v>1177.0666314662619</c:v>
                </c:pt>
                <c:pt idx="20">
                  <c:v>1166.3448254174734</c:v>
                </c:pt>
                <c:pt idx="21">
                  <c:v>1151.5474911949148</c:v>
                </c:pt>
                <c:pt idx="22">
                  <c:v>1133.1963501843109</c:v>
                </c:pt>
                <c:pt idx="23">
                  <c:v>1110.075117942436</c:v>
                </c:pt>
                <c:pt idx="24">
                  <c:v>1092.5548956010468</c:v>
                </c:pt>
                <c:pt idx="25">
                  <c:v>1074.5316507577602</c:v>
                </c:pt>
                <c:pt idx="26">
                  <c:v>1062.7124271669538</c:v>
                </c:pt>
                <c:pt idx="27">
                  <c:v>1054.0255431045559</c:v>
                </c:pt>
                <c:pt idx="28">
                  <c:v>1048.2710181308773</c:v>
                </c:pt>
                <c:pt idx="29">
                  <c:v>1045.1995799127678</c:v>
                </c:pt>
                <c:pt idx="30">
                  <c:v>1041.5707653882109</c:v>
                </c:pt>
                <c:pt idx="31">
                  <c:v>1037.9183722811397</c:v>
                </c:pt>
                <c:pt idx="32">
                  <c:v>1032.1076447832831</c:v>
                </c:pt>
                <c:pt idx="33">
                  <c:v>1024.6056361863568</c:v>
                </c:pt>
                <c:pt idx="34">
                  <c:v>1015.6478316358326</c:v>
                </c:pt>
                <c:pt idx="35">
                  <c:v>1005.7697071077256</c:v>
                </c:pt>
                <c:pt idx="36">
                  <c:v>996.30034398458781</c:v>
                </c:pt>
                <c:pt idx="37">
                  <c:v>987.59762949470871</c:v>
                </c:pt>
                <c:pt idx="38">
                  <c:v>980.38822126757304</c:v>
                </c:pt>
                <c:pt idx="39">
                  <c:v>974.55070533811511</c:v>
                </c:pt>
                <c:pt idx="40">
                  <c:v>969.82344854715564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2-452A-889A-67A29F67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48648"/>
        <c:axId val="1"/>
      </c:lineChart>
      <c:catAx>
        <c:axId val="5825486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48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Estimates'!$E$12:$AS$12</c:f>
              <c:numCache>
                <c:formatCode>General</c:formatCode>
                <c:ptCount val="41"/>
                <c:pt idx="0">
                  <c:v>10.581128056630458</c:v>
                </c:pt>
                <c:pt idx="1">
                  <c:v>2.4442060628764577</c:v>
                </c:pt>
                <c:pt idx="2">
                  <c:v>2.4848146241399229</c:v>
                </c:pt>
                <c:pt idx="3">
                  <c:v>0.311424094232786</c:v>
                </c:pt>
                <c:pt idx="4">
                  <c:v>1.3479194160255255</c:v>
                </c:pt>
                <c:pt idx="5">
                  <c:v>3.6969515934632864</c:v>
                </c:pt>
                <c:pt idx="6">
                  <c:v>2.4697293575326098</c:v>
                </c:pt>
                <c:pt idx="7">
                  <c:v>4.0606697944262686</c:v>
                </c:pt>
                <c:pt idx="8">
                  <c:v>3.6865070694946693</c:v>
                </c:pt>
                <c:pt idx="9">
                  <c:v>4.4115186304758689</c:v>
                </c:pt>
                <c:pt idx="10">
                  <c:v>4.5759436119139956</c:v>
                </c:pt>
                <c:pt idx="11">
                  <c:v>4.2225785168510583</c:v>
                </c:pt>
                <c:pt idx="12">
                  <c:v>4.5645928432003409</c:v>
                </c:pt>
                <c:pt idx="13">
                  <c:v>4.3676561486175318</c:v>
                </c:pt>
                <c:pt idx="14">
                  <c:v>4.7457869047206511</c:v>
                </c:pt>
                <c:pt idx="15">
                  <c:v>4.8991964444997995</c:v>
                </c:pt>
                <c:pt idx="16">
                  <c:v>5.1402796550742282</c:v>
                </c:pt>
                <c:pt idx="17">
                  <c:v>5.4811489484005165</c:v>
                </c:pt>
                <c:pt idx="18">
                  <c:v>5.6614082300931488</c:v>
                </c:pt>
                <c:pt idx="19">
                  <c:v>5.9527300814952753</c:v>
                </c:pt>
                <c:pt idx="20">
                  <c:v>6.0825446350349797</c:v>
                </c:pt>
                <c:pt idx="21">
                  <c:v>6.2295941369993395</c:v>
                </c:pt>
                <c:pt idx="22">
                  <c:v>6.334043684253408</c:v>
                </c:pt>
                <c:pt idx="23">
                  <c:v>6.401970414679492</c:v>
                </c:pt>
                <c:pt idx="24">
                  <c:v>6.4997968424779931</c:v>
                </c:pt>
                <c:pt idx="25">
                  <c:v>6.5706940543191612</c:v>
                </c:pt>
                <c:pt idx="26">
                  <c:v>6.6820325264778209</c:v>
                </c:pt>
                <c:pt idx="27">
                  <c:v>6.795897874476255</c:v>
                </c:pt>
                <c:pt idx="28">
                  <c:v>6.9237656351806232</c:v>
                </c:pt>
                <c:pt idx="29">
                  <c:v>7.0595236932149064</c:v>
                </c:pt>
                <c:pt idx="30">
                  <c:v>7.1824942362269866</c:v>
                </c:pt>
                <c:pt idx="31">
                  <c:v>7.3019206411634139</c:v>
                </c:pt>
                <c:pt idx="32">
                  <c:v>7.4008229180139455</c:v>
                </c:pt>
                <c:pt idx="33">
                  <c:v>7.4881531450063417</c:v>
                </c:pt>
                <c:pt idx="34">
                  <c:v>7.5632885505000438</c:v>
                </c:pt>
                <c:pt idx="35">
                  <c:v>7.6303196392743482</c:v>
                </c:pt>
                <c:pt idx="36">
                  <c:v>7.6967114448157528</c:v>
                </c:pt>
                <c:pt idx="37">
                  <c:v>7.7623030378452684</c:v>
                </c:pt>
                <c:pt idx="38">
                  <c:v>7.8318932446562721</c:v>
                </c:pt>
                <c:pt idx="39">
                  <c:v>7.9034533914975347</c:v>
                </c:pt>
                <c:pt idx="40">
                  <c:v>7.9764644755005456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B-4482-85DC-09483350D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56848"/>
        <c:axId val="1"/>
      </c:lineChart>
      <c:catAx>
        <c:axId val="5825568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568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Estimates'!$E$13:$AS$13</c:f>
              <c:numCache>
                <c:formatCode>General</c:formatCode>
                <c:ptCount val="41"/>
                <c:pt idx="0">
                  <c:v>103.38219152270919</c:v>
                </c:pt>
                <c:pt idx="1">
                  <c:v>55.268084163520825</c:v>
                </c:pt>
                <c:pt idx="2">
                  <c:v>55.409654798995192</c:v>
                </c:pt>
                <c:pt idx="3">
                  <c:v>54.330677341543279</c:v>
                </c:pt>
                <c:pt idx="4">
                  <c:v>48.869018482125213</c:v>
                </c:pt>
                <c:pt idx="5">
                  <c:v>70.711257593703266</c:v>
                </c:pt>
                <c:pt idx="6">
                  <c:v>57.894747631076427</c:v>
                </c:pt>
                <c:pt idx="7">
                  <c:v>68.530554570683719</c:v>
                </c:pt>
                <c:pt idx="8">
                  <c:v>65.91204447573152</c:v>
                </c:pt>
                <c:pt idx="9">
                  <c:v>66.242096208176449</c:v>
                </c:pt>
                <c:pt idx="10">
                  <c:v>67.572169665578201</c:v>
                </c:pt>
                <c:pt idx="11">
                  <c:v>60.955496809701408</c:v>
                </c:pt>
                <c:pt idx="12">
                  <c:v>61.403550726934604</c:v>
                </c:pt>
                <c:pt idx="13">
                  <c:v>57.399077762947257</c:v>
                </c:pt>
                <c:pt idx="14">
                  <c:v>57.507403104238996</c:v>
                </c:pt>
                <c:pt idx="15">
                  <c:v>57.579498783977513</c:v>
                </c:pt>
                <c:pt idx="16">
                  <c:v>57.51852081673087</c:v>
                </c:pt>
                <c:pt idx="17">
                  <c:v>59.294792240102858</c:v>
                </c:pt>
                <c:pt idx="18">
                  <c:v>59.443948990934601</c:v>
                </c:pt>
                <c:pt idx="19">
                  <c:v>60.489530324483454</c:v>
                </c:pt>
                <c:pt idx="20">
                  <c:v>60.374536372713969</c:v>
                </c:pt>
                <c:pt idx="21">
                  <c:v>60.030472820663014</c:v>
                </c:pt>
                <c:pt idx="22">
                  <c:v>59.580790838184029</c:v>
                </c:pt>
                <c:pt idx="23">
                  <c:v>58.659649052155281</c:v>
                </c:pt>
                <c:pt idx="24">
                  <c:v>58.121650246318062</c:v>
                </c:pt>
                <c:pt idx="25">
                  <c:v>57.438483806794665</c:v>
                </c:pt>
                <c:pt idx="26">
                  <c:v>57.117990239020997</c:v>
                </c:pt>
                <c:pt idx="27">
                  <c:v>56.97304224598463</c:v>
                </c:pt>
                <c:pt idx="28">
                  <c:v>56.961467242193393</c:v>
                </c:pt>
                <c:pt idx="29">
                  <c:v>57.128675693618675</c:v>
                </c:pt>
                <c:pt idx="30">
                  <c:v>57.227761485307902</c:v>
                </c:pt>
                <c:pt idx="31">
                  <c:v>57.333777005966482</c:v>
                </c:pt>
                <c:pt idx="32">
                  <c:v>57.302458638213658</c:v>
                </c:pt>
                <c:pt idx="33">
                  <c:v>57.167543656552219</c:v>
                </c:pt>
                <c:pt idx="34">
                  <c:v>56.951206579587989</c:v>
                </c:pt>
                <c:pt idx="35">
                  <c:v>56.668262721356086</c:v>
                </c:pt>
                <c:pt idx="36">
                  <c:v>56.404513451441765</c:v>
                </c:pt>
                <c:pt idx="37">
                  <c:v>56.166433246879897</c:v>
                </c:pt>
                <c:pt idx="38">
                  <c:v>55.999142371734472</c:v>
                </c:pt>
                <c:pt idx="39">
                  <c:v>55.895610963352929</c:v>
                </c:pt>
                <c:pt idx="40">
                  <c:v>55.842089916940004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5-4145-BEB8-C2D51169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48976"/>
        <c:axId val="1"/>
      </c:lineChart>
      <c:catAx>
        <c:axId val="5825489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489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Estimates'!$E$14:$AS$14</c:f>
              <c:numCache>
                <c:formatCode>General</c:formatCode>
                <c:ptCount val="41"/>
                <c:pt idx="0">
                  <c:v>3.8755052300141744</c:v>
                </c:pt>
                <c:pt idx="1">
                  <c:v>1.8629662585016942</c:v>
                </c:pt>
                <c:pt idx="2">
                  <c:v>1.9140535792568918</c:v>
                </c:pt>
                <c:pt idx="3">
                  <c:v>1.1533765014491797</c:v>
                </c:pt>
                <c:pt idx="4">
                  <c:v>1.2151700164617134</c:v>
                </c:pt>
                <c:pt idx="5">
                  <c:v>2.6792806638054669</c:v>
                </c:pt>
                <c:pt idx="6">
                  <c:v>2.4752082631197649</c:v>
                </c:pt>
                <c:pt idx="7">
                  <c:v>3.4386226746570867</c:v>
                </c:pt>
                <c:pt idx="8">
                  <c:v>3.5792015017060015</c:v>
                </c:pt>
                <c:pt idx="9">
                  <c:v>3.9783537395275235</c:v>
                </c:pt>
                <c:pt idx="10">
                  <c:v>4.2537827728389495</c:v>
                </c:pt>
                <c:pt idx="11">
                  <c:v>4.0854272739208604</c:v>
                </c:pt>
                <c:pt idx="12">
                  <c:v>4.1955696492260142</c:v>
                </c:pt>
                <c:pt idx="13">
                  <c:v>4.0235465894308513</c:v>
                </c:pt>
                <c:pt idx="14">
                  <c:v>4.0816925876953993</c:v>
                </c:pt>
                <c:pt idx="15">
                  <c:v>4.1199731084566968</c:v>
                </c:pt>
                <c:pt idx="16">
                  <c:v>4.2054398438927985</c:v>
                </c:pt>
                <c:pt idx="17">
                  <c:v>4.4107310539025946</c:v>
                </c:pt>
                <c:pt idx="18">
                  <c:v>4.5686255782017104</c:v>
                </c:pt>
                <c:pt idx="19">
                  <c:v>4.7921173047079542</c:v>
                </c:pt>
                <c:pt idx="20">
                  <c:v>4.9450275013611282</c:v>
                </c:pt>
                <c:pt idx="21">
                  <c:v>5.0730405234293725</c:v>
                </c:pt>
                <c:pt idx="22">
                  <c:v>5.1626688589930714</c:v>
                </c:pt>
                <c:pt idx="23">
                  <c:v>5.204238184720956</c:v>
                </c:pt>
                <c:pt idx="24">
                  <c:v>5.2448519121790653</c:v>
                </c:pt>
                <c:pt idx="25">
                  <c:v>5.266872701308472</c:v>
                </c:pt>
                <c:pt idx="26">
                  <c:v>5.3079302708933618</c:v>
                </c:pt>
                <c:pt idx="27">
                  <c:v>5.3616776710792111</c:v>
                </c:pt>
                <c:pt idx="28">
                  <c:v>5.4314872414952315</c:v>
                </c:pt>
                <c:pt idx="29">
                  <c:v>5.5172644901809793</c:v>
                </c:pt>
                <c:pt idx="30">
                  <c:v>5.6044128388736496</c:v>
                </c:pt>
                <c:pt idx="31">
                  <c:v>5.6931234299149196</c:v>
                </c:pt>
                <c:pt idx="32">
                  <c:v>5.77177663384568</c:v>
                </c:pt>
                <c:pt idx="33">
                  <c:v>5.8399422061042703</c:v>
                </c:pt>
                <c:pt idx="34">
                  <c:v>5.8964655922026896</c:v>
                </c:pt>
                <c:pt idx="35">
                  <c:v>5.9422687440655304</c:v>
                </c:pt>
                <c:pt idx="36">
                  <c:v>5.9825672138116142</c:v>
                </c:pt>
                <c:pt idx="37">
                  <c:v>6.0195407686847195</c:v>
                </c:pt>
                <c:pt idx="38">
                  <c:v>6.0578149407052946</c:v>
                </c:pt>
                <c:pt idx="39">
                  <c:v>6.0988021181928289</c:v>
                </c:pt>
                <c:pt idx="40">
                  <c:v>6.1431982708540449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E-4A81-A663-849957D08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48320"/>
        <c:axId val="1"/>
      </c:lineChart>
      <c:catAx>
        <c:axId val="58254832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483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Estimates'!$E$15:$AS$15</c:f>
              <c:numCache>
                <c:formatCode>General</c:formatCode>
                <c:ptCount val="41"/>
                <c:pt idx="0">
                  <c:v>138.81197644654534</c:v>
                </c:pt>
                <c:pt idx="1">
                  <c:v>105.77886410677448</c:v>
                </c:pt>
                <c:pt idx="2">
                  <c:v>94.445809816202086</c:v>
                </c:pt>
                <c:pt idx="3">
                  <c:v>88.156704454717982</c:v>
                </c:pt>
                <c:pt idx="4">
                  <c:v>71.257427487872661</c:v>
                </c:pt>
                <c:pt idx="5">
                  <c:v>103.72195501346282</c:v>
                </c:pt>
                <c:pt idx="6">
                  <c:v>87.887219171626995</c:v>
                </c:pt>
                <c:pt idx="7">
                  <c:v>96.217753782958951</c:v>
                </c:pt>
                <c:pt idx="8">
                  <c:v>91.422184604047715</c:v>
                </c:pt>
                <c:pt idx="9">
                  <c:v>87.912989351688438</c:v>
                </c:pt>
                <c:pt idx="10">
                  <c:v>90.409473589055423</c:v>
                </c:pt>
                <c:pt idx="11">
                  <c:v>80.689432915254969</c:v>
                </c:pt>
                <c:pt idx="12">
                  <c:v>81.147512260441417</c:v>
                </c:pt>
                <c:pt idx="13">
                  <c:v>77.252165465575331</c:v>
                </c:pt>
                <c:pt idx="14">
                  <c:v>78.589136132749999</c:v>
                </c:pt>
                <c:pt idx="15">
                  <c:v>81.187963738569294</c:v>
                </c:pt>
                <c:pt idx="16">
                  <c:v>82.549051181926828</c:v>
                </c:pt>
                <c:pt idx="17">
                  <c:v>86.212229862501147</c:v>
                </c:pt>
                <c:pt idx="18">
                  <c:v>87.032650370632624</c:v>
                </c:pt>
                <c:pt idx="19">
                  <c:v>88.360321156156814</c:v>
                </c:pt>
                <c:pt idx="20">
                  <c:v>88.029657712317942</c:v>
                </c:pt>
                <c:pt idx="21">
                  <c:v>87.048939015129648</c:v>
                </c:pt>
                <c:pt idx="22">
                  <c:v>86.254594443579236</c:v>
                </c:pt>
                <c:pt idx="23">
                  <c:v>85.045478024100035</c:v>
                </c:pt>
                <c:pt idx="24">
                  <c:v>84.686399560636076</c:v>
                </c:pt>
                <c:pt idx="25">
                  <c:v>84.413165540126059</c:v>
                </c:pt>
                <c:pt idx="26">
                  <c:v>84.685573309844628</c:v>
                </c:pt>
                <c:pt idx="27">
                  <c:v>85.242878542583981</c:v>
                </c:pt>
                <c:pt idx="28">
                  <c:v>85.838638989057543</c:v>
                </c:pt>
                <c:pt idx="29">
                  <c:v>86.542132846539644</c:v>
                </c:pt>
                <c:pt idx="30">
                  <c:v>86.994224403539462</c:v>
                </c:pt>
                <c:pt idx="31">
                  <c:v>87.319142065462216</c:v>
                </c:pt>
                <c:pt idx="32">
                  <c:v>87.395196600193344</c:v>
                </c:pt>
                <c:pt idx="33">
                  <c:v>87.295304149905007</c:v>
                </c:pt>
                <c:pt idx="34">
                  <c:v>87.116968031059031</c:v>
                </c:pt>
                <c:pt idx="35">
                  <c:v>86.897361514844761</c:v>
                </c:pt>
                <c:pt idx="36">
                  <c:v>86.76812510663909</c:v>
                </c:pt>
                <c:pt idx="37">
                  <c:v>86.732139351752451</c:v>
                </c:pt>
                <c:pt idx="38">
                  <c:v>86.822844776136876</c:v>
                </c:pt>
                <c:pt idx="39">
                  <c:v>87.007686486579757</c:v>
                </c:pt>
                <c:pt idx="40">
                  <c:v>87.235528703184585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D-485A-9809-8598AB6C1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66688"/>
        <c:axId val="1"/>
      </c:lineChart>
      <c:catAx>
        <c:axId val="5825666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666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Estimates'!$E$16:$AS$16</c:f>
              <c:numCache>
                <c:formatCode>General</c:formatCode>
                <c:ptCount val="41"/>
                <c:pt idx="0">
                  <c:v>15.752686040059693</c:v>
                </c:pt>
                <c:pt idx="1">
                  <c:v>7.2337852863729726</c:v>
                </c:pt>
                <c:pt idx="2">
                  <c:v>-6.5289232493186855E-2</c:v>
                </c:pt>
                <c:pt idx="3">
                  <c:v>2.6840571793935335</c:v>
                </c:pt>
                <c:pt idx="4">
                  <c:v>-0.25828247444659402</c:v>
                </c:pt>
                <c:pt idx="5">
                  <c:v>3.1853032189353008</c:v>
                </c:pt>
                <c:pt idx="6">
                  <c:v>0.57415410167302039</c:v>
                </c:pt>
                <c:pt idx="7">
                  <c:v>0.90683852364002449</c:v>
                </c:pt>
                <c:pt idx="8">
                  <c:v>1.2540705806364276</c:v>
                </c:pt>
                <c:pt idx="9">
                  <c:v>0.28775458101049639</c:v>
                </c:pt>
                <c:pt idx="10">
                  <c:v>0.70807263991015479</c:v>
                </c:pt>
                <c:pt idx="11">
                  <c:v>-0.65672515574320967</c:v>
                </c:pt>
                <c:pt idx="12">
                  <c:v>-0.70222034794401988</c:v>
                </c:pt>
                <c:pt idx="13">
                  <c:v>-1.1631433342611872</c:v>
                </c:pt>
                <c:pt idx="14">
                  <c:v>-1.457997459129611</c:v>
                </c:pt>
                <c:pt idx="15">
                  <c:v>-1.4519518759496637</c:v>
                </c:pt>
                <c:pt idx="16">
                  <c:v>-1.8225137404666822</c:v>
                </c:pt>
                <c:pt idx="17">
                  <c:v>-1.8000585987207969</c:v>
                </c:pt>
                <c:pt idx="18">
                  <c:v>-2.0581201069429786</c:v>
                </c:pt>
                <c:pt idx="19">
                  <c:v>-2.2105552852286023</c:v>
                </c:pt>
                <c:pt idx="20">
                  <c:v>-2.4006307849739561</c:v>
                </c:pt>
                <c:pt idx="21">
                  <c:v>-2.6619884478837097</c:v>
                </c:pt>
                <c:pt idx="22">
                  <c:v>-2.8323292727050924</c:v>
                </c:pt>
                <c:pt idx="23">
                  <c:v>-3.0871733463708559</c:v>
                </c:pt>
                <c:pt idx="24">
                  <c:v>-3.2751801134370528</c:v>
                </c:pt>
                <c:pt idx="25">
                  <c:v>-3.4808666660001695</c:v>
                </c:pt>
                <c:pt idx="26">
                  <c:v>-3.6652152048674806</c:v>
                </c:pt>
                <c:pt idx="27">
                  <c:v>-3.8144962946237229</c:v>
                </c:pt>
                <c:pt idx="28">
                  <c:v>-3.9664699357113937</c:v>
                </c:pt>
                <c:pt idx="29">
                  <c:v>-4.0860315497967221</c:v>
                </c:pt>
                <c:pt idx="30">
                  <c:v>-4.2138905789765042</c:v>
                </c:pt>
                <c:pt idx="31">
                  <c:v>-4.3357777221011222</c:v>
                </c:pt>
                <c:pt idx="32">
                  <c:v>-4.4627656111792149</c:v>
                </c:pt>
                <c:pt idx="33">
                  <c:v>-4.5979596683388158</c:v>
                </c:pt>
                <c:pt idx="34">
                  <c:v>-4.7305473715258932</c:v>
                </c:pt>
                <c:pt idx="35">
                  <c:v>-4.8656944055127012</c:v>
                </c:pt>
                <c:pt idx="36">
                  <c:v>-4.9918004178518043</c:v>
                </c:pt>
                <c:pt idx="37">
                  <c:v>-5.1110297268617124</c:v>
                </c:pt>
                <c:pt idx="38">
                  <c:v>-5.2211072519761723</c:v>
                </c:pt>
                <c:pt idx="39">
                  <c:v>-5.3222514808780605</c:v>
                </c:pt>
                <c:pt idx="40">
                  <c:v>-5.4181158698592133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7-4DF9-A5D2-BB8E7D40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66032"/>
        <c:axId val="1"/>
      </c:lineChart>
      <c:catAx>
        <c:axId val="58256603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66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Estimates'!$E$17:$AS$17</c:f>
              <c:numCache>
                <c:formatCode>General</c:formatCode>
                <c:ptCount val="41"/>
                <c:pt idx="0">
                  <c:v>642.98804220718353</c:v>
                </c:pt>
                <c:pt idx="1">
                  <c:v>647.05251030437762</c:v>
                </c:pt>
                <c:pt idx="2">
                  <c:v>631.18842709928947</c:v>
                </c:pt>
                <c:pt idx="3">
                  <c:v>706.92372010376994</c:v>
                </c:pt>
                <c:pt idx="4">
                  <c:v>576.47365736811139</c:v>
                </c:pt>
                <c:pt idx="5">
                  <c:v>744.03882840797314</c:v>
                </c:pt>
                <c:pt idx="6">
                  <c:v>710.36215708596023</c:v>
                </c:pt>
                <c:pt idx="7">
                  <c:v>763.32680536660257</c:v>
                </c:pt>
                <c:pt idx="8">
                  <c:v>772.79792587660802</c:v>
                </c:pt>
                <c:pt idx="9">
                  <c:v>755.64352719597969</c:v>
                </c:pt>
                <c:pt idx="10">
                  <c:v>782.86502719013333</c:v>
                </c:pt>
                <c:pt idx="11">
                  <c:v>738.76862146471524</c:v>
                </c:pt>
                <c:pt idx="12">
                  <c:v>733.6276760835766</c:v>
                </c:pt>
                <c:pt idx="13">
                  <c:v>708.44504992604084</c:v>
                </c:pt>
                <c:pt idx="14">
                  <c:v>700.52858839782391</c:v>
                </c:pt>
                <c:pt idx="15">
                  <c:v>707.87259470732147</c:v>
                </c:pt>
                <c:pt idx="16">
                  <c:v>709.30469258872586</c:v>
                </c:pt>
                <c:pt idx="17">
                  <c:v>727.03196984169256</c:v>
                </c:pt>
                <c:pt idx="18">
                  <c:v>734.43899616241913</c:v>
                </c:pt>
                <c:pt idx="19">
                  <c:v>744.55117528391247</c:v>
                </c:pt>
                <c:pt idx="20">
                  <c:v>748.57240159584751</c:v>
                </c:pt>
                <c:pt idx="21">
                  <c:v>746.85695928447933</c:v>
                </c:pt>
                <c:pt idx="22">
                  <c:v>745.02369374794182</c:v>
                </c:pt>
                <c:pt idx="23">
                  <c:v>738.93951048484814</c:v>
                </c:pt>
                <c:pt idx="24">
                  <c:v>735.36665851340467</c:v>
                </c:pt>
                <c:pt idx="25">
                  <c:v>731.71985112725417</c:v>
                </c:pt>
                <c:pt idx="26">
                  <c:v>730.18020468587349</c:v>
                </c:pt>
                <c:pt idx="27">
                  <c:v>730.809278893341</c:v>
                </c:pt>
                <c:pt idx="28">
                  <c:v>732.28180313809685</c:v>
                </c:pt>
                <c:pt idx="29">
                  <c:v>735.31556424956932</c:v>
                </c:pt>
                <c:pt idx="30">
                  <c:v>737.9864155002075</c:v>
                </c:pt>
                <c:pt idx="31">
                  <c:v>740.47224220237899</c:v>
                </c:pt>
                <c:pt idx="32">
                  <c:v>741.97380521076241</c:v>
                </c:pt>
                <c:pt idx="33">
                  <c:v>742.33792648132419</c:v>
                </c:pt>
                <c:pt idx="34">
                  <c:v>741.92840112482293</c:v>
                </c:pt>
                <c:pt idx="35">
                  <c:v>740.78997193122655</c:v>
                </c:pt>
                <c:pt idx="36">
                  <c:v>739.63951651588536</c:v>
                </c:pt>
                <c:pt idx="37">
                  <c:v>738.68803944304466</c:v>
                </c:pt>
                <c:pt idx="38">
                  <c:v>738.26796090971959</c:v>
                </c:pt>
                <c:pt idx="39">
                  <c:v>738.44435226774351</c:v>
                </c:pt>
                <c:pt idx="40">
                  <c:v>739.06059273354401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0-490B-A7D6-0EF10DAC2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59144"/>
        <c:axId val="1"/>
      </c:lineChart>
      <c:catAx>
        <c:axId val="5825591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59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Estimates'!$E$18:$AS$18</c:f>
              <c:numCache>
                <c:formatCode>General</c:formatCode>
                <c:ptCount val="41"/>
                <c:pt idx="0">
                  <c:v>186.02699152927062</c:v>
                </c:pt>
                <c:pt idx="1">
                  <c:v>147.42370200252523</c:v>
                </c:pt>
                <c:pt idx="2">
                  <c:v>178.82896721447676</c:v>
                </c:pt>
                <c:pt idx="3">
                  <c:v>158.22436048966938</c:v>
                </c:pt>
                <c:pt idx="4">
                  <c:v>126.29578564629668</c:v>
                </c:pt>
                <c:pt idx="5">
                  <c:v>168.82830191522501</c:v>
                </c:pt>
                <c:pt idx="6">
                  <c:v>158.82277460938278</c:v>
                </c:pt>
                <c:pt idx="7">
                  <c:v>177.27988894734901</c:v>
                </c:pt>
                <c:pt idx="8">
                  <c:v>167.63087677293004</c:v>
                </c:pt>
                <c:pt idx="9">
                  <c:v>165.89193360459387</c:v>
                </c:pt>
                <c:pt idx="10">
                  <c:v>170.04935984439294</c:v>
                </c:pt>
                <c:pt idx="11">
                  <c:v>158.48392597429614</c:v>
                </c:pt>
                <c:pt idx="12">
                  <c:v>157.82741285442671</c:v>
                </c:pt>
                <c:pt idx="13">
                  <c:v>150.04118143155412</c:v>
                </c:pt>
                <c:pt idx="14">
                  <c:v>151.06143570528326</c:v>
                </c:pt>
                <c:pt idx="15">
                  <c:v>153.56658859138776</c:v>
                </c:pt>
                <c:pt idx="16">
                  <c:v>155.93906898904814</c:v>
                </c:pt>
                <c:pt idx="17">
                  <c:v>161.34667250782567</c:v>
                </c:pt>
                <c:pt idx="18">
                  <c:v>163.33190138269293</c:v>
                </c:pt>
                <c:pt idx="19">
                  <c:v>166.23357242374806</c:v>
                </c:pt>
                <c:pt idx="20">
                  <c:v>166.5130198470253</c:v>
                </c:pt>
                <c:pt idx="21">
                  <c:v>165.88263409304588</c:v>
                </c:pt>
                <c:pt idx="22">
                  <c:v>164.9984715065799</c:v>
                </c:pt>
                <c:pt idx="23">
                  <c:v>163.44769733864516</c:v>
                </c:pt>
                <c:pt idx="24">
                  <c:v>162.8939401286184</c:v>
                </c:pt>
                <c:pt idx="25">
                  <c:v>162.37730575491622</c:v>
                </c:pt>
                <c:pt idx="26">
                  <c:v>162.67024897071173</c:v>
                </c:pt>
                <c:pt idx="27">
                  <c:v>163.36327480879859</c:v>
                </c:pt>
                <c:pt idx="28">
                  <c:v>164.26860586262882</c:v>
                </c:pt>
                <c:pt idx="29">
                  <c:v>165.41365495557937</c:v>
                </c:pt>
                <c:pt idx="30">
                  <c:v>166.31677379975159</c:v>
                </c:pt>
                <c:pt idx="31">
                  <c:v>167.09866179656478</c:v>
                </c:pt>
                <c:pt idx="32">
                  <c:v>167.5217571263571</c:v>
                </c:pt>
                <c:pt idx="33">
                  <c:v>167.66647704086256</c:v>
                </c:pt>
                <c:pt idx="34">
                  <c:v>167.61452314934809</c:v>
                </c:pt>
                <c:pt idx="35">
                  <c:v>167.43073338808389</c:v>
                </c:pt>
                <c:pt idx="36">
                  <c:v>167.30621539659703</c:v>
                </c:pt>
                <c:pt idx="37">
                  <c:v>167.27702864877938</c:v>
                </c:pt>
                <c:pt idx="38">
                  <c:v>167.42560882167925</c:v>
                </c:pt>
                <c:pt idx="39">
                  <c:v>167.72523324205559</c:v>
                </c:pt>
                <c:pt idx="40">
                  <c:v>168.12219918058031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8-4898-8868-B586EE02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67344"/>
        <c:axId val="1"/>
      </c:lineChart>
      <c:catAx>
        <c:axId val="5825673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67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Estimates'!$E$19:$AS$19</c:f>
              <c:numCache>
                <c:formatCode>General</c:formatCode>
                <c:ptCount val="41"/>
                <c:pt idx="0">
                  <c:v>219.74166195999879</c:v>
                </c:pt>
                <c:pt idx="1">
                  <c:v>190.78600721267816</c:v>
                </c:pt>
                <c:pt idx="2">
                  <c:v>150.71595253014158</c:v>
                </c:pt>
                <c:pt idx="3">
                  <c:v>151.17528094539014</c:v>
                </c:pt>
                <c:pt idx="4">
                  <c:v>143.85782950871507</c:v>
                </c:pt>
                <c:pt idx="5">
                  <c:v>198.755984361369</c:v>
                </c:pt>
                <c:pt idx="6">
                  <c:v>196.88650644175507</c:v>
                </c:pt>
                <c:pt idx="7">
                  <c:v>219.77445884635674</c:v>
                </c:pt>
                <c:pt idx="8">
                  <c:v>228.08229857189687</c:v>
                </c:pt>
                <c:pt idx="9">
                  <c:v>229.28911023034283</c:v>
                </c:pt>
                <c:pt idx="10">
                  <c:v>231.25343539961261</c:v>
                </c:pt>
                <c:pt idx="11">
                  <c:v>213.69123886720178</c:v>
                </c:pt>
                <c:pt idx="12">
                  <c:v>205.36530613917142</c:v>
                </c:pt>
                <c:pt idx="13">
                  <c:v>193.12503859884933</c:v>
                </c:pt>
                <c:pt idx="14">
                  <c:v>188.41519592345375</c:v>
                </c:pt>
                <c:pt idx="15">
                  <c:v>188.94620999991145</c:v>
                </c:pt>
                <c:pt idx="16">
                  <c:v>191.24341912305692</c:v>
                </c:pt>
                <c:pt idx="17">
                  <c:v>198.92488682963304</c:v>
                </c:pt>
                <c:pt idx="18">
                  <c:v>204.63430001441012</c:v>
                </c:pt>
                <c:pt idx="19">
                  <c:v>210.49536610075393</c:v>
                </c:pt>
                <c:pt idx="20">
                  <c:v>213.26878965341893</c:v>
                </c:pt>
                <c:pt idx="21">
                  <c:v>213.37686692506713</c:v>
                </c:pt>
                <c:pt idx="22">
                  <c:v>212.0348662640653</c:v>
                </c:pt>
                <c:pt idx="23">
                  <c:v>208.94446936273911</c:v>
                </c:pt>
                <c:pt idx="24">
                  <c:v>206.23656177054647</c:v>
                </c:pt>
                <c:pt idx="25">
                  <c:v>203.77063542332147</c:v>
                </c:pt>
                <c:pt idx="26">
                  <c:v>202.51464611006719</c:v>
                </c:pt>
                <c:pt idx="27">
                  <c:v>202.47738786676828</c:v>
                </c:pt>
                <c:pt idx="28">
                  <c:v>203.32113451112377</c:v>
                </c:pt>
                <c:pt idx="29">
                  <c:v>204.93251841855533</c:v>
                </c:pt>
                <c:pt idx="30">
                  <c:v>206.58134248679136</c:v>
                </c:pt>
                <c:pt idx="31">
                  <c:v>208.0635662595291</c:v>
                </c:pt>
                <c:pt idx="32">
                  <c:v>208.98607679091768</c:v>
                </c:pt>
                <c:pt idx="33">
                  <c:v>209.26715001743668</c:v>
                </c:pt>
                <c:pt idx="34">
                  <c:v>209.01050155503361</c:v>
                </c:pt>
                <c:pt idx="35">
                  <c:v>208.35134076734363</c:v>
                </c:pt>
                <c:pt idx="36">
                  <c:v>207.60669077218319</c:v>
                </c:pt>
                <c:pt idx="37">
                  <c:v>206.96483655785215</c:v>
                </c:pt>
                <c:pt idx="38">
                  <c:v>206.61021699183704</c:v>
                </c:pt>
                <c:pt idx="39">
                  <c:v>206.59403309690367</c:v>
                </c:pt>
                <c:pt idx="40">
                  <c:v>206.86670804317799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3-43BD-8040-9EF90069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78496"/>
        <c:axId val="1"/>
      </c:lineChart>
      <c:catAx>
        <c:axId val="58257849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784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Estimates'!$E$20:$AS$20</c:f>
              <c:numCache>
                <c:formatCode>General</c:formatCode>
                <c:ptCount val="41"/>
                <c:pt idx="0">
                  <c:v>760.11364084037166</c:v>
                </c:pt>
                <c:pt idx="1">
                  <c:v>590.00053602122739</c:v>
                </c:pt>
                <c:pt idx="2">
                  <c:v>458.38898197457701</c:v>
                </c:pt>
                <c:pt idx="3">
                  <c:v>462.69296377183406</c:v>
                </c:pt>
                <c:pt idx="4">
                  <c:v>319.12056272013751</c:v>
                </c:pt>
                <c:pt idx="5">
                  <c:v>487.1593343295184</c:v>
                </c:pt>
                <c:pt idx="6">
                  <c:v>429.14940425895981</c:v>
                </c:pt>
                <c:pt idx="7">
                  <c:v>489.62748501623992</c:v>
                </c:pt>
                <c:pt idx="8">
                  <c:v>505.51203082551996</c:v>
                </c:pt>
                <c:pt idx="9">
                  <c:v>498.67770925951203</c:v>
                </c:pt>
                <c:pt idx="10">
                  <c:v>530.7985649878334</c:v>
                </c:pt>
                <c:pt idx="11">
                  <c:v>486.07398962461281</c:v>
                </c:pt>
                <c:pt idx="12">
                  <c:v>485.91721104305975</c:v>
                </c:pt>
                <c:pt idx="13">
                  <c:v>461.24668445793873</c:v>
                </c:pt>
                <c:pt idx="14">
                  <c:v>454.37083930631269</c:v>
                </c:pt>
                <c:pt idx="15">
                  <c:v>458.83035208841312</c:v>
                </c:pt>
                <c:pt idx="16">
                  <c:v>455.83088575950802</c:v>
                </c:pt>
                <c:pt idx="17">
                  <c:v>470.14308908001834</c:v>
                </c:pt>
                <c:pt idx="18">
                  <c:v>474.42732430080679</c:v>
                </c:pt>
                <c:pt idx="19">
                  <c:v>484.33963214152988</c:v>
                </c:pt>
                <c:pt idx="20">
                  <c:v>489.45041659449168</c:v>
                </c:pt>
                <c:pt idx="21">
                  <c:v>490.42116323093876</c:v>
                </c:pt>
                <c:pt idx="22">
                  <c:v>491.6396020509892</c:v>
                </c:pt>
                <c:pt idx="23">
                  <c:v>487.81234864992683</c:v>
                </c:pt>
                <c:pt idx="24">
                  <c:v>485.61744382901969</c:v>
                </c:pt>
                <c:pt idx="25">
                  <c:v>481.99452044375118</c:v>
                </c:pt>
                <c:pt idx="26">
                  <c:v>479.8437748585439</c:v>
                </c:pt>
                <c:pt idx="27">
                  <c:v>479.48869091764817</c:v>
                </c:pt>
                <c:pt idx="28">
                  <c:v>480.05654901287073</c:v>
                </c:pt>
                <c:pt idx="29">
                  <c:v>482.55995646682891</c:v>
                </c:pt>
                <c:pt idx="30">
                  <c:v>485.05646310247755</c:v>
                </c:pt>
                <c:pt idx="31">
                  <c:v>487.79315383257756</c:v>
                </c:pt>
                <c:pt idx="32">
                  <c:v>489.78342169559153</c:v>
                </c:pt>
                <c:pt idx="33">
                  <c:v>490.79667149641983</c:v>
                </c:pt>
                <c:pt idx="34">
                  <c:v>491.06742183874127</c:v>
                </c:pt>
                <c:pt idx="35">
                  <c:v>490.52778634044768</c:v>
                </c:pt>
                <c:pt idx="36">
                  <c:v>489.84089513284965</c:v>
                </c:pt>
                <c:pt idx="37">
                  <c:v>489.15027989584075</c:v>
                </c:pt>
                <c:pt idx="38">
                  <c:v>488.80860207452969</c:v>
                </c:pt>
                <c:pt idx="39">
                  <c:v>488.91676483024122</c:v>
                </c:pt>
                <c:pt idx="40">
                  <c:v>489.39857594938383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A-407A-B358-E14B9D80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78824"/>
        <c:axId val="1"/>
      </c:lineChart>
      <c:catAx>
        <c:axId val="5825788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78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Estimates'!$E$21:$AS$21</c:f>
              <c:numCache>
                <c:formatCode>General</c:formatCode>
                <c:ptCount val="41"/>
                <c:pt idx="0">
                  <c:v>14.08284847296795</c:v>
                </c:pt>
                <c:pt idx="1">
                  <c:v>14.51799774384626</c:v>
                </c:pt>
                <c:pt idx="2">
                  <c:v>13.853164632841915</c:v>
                </c:pt>
                <c:pt idx="3">
                  <c:v>10.300299380668967</c:v>
                </c:pt>
                <c:pt idx="4">
                  <c:v>7.6823812769886572</c:v>
                </c:pt>
                <c:pt idx="5">
                  <c:v>8.38205313700721</c:v>
                </c:pt>
                <c:pt idx="6">
                  <c:v>7.085675720330264</c:v>
                </c:pt>
                <c:pt idx="7">
                  <c:v>7.2633699321357863</c:v>
                </c:pt>
                <c:pt idx="8">
                  <c:v>6.7838528955121555</c:v>
                </c:pt>
                <c:pt idx="9">
                  <c:v>6.8825658054988503</c:v>
                </c:pt>
                <c:pt idx="10">
                  <c:v>7.0993129018919232</c:v>
                </c:pt>
                <c:pt idx="11">
                  <c:v>6.6126449568868289</c:v>
                </c:pt>
                <c:pt idx="12">
                  <c:v>6.4299680628812608</c:v>
                </c:pt>
                <c:pt idx="13">
                  <c:v>5.8649559806069966</c:v>
                </c:pt>
                <c:pt idx="14">
                  <c:v>5.5568058487805212</c:v>
                </c:pt>
                <c:pt idx="15">
                  <c:v>5.2116329411627778</c:v>
                </c:pt>
                <c:pt idx="16">
                  <c:v>4.8367554527577603</c:v>
                </c:pt>
                <c:pt idx="17">
                  <c:v>4.5906750814880279</c:v>
                </c:pt>
                <c:pt idx="18">
                  <c:v>4.2784564514081209</c:v>
                </c:pt>
                <c:pt idx="19">
                  <c:v>4.0907945286904575</c:v>
                </c:pt>
                <c:pt idx="20">
                  <c:v>3.8854481579921831</c:v>
                </c:pt>
                <c:pt idx="21">
                  <c:v>3.7149108302104525</c:v>
                </c:pt>
                <c:pt idx="22">
                  <c:v>3.5650315906512899</c:v>
                </c:pt>
                <c:pt idx="23">
                  <c:v>3.3879874849593232</c:v>
                </c:pt>
                <c:pt idx="24">
                  <c:v>3.2188264692335617</c:v>
                </c:pt>
                <c:pt idx="25">
                  <c:v>3.0095993561488319</c:v>
                </c:pt>
                <c:pt idx="26">
                  <c:v>2.7967854249029793</c:v>
                </c:pt>
                <c:pt idx="27">
                  <c:v>2.5791552290451367</c:v>
                </c:pt>
                <c:pt idx="28">
                  <c:v>2.370138253059443</c:v>
                </c:pt>
                <c:pt idx="29">
                  <c:v>2.1861436008944501</c:v>
                </c:pt>
                <c:pt idx="30">
                  <c:v>2.0188191404169502</c:v>
                </c:pt>
                <c:pt idx="31">
                  <c:v>1.8753001444551889</c:v>
                </c:pt>
                <c:pt idx="32">
                  <c:v>1.7425550635663729</c:v>
                </c:pt>
                <c:pt idx="33">
                  <c:v>1.6168323480421123</c:v>
                </c:pt>
                <c:pt idx="34">
                  <c:v>1.492721667944108</c:v>
                </c:pt>
                <c:pt idx="35">
                  <c:v>1.3656919976411943</c:v>
                </c:pt>
                <c:pt idx="36">
                  <c:v>1.2380028104241076</c:v>
                </c:pt>
                <c:pt idx="37">
                  <c:v>1.1087620220406138</c:v>
                </c:pt>
                <c:pt idx="38">
                  <c:v>0.98159884215128668</c:v>
                </c:pt>
                <c:pt idx="39">
                  <c:v>0.85789793881070031</c:v>
                </c:pt>
                <c:pt idx="40">
                  <c:v>0.73935796347176375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8-43B3-86D8-C03F8ACAC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69640"/>
        <c:axId val="1"/>
      </c:lineChart>
      <c:catAx>
        <c:axId val="5825696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696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Estimates'!$E$25:$AS$25</c:f>
              <c:numCache>
                <c:formatCode>General</c:formatCode>
                <c:ptCount val="41"/>
                <c:pt idx="0">
                  <c:v>642.30146787648107</c:v>
                </c:pt>
                <c:pt idx="1">
                  <c:v>538.73335926130312</c:v>
                </c:pt>
                <c:pt idx="2">
                  <c:v>665.81765377564318</c:v>
                </c:pt>
                <c:pt idx="3">
                  <c:v>614.33219705745535</c:v>
                </c:pt>
                <c:pt idx="4">
                  <c:v>520.35835164876198</c:v>
                </c:pt>
                <c:pt idx="5">
                  <c:v>705.92362267516546</c:v>
                </c:pt>
                <c:pt idx="6">
                  <c:v>653.17178664002518</c:v>
                </c:pt>
                <c:pt idx="7">
                  <c:v>745.1741446931095</c:v>
                </c:pt>
                <c:pt idx="8">
                  <c:v>744.4445945038218</c:v>
                </c:pt>
                <c:pt idx="9">
                  <c:v>772.1633121038285</c:v>
                </c:pt>
                <c:pt idx="10">
                  <c:v>812.9793502025492</c:v>
                </c:pt>
                <c:pt idx="11">
                  <c:v>784.39825257965208</c:v>
                </c:pt>
                <c:pt idx="12">
                  <c:v>797.05939336837059</c:v>
                </c:pt>
                <c:pt idx="13">
                  <c:v>772.06205065375866</c:v>
                </c:pt>
                <c:pt idx="14">
                  <c:v>774.38329694012168</c:v>
                </c:pt>
                <c:pt idx="15">
                  <c:v>778.37382750701079</c:v>
                </c:pt>
                <c:pt idx="16">
                  <c:v>782.78998051386895</c:v>
                </c:pt>
                <c:pt idx="17">
                  <c:v>804.2348649320752</c:v>
                </c:pt>
                <c:pt idx="18">
                  <c:v>817.27893138854768</c:v>
                </c:pt>
                <c:pt idx="19">
                  <c:v>839.2506789683116</c:v>
                </c:pt>
                <c:pt idx="20">
                  <c:v>853.7941186710226</c:v>
                </c:pt>
                <c:pt idx="21">
                  <c:v>865.51256751162646</c:v>
                </c:pt>
                <c:pt idx="22">
                  <c:v>874.7572845319861</c:v>
                </c:pt>
                <c:pt idx="23">
                  <c:v>878.28336931476872</c:v>
                </c:pt>
                <c:pt idx="24">
                  <c:v>882.58320116417042</c:v>
                </c:pt>
                <c:pt idx="25">
                  <c:v>884.30804705635887</c:v>
                </c:pt>
                <c:pt idx="26">
                  <c:v>887.74249747567455</c:v>
                </c:pt>
                <c:pt idx="27">
                  <c:v>892.34570234472824</c:v>
                </c:pt>
                <c:pt idx="28">
                  <c:v>898.25061191903376</c:v>
                </c:pt>
                <c:pt idx="29">
                  <c:v>906.12033067020513</c:v>
                </c:pt>
                <c:pt idx="30">
                  <c:v>914.13471161633458</c:v>
                </c:pt>
                <c:pt idx="31">
                  <c:v>922.63078944955555</c:v>
                </c:pt>
                <c:pt idx="32">
                  <c:v>930.25225110177951</c:v>
                </c:pt>
                <c:pt idx="33">
                  <c:v>936.86144238015754</c:v>
                </c:pt>
                <c:pt idx="34">
                  <c:v>942.34908525899959</c:v>
                </c:pt>
                <c:pt idx="35">
                  <c:v>946.64614833437861</c:v>
                </c:pt>
                <c:pt idx="36">
                  <c:v>950.37327966742714</c:v>
                </c:pt>
                <c:pt idx="37">
                  <c:v>953.699135414686</c:v>
                </c:pt>
                <c:pt idx="38">
                  <c:v>957.1436510500256</c:v>
                </c:pt>
                <c:pt idx="39">
                  <c:v>960.87115081015656</c:v>
                </c:pt>
                <c:pt idx="40">
                  <c:v>964.9443556607564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A-4912-B09B-04CEFD8E7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76528"/>
        <c:axId val="1"/>
      </c:lineChart>
      <c:catAx>
        <c:axId val="5825765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76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Estimates'!$E$22:$AS$22</c:f>
              <c:numCache>
                <c:formatCode>General</c:formatCode>
                <c:ptCount val="41"/>
                <c:pt idx="0">
                  <c:v>154.68462205505065</c:v>
                </c:pt>
                <c:pt idx="1">
                  <c:v>179.6379894372445</c:v>
                </c:pt>
                <c:pt idx="2">
                  <c:v>174.86318943372009</c:v>
                </c:pt>
                <c:pt idx="3">
                  <c:v>178.03118367370294</c:v>
                </c:pt>
                <c:pt idx="4">
                  <c:v>150.13222131579596</c:v>
                </c:pt>
                <c:pt idx="5">
                  <c:v>201.87908159967526</c:v>
                </c:pt>
                <c:pt idx="6">
                  <c:v>189.00245352484208</c:v>
                </c:pt>
                <c:pt idx="7">
                  <c:v>201.33036130944171</c:v>
                </c:pt>
                <c:pt idx="8">
                  <c:v>202.62014165424932</c:v>
                </c:pt>
                <c:pt idx="9">
                  <c:v>202.23097326238027</c:v>
                </c:pt>
                <c:pt idx="10">
                  <c:v>211.0531651046565</c:v>
                </c:pt>
                <c:pt idx="11">
                  <c:v>200.84005532824173</c:v>
                </c:pt>
                <c:pt idx="12">
                  <c:v>201.49719836705313</c:v>
                </c:pt>
                <c:pt idx="13">
                  <c:v>196.1445591605972</c:v>
                </c:pt>
                <c:pt idx="14">
                  <c:v>195.79845013967815</c:v>
                </c:pt>
                <c:pt idx="15">
                  <c:v>198.11073364332805</c:v>
                </c:pt>
                <c:pt idx="16">
                  <c:v>198.7639960175932</c:v>
                </c:pt>
                <c:pt idx="17">
                  <c:v>203.46762160817855</c:v>
                </c:pt>
                <c:pt idx="18">
                  <c:v>205.46188898264239</c:v>
                </c:pt>
                <c:pt idx="19">
                  <c:v>208.58076216272642</c:v>
                </c:pt>
                <c:pt idx="20">
                  <c:v>210.13703005664837</c:v>
                </c:pt>
                <c:pt idx="21">
                  <c:v>210.57056527128805</c:v>
                </c:pt>
                <c:pt idx="22">
                  <c:v>211.04663581696542</c:v>
                </c:pt>
                <c:pt idx="23">
                  <c:v>210.46366227602894</c:v>
                </c:pt>
                <c:pt idx="24">
                  <c:v>210.48516922791939</c:v>
                </c:pt>
                <c:pt idx="25">
                  <c:v>210.29268147625683</c:v>
                </c:pt>
                <c:pt idx="26">
                  <c:v>210.54079025682739</c:v>
                </c:pt>
                <c:pt idx="27">
                  <c:v>211.18907540134416</c:v>
                </c:pt>
                <c:pt idx="28">
                  <c:v>211.98605533886092</c:v>
                </c:pt>
                <c:pt idx="29">
                  <c:v>213.14473903751755</c:v>
                </c:pt>
                <c:pt idx="30">
                  <c:v>214.20252482146444</c:v>
                </c:pt>
                <c:pt idx="31">
                  <c:v>215.25450394502786</c:v>
                </c:pt>
                <c:pt idx="32">
                  <c:v>216.0834746725547</c:v>
                </c:pt>
                <c:pt idx="33">
                  <c:v>216.66452841730262</c:v>
                </c:pt>
                <c:pt idx="34">
                  <c:v>217.06474518131077</c:v>
                </c:pt>
                <c:pt idx="35">
                  <c:v>217.27813563915382</c:v>
                </c:pt>
                <c:pt idx="36">
                  <c:v>217.46976343295091</c:v>
                </c:pt>
                <c:pt idx="37">
                  <c:v>217.67247031070079</c:v>
                </c:pt>
                <c:pt idx="38">
                  <c:v>217.96870741513354</c:v>
                </c:pt>
                <c:pt idx="39">
                  <c:v>218.37201574292175</c:v>
                </c:pt>
                <c:pt idx="40">
                  <c:v>218.85352610699931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A-442C-8083-E82353699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71280"/>
        <c:axId val="1"/>
      </c:lineChart>
      <c:catAx>
        <c:axId val="58257128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82571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Estimates'!$E$23:$AS$23</c:f>
              <c:numCache>
                <c:formatCode>General</c:formatCode>
                <c:ptCount val="41"/>
                <c:pt idx="0">
                  <c:v>212.58221366411527</c:v>
                </c:pt>
                <c:pt idx="1">
                  <c:v>140.63458404066364</c:v>
                </c:pt>
                <c:pt idx="2">
                  <c:v>87.320280463420616</c:v>
                </c:pt>
                <c:pt idx="3">
                  <c:v>76.899777049070252</c:v>
                </c:pt>
                <c:pt idx="4">
                  <c:v>85.633590871181667</c:v>
                </c:pt>
                <c:pt idx="5">
                  <c:v>132.97833862882962</c:v>
                </c:pt>
                <c:pt idx="6">
                  <c:v>125.64273973565639</c:v>
                </c:pt>
                <c:pt idx="7">
                  <c:v>139.74530413413672</c:v>
                </c:pt>
                <c:pt idx="8">
                  <c:v>141.50521540827654</c:v>
                </c:pt>
                <c:pt idx="9">
                  <c:v>144.15065278934838</c:v>
                </c:pt>
                <c:pt idx="10">
                  <c:v>143.76300030162989</c:v>
                </c:pt>
                <c:pt idx="11">
                  <c:v>130.5666500593635</c:v>
                </c:pt>
                <c:pt idx="12">
                  <c:v>126.48562459523167</c:v>
                </c:pt>
                <c:pt idx="13">
                  <c:v>119.97783103792349</c:v>
                </c:pt>
                <c:pt idx="14">
                  <c:v>120.4234667503307</c:v>
                </c:pt>
                <c:pt idx="15">
                  <c:v>122.73763642042577</c:v>
                </c:pt>
                <c:pt idx="16">
                  <c:v>125.7972440848131</c:v>
                </c:pt>
                <c:pt idx="17">
                  <c:v>131.53879890999025</c:v>
                </c:pt>
                <c:pt idx="18">
                  <c:v>135.02810479835148</c:v>
                </c:pt>
                <c:pt idx="19">
                  <c:v>138.55980637946269</c:v>
                </c:pt>
                <c:pt idx="20">
                  <c:v>139.61848277924011</c:v>
                </c:pt>
                <c:pt idx="21">
                  <c:v>139.37491277776132</c:v>
                </c:pt>
                <c:pt idx="22">
                  <c:v>138.45692402349874</c:v>
                </c:pt>
                <c:pt idx="23">
                  <c:v>136.76615239302609</c:v>
                </c:pt>
                <c:pt idx="24">
                  <c:v>135.65050711613668</c:v>
                </c:pt>
                <c:pt idx="25">
                  <c:v>134.73368109171449</c:v>
                </c:pt>
                <c:pt idx="26">
                  <c:v>134.70212675034691</c:v>
                </c:pt>
                <c:pt idx="27">
                  <c:v>135.34055789321476</c:v>
                </c:pt>
                <c:pt idx="28">
                  <c:v>136.44176619703225</c:v>
                </c:pt>
                <c:pt idx="29">
                  <c:v>137.88099579249172</c:v>
                </c:pt>
                <c:pt idx="30">
                  <c:v>139.17451168619314</c:v>
                </c:pt>
                <c:pt idx="31">
                  <c:v>140.26363692838788</c:v>
                </c:pt>
                <c:pt idx="32">
                  <c:v>140.91047124595559</c:v>
                </c:pt>
                <c:pt idx="33">
                  <c:v>141.15248531342837</c:v>
                </c:pt>
                <c:pt idx="34">
                  <c:v>141.09107203219639</c:v>
                </c:pt>
                <c:pt idx="35">
                  <c:v>140.84826173915067</c:v>
                </c:pt>
                <c:pt idx="36">
                  <c:v>140.63557703303627</c:v>
                </c:pt>
                <c:pt idx="37">
                  <c:v>140.5436007978482</c:v>
                </c:pt>
                <c:pt idx="38">
                  <c:v>140.66302225746139</c:v>
                </c:pt>
                <c:pt idx="39">
                  <c:v>140.9813809800215</c:v>
                </c:pt>
                <c:pt idx="40">
                  <c:v>141.44183005221811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C-44A4-86C5-2863A8A57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31728"/>
        <c:axId val="1"/>
      </c:lineChart>
      <c:catAx>
        <c:axId val="5336317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317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Estimates'!$E$24:$AS$24</c:f>
              <c:numCache>
                <c:formatCode>General</c:formatCode>
                <c:ptCount val="41"/>
                <c:pt idx="0">
                  <c:v>281.7043345507351</c:v>
                </c:pt>
                <c:pt idx="1">
                  <c:v>186.74583023035214</c:v>
                </c:pt>
                <c:pt idx="2">
                  <c:v>161.01482919113968</c:v>
                </c:pt>
                <c:pt idx="3">
                  <c:v>129.48654336556172</c:v>
                </c:pt>
                <c:pt idx="4">
                  <c:v>125.93456036391417</c:v>
                </c:pt>
                <c:pt idx="5">
                  <c:v>192.13832970750454</c:v>
                </c:pt>
                <c:pt idx="6">
                  <c:v>173.85762986704515</c:v>
                </c:pt>
                <c:pt idx="7">
                  <c:v>203.44840655553912</c:v>
                </c:pt>
                <c:pt idx="8">
                  <c:v>204.08669814817395</c:v>
                </c:pt>
                <c:pt idx="9">
                  <c:v>211.87834931809579</c:v>
                </c:pt>
                <c:pt idx="10">
                  <c:v>215.97448554531098</c:v>
                </c:pt>
                <c:pt idx="11">
                  <c:v>198.40432941672864</c:v>
                </c:pt>
                <c:pt idx="12">
                  <c:v>195.28767485309447</c:v>
                </c:pt>
                <c:pt idx="13">
                  <c:v>182.81916490424746</c:v>
                </c:pt>
                <c:pt idx="14">
                  <c:v>181.46782852538689</c:v>
                </c:pt>
                <c:pt idx="15">
                  <c:v>181.32874551176062</c:v>
                </c:pt>
                <c:pt idx="16">
                  <c:v>182.77197687751456</c:v>
                </c:pt>
                <c:pt idx="17">
                  <c:v>189.51096853575251</c:v>
                </c:pt>
                <c:pt idx="18">
                  <c:v>193.27662395513363</c:v>
                </c:pt>
                <c:pt idx="19">
                  <c:v>198.93148578844784</c:v>
                </c:pt>
                <c:pt idx="20">
                  <c:v>201.13341902733077</c:v>
                </c:pt>
                <c:pt idx="21">
                  <c:v>201.89219178121198</c:v>
                </c:pt>
                <c:pt idx="22">
                  <c:v>201.41879511139061</c:v>
                </c:pt>
                <c:pt idx="23">
                  <c:v>199.23608701098476</c:v>
                </c:pt>
                <c:pt idx="24">
                  <c:v>197.56286124730423</c:v>
                </c:pt>
                <c:pt idx="25">
                  <c:v>195.56284983854101</c:v>
                </c:pt>
                <c:pt idx="26">
                  <c:v>194.68918660090321</c:v>
                </c:pt>
                <c:pt idx="27">
                  <c:v>194.63796890061403</c:v>
                </c:pt>
                <c:pt idx="28">
                  <c:v>195.34814022919426</c:v>
                </c:pt>
                <c:pt idx="29">
                  <c:v>196.78577038622299</c:v>
                </c:pt>
                <c:pt idx="30">
                  <c:v>198.22783098741436</c:v>
                </c:pt>
                <c:pt idx="31">
                  <c:v>199.65820859408552</c:v>
                </c:pt>
                <c:pt idx="32">
                  <c:v>200.59795238291304</c:v>
                </c:pt>
                <c:pt idx="33">
                  <c:v>201.04848688155187</c:v>
                </c:pt>
                <c:pt idx="34">
                  <c:v>201.04534944396372</c:v>
                </c:pt>
                <c:pt idx="35">
                  <c:v>200.68321749289029</c:v>
                </c:pt>
                <c:pt idx="36">
                  <c:v>200.24684064000425</c:v>
                </c:pt>
                <c:pt idx="37">
                  <c:v>199.85102069530302</c:v>
                </c:pt>
                <c:pt idx="38">
                  <c:v>199.6791085951547</c:v>
                </c:pt>
                <c:pt idx="39">
                  <c:v>199.75812832359631</c:v>
                </c:pt>
                <c:pt idx="40">
                  <c:v>200.0637097793585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6-4AFB-8F6C-36C202CD9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24840"/>
        <c:axId val="1"/>
      </c:lineChart>
      <c:catAx>
        <c:axId val="5336248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248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Estimates'!$E$27:$AS$27</c:f>
              <c:numCache>
                <c:formatCode>General</c:formatCode>
                <c:ptCount val="41"/>
                <c:pt idx="0">
                  <c:v>67.065047815472269</c:v>
                </c:pt>
                <c:pt idx="1">
                  <c:v>48.878182293617456</c:v>
                </c:pt>
                <c:pt idx="2">
                  <c:v>58.204695767353805</c:v>
                </c:pt>
                <c:pt idx="3">
                  <c:v>50.679439797939963</c:v>
                </c:pt>
                <c:pt idx="4">
                  <c:v>42.442791168836727</c:v>
                </c:pt>
                <c:pt idx="5">
                  <c:v>62.42311360655895</c:v>
                </c:pt>
                <c:pt idx="6">
                  <c:v>54.689235830329515</c:v>
                </c:pt>
                <c:pt idx="7">
                  <c:v>62.756550752419471</c:v>
                </c:pt>
                <c:pt idx="8">
                  <c:v>59.68544279794186</c:v>
                </c:pt>
                <c:pt idx="9">
                  <c:v>61.229938213466511</c:v>
                </c:pt>
                <c:pt idx="10">
                  <c:v>63.840543188268697</c:v>
                </c:pt>
                <c:pt idx="11">
                  <c:v>60.09518169357667</c:v>
                </c:pt>
                <c:pt idx="12">
                  <c:v>61.572240212024312</c:v>
                </c:pt>
                <c:pt idx="13">
                  <c:v>59.426274496667851</c:v>
                </c:pt>
                <c:pt idx="14">
                  <c:v>60.734576172617821</c:v>
                </c:pt>
                <c:pt idx="15">
                  <c:v>61.833890459452228</c:v>
                </c:pt>
                <c:pt idx="16">
                  <c:v>62.786150357997109</c:v>
                </c:pt>
                <c:pt idx="17">
                  <c:v>65.010420422623042</c:v>
                </c:pt>
                <c:pt idx="18">
                  <c:v>65.891852300779604</c:v>
                </c:pt>
                <c:pt idx="19">
                  <c:v>67.47355890262142</c:v>
                </c:pt>
                <c:pt idx="20">
                  <c:v>68.08769967614046</c:v>
                </c:pt>
                <c:pt idx="21">
                  <c:v>68.549424514171037</c:v>
                </c:pt>
                <c:pt idx="22">
                  <c:v>68.930403825496185</c:v>
                </c:pt>
                <c:pt idx="23">
                  <c:v>68.988318840994154</c:v>
                </c:pt>
                <c:pt idx="24">
                  <c:v>69.368784971449841</c:v>
                </c:pt>
                <c:pt idx="25">
                  <c:v>69.618304508280431</c:v>
                </c:pt>
                <c:pt idx="26">
                  <c:v>70.121174565277968</c:v>
                </c:pt>
                <c:pt idx="27">
                  <c:v>70.699985380627226</c:v>
                </c:pt>
                <c:pt idx="28">
                  <c:v>71.331310688505027</c:v>
                </c:pt>
                <c:pt idx="29">
                  <c:v>72.050681686999823</c:v>
                </c:pt>
                <c:pt idx="30">
                  <c:v>72.679537091889046</c:v>
                </c:pt>
                <c:pt idx="31">
                  <c:v>73.293182516773072</c:v>
                </c:pt>
                <c:pt idx="32">
                  <c:v>73.786868961038053</c:v>
                </c:pt>
                <c:pt idx="33">
                  <c:v>74.196505483319342</c:v>
                </c:pt>
                <c:pt idx="34">
                  <c:v>74.537108188739509</c:v>
                </c:pt>
                <c:pt idx="35">
                  <c:v>74.818839239713412</c:v>
                </c:pt>
                <c:pt idx="36">
                  <c:v>75.104189640497069</c:v>
                </c:pt>
                <c:pt idx="37">
                  <c:v>75.39352659198336</c:v>
                </c:pt>
                <c:pt idx="38">
                  <c:v>75.719511753910766</c:v>
                </c:pt>
                <c:pt idx="39">
                  <c:v>76.073683577142518</c:v>
                </c:pt>
                <c:pt idx="40">
                  <c:v>76.445370914910598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A-4C2C-B78D-9FC553A6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28448"/>
        <c:axId val="1"/>
      </c:lineChart>
      <c:catAx>
        <c:axId val="5336284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284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Estimates'!$E$26:$AS$26</c:f>
              <c:numCache>
                <c:formatCode>General</c:formatCode>
                <c:ptCount val="41"/>
                <c:pt idx="0">
                  <c:v>253.62988539601173</c:v>
                </c:pt>
                <c:pt idx="1">
                  <c:v>154.23936160784314</c:v>
                </c:pt>
                <c:pt idx="2">
                  <c:v>162.64380947522253</c:v>
                </c:pt>
                <c:pt idx="3">
                  <c:v>152.86693550008283</c:v>
                </c:pt>
                <c:pt idx="4">
                  <c:v>120.05833889624149</c:v>
                </c:pt>
                <c:pt idx="5">
                  <c:v>190.72033456211227</c:v>
                </c:pt>
                <c:pt idx="6">
                  <c:v>158.90723490970117</c:v>
                </c:pt>
                <c:pt idx="7">
                  <c:v>185.96280364973219</c:v>
                </c:pt>
                <c:pt idx="8">
                  <c:v>181.07540394143621</c:v>
                </c:pt>
                <c:pt idx="9">
                  <c:v>183.27828493856583</c:v>
                </c:pt>
                <c:pt idx="10">
                  <c:v>194.14998969837347</c:v>
                </c:pt>
                <c:pt idx="11">
                  <c:v>179.19333747585651</c:v>
                </c:pt>
                <c:pt idx="12">
                  <c:v>184.64441587019454</c:v>
                </c:pt>
                <c:pt idx="13">
                  <c:v>177.46748380173585</c:v>
                </c:pt>
                <c:pt idx="14">
                  <c:v>180.60312002550629</c:v>
                </c:pt>
                <c:pt idx="15">
                  <c:v>184.2324349918012</c:v>
                </c:pt>
                <c:pt idx="16">
                  <c:v>185.98045755007516</c:v>
                </c:pt>
                <c:pt idx="17">
                  <c:v>193.28125988352551</c:v>
                </c:pt>
                <c:pt idx="18">
                  <c:v>195.81884349604357</c:v>
                </c:pt>
                <c:pt idx="19">
                  <c:v>201.05871120646478</c:v>
                </c:pt>
                <c:pt idx="20">
                  <c:v>203.46963388068789</c:v>
                </c:pt>
                <c:pt idx="21">
                  <c:v>205.12727515256211</c:v>
                </c:pt>
                <c:pt idx="22">
                  <c:v>206.78629954098983</c:v>
                </c:pt>
                <c:pt idx="23">
                  <c:v>206.95786207769703</c:v>
                </c:pt>
                <c:pt idx="24">
                  <c:v>208.14692210246912</c:v>
                </c:pt>
                <c:pt idx="25">
                  <c:v>208.7475354027161</c:v>
                </c:pt>
                <c:pt idx="26">
                  <c:v>210.10290703914848</c:v>
                </c:pt>
                <c:pt idx="27">
                  <c:v>211.81517119674001</c:v>
                </c:pt>
                <c:pt idx="28">
                  <c:v>213.69735528890195</c:v>
                </c:pt>
                <c:pt idx="29">
                  <c:v>216.01122259069703</c:v>
                </c:pt>
                <c:pt idx="30">
                  <c:v>218.06596507173504</c:v>
                </c:pt>
                <c:pt idx="31">
                  <c:v>220.12123029308847</c:v>
                </c:pt>
                <c:pt idx="32">
                  <c:v>221.80610585425762</c:v>
                </c:pt>
                <c:pt idx="33">
                  <c:v>223.19048265324042</c:v>
                </c:pt>
                <c:pt idx="34">
                  <c:v>224.34536659589992</c:v>
                </c:pt>
                <c:pt idx="35">
                  <c:v>225.26776409571571</c:v>
                </c:pt>
                <c:pt idx="36">
                  <c:v>226.18319940750311</c:v>
                </c:pt>
                <c:pt idx="37">
                  <c:v>227.08841898633037</c:v>
                </c:pt>
                <c:pt idx="38">
                  <c:v>228.09850389700691</c:v>
                </c:pt>
                <c:pt idx="39">
                  <c:v>229.20247030186732</c:v>
                </c:pt>
                <c:pt idx="40">
                  <c:v>230.36800111036479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C-4C6F-B3F2-BADC34E81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26808"/>
        <c:axId val="1"/>
      </c:lineChart>
      <c:catAx>
        <c:axId val="53362680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26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Estimates'!$E$28:$AS$28</c:f>
              <c:numCache>
                <c:formatCode>General</c:formatCode>
                <c:ptCount val="41"/>
                <c:pt idx="0">
                  <c:v>162.4224362467325</c:v>
                </c:pt>
                <c:pt idx="1">
                  <c:v>100.20649687430634</c:v>
                </c:pt>
                <c:pt idx="2">
                  <c:v>105.12867452856892</c:v>
                </c:pt>
                <c:pt idx="3">
                  <c:v>54.019966245081825</c:v>
                </c:pt>
                <c:pt idx="4">
                  <c:v>44.644409717231504</c:v>
                </c:pt>
                <c:pt idx="5">
                  <c:v>73.257541961256564</c:v>
                </c:pt>
                <c:pt idx="6">
                  <c:v>70.106576862761287</c:v>
                </c:pt>
                <c:pt idx="7">
                  <c:v>77.529991963858336</c:v>
                </c:pt>
                <c:pt idx="8">
                  <c:v>73.260841627571509</c:v>
                </c:pt>
                <c:pt idx="9">
                  <c:v>76.244409378323581</c:v>
                </c:pt>
                <c:pt idx="10">
                  <c:v>79.525954201540458</c:v>
                </c:pt>
                <c:pt idx="11">
                  <c:v>72.690521495829486</c:v>
                </c:pt>
                <c:pt idx="12">
                  <c:v>71.13039142110452</c:v>
                </c:pt>
                <c:pt idx="13">
                  <c:v>66.244413355759193</c:v>
                </c:pt>
                <c:pt idx="14">
                  <c:v>66.700705105740155</c:v>
                </c:pt>
                <c:pt idx="15">
                  <c:v>67.580893425245904</c:v>
                </c:pt>
                <c:pt idx="16">
                  <c:v>68.64653614904114</c:v>
                </c:pt>
                <c:pt idx="17">
                  <c:v>71.376809859924293</c:v>
                </c:pt>
                <c:pt idx="18">
                  <c:v>72.578027097447318</c:v>
                </c:pt>
                <c:pt idx="19">
                  <c:v>74.415429948836774</c:v>
                </c:pt>
                <c:pt idx="20">
                  <c:v>74.781564671695932</c:v>
                </c:pt>
                <c:pt idx="21">
                  <c:v>74.668566825093592</c:v>
                </c:pt>
                <c:pt idx="22">
                  <c:v>74.265984049411657</c:v>
                </c:pt>
                <c:pt idx="23">
                  <c:v>73.413008279222893</c:v>
                </c:pt>
                <c:pt idx="24">
                  <c:v>72.939873296126279</c:v>
                </c:pt>
                <c:pt idx="25">
                  <c:v>72.379748081797104</c:v>
                </c:pt>
                <c:pt idx="26">
                  <c:v>72.243310935751623</c:v>
                </c:pt>
                <c:pt idx="27">
                  <c:v>72.3530685099945</c:v>
                </c:pt>
                <c:pt idx="28">
                  <c:v>72.678174236086818</c:v>
                </c:pt>
                <c:pt idx="29">
                  <c:v>73.215788374042262</c:v>
                </c:pt>
                <c:pt idx="30">
                  <c:v>73.697630547707874</c:v>
                </c:pt>
                <c:pt idx="31">
                  <c:v>74.152341214429043</c:v>
                </c:pt>
                <c:pt idx="32">
                  <c:v>74.411993735329446</c:v>
                </c:pt>
                <c:pt idx="33">
                  <c:v>74.499441744256814</c:v>
                </c:pt>
                <c:pt idx="34">
                  <c:v>74.439111056029205</c:v>
                </c:pt>
                <c:pt idx="35">
                  <c:v>74.272475563564143</c:v>
                </c:pt>
                <c:pt idx="36">
                  <c:v>74.110555814192253</c:v>
                </c:pt>
                <c:pt idx="37">
                  <c:v>73.98751710730815</c:v>
                </c:pt>
                <c:pt idx="38">
                  <c:v>73.962280119057041</c:v>
                </c:pt>
                <c:pt idx="39">
                  <c:v>74.02940179440877</c:v>
                </c:pt>
                <c:pt idx="40">
                  <c:v>74.167824439849952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8-41C2-88A0-164A18403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28776"/>
        <c:axId val="1"/>
      </c:lineChart>
      <c:catAx>
        <c:axId val="5336287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28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Estimates'!$E$29:$AS$29</c:f>
              <c:numCache>
                <c:formatCode>General</c:formatCode>
                <c:ptCount val="41"/>
                <c:pt idx="0">
                  <c:v>141.1660297000177</c:v>
                </c:pt>
                <c:pt idx="1">
                  <c:v>175.02359907387338</c:v>
                </c:pt>
                <c:pt idx="2">
                  <c:v>87.605205444031014</c:v>
                </c:pt>
                <c:pt idx="3">
                  <c:v>32.320964514274493</c:v>
                </c:pt>
                <c:pt idx="4">
                  <c:v>51.750982355473823</c:v>
                </c:pt>
                <c:pt idx="5">
                  <c:v>103.27212225800366</c:v>
                </c:pt>
                <c:pt idx="6">
                  <c:v>110.29889870449411</c:v>
                </c:pt>
                <c:pt idx="7">
                  <c:v>111.22939876852742</c:v>
                </c:pt>
                <c:pt idx="8">
                  <c:v>115.35241570249464</c:v>
                </c:pt>
                <c:pt idx="9">
                  <c:v>124.10955088587751</c:v>
                </c:pt>
                <c:pt idx="10">
                  <c:v>126.16756808608805</c:v>
                </c:pt>
                <c:pt idx="11">
                  <c:v>116.56374565396986</c:v>
                </c:pt>
                <c:pt idx="12">
                  <c:v>108.6562842425744</c:v>
                </c:pt>
                <c:pt idx="13">
                  <c:v>102.20300469639477</c:v>
                </c:pt>
                <c:pt idx="14">
                  <c:v>100.1239598242</c:v>
                </c:pt>
                <c:pt idx="15">
                  <c:v>99.963086688412787</c:v>
                </c:pt>
                <c:pt idx="16">
                  <c:v>101.06010957848046</c:v>
                </c:pt>
                <c:pt idx="17">
                  <c:v>104.32001612116754</c:v>
                </c:pt>
                <c:pt idx="18">
                  <c:v>107.54148913360122</c:v>
                </c:pt>
                <c:pt idx="19">
                  <c:v>110.63078747546629</c:v>
                </c:pt>
                <c:pt idx="20">
                  <c:v>112.11678304910639</c:v>
                </c:pt>
                <c:pt idx="21">
                  <c:v>112.19566862823545</c:v>
                </c:pt>
                <c:pt idx="22">
                  <c:v>111.28474902601681</c:v>
                </c:pt>
                <c:pt idx="23">
                  <c:v>109.57180894058013</c:v>
                </c:pt>
                <c:pt idx="24">
                  <c:v>107.79863360260252</c:v>
                </c:pt>
                <c:pt idx="25">
                  <c:v>106.13335359102058</c:v>
                </c:pt>
                <c:pt idx="26">
                  <c:v>105.06591113785932</c:v>
                </c:pt>
                <c:pt idx="27">
                  <c:v>104.67892084476181</c:v>
                </c:pt>
                <c:pt idx="28">
                  <c:v>104.88692668480176</c:v>
                </c:pt>
                <c:pt idx="29">
                  <c:v>105.53662252939441</c:v>
                </c:pt>
                <c:pt idx="30">
                  <c:v>106.29350054659582</c:v>
                </c:pt>
                <c:pt idx="31">
                  <c:v>106.96962193689714</c:v>
                </c:pt>
                <c:pt idx="32">
                  <c:v>107.35257315898369</c:v>
                </c:pt>
                <c:pt idx="33">
                  <c:v>107.37928936052504</c:v>
                </c:pt>
                <c:pt idx="34">
                  <c:v>107.08309481846766</c:v>
                </c:pt>
                <c:pt idx="35">
                  <c:v>106.56008149010466</c:v>
                </c:pt>
                <c:pt idx="36">
                  <c:v>105.97170895898185</c:v>
                </c:pt>
                <c:pt idx="37">
                  <c:v>105.44045707072425</c:v>
                </c:pt>
                <c:pt idx="38">
                  <c:v>105.06741024212506</c:v>
                </c:pt>
                <c:pt idx="39">
                  <c:v>104.88553445567851</c:v>
                </c:pt>
                <c:pt idx="40">
                  <c:v>104.87546920852893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1-4C6C-831A-D51299282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37960"/>
        <c:axId val="1"/>
      </c:lineChart>
      <c:catAx>
        <c:axId val="53363796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379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Estimates'!$E$30:$AS$30</c:f>
              <c:numCache>
                <c:formatCode>General</c:formatCode>
                <c:ptCount val="41"/>
                <c:pt idx="0">
                  <c:v>41.905877542826445</c:v>
                </c:pt>
                <c:pt idx="1">
                  <c:v>26.275041539319336</c:v>
                </c:pt>
                <c:pt idx="2">
                  <c:v>32.251826515097008</c:v>
                </c:pt>
                <c:pt idx="3">
                  <c:v>31.584411392425935</c:v>
                </c:pt>
                <c:pt idx="4">
                  <c:v>29.823638864168558</c:v>
                </c:pt>
                <c:pt idx="5">
                  <c:v>38.896535278600261</c:v>
                </c:pt>
                <c:pt idx="6">
                  <c:v>37.212556517835381</c:v>
                </c:pt>
                <c:pt idx="7">
                  <c:v>41.99714719384103</c:v>
                </c:pt>
                <c:pt idx="8">
                  <c:v>43.253953507659588</c:v>
                </c:pt>
                <c:pt idx="9">
                  <c:v>44.307082518711425</c:v>
                </c:pt>
                <c:pt idx="10">
                  <c:v>46.158021080828462</c:v>
                </c:pt>
                <c:pt idx="11">
                  <c:v>44.484923923951868</c:v>
                </c:pt>
                <c:pt idx="12">
                  <c:v>44.742006416838173</c:v>
                </c:pt>
                <c:pt idx="13">
                  <c:v>43.517999891717075</c:v>
                </c:pt>
                <c:pt idx="14">
                  <c:v>43.553280470038409</c:v>
                </c:pt>
                <c:pt idx="15">
                  <c:v>44.090485059953394</c:v>
                </c:pt>
                <c:pt idx="16">
                  <c:v>44.72210102501645</c:v>
                </c:pt>
                <c:pt idx="17">
                  <c:v>46.256354059006263</c:v>
                </c:pt>
                <c:pt idx="18">
                  <c:v>47.339827827714771</c:v>
                </c:pt>
                <c:pt idx="19">
                  <c:v>48.652764129372208</c:v>
                </c:pt>
                <c:pt idx="20">
                  <c:v>49.511857835370037</c:v>
                </c:pt>
                <c:pt idx="21">
                  <c:v>50.079623430040371</c:v>
                </c:pt>
                <c:pt idx="22">
                  <c:v>50.499232616601354</c:v>
                </c:pt>
                <c:pt idx="23">
                  <c:v>50.640380879017457</c:v>
                </c:pt>
                <c:pt idx="24">
                  <c:v>50.855391861793642</c:v>
                </c:pt>
                <c:pt idx="25">
                  <c:v>51.018129594538742</c:v>
                </c:pt>
                <c:pt idx="26">
                  <c:v>51.304484356811379</c:v>
                </c:pt>
                <c:pt idx="27">
                  <c:v>51.693229142903611</c:v>
                </c:pt>
                <c:pt idx="28">
                  <c:v>52.154568753229107</c:v>
                </c:pt>
                <c:pt idx="29">
                  <c:v>52.708951377674431</c:v>
                </c:pt>
                <c:pt idx="30">
                  <c:v>53.255159589067446</c:v>
                </c:pt>
                <c:pt idx="31">
                  <c:v>53.796424582548489</c:v>
                </c:pt>
                <c:pt idx="32">
                  <c:v>54.269961607855819</c:v>
                </c:pt>
                <c:pt idx="33">
                  <c:v>54.666228230544284</c:v>
                </c:pt>
                <c:pt idx="34">
                  <c:v>54.990453640097016</c:v>
                </c:pt>
                <c:pt idx="35">
                  <c:v>55.247786601012756</c:v>
                </c:pt>
                <c:pt idx="36">
                  <c:v>55.478440996496239</c:v>
                </c:pt>
                <c:pt idx="37">
                  <c:v>55.699625160922338</c:v>
                </c:pt>
                <c:pt idx="38">
                  <c:v>55.93887174972113</c:v>
                </c:pt>
                <c:pt idx="39">
                  <c:v>56.204248305294186</c:v>
                </c:pt>
                <c:pt idx="40">
                  <c:v>56.493081076120141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9-4C21-88C6-2C950A618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33696"/>
        <c:axId val="1"/>
      </c:lineChart>
      <c:catAx>
        <c:axId val="53363369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33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Estimates'!$E$31:$AS$31</c:f>
              <c:numCache>
                <c:formatCode>General</c:formatCode>
                <c:ptCount val="41"/>
                <c:pt idx="0">
                  <c:v>307.4905645766471</c:v>
                </c:pt>
                <c:pt idx="1">
                  <c:v>343.26745374999132</c:v>
                </c:pt>
                <c:pt idx="2">
                  <c:v>228.69896696593653</c:v>
                </c:pt>
                <c:pt idx="3">
                  <c:v>280.70485366673603</c:v>
                </c:pt>
                <c:pt idx="4">
                  <c:v>106.94935053498571</c:v>
                </c:pt>
                <c:pt idx="5">
                  <c:v>272.24233599809673</c:v>
                </c:pt>
                <c:pt idx="6">
                  <c:v>234.13676405991831</c:v>
                </c:pt>
                <c:pt idx="7">
                  <c:v>272.57017346215918</c:v>
                </c:pt>
                <c:pt idx="8">
                  <c:v>295.56658665086121</c:v>
                </c:pt>
                <c:pt idx="9">
                  <c:v>285.46264823658163</c:v>
                </c:pt>
                <c:pt idx="10">
                  <c:v>329.25744909753342</c:v>
                </c:pt>
                <c:pt idx="11">
                  <c:v>300.08727407553795</c:v>
                </c:pt>
                <c:pt idx="12">
                  <c:v>309.14130878929308</c:v>
                </c:pt>
                <c:pt idx="13">
                  <c:v>300.59045770826975</c:v>
                </c:pt>
                <c:pt idx="14">
                  <c:v>301.84325009814921</c:v>
                </c:pt>
                <c:pt idx="15">
                  <c:v>317.97704234638718</c:v>
                </c:pt>
                <c:pt idx="16">
                  <c:v>323.9318107639001</c:v>
                </c:pt>
                <c:pt idx="17">
                  <c:v>346.24041001118911</c:v>
                </c:pt>
                <c:pt idx="18">
                  <c:v>359.58792625274867</c:v>
                </c:pt>
                <c:pt idx="19">
                  <c:v>376.65858111011948</c:v>
                </c:pt>
                <c:pt idx="20">
                  <c:v>390.52340436273346</c:v>
                </c:pt>
                <c:pt idx="21">
                  <c:v>399.33085883262783</c:v>
                </c:pt>
                <c:pt idx="22">
                  <c:v>408.97857573788582</c:v>
                </c:pt>
                <c:pt idx="23">
                  <c:v>413.87439857866195</c:v>
                </c:pt>
                <c:pt idx="24">
                  <c:v>420.20411409868723</c:v>
                </c:pt>
                <c:pt idx="25">
                  <c:v>425.42173071384281</c:v>
                </c:pt>
                <c:pt idx="26">
                  <c:v>431.38715104660707</c:v>
                </c:pt>
                <c:pt idx="27">
                  <c:v>438.81624425756269</c:v>
                </c:pt>
                <c:pt idx="28">
                  <c:v>446.4510005602981</c:v>
                </c:pt>
                <c:pt idx="29">
                  <c:v>455.44180197639059</c:v>
                </c:pt>
                <c:pt idx="30">
                  <c:v>464.08921593410525</c:v>
                </c:pt>
                <c:pt idx="31">
                  <c:v>472.64590310624993</c:v>
                </c:pt>
                <c:pt idx="32">
                  <c:v>480.44704986787139</c:v>
                </c:pt>
                <c:pt idx="33">
                  <c:v>487.2042989728306</c:v>
                </c:pt>
                <c:pt idx="34">
                  <c:v>493.2248259167107</c:v>
                </c:pt>
                <c:pt idx="35">
                  <c:v>498.37221278511419</c:v>
                </c:pt>
                <c:pt idx="36">
                  <c:v>503.21598379348956</c:v>
                </c:pt>
                <c:pt idx="37">
                  <c:v>507.87524320015581</c:v>
                </c:pt>
                <c:pt idx="38">
                  <c:v>512.62155188835243</c:v>
                </c:pt>
                <c:pt idx="39">
                  <c:v>517.57209963195839</c:v>
                </c:pt>
                <c:pt idx="40">
                  <c:v>522.6434074895119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C7-4869-BE3F-C640F2CB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41896"/>
        <c:axId val="1"/>
      </c:lineChart>
      <c:catAx>
        <c:axId val="53364189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418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Estimates'!$E$32:$AS$32</c:f>
              <c:numCache>
                <c:formatCode>General</c:formatCode>
                <c:ptCount val="41"/>
                <c:pt idx="0">
                  <c:v>77.315738127012196</c:v>
                </c:pt>
                <c:pt idx="1">
                  <c:v>61.706000413808013</c:v>
                </c:pt>
                <c:pt idx="2">
                  <c:v>68.652862940889676</c:v>
                </c:pt>
                <c:pt idx="3">
                  <c:v>43.823661529091936</c:v>
                </c:pt>
                <c:pt idx="4">
                  <c:v>44.094892901464448</c:v>
                </c:pt>
                <c:pt idx="5">
                  <c:v>64.771953330605712</c:v>
                </c:pt>
                <c:pt idx="6">
                  <c:v>55.754639323091716</c:v>
                </c:pt>
                <c:pt idx="7">
                  <c:v>67.930082429609342</c:v>
                </c:pt>
                <c:pt idx="8">
                  <c:v>63.955313155862562</c:v>
                </c:pt>
                <c:pt idx="9">
                  <c:v>71.591507430173493</c:v>
                </c:pt>
                <c:pt idx="10">
                  <c:v>73.826169770139316</c:v>
                </c:pt>
                <c:pt idx="11">
                  <c:v>70.937197140671131</c:v>
                </c:pt>
                <c:pt idx="12">
                  <c:v>72.22262690330497</c:v>
                </c:pt>
                <c:pt idx="13">
                  <c:v>68.911699289865552</c:v>
                </c:pt>
                <c:pt idx="14">
                  <c:v>70.628506634229169</c:v>
                </c:pt>
                <c:pt idx="15">
                  <c:v>70.781393559630914</c:v>
                </c:pt>
                <c:pt idx="16">
                  <c:v>72.194362730940767</c:v>
                </c:pt>
                <c:pt idx="17">
                  <c:v>74.708651088608818</c:v>
                </c:pt>
                <c:pt idx="18">
                  <c:v>76.313020371847202</c:v>
                </c:pt>
                <c:pt idx="19">
                  <c:v>78.997517953712091</c:v>
                </c:pt>
                <c:pt idx="20">
                  <c:v>80.362620111074875</c:v>
                </c:pt>
                <c:pt idx="21">
                  <c:v>81.802409550696993</c:v>
                </c:pt>
                <c:pt idx="22">
                  <c:v>82.72466625474074</c:v>
                </c:pt>
                <c:pt idx="23">
                  <c:v>83.240025640250181</c:v>
                </c:pt>
                <c:pt idx="24">
                  <c:v>83.869227775725193</c:v>
                </c:pt>
                <c:pt idx="25">
                  <c:v>84.20141080729276</c:v>
                </c:pt>
                <c:pt idx="26">
                  <c:v>84.841827362487038</c:v>
                </c:pt>
                <c:pt idx="27">
                  <c:v>85.530420103769458</c:v>
                </c:pt>
                <c:pt idx="28">
                  <c:v>86.421881057513829</c:v>
                </c:pt>
                <c:pt idx="29">
                  <c:v>87.472293388167898</c:v>
                </c:pt>
                <c:pt idx="30">
                  <c:v>88.513734432749544</c:v>
                </c:pt>
                <c:pt idx="31">
                  <c:v>89.58857448647413</c:v>
                </c:pt>
                <c:pt idx="32">
                  <c:v>90.518148834135872</c:v>
                </c:pt>
                <c:pt idx="33">
                  <c:v>91.339517103383301</c:v>
                </c:pt>
                <c:pt idx="34">
                  <c:v>92.017534499504279</c:v>
                </c:pt>
                <c:pt idx="35">
                  <c:v>92.579561845133213</c:v>
                </c:pt>
                <c:pt idx="36">
                  <c:v>93.091959787773732</c:v>
                </c:pt>
                <c:pt idx="37">
                  <c:v>93.572367429791299</c:v>
                </c:pt>
                <c:pt idx="38">
                  <c:v>94.08112742872035</c:v>
                </c:pt>
                <c:pt idx="39">
                  <c:v>94.618859627247332</c:v>
                </c:pt>
                <c:pt idx="40">
                  <c:v>95.192752940243267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D-4DA5-9067-BC6259910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34024"/>
        <c:axId val="1"/>
      </c:lineChart>
      <c:catAx>
        <c:axId val="5336340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340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Estimates'!$E$33:$AS$33</c:f>
              <c:numCache>
                <c:formatCode>General</c:formatCode>
                <c:ptCount val="41"/>
                <c:pt idx="0">
                  <c:v>82.420240778129113</c:v>
                </c:pt>
                <c:pt idx="1">
                  <c:v>57.49935912487237</c:v>
                </c:pt>
                <c:pt idx="2">
                  <c:v>60.182578587069365</c:v>
                </c:pt>
                <c:pt idx="3">
                  <c:v>35.533974239818029</c:v>
                </c:pt>
                <c:pt idx="4">
                  <c:v>20.146705048186274</c:v>
                </c:pt>
                <c:pt idx="5">
                  <c:v>40.46688551086929</c:v>
                </c:pt>
                <c:pt idx="6">
                  <c:v>32.281234197851127</c:v>
                </c:pt>
                <c:pt idx="7">
                  <c:v>39.547049145180992</c:v>
                </c:pt>
                <c:pt idx="8">
                  <c:v>36.135677096801899</c:v>
                </c:pt>
                <c:pt idx="9">
                  <c:v>36.511843771796876</c:v>
                </c:pt>
                <c:pt idx="10">
                  <c:v>39.396424482875304</c:v>
                </c:pt>
                <c:pt idx="11">
                  <c:v>34.747381795082397</c:v>
                </c:pt>
                <c:pt idx="12">
                  <c:v>36.138551469743362</c:v>
                </c:pt>
                <c:pt idx="13">
                  <c:v>33.963312275328093</c:v>
                </c:pt>
                <c:pt idx="14">
                  <c:v>35.589526312155968</c:v>
                </c:pt>
                <c:pt idx="15">
                  <c:v>37.387716677560817</c:v>
                </c:pt>
                <c:pt idx="16">
                  <c:v>38.700526804720901</c:v>
                </c:pt>
                <c:pt idx="17">
                  <c:v>41.351483496591577</c:v>
                </c:pt>
                <c:pt idx="18">
                  <c:v>42.334438865327051</c:v>
                </c:pt>
                <c:pt idx="19">
                  <c:v>43.947663519917022</c:v>
                </c:pt>
                <c:pt idx="20">
                  <c:v>44.517068600553777</c:v>
                </c:pt>
                <c:pt idx="21">
                  <c:v>44.855090490158872</c:v>
                </c:pt>
                <c:pt idx="22">
                  <c:v>45.202865104179466</c:v>
                </c:pt>
                <c:pt idx="23">
                  <c:v>45.233688517370823</c:v>
                </c:pt>
                <c:pt idx="24">
                  <c:v>45.68769256587003</c:v>
                </c:pt>
                <c:pt idx="25">
                  <c:v>46.049569934803422</c:v>
                </c:pt>
                <c:pt idx="26">
                  <c:v>46.696831130045531</c:v>
                </c:pt>
                <c:pt idx="27">
                  <c:v>47.44621546228931</c:v>
                </c:pt>
                <c:pt idx="28">
                  <c:v>48.227948612134043</c:v>
                </c:pt>
                <c:pt idx="29">
                  <c:v>49.086683436223048</c:v>
                </c:pt>
                <c:pt idx="30">
                  <c:v>49.812446698711767</c:v>
                </c:pt>
                <c:pt idx="31">
                  <c:v>50.489807087762337</c:v>
                </c:pt>
                <c:pt idx="32">
                  <c:v>51.018442405073273</c:v>
                </c:pt>
                <c:pt idx="33">
                  <c:v>51.443862159400148</c:v>
                </c:pt>
                <c:pt idx="34">
                  <c:v>51.801787623453201</c:v>
                </c:pt>
                <c:pt idx="35">
                  <c:v>52.108582418194594</c:v>
                </c:pt>
                <c:pt idx="36">
                  <c:v>52.438232589426448</c:v>
                </c:pt>
                <c:pt idx="37">
                  <c:v>52.788897967203098</c:v>
                </c:pt>
                <c:pt idx="38">
                  <c:v>53.188577195253202</c:v>
                </c:pt>
                <c:pt idx="39">
                  <c:v>53.621451349976027</c:v>
                </c:pt>
                <c:pt idx="40">
                  <c:v>54.067379509418096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63E-8DAA-154F5558D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49440"/>
        <c:axId val="1"/>
      </c:lineChart>
      <c:catAx>
        <c:axId val="5336494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49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Estimates'!$E$34:$AS$34</c:f>
              <c:numCache>
                <c:formatCode>General</c:formatCode>
                <c:ptCount val="41"/>
                <c:pt idx="0">
                  <c:v>183.75604272260881</c:v>
                </c:pt>
                <c:pt idx="1">
                  <c:v>153.12239561041511</c:v>
                </c:pt>
                <c:pt idx="2">
                  <c:v>114.95646301934156</c:v>
                </c:pt>
                <c:pt idx="3">
                  <c:v>76.703509012179538</c:v>
                </c:pt>
                <c:pt idx="4">
                  <c:v>50.935941356135174</c:v>
                </c:pt>
                <c:pt idx="5">
                  <c:v>73.629216101750984</c:v>
                </c:pt>
                <c:pt idx="6">
                  <c:v>58.152184807808318</c:v>
                </c:pt>
                <c:pt idx="7">
                  <c:v>72.398455845194874</c:v>
                </c:pt>
                <c:pt idx="8">
                  <c:v>67.887291610240183</c:v>
                </c:pt>
                <c:pt idx="9">
                  <c:v>72.716145077999101</c:v>
                </c:pt>
                <c:pt idx="10">
                  <c:v>76.555376953280003</c:v>
                </c:pt>
                <c:pt idx="11">
                  <c:v>70.6021030367083</c:v>
                </c:pt>
                <c:pt idx="12">
                  <c:v>73.19033214002377</c:v>
                </c:pt>
                <c:pt idx="13">
                  <c:v>70.852261768437984</c:v>
                </c:pt>
                <c:pt idx="14">
                  <c:v>75.790733782259764</c:v>
                </c:pt>
                <c:pt idx="15">
                  <c:v>80.402232434832953</c:v>
                </c:pt>
                <c:pt idx="16">
                  <c:v>85.158401183395071</c:v>
                </c:pt>
                <c:pt idx="17">
                  <c:v>91.372398074253056</c:v>
                </c:pt>
                <c:pt idx="18">
                  <c:v>95.007284593683636</c:v>
                </c:pt>
                <c:pt idx="19">
                  <c:v>99.403333101487419</c:v>
                </c:pt>
                <c:pt idx="20">
                  <c:v>101.82227637622472</c:v>
                </c:pt>
                <c:pt idx="21">
                  <c:v>103.97898000830487</c:v>
                </c:pt>
                <c:pt idx="22">
                  <c:v>105.87058090587864</c:v>
                </c:pt>
                <c:pt idx="23">
                  <c:v>107.28644442224321</c:v>
                </c:pt>
                <c:pt idx="24">
                  <c:v>109.20368221321631</c:v>
                </c:pt>
                <c:pt idx="25">
                  <c:v>110.89759352056019</c:v>
                </c:pt>
                <c:pt idx="26">
                  <c:v>113.05542065181889</c:v>
                </c:pt>
                <c:pt idx="27">
                  <c:v>115.35518235345153</c:v>
                </c:pt>
                <c:pt idx="28">
                  <c:v>117.80425651674942</c:v>
                </c:pt>
                <c:pt idx="29">
                  <c:v>120.39060980301264</c:v>
                </c:pt>
                <c:pt idx="30">
                  <c:v>122.7858599130149</c:v>
                </c:pt>
                <c:pt idx="31">
                  <c:v>125.0599096322313</c:v>
                </c:pt>
                <c:pt idx="32">
                  <c:v>127.00445274130217</c:v>
                </c:pt>
                <c:pt idx="33">
                  <c:v>128.69344018051379</c:v>
                </c:pt>
                <c:pt idx="34">
                  <c:v>130.17124578778149</c:v>
                </c:pt>
                <c:pt idx="35">
                  <c:v>131.50691046265641</c:v>
                </c:pt>
                <c:pt idx="36">
                  <c:v>132.83870340581871</c:v>
                </c:pt>
                <c:pt idx="37">
                  <c:v>134.19068364748378</c:v>
                </c:pt>
                <c:pt idx="38">
                  <c:v>135.62095904960844</c:v>
                </c:pt>
                <c:pt idx="39">
                  <c:v>137.1002332149051</c:v>
                </c:pt>
                <c:pt idx="40">
                  <c:v>138.59416505929823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6-4824-9F09-8757DFEF2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52392"/>
        <c:axId val="1"/>
      </c:lineChart>
      <c:catAx>
        <c:axId val="53365239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523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Estimates'!$E$35:$AS$35</c:f>
              <c:numCache>
                <c:formatCode>General</c:formatCode>
                <c:ptCount val="41"/>
                <c:pt idx="0">
                  <c:v>193.49905911643867</c:v>
                </c:pt>
                <c:pt idx="1">
                  <c:v>135.52623586377186</c:v>
                </c:pt>
                <c:pt idx="2">
                  <c:v>115.88880182101131</c:v>
                </c:pt>
                <c:pt idx="3">
                  <c:v>109.37504383606625</c:v>
                </c:pt>
                <c:pt idx="4">
                  <c:v>89.880054298381893</c:v>
                </c:pt>
                <c:pt idx="5">
                  <c:v>127.7165162697692</c:v>
                </c:pt>
                <c:pt idx="6">
                  <c:v>115.85632610834358</c:v>
                </c:pt>
                <c:pt idx="7">
                  <c:v>127.96041882676792</c:v>
                </c:pt>
                <c:pt idx="8">
                  <c:v>130.4177153855471</c:v>
                </c:pt>
                <c:pt idx="9">
                  <c:v>131.77714800473797</c:v>
                </c:pt>
                <c:pt idx="10">
                  <c:v>137.5710069639303</c:v>
                </c:pt>
                <c:pt idx="11">
                  <c:v>129.01244553276987</c:v>
                </c:pt>
                <c:pt idx="12">
                  <c:v>129.43995924598889</c:v>
                </c:pt>
                <c:pt idx="13">
                  <c:v>125.43862044885802</c:v>
                </c:pt>
                <c:pt idx="14">
                  <c:v>126.05691573582321</c:v>
                </c:pt>
                <c:pt idx="15">
                  <c:v>128.48690596562602</c:v>
                </c:pt>
                <c:pt idx="16">
                  <c:v>130.12301255479457</c:v>
                </c:pt>
                <c:pt idx="17">
                  <c:v>134.88309653072125</c:v>
                </c:pt>
                <c:pt idx="18">
                  <c:v>137.50018220577522</c:v>
                </c:pt>
                <c:pt idx="19">
                  <c:v>140.89172973076435</c:v>
                </c:pt>
                <c:pt idx="20">
                  <c:v>142.7548190342707</c:v>
                </c:pt>
                <c:pt idx="21">
                  <c:v>143.65310134857791</c:v>
                </c:pt>
                <c:pt idx="22">
                  <c:v>144.36030540568407</c:v>
                </c:pt>
                <c:pt idx="23">
                  <c:v>144.17117793302239</c:v>
                </c:pt>
                <c:pt idx="24">
                  <c:v>144.41992804228926</c:v>
                </c:pt>
                <c:pt idx="25">
                  <c:v>144.53398331848155</c:v>
                </c:pt>
                <c:pt idx="26">
                  <c:v>145.11337847325879</c:v>
                </c:pt>
                <c:pt idx="27">
                  <c:v>146.08636312341204</c:v>
                </c:pt>
                <c:pt idx="28">
                  <c:v>147.26534327455693</c:v>
                </c:pt>
                <c:pt idx="29">
                  <c:v>148.74517921963482</c:v>
                </c:pt>
                <c:pt idx="30">
                  <c:v>150.12466119007681</c:v>
                </c:pt>
                <c:pt idx="31">
                  <c:v>151.44428696708908</c:v>
                </c:pt>
                <c:pt idx="32">
                  <c:v>152.50858967739441</c:v>
                </c:pt>
                <c:pt idx="33">
                  <c:v>153.31254066647432</c:v>
                </c:pt>
                <c:pt idx="34">
                  <c:v>153.91858199130058</c:v>
                </c:pt>
                <c:pt idx="35">
                  <c:v>154.35223981127527</c:v>
                </c:pt>
                <c:pt idx="36">
                  <c:v>154.7631640368418</c:v>
                </c:pt>
                <c:pt idx="37">
                  <c:v>155.19191038121505</c:v>
                </c:pt>
                <c:pt idx="38">
                  <c:v>155.71182948567204</c:v>
                </c:pt>
                <c:pt idx="39">
                  <c:v>156.33001805391137</c:v>
                </c:pt>
                <c:pt idx="40">
                  <c:v>157.01912196684884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3-4633-9E3F-22B72E10A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53376"/>
        <c:axId val="1"/>
      </c:lineChart>
      <c:catAx>
        <c:axId val="5336533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533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Estimates'!$E$36:$AS$36</c:f>
              <c:numCache>
                <c:formatCode>General</c:formatCode>
                <c:ptCount val="41"/>
                <c:pt idx="0">
                  <c:v>2046.0341337215907</c:v>
                </c:pt>
                <c:pt idx="1">
                  <c:v>1743.5442764026825</c:v>
                </c:pt>
                <c:pt idx="2">
                  <c:v>1735.5274436571219</c:v>
                </c:pt>
                <c:pt idx="3">
                  <c:v>1955.279596831901</c:v>
                </c:pt>
                <c:pt idx="4">
                  <c:v>1682.396220960871</c:v>
                </c:pt>
                <c:pt idx="5">
                  <c:v>2236.3484533873448</c:v>
                </c:pt>
                <c:pt idx="6">
                  <c:v>2149.2558599402109</c:v>
                </c:pt>
                <c:pt idx="7">
                  <c:v>2346.9806080245226</c:v>
                </c:pt>
                <c:pt idx="8">
                  <c:v>2435.90123693337</c:v>
                </c:pt>
                <c:pt idx="9">
                  <c:v>2436.379162610247</c:v>
                </c:pt>
                <c:pt idx="10">
                  <c:v>2546.7987796777606</c:v>
                </c:pt>
                <c:pt idx="11">
                  <c:v>2435.3372374370847</c:v>
                </c:pt>
                <c:pt idx="12">
                  <c:v>2437.8332259159702</c:v>
                </c:pt>
                <c:pt idx="13">
                  <c:v>2376.6804547684687</c:v>
                </c:pt>
                <c:pt idx="14">
                  <c:v>2362.2653022239988</c:v>
                </c:pt>
                <c:pt idx="15">
                  <c:v>2391.0836102929029</c:v>
                </c:pt>
                <c:pt idx="16">
                  <c:v>2405.3773346835501</c:v>
                </c:pt>
                <c:pt idx="17">
                  <c:v>2473.4156959992647</c:v>
                </c:pt>
                <c:pt idx="18">
                  <c:v>2515.5850574188376</c:v>
                </c:pt>
                <c:pt idx="19">
                  <c:v>2568.8992726637412</c:v>
                </c:pt>
                <c:pt idx="20">
                  <c:v>2604.8441028356688</c:v>
                </c:pt>
                <c:pt idx="21">
                  <c:v>2622.6614289592703</c:v>
                </c:pt>
                <c:pt idx="22">
                  <c:v>2637.3614751315145</c:v>
                </c:pt>
                <c:pt idx="23">
                  <c:v>2635.9182200553178</c:v>
                </c:pt>
                <c:pt idx="24">
                  <c:v>2638.7146423824647</c:v>
                </c:pt>
                <c:pt idx="25">
                  <c:v>2639.0720911184958</c:v>
                </c:pt>
                <c:pt idx="26">
                  <c:v>2644.793714306224</c:v>
                </c:pt>
                <c:pt idx="27">
                  <c:v>2657.0573212581912</c:v>
                </c:pt>
                <c:pt idx="28">
                  <c:v>2672.5587468285398</c:v>
                </c:pt>
                <c:pt idx="29">
                  <c:v>2693.6108993064677</c:v>
                </c:pt>
                <c:pt idx="30">
                  <c:v>2714.3311539186125</c:v>
                </c:pt>
                <c:pt idx="31">
                  <c:v>2734.8683545790682</c:v>
                </c:pt>
                <c:pt idx="32">
                  <c:v>2752.3558532765992</c:v>
                </c:pt>
                <c:pt idx="33">
                  <c:v>2765.909429544316</c:v>
                </c:pt>
                <c:pt idx="34">
                  <c:v>2776.2975143299518</c:v>
                </c:pt>
                <c:pt idx="35">
                  <c:v>2783.5164894274321</c:v>
                </c:pt>
                <c:pt idx="36">
                  <c:v>2789.7282289262434</c:v>
                </c:pt>
                <c:pt idx="37">
                  <c:v>2795.726049297456</c:v>
                </c:pt>
                <c:pt idx="38">
                  <c:v>2802.7530061490115</c:v>
                </c:pt>
                <c:pt idx="39">
                  <c:v>2811.2677077979765</c:v>
                </c:pt>
                <c:pt idx="40">
                  <c:v>2821.0214929357221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D-4523-9427-C259B6E14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48456"/>
        <c:axId val="1"/>
      </c:lineChart>
      <c:catAx>
        <c:axId val="53364845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48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Estimates'!$E$37:$AS$37</c:f>
              <c:numCache>
                <c:formatCode>General</c:formatCode>
                <c:ptCount val="41"/>
                <c:pt idx="0">
                  <c:v>71.422255061528773</c:v>
                </c:pt>
                <c:pt idx="1">
                  <c:v>33.447875808384246</c:v>
                </c:pt>
                <c:pt idx="2">
                  <c:v>31.220760379843401</c:v>
                </c:pt>
                <c:pt idx="3">
                  <c:v>25.860656674109883</c:v>
                </c:pt>
                <c:pt idx="4">
                  <c:v>22.55863790761558</c:v>
                </c:pt>
                <c:pt idx="5">
                  <c:v>39.880664557556479</c:v>
                </c:pt>
                <c:pt idx="6">
                  <c:v>33.06850476968053</c:v>
                </c:pt>
                <c:pt idx="7">
                  <c:v>38.039653333012104</c:v>
                </c:pt>
                <c:pt idx="8">
                  <c:v>36.742235937572204</c:v>
                </c:pt>
                <c:pt idx="9">
                  <c:v>37.56648414445376</c:v>
                </c:pt>
                <c:pt idx="10">
                  <c:v>39.608613970905381</c:v>
                </c:pt>
                <c:pt idx="11">
                  <c:v>36.250695400418017</c:v>
                </c:pt>
                <c:pt idx="12">
                  <c:v>37.567146330358021</c:v>
                </c:pt>
                <c:pt idx="13">
                  <c:v>36.668360887540629</c:v>
                </c:pt>
                <c:pt idx="14">
                  <c:v>38.178127989649425</c:v>
                </c:pt>
                <c:pt idx="15">
                  <c:v>39.666189741641169</c:v>
                </c:pt>
                <c:pt idx="16">
                  <c:v>40.680067177636602</c:v>
                </c:pt>
                <c:pt idx="17">
                  <c:v>42.683800414787349</c:v>
                </c:pt>
                <c:pt idx="18">
                  <c:v>43.526154295528428</c:v>
                </c:pt>
                <c:pt idx="19">
                  <c:v>44.782574811817298</c:v>
                </c:pt>
                <c:pt idx="20">
                  <c:v>45.320798345106361</c:v>
                </c:pt>
                <c:pt idx="21">
                  <c:v>45.68742166798765</c:v>
                </c:pt>
                <c:pt idx="22">
                  <c:v>46.079280901070106</c:v>
                </c:pt>
                <c:pt idx="23">
                  <c:v>46.234010523794254</c:v>
                </c:pt>
                <c:pt idx="24">
                  <c:v>46.673999860945528</c:v>
                </c:pt>
                <c:pt idx="25">
                  <c:v>47.048460597423698</c:v>
                </c:pt>
                <c:pt idx="26">
                  <c:v>47.621073024940046</c:v>
                </c:pt>
                <c:pt idx="27">
                  <c:v>48.270894763378678</c:v>
                </c:pt>
                <c:pt idx="28">
                  <c:v>48.935938290568998</c:v>
                </c:pt>
                <c:pt idx="29">
                  <c:v>49.647405271300542</c:v>
                </c:pt>
                <c:pt idx="30">
                  <c:v>50.255321839379135</c:v>
                </c:pt>
                <c:pt idx="31">
                  <c:v>50.819645448601548</c:v>
                </c:pt>
                <c:pt idx="32">
                  <c:v>51.274539444316531</c:v>
                </c:pt>
                <c:pt idx="33">
                  <c:v>51.653206624256796</c:v>
                </c:pt>
                <c:pt idx="34">
                  <c:v>51.98514016153139</c:v>
                </c:pt>
                <c:pt idx="35">
                  <c:v>52.281990909680935</c:v>
                </c:pt>
                <c:pt idx="36">
                  <c:v>52.595307514923789</c:v>
                </c:pt>
                <c:pt idx="37">
                  <c:v>52.922216420450837</c:v>
                </c:pt>
                <c:pt idx="38">
                  <c:v>53.28022637200884</c:v>
                </c:pt>
                <c:pt idx="39">
                  <c:v>53.657705742375477</c:v>
                </c:pt>
                <c:pt idx="40">
                  <c:v>54.039970641814442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7-4C11-BEBC-A23FA6CD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50424"/>
        <c:axId val="1"/>
      </c:lineChart>
      <c:catAx>
        <c:axId val="5336504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3650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Estimates'!$E$38:$AS$38</c:f>
              <c:numCache>
                <c:formatCode>General</c:formatCode>
                <c:ptCount val="41"/>
                <c:pt idx="0">
                  <c:v>256.30701667178636</c:v>
                </c:pt>
                <c:pt idx="1">
                  <c:v>283.08569055617016</c:v>
                </c:pt>
                <c:pt idx="2">
                  <c:v>173.74435672561324</c:v>
                </c:pt>
                <c:pt idx="3">
                  <c:v>149.56362476824353</c:v>
                </c:pt>
                <c:pt idx="4">
                  <c:v>83.728656537637605</c:v>
                </c:pt>
                <c:pt idx="5">
                  <c:v>101.32523746413128</c:v>
                </c:pt>
                <c:pt idx="6">
                  <c:v>53.21368253507508</c:v>
                </c:pt>
                <c:pt idx="7">
                  <c:v>49.802179814268989</c:v>
                </c:pt>
                <c:pt idx="8">
                  <c:v>55.274311003500422</c:v>
                </c:pt>
                <c:pt idx="9">
                  <c:v>57.481742381159563</c:v>
                </c:pt>
                <c:pt idx="10">
                  <c:v>74.663801765742122</c:v>
                </c:pt>
                <c:pt idx="11">
                  <c:v>69.871907443122737</c:v>
                </c:pt>
                <c:pt idx="12">
                  <c:v>77.986511975108741</c:v>
                </c:pt>
                <c:pt idx="13">
                  <c:v>78.899102341577773</c:v>
                </c:pt>
                <c:pt idx="14">
                  <c:v>81.419678222006482</c:v>
                </c:pt>
                <c:pt idx="15">
                  <c:v>85.295891195835395</c:v>
                </c:pt>
                <c:pt idx="16">
                  <c:v>84.003410661438494</c:v>
                </c:pt>
                <c:pt idx="17">
                  <c:v>85.886535837053799</c:v>
                </c:pt>
                <c:pt idx="18">
                  <c:v>83.784341852927199</c:v>
                </c:pt>
                <c:pt idx="19">
                  <c:v>82.929824821837101</c:v>
                </c:pt>
                <c:pt idx="20">
                  <c:v>81.884379647978506</c:v>
                </c:pt>
                <c:pt idx="21">
                  <c:v>81.141493567552885</c:v>
                </c:pt>
                <c:pt idx="22">
                  <c:v>82.425171396432702</c:v>
                </c:pt>
                <c:pt idx="23">
                  <c:v>83.617293642879247</c:v>
                </c:pt>
                <c:pt idx="24">
                  <c:v>85.874127231591785</c:v>
                </c:pt>
                <c:pt idx="25">
                  <c:v>87.584990436066647</c:v>
                </c:pt>
                <c:pt idx="26">
                  <c:v>88.892320423857427</c:v>
                </c:pt>
                <c:pt idx="27">
                  <c:v>89.745675605435565</c:v>
                </c:pt>
                <c:pt idx="28">
                  <c:v>89.908665250436002</c:v>
                </c:pt>
                <c:pt idx="29">
                  <c:v>90.022474384375514</c:v>
                </c:pt>
                <c:pt idx="30">
                  <c:v>89.922235374902925</c:v>
                </c:pt>
                <c:pt idx="31">
                  <c:v>90.009077431005466</c:v>
                </c:pt>
                <c:pt idx="32">
                  <c:v>90.244887919605276</c:v>
                </c:pt>
                <c:pt idx="33">
                  <c:v>90.61778871576854</c:v>
                </c:pt>
                <c:pt idx="34">
                  <c:v>91.169752774013816</c:v>
                </c:pt>
                <c:pt idx="35">
                  <c:v>91.753921559090131</c:v>
                </c:pt>
                <c:pt idx="36">
                  <c:v>92.408184641424441</c:v>
                </c:pt>
                <c:pt idx="37">
                  <c:v>93.028706598211485</c:v>
                </c:pt>
                <c:pt idx="38">
                  <c:v>93.595644544219724</c:v>
                </c:pt>
                <c:pt idx="39">
                  <c:v>94.079308986338063</c:v>
                </c:pt>
                <c:pt idx="40">
                  <c:v>94.447575563492592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4-41A6-B85D-EFA5E7A79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71832"/>
        <c:axId val="1"/>
      </c:lineChart>
      <c:catAx>
        <c:axId val="18977183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718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Estimates'!$E$39:$AS$39</c:f>
              <c:numCache>
                <c:formatCode>General</c:formatCode>
                <c:ptCount val="41"/>
                <c:pt idx="0">
                  <c:v>72.425295132531943</c:v>
                </c:pt>
                <c:pt idx="1">
                  <c:v>37.841784557572616</c:v>
                </c:pt>
                <c:pt idx="2">
                  <c:v>19.580442945356122</c:v>
                </c:pt>
                <c:pt idx="3">
                  <c:v>24.16317762082506</c:v>
                </c:pt>
                <c:pt idx="4">
                  <c:v>28.415137479536739</c:v>
                </c:pt>
                <c:pt idx="5">
                  <c:v>41.096457015883423</c:v>
                </c:pt>
                <c:pt idx="6">
                  <c:v>37.405433354888423</c:v>
                </c:pt>
                <c:pt idx="7">
                  <c:v>39.508387163610955</c:v>
                </c:pt>
                <c:pt idx="8">
                  <c:v>40.048190670388522</c:v>
                </c:pt>
                <c:pt idx="9">
                  <c:v>39.279884285658873</c:v>
                </c:pt>
                <c:pt idx="10">
                  <c:v>39.568955446778155</c:v>
                </c:pt>
                <c:pt idx="11">
                  <c:v>36.154105785735496</c:v>
                </c:pt>
                <c:pt idx="12">
                  <c:v>35.947450837274154</c:v>
                </c:pt>
                <c:pt idx="13">
                  <c:v>35.603801514469644</c:v>
                </c:pt>
                <c:pt idx="14">
                  <c:v>36.80288695834772</c:v>
                </c:pt>
                <c:pt idx="15">
                  <c:v>38.733756136508369</c:v>
                </c:pt>
                <c:pt idx="16">
                  <c:v>40.296084736105257</c:v>
                </c:pt>
                <c:pt idx="17">
                  <c:v>42.47718860576154</c:v>
                </c:pt>
                <c:pt idx="18">
                  <c:v>43.717050817870991</c:v>
                </c:pt>
                <c:pt idx="19">
                  <c:v>44.713996737833547</c:v>
                </c:pt>
                <c:pt idx="20">
                  <c:v>45.041373728863014</c:v>
                </c:pt>
                <c:pt idx="21">
                  <c:v>44.965141692186393</c:v>
                </c:pt>
                <c:pt idx="22">
                  <c:v>44.905799198666365</c:v>
                </c:pt>
                <c:pt idx="23">
                  <c:v>44.757038902708437</c:v>
                </c:pt>
                <c:pt idx="24">
                  <c:v>44.916453039091081</c:v>
                </c:pt>
                <c:pt idx="25">
                  <c:v>45.227202077464071</c:v>
                </c:pt>
                <c:pt idx="26">
                  <c:v>45.775150966611264</c:v>
                </c:pt>
                <c:pt idx="27">
                  <c:v>46.478685032224597</c:v>
                </c:pt>
                <c:pt idx="28">
                  <c:v>47.202717890639228</c:v>
                </c:pt>
                <c:pt idx="29">
                  <c:v>47.926435569748882</c:v>
                </c:pt>
                <c:pt idx="30">
                  <c:v>48.521044681322337</c:v>
                </c:pt>
                <c:pt idx="31">
                  <c:v>49.000418266953865</c:v>
                </c:pt>
                <c:pt idx="32">
                  <c:v>49.341650673167145</c:v>
                </c:pt>
                <c:pt idx="33">
                  <c:v>49.575540507339163</c:v>
                </c:pt>
                <c:pt idx="34">
                  <c:v>49.757640197918114</c:v>
                </c:pt>
                <c:pt idx="35">
                  <c:v>49.922221392235954</c:v>
                </c:pt>
                <c:pt idx="36">
                  <c:v>50.124575074959665</c:v>
                </c:pt>
                <c:pt idx="37">
                  <c:v>50.376726461132762</c:v>
                </c:pt>
                <c:pt idx="38">
                  <c:v>50.685681660799744</c:v>
                </c:pt>
                <c:pt idx="39">
                  <c:v>51.035276440575181</c:v>
                </c:pt>
                <c:pt idx="40">
                  <c:v>51.397586664593028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C-4548-B27E-1D75B9E5A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66912"/>
        <c:axId val="1"/>
      </c:lineChart>
      <c:catAx>
        <c:axId val="1897669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66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Estimates'!$E$40:$AS$40</c:f>
              <c:numCache>
                <c:formatCode>General</c:formatCode>
                <c:ptCount val="41"/>
                <c:pt idx="0">
                  <c:v>196.52369761845878</c:v>
                </c:pt>
                <c:pt idx="1">
                  <c:v>133.41568855622015</c:v>
                </c:pt>
                <c:pt idx="2">
                  <c:v>151.75794355880043</c:v>
                </c:pt>
                <c:pt idx="3">
                  <c:v>137.74777240229159</c:v>
                </c:pt>
                <c:pt idx="4">
                  <c:v>128.20007064409512</c:v>
                </c:pt>
                <c:pt idx="5">
                  <c:v>170.70788555194684</c:v>
                </c:pt>
                <c:pt idx="6">
                  <c:v>158.86616384960794</c:v>
                </c:pt>
                <c:pt idx="7">
                  <c:v>183.14197061537803</c:v>
                </c:pt>
                <c:pt idx="8">
                  <c:v>184.72811463209604</c:v>
                </c:pt>
                <c:pt idx="9">
                  <c:v>191.9398380659749</c:v>
                </c:pt>
                <c:pt idx="10">
                  <c:v>198.94174269426301</c:v>
                </c:pt>
                <c:pt idx="11">
                  <c:v>191.11370248650459</c:v>
                </c:pt>
                <c:pt idx="12">
                  <c:v>193.06752371872085</c:v>
                </c:pt>
                <c:pt idx="13">
                  <c:v>187.13201800336043</c:v>
                </c:pt>
                <c:pt idx="14">
                  <c:v>188.28639494571172</c:v>
                </c:pt>
                <c:pt idx="15">
                  <c:v>189.86950358618486</c:v>
                </c:pt>
                <c:pt idx="16">
                  <c:v>192.14256454678844</c:v>
                </c:pt>
                <c:pt idx="17">
                  <c:v>198.05690679247149</c:v>
                </c:pt>
                <c:pt idx="18">
                  <c:v>201.82594606751957</c:v>
                </c:pt>
                <c:pt idx="19">
                  <c:v>207.18737290220145</c:v>
                </c:pt>
                <c:pt idx="20">
                  <c:v>210.37549198051056</c:v>
                </c:pt>
                <c:pt idx="21">
                  <c:v>212.74338037564178</c:v>
                </c:pt>
                <c:pt idx="22">
                  <c:v>214.36349079968133</c:v>
                </c:pt>
                <c:pt idx="23">
                  <c:v>214.75449078475555</c:v>
                </c:pt>
                <c:pt idx="24">
                  <c:v>215.43075621898308</c:v>
                </c:pt>
                <c:pt idx="25">
                  <c:v>215.70177388567251</c:v>
                </c:pt>
                <c:pt idx="26">
                  <c:v>216.5633243010422</c:v>
                </c:pt>
                <c:pt idx="27">
                  <c:v>217.8073178210627</c:v>
                </c:pt>
                <c:pt idx="28">
                  <c:v>219.42987529434686</c:v>
                </c:pt>
                <c:pt idx="29">
                  <c:v>221.48262785330093</c:v>
                </c:pt>
                <c:pt idx="30">
                  <c:v>223.51037229935457</c:v>
                </c:pt>
                <c:pt idx="31">
                  <c:v>225.5548353678266</c:v>
                </c:pt>
                <c:pt idx="32">
                  <c:v>227.29808598167199</c:v>
                </c:pt>
                <c:pt idx="33">
                  <c:v>228.73758301160217</c:v>
                </c:pt>
                <c:pt idx="34">
                  <c:v>229.87606807905127</c:v>
                </c:pt>
                <c:pt idx="35">
                  <c:v>230.7441674365169</c:v>
                </c:pt>
                <c:pt idx="36">
                  <c:v>231.5126059645969</c:v>
                </c:pt>
                <c:pt idx="37">
                  <c:v>232.23909758651072</c:v>
                </c:pt>
                <c:pt idx="38">
                  <c:v>233.04552792148004</c:v>
                </c:pt>
                <c:pt idx="39">
                  <c:v>233.95598223974622</c:v>
                </c:pt>
                <c:pt idx="40">
                  <c:v>234.96706791446223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6-4429-820B-1DB508938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76424"/>
        <c:axId val="1"/>
      </c:lineChart>
      <c:catAx>
        <c:axId val="1897764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76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Estimates'!$E$41:$AS$41</c:f>
              <c:numCache>
                <c:formatCode>General</c:formatCode>
                <c:ptCount val="41"/>
                <c:pt idx="0">
                  <c:v>323.06752139645192</c:v>
                </c:pt>
                <c:pt idx="1">
                  <c:v>251.84129488002878</c:v>
                </c:pt>
                <c:pt idx="2">
                  <c:v>279.97063845211028</c:v>
                </c:pt>
                <c:pt idx="3">
                  <c:v>267.97851644701876</c:v>
                </c:pt>
                <c:pt idx="4">
                  <c:v>236.84825104825737</c:v>
                </c:pt>
                <c:pt idx="5">
                  <c:v>282.74683529518018</c:v>
                </c:pt>
                <c:pt idx="6">
                  <c:v>209.0432322732093</c:v>
                </c:pt>
                <c:pt idx="7">
                  <c:v>230.70070481656194</c:v>
                </c:pt>
                <c:pt idx="8">
                  <c:v>225.1831517874312</c:v>
                </c:pt>
                <c:pt idx="9">
                  <c:v>233.57069689169703</c:v>
                </c:pt>
                <c:pt idx="10">
                  <c:v>242.42537205361123</c:v>
                </c:pt>
                <c:pt idx="11">
                  <c:v>224.91226362049719</c:v>
                </c:pt>
                <c:pt idx="12">
                  <c:v>232.2799689755623</c:v>
                </c:pt>
                <c:pt idx="13">
                  <c:v>222.8091761953747</c:v>
                </c:pt>
                <c:pt idx="14">
                  <c:v>223.48058459491568</c:v>
                </c:pt>
                <c:pt idx="15">
                  <c:v>220.89495262716463</c:v>
                </c:pt>
                <c:pt idx="16">
                  <c:v>216.68213484605408</c:v>
                </c:pt>
                <c:pt idx="17">
                  <c:v>218.56933192077204</c:v>
                </c:pt>
                <c:pt idx="18">
                  <c:v>215.66446720575306</c:v>
                </c:pt>
                <c:pt idx="19">
                  <c:v>216.99170009650851</c:v>
                </c:pt>
                <c:pt idx="20">
                  <c:v>215.9331598946014</c:v>
                </c:pt>
                <c:pt idx="21">
                  <c:v>215.58061970488967</c:v>
                </c:pt>
                <c:pt idx="22">
                  <c:v>215.78418980777229</c:v>
                </c:pt>
                <c:pt idx="23">
                  <c:v>214.63953504830945</c:v>
                </c:pt>
                <c:pt idx="24">
                  <c:v>214.4033358261434</c:v>
                </c:pt>
                <c:pt idx="25">
                  <c:v>212.93954417840868</c:v>
                </c:pt>
                <c:pt idx="26">
                  <c:v>211.87134711006024</c:v>
                </c:pt>
                <c:pt idx="27">
                  <c:v>210.68640163575625</c:v>
                </c:pt>
                <c:pt idx="28">
                  <c:v>209.53023623343023</c:v>
                </c:pt>
                <c:pt idx="29">
                  <c:v>208.88107345423074</c:v>
                </c:pt>
                <c:pt idx="30">
                  <c:v>208.20016996483923</c:v>
                </c:pt>
                <c:pt idx="31">
                  <c:v>207.91756420850675</c:v>
                </c:pt>
                <c:pt idx="32">
                  <c:v>207.5927262636221</c:v>
                </c:pt>
                <c:pt idx="33">
                  <c:v>207.27797807979906</c:v>
                </c:pt>
                <c:pt idx="34">
                  <c:v>206.91215491275858</c:v>
                </c:pt>
                <c:pt idx="35">
                  <c:v>206.38866322181383</c:v>
                </c:pt>
                <c:pt idx="36">
                  <c:v>205.85404994388716</c:v>
                </c:pt>
                <c:pt idx="37">
                  <c:v>205.23504074608195</c:v>
                </c:pt>
                <c:pt idx="38">
                  <c:v>204.64905095510011</c:v>
                </c:pt>
                <c:pt idx="39">
                  <c:v>204.09428938421175</c:v>
                </c:pt>
                <c:pt idx="40">
                  <c:v>203.58859364614742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0-4B39-89C9-012BF421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83312"/>
        <c:axId val="1"/>
      </c:lineChart>
      <c:catAx>
        <c:axId val="1897833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83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50018615745381"/>
          <c:y val="0.14285769646614763"/>
          <c:w val="0.79750097351193061"/>
          <c:h val="0.7063519436381744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Estimates'!$E$42:$AS$42</c:f>
              <c:numCache>
                <c:formatCode>General</c:formatCode>
                <c:ptCount val="41"/>
                <c:pt idx="0">
                  <c:v>58.089037126075397</c:v>
                </c:pt>
                <c:pt idx="1">
                  <c:v>42.378914828933389</c:v>
                </c:pt>
                <c:pt idx="2">
                  <c:v>39.972321314955025</c:v>
                </c:pt>
                <c:pt idx="3">
                  <c:v>37.727040331246833</c:v>
                </c:pt>
                <c:pt idx="4">
                  <c:v>30.501180111769454</c:v>
                </c:pt>
                <c:pt idx="5">
                  <c:v>46.571172246672646</c:v>
                </c:pt>
                <c:pt idx="6">
                  <c:v>39.247703506318899</c:v>
                </c:pt>
                <c:pt idx="7">
                  <c:v>44.925693531860659</c:v>
                </c:pt>
                <c:pt idx="8">
                  <c:v>45.11969769457319</c:v>
                </c:pt>
                <c:pt idx="9">
                  <c:v>45.733278727022928</c:v>
                </c:pt>
                <c:pt idx="10">
                  <c:v>48.386264963357206</c:v>
                </c:pt>
                <c:pt idx="11">
                  <c:v>44.959167141578639</c:v>
                </c:pt>
                <c:pt idx="12">
                  <c:v>46.014553910009951</c:v>
                </c:pt>
                <c:pt idx="13">
                  <c:v>44.416244681731925</c:v>
                </c:pt>
                <c:pt idx="14">
                  <c:v>44.713380077359425</c:v>
                </c:pt>
                <c:pt idx="15">
                  <c:v>45.240233498194009</c:v>
                </c:pt>
                <c:pt idx="16">
                  <c:v>45.245391646760851</c:v>
                </c:pt>
                <c:pt idx="17">
                  <c:v>46.619862608145631</c:v>
                </c:pt>
                <c:pt idx="18">
                  <c:v>47.043163363990267</c:v>
                </c:pt>
                <c:pt idx="19">
                  <c:v>48.083756149730654</c:v>
                </c:pt>
                <c:pt idx="20">
                  <c:v>48.595752762603581</c:v>
                </c:pt>
                <c:pt idx="21">
                  <c:v>48.908368085501422</c:v>
                </c:pt>
                <c:pt idx="22">
                  <c:v>49.234585388771094</c:v>
                </c:pt>
                <c:pt idx="23">
                  <c:v>49.181385107903004</c:v>
                </c:pt>
                <c:pt idx="24">
                  <c:v>49.306786070601767</c:v>
                </c:pt>
                <c:pt idx="25">
                  <c:v>49.281014811314463</c:v>
                </c:pt>
                <c:pt idx="26">
                  <c:v>49.395881543933122</c:v>
                </c:pt>
                <c:pt idx="27">
                  <c:v>49.603417948463374</c:v>
                </c:pt>
                <c:pt idx="28">
                  <c:v>49.856684156371742</c:v>
                </c:pt>
                <c:pt idx="29">
                  <c:v>50.229397653263774</c:v>
                </c:pt>
                <c:pt idx="30">
                  <c:v>50.568249747144478</c:v>
                </c:pt>
                <c:pt idx="31">
                  <c:v>50.924147830443502</c:v>
                </c:pt>
                <c:pt idx="32">
                  <c:v>51.214156906488626</c:v>
                </c:pt>
                <c:pt idx="33">
                  <c:v>51.441253843092291</c:v>
                </c:pt>
                <c:pt idx="34">
                  <c:v>51.6188605220634</c:v>
                </c:pt>
                <c:pt idx="35">
                  <c:v>51.739920006719842</c:v>
                </c:pt>
                <c:pt idx="36">
                  <c:v>51.852844592150348</c:v>
                </c:pt>
                <c:pt idx="37">
                  <c:v>51.958333024509052</c:v>
                </c:pt>
                <c:pt idx="38">
                  <c:v>52.083349107410953</c:v>
                </c:pt>
                <c:pt idx="39">
                  <c:v>52.230540764288541</c:v>
                </c:pt>
                <c:pt idx="40">
                  <c:v>52.395632251478368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B-4829-8088-C178916A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87904"/>
        <c:axId val="1"/>
      </c:lineChart>
      <c:catAx>
        <c:axId val="18978790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879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Estimates'!$E$43:$AS$43</c:f>
              <c:numCache>
                <c:formatCode>General</c:formatCode>
                <c:ptCount val="41"/>
                <c:pt idx="0">
                  <c:v>37.734129072994897</c:v>
                </c:pt>
                <c:pt idx="1">
                  <c:v>20.98525450636636</c:v>
                </c:pt>
                <c:pt idx="2">
                  <c:v>18.56247707296432</c:v>
                </c:pt>
                <c:pt idx="3">
                  <c:v>8.1296005451147515</c:v>
                </c:pt>
                <c:pt idx="4">
                  <c:v>10.242267030160395</c:v>
                </c:pt>
                <c:pt idx="5">
                  <c:v>18.215315642326633</c:v>
                </c:pt>
                <c:pt idx="6">
                  <c:v>14.512880752159033</c:v>
                </c:pt>
                <c:pt idx="7">
                  <c:v>17.601065558417869</c:v>
                </c:pt>
                <c:pt idx="8">
                  <c:v>15.888842293983624</c:v>
                </c:pt>
                <c:pt idx="9">
                  <c:v>17.53950554539993</c:v>
                </c:pt>
                <c:pt idx="10">
                  <c:v>17.586146570741047</c:v>
                </c:pt>
                <c:pt idx="11">
                  <c:v>15.824548729092907</c:v>
                </c:pt>
                <c:pt idx="12">
                  <c:v>16.019624862745886</c:v>
                </c:pt>
                <c:pt idx="13">
                  <c:v>14.928277732065178</c:v>
                </c:pt>
                <c:pt idx="14">
                  <c:v>15.542173410334376</c:v>
                </c:pt>
                <c:pt idx="15">
                  <c:v>15.636508517560703</c:v>
                </c:pt>
                <c:pt idx="16">
                  <c:v>15.996497410880927</c:v>
                </c:pt>
                <c:pt idx="17">
                  <c:v>16.716273684702902</c:v>
                </c:pt>
                <c:pt idx="18">
                  <c:v>17.036887417735365</c:v>
                </c:pt>
                <c:pt idx="19">
                  <c:v>17.669126322888847</c:v>
                </c:pt>
                <c:pt idx="20">
                  <c:v>17.834531248825229</c:v>
                </c:pt>
                <c:pt idx="21">
                  <c:v>18.004280876990226</c:v>
                </c:pt>
                <c:pt idx="22">
                  <c:v>18.038599370951694</c:v>
                </c:pt>
                <c:pt idx="23">
                  <c:v>17.958151616161977</c:v>
                </c:pt>
                <c:pt idx="24">
                  <c:v>17.965364795838489</c:v>
                </c:pt>
                <c:pt idx="25">
                  <c:v>17.915757373173641</c:v>
                </c:pt>
                <c:pt idx="26">
                  <c:v>18.003752826992461</c:v>
                </c:pt>
                <c:pt idx="27">
                  <c:v>18.131630510031609</c:v>
                </c:pt>
                <c:pt idx="28">
                  <c:v>18.323544692319892</c:v>
                </c:pt>
                <c:pt idx="29">
                  <c:v>18.556379834584156</c:v>
                </c:pt>
                <c:pt idx="30">
                  <c:v>18.762721721855357</c:v>
                </c:pt>
                <c:pt idx="31">
                  <c:v>18.96103646534533</c:v>
                </c:pt>
                <c:pt idx="32">
                  <c:v>19.100380406720141</c:v>
                </c:pt>
                <c:pt idx="33">
                  <c:v>19.203042238391834</c:v>
                </c:pt>
                <c:pt idx="34">
                  <c:v>19.269126832326318</c:v>
                </c:pt>
                <c:pt idx="35">
                  <c:v>19.312369183678328</c:v>
                </c:pt>
                <c:pt idx="36">
                  <c:v>19.35738361863763</c:v>
                </c:pt>
                <c:pt idx="37">
                  <c:v>19.407036681599337</c:v>
                </c:pt>
                <c:pt idx="38">
                  <c:v>19.476692150920204</c:v>
                </c:pt>
                <c:pt idx="39">
                  <c:v>19.561713874345049</c:v>
                </c:pt>
                <c:pt idx="40">
                  <c:v>19.659866208980169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8-4D00-9831-52907FA7F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89872"/>
        <c:axId val="1"/>
      </c:lineChart>
      <c:catAx>
        <c:axId val="18978987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898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41393868934712"/>
          <c:y val="0.15936254980079681"/>
          <c:w val="0.77193171388361992"/>
          <c:h val="0.6693227091633465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Estimates'!$E$4:$AS$4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Estimates'!$E$44:$AS$44</c:f>
              <c:numCache>
                <c:formatCode>General</c:formatCode>
                <c:ptCount val="41"/>
                <c:pt idx="0">
                  <c:v>736.44979382361612</c:v>
                </c:pt>
                <c:pt idx="1">
                  <c:v>780.57699111200668</c:v>
                </c:pt>
                <c:pt idx="2">
                  <c:v>647.32846697779712</c:v>
                </c:pt>
                <c:pt idx="3">
                  <c:v>679.67627581006025</c:v>
                </c:pt>
                <c:pt idx="4">
                  <c:v>480.92273907829008</c:v>
                </c:pt>
                <c:pt idx="5">
                  <c:v>669.90946177051933</c:v>
                </c:pt>
                <c:pt idx="6">
                  <c:v>598.84804812471191</c:v>
                </c:pt>
                <c:pt idx="7">
                  <c:v>597.20321300417936</c:v>
                </c:pt>
                <c:pt idx="8">
                  <c:v>591.00850604380514</c:v>
                </c:pt>
                <c:pt idx="9">
                  <c:v>546.90990297352198</c:v>
                </c:pt>
                <c:pt idx="10">
                  <c:v>574.1103780767437</c:v>
                </c:pt>
                <c:pt idx="11">
                  <c:v>516.95996716193702</c:v>
                </c:pt>
                <c:pt idx="12">
                  <c:v>510.51858261338998</c:v>
                </c:pt>
                <c:pt idx="13">
                  <c:v>491.0792126183805</c:v>
                </c:pt>
                <c:pt idx="14">
                  <c:v>485.09795147134503</c:v>
                </c:pt>
                <c:pt idx="15">
                  <c:v>497.56289856880414</c:v>
                </c:pt>
                <c:pt idx="16">
                  <c:v>494.28170773852366</c:v>
                </c:pt>
                <c:pt idx="17">
                  <c:v>506.71483908532201</c:v>
                </c:pt>
                <c:pt idx="18">
                  <c:v>505.03728256872819</c:v>
                </c:pt>
                <c:pt idx="19">
                  <c:v>504.89286701483309</c:v>
                </c:pt>
                <c:pt idx="20">
                  <c:v>500.53647407570628</c:v>
                </c:pt>
                <c:pt idx="21">
                  <c:v>490.98383075150906</c:v>
                </c:pt>
                <c:pt idx="22">
                  <c:v>485.00991421163684</c:v>
                </c:pt>
                <c:pt idx="23">
                  <c:v>476.21791628647037</c:v>
                </c:pt>
                <c:pt idx="24">
                  <c:v>471.59300656982793</c:v>
                </c:pt>
                <c:pt idx="25">
                  <c:v>467.42438717956935</c:v>
                </c:pt>
                <c:pt idx="26">
                  <c:v>464.8389359260479</c:v>
                </c:pt>
                <c:pt idx="27">
                  <c:v>464.06003089270365</c:v>
                </c:pt>
                <c:pt idx="28">
                  <c:v>462.99882096850052</c:v>
                </c:pt>
                <c:pt idx="29">
                  <c:v>462.8951450686493</c:v>
                </c:pt>
                <c:pt idx="30">
                  <c:v>461.84536108493324</c:v>
                </c:pt>
                <c:pt idx="31">
                  <c:v>460.41932603717368</c:v>
                </c:pt>
                <c:pt idx="32">
                  <c:v>458.23668149636865</c:v>
                </c:pt>
                <c:pt idx="33">
                  <c:v>455.26892481995941</c:v>
                </c:pt>
                <c:pt idx="34">
                  <c:v>452.15927659367486</c:v>
                </c:pt>
                <c:pt idx="35">
                  <c:v>448.8592604622155</c:v>
                </c:pt>
                <c:pt idx="36">
                  <c:v>446.02564717281081</c:v>
                </c:pt>
                <c:pt idx="37">
                  <c:v>443.66691742239698</c:v>
                </c:pt>
                <c:pt idx="38">
                  <c:v>441.88539015052135</c:v>
                </c:pt>
                <c:pt idx="39">
                  <c:v>440.60579155012448</c:v>
                </c:pt>
                <c:pt idx="40">
                  <c:v>439.54699645139476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9-4A81-8260-12CB785FF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92824"/>
        <c:axId val="1"/>
      </c:lineChart>
      <c:catAx>
        <c:axId val="1897928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89792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Planilha1!$A$2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Planilha1!$B$2:$AX$2</c:f>
              <c:numCache>
                <c:formatCode>General</c:formatCode>
                <c:ptCount val="49"/>
                <c:pt idx="0">
                  <c:v>5424.6878805490978</c:v>
                </c:pt>
                <c:pt idx="1">
                  <c:v>4260.5298401377713</c:v>
                </c:pt>
                <c:pt idx="2">
                  <c:v>3955.1216460387654</c:v>
                </c:pt>
                <c:pt idx="3">
                  <c:v>3658.4182252446631</c:v>
                </c:pt>
                <c:pt idx="4">
                  <c:v>3273.9396351087603</c:v>
                </c:pt>
                <c:pt idx="5">
                  <c:v>4442.6281751901988</c:v>
                </c:pt>
                <c:pt idx="6">
                  <c:v>4085.6327759405735</c:v>
                </c:pt>
                <c:pt idx="7">
                  <c:v>4583.2329747171179</c:v>
                </c:pt>
                <c:pt idx="8">
                  <c:v>4578.0452152775561</c:v>
                </c:pt>
                <c:pt idx="9">
                  <c:v>4647.9107391798234</c:v>
                </c:pt>
                <c:pt idx="10">
                  <c:v>4770.3389430755851</c:v>
                </c:pt>
                <c:pt idx="11">
                  <c:v>4464.9718957779087</c:v>
                </c:pt>
                <c:pt idx="12">
                  <c:v>4433.6220937411817</c:v>
                </c:pt>
                <c:pt idx="13">
                  <c:v>4227.7259477650914</c:v>
                </c:pt>
                <c:pt idx="14">
                  <c:v>4207.6836000932017</c:v>
                </c:pt>
                <c:pt idx="15">
                  <c:v>4226.3200607214685</c:v>
                </c:pt>
                <c:pt idx="16">
                  <c:v>4248.5208462294268</c:v>
                </c:pt>
                <c:pt idx="17">
                  <c:v>4368.3634357271967</c:v>
                </c:pt>
                <c:pt idx="18">
                  <c:v>4422.7106536188039</c:v>
                </c:pt>
                <c:pt idx="19">
                  <c:v>4508.6929511882208</c:v>
                </c:pt>
                <c:pt idx="20">
                  <c:v>4537.0985489530567</c:v>
                </c:pt>
                <c:pt idx="21">
                  <c:v>4538.9471582794367</c:v>
                </c:pt>
                <c:pt idx="22">
                  <c:v>4527.5319562678915</c:v>
                </c:pt>
                <c:pt idx="23">
                  <c:v>4487.386855722576</c:v>
                </c:pt>
                <c:pt idx="24">
                  <c:v>4460.4817132739499</c:v>
                </c:pt>
                <c:pt idx="25">
                  <c:v>4428.0691397580431</c:v>
                </c:pt>
                <c:pt idx="26">
                  <c:v>4413.3583407758742</c:v>
                </c:pt>
                <c:pt idx="27">
                  <c:v>4411.5375327140036</c:v>
                </c:pt>
                <c:pt idx="28">
                  <c:v>4419.6348166159587</c:v>
                </c:pt>
                <c:pt idx="29">
                  <c:v>4439.3067875341203</c:v>
                </c:pt>
                <c:pt idx="30">
                  <c:v>4457.7544823169046</c:v>
                </c:pt>
                <c:pt idx="31">
                  <c:v>4475.9814880171461</c:v>
                </c:pt>
                <c:pt idx="32">
                  <c:v>4486.3133009999137</c:v>
                </c:pt>
                <c:pt idx="33">
                  <c:v>4488.7587145743064</c:v>
                </c:pt>
                <c:pt idx="34">
                  <c:v>4484.4239625218333</c:v>
                </c:pt>
                <c:pt idx="35">
                  <c:v>4474.452948258112</c:v>
                </c:pt>
                <c:pt idx="36">
                  <c:v>4463.8083394786599</c:v>
                </c:pt>
                <c:pt idx="37">
                  <c:v>4454.1011779807068</c:v>
                </c:pt>
                <c:pt idx="38">
                  <c:v>4448.2262838228698</c:v>
                </c:pt>
                <c:pt idx="39">
                  <c:v>4446.5027182614458</c:v>
                </c:pt>
                <c:pt idx="40">
                  <c:v>4448.2803544701528</c:v>
                </c:pt>
                <c:pt idx="41">
                  <c:v>4452.491936917414</c:v>
                </c:pt>
                <c:pt idx="42">
                  <c:v>4457.0885434991978</c:v>
                </c:pt>
                <c:pt idx="43">
                  <c:v>4460.9335192736025</c:v>
                </c:pt>
                <c:pt idx="44">
                  <c:v>4462.8948022257937</c:v>
                </c:pt>
                <c:pt idx="45">
                  <c:v>4462.7585535742401</c:v>
                </c:pt>
                <c:pt idx="46">
                  <c:v>4460.8230458534335</c:v>
                </c:pt>
                <c:pt idx="47">
                  <c:v>4457.6718577216379</c:v>
                </c:pt>
                <c:pt idx="48">
                  <c:v>4454.1937385843776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D-4470-9CB1-9B231FCD3AB8}"/>
            </c:ext>
          </c:extLst>
        </c:ser>
        <c:ser>
          <c:idx val="1"/>
          <c:order val="1"/>
          <c:tx>
            <c:strRef>
              <c:f>Planilha1!$A$3</c:f>
              <c:strCache>
                <c:ptCount val="1"/>
                <c:pt idx="0">
                  <c:v>nordeste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Planilha1!$B$3:$AX$3</c:f>
              <c:numCache>
                <c:formatCode>General</c:formatCode>
                <c:ptCount val="49"/>
                <c:pt idx="0">
                  <c:v>14460.405180507647</c:v>
                </c:pt>
                <c:pt idx="1">
                  <c:v>15470.901040840117</c:v>
                </c:pt>
                <c:pt idx="2">
                  <c:v>14241.767665023604</c:v>
                </c:pt>
                <c:pt idx="3">
                  <c:v>15203.588557265708</c:v>
                </c:pt>
                <c:pt idx="4">
                  <c:v>14356.811378840001</c:v>
                </c:pt>
                <c:pt idx="5">
                  <c:v>16950.343595127681</c:v>
                </c:pt>
                <c:pt idx="6">
                  <c:v>16042.785734117133</c:v>
                </c:pt>
                <c:pt idx="7">
                  <c:v>16756.248049486319</c:v>
                </c:pt>
                <c:pt idx="8">
                  <c:v>17370.139657247611</c:v>
                </c:pt>
                <c:pt idx="9">
                  <c:v>17694.783331542734</c:v>
                </c:pt>
                <c:pt idx="10">
                  <c:v>18078.91442839595</c:v>
                </c:pt>
                <c:pt idx="11">
                  <c:v>17201.523376005876</c:v>
                </c:pt>
                <c:pt idx="12">
                  <c:v>16877.859910708943</c:v>
                </c:pt>
                <c:pt idx="13">
                  <c:v>16386.151489022952</c:v>
                </c:pt>
                <c:pt idx="14">
                  <c:v>16213.859168798521</c:v>
                </c:pt>
                <c:pt idx="15">
                  <c:v>16251.017580247166</c:v>
                </c:pt>
                <c:pt idx="16">
                  <c:v>16272.171560301906</c:v>
                </c:pt>
                <c:pt idx="17">
                  <c:v>16572.934087104961</c:v>
                </c:pt>
                <c:pt idx="18">
                  <c:v>16760.548448205722</c:v>
                </c:pt>
                <c:pt idx="19">
                  <c:v>16975.056161265766</c:v>
                </c:pt>
                <c:pt idx="20">
                  <c:v>17067.783955265793</c:v>
                </c:pt>
                <c:pt idx="21">
                  <c:v>17055.77253219745</c:v>
                </c:pt>
                <c:pt idx="22">
                  <c:v>17012.520809827671</c:v>
                </c:pt>
                <c:pt idx="23">
                  <c:v>16890.345203109246</c:v>
                </c:pt>
                <c:pt idx="24">
                  <c:v>16788.663138356827</c:v>
                </c:pt>
                <c:pt idx="25">
                  <c:v>16683.878222674342</c:v>
                </c:pt>
                <c:pt idx="26">
                  <c:v>16620.494129899107</c:v>
                </c:pt>
                <c:pt idx="27">
                  <c:v>16603.795266198777</c:v>
                </c:pt>
                <c:pt idx="28">
                  <c:v>16617.999499864578</c:v>
                </c:pt>
                <c:pt idx="29">
                  <c:v>16667.685412588882</c:v>
                </c:pt>
                <c:pt idx="30">
                  <c:v>16720.027178054748</c:v>
                </c:pt>
                <c:pt idx="31">
                  <c:v>16770.228666100549</c:v>
                </c:pt>
                <c:pt idx="32">
                  <c:v>16800.56672132717</c:v>
                </c:pt>
                <c:pt idx="33">
                  <c:v>16806.082848085174</c:v>
                </c:pt>
                <c:pt idx="34">
                  <c:v>16791.281748919111</c:v>
                </c:pt>
                <c:pt idx="35">
                  <c:v>16759.636975411104</c:v>
                </c:pt>
                <c:pt idx="36">
                  <c:v>16724.80962858272</c:v>
                </c:pt>
                <c:pt idx="37">
                  <c:v>16693.472261237184</c:v>
                </c:pt>
                <c:pt idx="38">
                  <c:v>16673.126187590635</c:v>
                </c:pt>
                <c:pt idx="39">
                  <c:v>16665.899512625259</c:v>
                </c:pt>
                <c:pt idx="40">
                  <c:v>16669.646130486686</c:v>
                </c:pt>
                <c:pt idx="41">
                  <c:v>16681.2057194316</c:v>
                </c:pt>
                <c:pt idx="42">
                  <c:v>16694.723784008736</c:v>
                </c:pt>
                <c:pt idx="43">
                  <c:v>16706.31592132126</c:v>
                </c:pt>
                <c:pt idx="44">
                  <c:v>16712.750810315902</c:v>
                </c:pt>
                <c:pt idx="45">
                  <c:v>16712.989737864646</c:v>
                </c:pt>
                <c:pt idx="46">
                  <c:v>16707.842841821941</c:v>
                </c:pt>
                <c:pt idx="47">
                  <c:v>16698.959907680648</c:v>
                </c:pt>
                <c:pt idx="48">
                  <c:v>16688.899561891689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D-4470-9CB1-9B231FCD3AB8}"/>
            </c:ext>
          </c:extLst>
        </c:ser>
        <c:ser>
          <c:idx val="2"/>
          <c:order val="2"/>
          <c:tx>
            <c:strRef>
              <c:f>Planilha1!$A$4</c:f>
              <c:strCache>
                <c:ptCount val="1"/>
                <c:pt idx="0">
                  <c:v>sudeste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Planilha1!$B$4:$AX$4</c:f>
              <c:numCache>
                <c:formatCode>General</c:formatCode>
                <c:ptCount val="49"/>
                <c:pt idx="0">
                  <c:v>56453.121453811196</c:v>
                </c:pt>
                <c:pt idx="1">
                  <c:v>39658.947203692733</c:v>
                </c:pt>
                <c:pt idx="2">
                  <c:v>35656.128212293595</c:v>
                </c:pt>
                <c:pt idx="3">
                  <c:v>33100.506384495893</c:v>
                </c:pt>
                <c:pt idx="4">
                  <c:v>34061.980289207699</c:v>
                </c:pt>
                <c:pt idx="5">
                  <c:v>48813.021567601725</c:v>
                </c:pt>
                <c:pt idx="6">
                  <c:v>47408.191551400698</c:v>
                </c:pt>
                <c:pt idx="7">
                  <c:v>55149.244150505088</c:v>
                </c:pt>
                <c:pt idx="8">
                  <c:v>56559.019943588588</c:v>
                </c:pt>
                <c:pt idx="9">
                  <c:v>58456.664575779272</c:v>
                </c:pt>
                <c:pt idx="10">
                  <c:v>58836.641431332318</c:v>
                </c:pt>
                <c:pt idx="11">
                  <c:v>54324.698242670835</c:v>
                </c:pt>
                <c:pt idx="12">
                  <c:v>52372.437162387461</c:v>
                </c:pt>
                <c:pt idx="13">
                  <c:v>48788.884637367097</c:v>
                </c:pt>
                <c:pt idx="14">
                  <c:v>47807.544184931015</c:v>
                </c:pt>
                <c:pt idx="15">
                  <c:v>47644.966792254636</c:v>
                </c:pt>
                <c:pt idx="16">
                  <c:v>48268.73254210061</c:v>
                </c:pt>
                <c:pt idx="17">
                  <c:v>50219.465638612222</c:v>
                </c:pt>
                <c:pt idx="18">
                  <c:v>51627.982146595299</c:v>
                </c:pt>
                <c:pt idx="19">
                  <c:v>53238.682412595866</c:v>
                </c:pt>
                <c:pt idx="20">
                  <c:v>53917.54637288885</c:v>
                </c:pt>
                <c:pt idx="21">
                  <c:v>54042.780802549983</c:v>
                </c:pt>
                <c:pt idx="22">
                  <c:v>53726.981410765089</c:v>
                </c:pt>
                <c:pt idx="23">
                  <c:v>52969.154222587153</c:v>
                </c:pt>
                <c:pt idx="24">
                  <c:v>52300.167113627176</c:v>
                </c:pt>
                <c:pt idx="25">
                  <c:v>51632.510293101819</c:v>
                </c:pt>
                <c:pt idx="26">
                  <c:v>51289.714752676315</c:v>
                </c:pt>
                <c:pt idx="27">
                  <c:v>51224.635285959928</c:v>
                </c:pt>
                <c:pt idx="28">
                  <c:v>51407.240380681134</c:v>
                </c:pt>
                <c:pt idx="29">
                  <c:v>51797.633421625564</c:v>
                </c:pt>
                <c:pt idx="30">
                  <c:v>52211.894238860536</c:v>
                </c:pt>
                <c:pt idx="31">
                  <c:v>52605.617387396385</c:v>
                </c:pt>
                <c:pt idx="32">
                  <c:v>52855.342912804132</c:v>
                </c:pt>
                <c:pt idx="33">
                  <c:v>52946.815562689677</c:v>
                </c:pt>
                <c:pt idx="34">
                  <c:v>52891.286343151405</c:v>
                </c:pt>
                <c:pt idx="35">
                  <c:v>52725.494004800261</c:v>
                </c:pt>
                <c:pt idx="36">
                  <c:v>52531.136152577528</c:v>
                </c:pt>
                <c:pt idx="37">
                  <c:v>52356.165733351183</c:v>
                </c:pt>
                <c:pt idx="38">
                  <c:v>52254.31957353231</c:v>
                </c:pt>
                <c:pt idx="39">
                  <c:v>52238.031475635027</c:v>
                </c:pt>
                <c:pt idx="40">
                  <c:v>52298.63491812619</c:v>
                </c:pt>
                <c:pt idx="41">
                  <c:v>52411.774940506089</c:v>
                </c:pt>
                <c:pt idx="42">
                  <c:v>52539.305372317584</c:v>
                </c:pt>
                <c:pt idx="43">
                  <c:v>52653.087039285645</c:v>
                </c:pt>
                <c:pt idx="44">
                  <c:v>52729.67695988201</c:v>
                </c:pt>
                <c:pt idx="45">
                  <c:v>52762.282940652512</c:v>
                </c:pt>
                <c:pt idx="46">
                  <c:v>52755.432422853562</c:v>
                </c:pt>
                <c:pt idx="47">
                  <c:v>52721.630881788675</c:v>
                </c:pt>
                <c:pt idx="48">
                  <c:v>52678.447038834754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5D-4470-9CB1-9B231FCD3AB8}"/>
            </c:ext>
          </c:extLst>
        </c:ser>
        <c:ser>
          <c:idx val="3"/>
          <c:order val="3"/>
          <c:tx>
            <c:strRef>
              <c:f>Planilha1!$A$5</c:f>
              <c:strCache>
                <c:ptCount val="1"/>
                <c:pt idx="0">
                  <c:v>sul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Planilha1!$B$5:$AX$5</c:f>
              <c:numCache>
                <c:formatCode>General</c:formatCode>
                <c:ptCount val="49"/>
                <c:pt idx="0">
                  <c:v>24603.805127459746</c:v>
                </c:pt>
                <c:pt idx="1">
                  <c:v>13311.522617168584</c:v>
                </c:pt>
                <c:pt idx="2">
                  <c:v>12041.285904783903</c:v>
                </c:pt>
                <c:pt idx="3">
                  <c:v>12411.725795427899</c:v>
                </c:pt>
                <c:pt idx="4">
                  <c:v>14764.662437335097</c:v>
                </c:pt>
                <c:pt idx="5">
                  <c:v>22088.130954220836</c:v>
                </c:pt>
                <c:pt idx="6">
                  <c:v>20500.710312981471</c:v>
                </c:pt>
                <c:pt idx="7">
                  <c:v>23719.821470604118</c:v>
                </c:pt>
                <c:pt idx="8">
                  <c:v>23266.819076387077</c:v>
                </c:pt>
                <c:pt idx="9">
                  <c:v>23507.81917953668</c:v>
                </c:pt>
                <c:pt idx="10">
                  <c:v>23206.043185889757</c:v>
                </c:pt>
                <c:pt idx="11">
                  <c:v>21009.770947326633</c:v>
                </c:pt>
                <c:pt idx="12">
                  <c:v>20534.948134921273</c:v>
                </c:pt>
                <c:pt idx="13">
                  <c:v>19302.434194502526</c:v>
                </c:pt>
                <c:pt idx="14">
                  <c:v>19447.463023900447</c:v>
                </c:pt>
                <c:pt idx="15">
                  <c:v>19791.124343717194</c:v>
                </c:pt>
                <c:pt idx="16">
                  <c:v>20377.916804299279</c:v>
                </c:pt>
                <c:pt idx="17">
                  <c:v>21422.946753781129</c:v>
                </c:pt>
                <c:pt idx="18">
                  <c:v>22028.651076592218</c:v>
                </c:pt>
                <c:pt idx="19">
                  <c:v>22667.896369356364</c:v>
                </c:pt>
                <c:pt idx="20">
                  <c:v>22800.55336159937</c:v>
                </c:pt>
                <c:pt idx="21">
                  <c:v>22717.557623017405</c:v>
                </c:pt>
                <c:pt idx="22">
                  <c:v>22488.103639761248</c:v>
                </c:pt>
                <c:pt idx="23">
                  <c:v>22136.468783536697</c:v>
                </c:pt>
                <c:pt idx="24">
                  <c:v>21918.199722723602</c:v>
                </c:pt>
                <c:pt idx="25">
                  <c:v>21751.337353884119</c:v>
                </c:pt>
                <c:pt idx="26">
                  <c:v>21767.99575682353</c:v>
                </c:pt>
                <c:pt idx="27">
                  <c:v>21897.097715795753</c:v>
                </c:pt>
                <c:pt idx="28">
                  <c:v>22103.121923098766</c:v>
                </c:pt>
                <c:pt idx="29">
                  <c:v>22354.211541336481</c:v>
                </c:pt>
                <c:pt idx="30">
                  <c:v>22565.42302266329</c:v>
                </c:pt>
                <c:pt idx="31">
                  <c:v>22735.305273986352</c:v>
                </c:pt>
                <c:pt idx="32">
                  <c:v>22822.967883102494</c:v>
                </c:pt>
                <c:pt idx="33">
                  <c:v>22843.911982012956</c:v>
                </c:pt>
                <c:pt idx="34">
                  <c:v>22815.364950934982</c:v>
                </c:pt>
                <c:pt idx="35">
                  <c:v>22759.84767133891</c:v>
                </c:pt>
                <c:pt idx="36">
                  <c:v>22713.639017842364</c:v>
                </c:pt>
                <c:pt idx="37">
                  <c:v>22690.483710992747</c:v>
                </c:pt>
                <c:pt idx="38">
                  <c:v>22706.484692007798</c:v>
                </c:pt>
                <c:pt idx="39">
                  <c:v>22757.691075229868</c:v>
                </c:pt>
                <c:pt idx="40">
                  <c:v>22833.987618822786</c:v>
                </c:pt>
                <c:pt idx="41">
                  <c:v>22921.247899445538</c:v>
                </c:pt>
                <c:pt idx="42">
                  <c:v>23002.349297914348</c:v>
                </c:pt>
                <c:pt idx="43">
                  <c:v>23067.83967497334</c:v>
                </c:pt>
                <c:pt idx="44">
                  <c:v>23111.377758501774</c:v>
                </c:pt>
                <c:pt idx="45">
                  <c:v>23134.694154797169</c:v>
                </c:pt>
                <c:pt idx="46">
                  <c:v>23143.429576381408</c:v>
                </c:pt>
                <c:pt idx="47">
                  <c:v>23145.214678075856</c:v>
                </c:pt>
                <c:pt idx="48">
                  <c:v>23148.151441378744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5D-4470-9CB1-9B231FCD3AB8}"/>
            </c:ext>
          </c:extLst>
        </c:ser>
        <c:ser>
          <c:idx val="4"/>
          <c:order val="4"/>
          <c:tx>
            <c:strRef>
              <c:f>Planilha1!$A$6</c:f>
              <c:strCache>
                <c:ptCount val="1"/>
                <c:pt idx="0">
                  <c:v>centro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Planilha1!$B$6:$AX$6</c:f>
              <c:numCache>
                <c:formatCode>General</c:formatCode>
                <c:ptCount val="49"/>
                <c:pt idx="0">
                  <c:v>9641.6012728836195</c:v>
                </c:pt>
                <c:pt idx="1">
                  <c:v>4686.0715615952677</c:v>
                </c:pt>
                <c:pt idx="2">
                  <c:v>3161.6815745572112</c:v>
                </c:pt>
                <c:pt idx="3">
                  <c:v>4077.7057760871098</c:v>
                </c:pt>
                <c:pt idx="4">
                  <c:v>3570.8957527430307</c:v>
                </c:pt>
                <c:pt idx="5">
                  <c:v>6701.4695406573692</c:v>
                </c:pt>
                <c:pt idx="6">
                  <c:v>5843.1584353431417</c:v>
                </c:pt>
                <c:pt idx="7">
                  <c:v>7297.0933459612843</c:v>
                </c:pt>
                <c:pt idx="8">
                  <c:v>7717.0445429797528</c:v>
                </c:pt>
                <c:pt idx="9">
                  <c:v>7826.2577308117579</c:v>
                </c:pt>
                <c:pt idx="10">
                  <c:v>8124.5538386815779</c:v>
                </c:pt>
                <c:pt idx="11">
                  <c:v>7320.6586595101307</c:v>
                </c:pt>
                <c:pt idx="12">
                  <c:v>7325.6076447581545</c:v>
                </c:pt>
                <c:pt idx="13">
                  <c:v>6930.6483879184534</c:v>
                </c:pt>
                <c:pt idx="14">
                  <c:v>6918.9767984712307</c:v>
                </c:pt>
                <c:pt idx="15">
                  <c:v>7064.7407844714817</c:v>
                </c:pt>
                <c:pt idx="16">
                  <c:v>7210.7170608596116</c:v>
                </c:pt>
                <c:pt idx="17">
                  <c:v>7649.2966352958565</c:v>
                </c:pt>
                <c:pt idx="18">
                  <c:v>7918.2038548740638</c:v>
                </c:pt>
                <c:pt idx="19">
                  <c:v>8246.5008068451571</c:v>
                </c:pt>
                <c:pt idx="20">
                  <c:v>8427.0546904324765</c:v>
                </c:pt>
                <c:pt idx="21">
                  <c:v>8510.6751857625459</c:v>
                </c:pt>
                <c:pt idx="22">
                  <c:v>8552.1825892318466</c:v>
                </c:pt>
                <c:pt idx="23">
                  <c:v>8502.6754089687693</c:v>
                </c:pt>
                <c:pt idx="24">
                  <c:v>8484.1381235488825</c:v>
                </c:pt>
                <c:pt idx="25">
                  <c:v>8459.6374662919552</c:v>
                </c:pt>
                <c:pt idx="26">
                  <c:v>8487.134458541921</c:v>
                </c:pt>
                <c:pt idx="27">
                  <c:v>8559.0256953462995</c:v>
                </c:pt>
                <c:pt idx="28">
                  <c:v>8658.5402756611966</c:v>
                </c:pt>
                <c:pt idx="29">
                  <c:v>8788.518428452473</c:v>
                </c:pt>
                <c:pt idx="30">
                  <c:v>8911.4955648774594</c:v>
                </c:pt>
                <c:pt idx="31">
                  <c:v>9027.4132021034038</c:v>
                </c:pt>
                <c:pt idx="32">
                  <c:v>9117.3600485839543</c:v>
                </c:pt>
                <c:pt idx="33">
                  <c:v>9180.8394349046084</c:v>
                </c:pt>
                <c:pt idx="34">
                  <c:v>9223.3851989075847</c:v>
                </c:pt>
                <c:pt idx="35">
                  <c:v>9248.7691838659994</c:v>
                </c:pt>
                <c:pt idx="36">
                  <c:v>9271.1329629432548</c:v>
                </c:pt>
                <c:pt idx="37">
                  <c:v>9295.537419181037</c:v>
                </c:pt>
                <c:pt idx="38">
                  <c:v>9329.5974766613654</c:v>
                </c:pt>
                <c:pt idx="39">
                  <c:v>9374.5807705002007</c:v>
                </c:pt>
                <c:pt idx="40">
                  <c:v>9428.3188980024606</c:v>
                </c:pt>
                <c:pt idx="41">
                  <c:v>9487.6879578976768</c:v>
                </c:pt>
                <c:pt idx="42">
                  <c:v>9546.6880128679768</c:v>
                </c:pt>
                <c:pt idx="43">
                  <c:v>9601.7242368033676</c:v>
                </c:pt>
                <c:pt idx="44">
                  <c:v>9649.5279302645013</c:v>
                </c:pt>
                <c:pt idx="45">
                  <c:v>9689.3763288759001</c:v>
                </c:pt>
                <c:pt idx="46">
                  <c:v>9722.3288612101333</c:v>
                </c:pt>
                <c:pt idx="47">
                  <c:v>9750.3160017763912</c:v>
                </c:pt>
                <c:pt idx="48">
                  <c:v>9776.167469320324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5D-4470-9CB1-9B231FCD3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791224"/>
        <c:axId val="1"/>
      </c:lineChart>
      <c:catAx>
        <c:axId val="44179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9122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9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47625</xdr:rowOff>
    </xdr:from>
    <xdr:to>
      <xdr:col>7</xdr:col>
      <xdr:colOff>123825</xdr:colOff>
      <xdr:row>17</xdr:row>
      <xdr:rowOff>152400</xdr:rowOff>
    </xdr:to>
    <xdr:graphicFrame macro="">
      <xdr:nvGraphicFramePr>
        <xdr:cNvPr id="2383" name="Gráfico 1">
          <a:extLst>
            <a:ext uri="{FF2B5EF4-FFF2-40B4-BE49-F238E27FC236}">
              <a16:creationId xmlns:a16="http://schemas.microsoft.com/office/drawing/2014/main" id="{19DF1667-9712-4187-BC51-573B980FD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19050</xdr:rowOff>
    </xdr:from>
    <xdr:to>
      <xdr:col>8</xdr:col>
      <xdr:colOff>0</xdr:colOff>
      <xdr:row>16</xdr:row>
      <xdr:rowOff>142875</xdr:rowOff>
    </xdr:to>
    <xdr:graphicFrame macro="">
      <xdr:nvGraphicFramePr>
        <xdr:cNvPr id="2384" name="Gráfico 2">
          <a:extLst>
            <a:ext uri="{FF2B5EF4-FFF2-40B4-BE49-F238E27FC236}">
              <a16:creationId xmlns:a16="http://schemas.microsoft.com/office/drawing/2014/main" id="{551E8EBD-9D42-4745-82CE-0A91972EE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</xdr:row>
      <xdr:rowOff>19050</xdr:rowOff>
    </xdr:from>
    <xdr:to>
      <xdr:col>8</xdr:col>
      <xdr:colOff>0</xdr:colOff>
      <xdr:row>16</xdr:row>
      <xdr:rowOff>142875</xdr:rowOff>
    </xdr:to>
    <xdr:graphicFrame macro="">
      <xdr:nvGraphicFramePr>
        <xdr:cNvPr id="2385" name="Gráfico 3">
          <a:extLst>
            <a:ext uri="{FF2B5EF4-FFF2-40B4-BE49-F238E27FC236}">
              <a16:creationId xmlns:a16="http://schemas.microsoft.com/office/drawing/2014/main" id="{98336427-DB13-445F-85FA-8C1C83701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0</xdr:colOff>
      <xdr:row>2</xdr:row>
      <xdr:rowOff>9525</xdr:rowOff>
    </xdr:from>
    <xdr:to>
      <xdr:col>40</xdr:col>
      <xdr:colOff>0</xdr:colOff>
      <xdr:row>16</xdr:row>
      <xdr:rowOff>133350</xdr:rowOff>
    </xdr:to>
    <xdr:graphicFrame macro="">
      <xdr:nvGraphicFramePr>
        <xdr:cNvPr id="2386" name="Gráfico 59">
          <a:extLst>
            <a:ext uri="{FF2B5EF4-FFF2-40B4-BE49-F238E27FC236}">
              <a16:creationId xmlns:a16="http://schemas.microsoft.com/office/drawing/2014/main" id="{358A0ACE-30A6-40F6-BB45-8DAD71A4A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18</xdr:row>
      <xdr:rowOff>152400</xdr:rowOff>
    </xdr:from>
    <xdr:to>
      <xdr:col>40</xdr:col>
      <xdr:colOff>0</xdr:colOff>
      <xdr:row>33</xdr:row>
      <xdr:rowOff>123825</xdr:rowOff>
    </xdr:to>
    <xdr:graphicFrame macro="">
      <xdr:nvGraphicFramePr>
        <xdr:cNvPr id="2387" name="Gráfico 60">
          <a:extLst>
            <a:ext uri="{FF2B5EF4-FFF2-40B4-BE49-F238E27FC236}">
              <a16:creationId xmlns:a16="http://schemas.microsoft.com/office/drawing/2014/main" id="{A832C274-52A5-40C1-AAC1-C141F6842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0</xdr:colOff>
      <xdr:row>36</xdr:row>
      <xdr:rowOff>152400</xdr:rowOff>
    </xdr:from>
    <xdr:to>
      <xdr:col>40</xdr:col>
      <xdr:colOff>0</xdr:colOff>
      <xdr:row>51</xdr:row>
      <xdr:rowOff>123825</xdr:rowOff>
    </xdr:to>
    <xdr:graphicFrame macro="">
      <xdr:nvGraphicFramePr>
        <xdr:cNvPr id="2388" name="Gráfico 61">
          <a:extLst>
            <a:ext uri="{FF2B5EF4-FFF2-40B4-BE49-F238E27FC236}">
              <a16:creationId xmlns:a16="http://schemas.microsoft.com/office/drawing/2014/main" id="{AB9EAC53-0A1C-4A82-8CD1-10D4BB97C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0</xdr:colOff>
      <xdr:row>54</xdr:row>
      <xdr:rowOff>152400</xdr:rowOff>
    </xdr:from>
    <xdr:to>
      <xdr:col>40</xdr:col>
      <xdr:colOff>0</xdr:colOff>
      <xdr:row>69</xdr:row>
      <xdr:rowOff>123825</xdr:rowOff>
    </xdr:to>
    <xdr:graphicFrame macro="">
      <xdr:nvGraphicFramePr>
        <xdr:cNvPr id="2389" name="Gráfico 62">
          <a:extLst>
            <a:ext uri="{FF2B5EF4-FFF2-40B4-BE49-F238E27FC236}">
              <a16:creationId xmlns:a16="http://schemas.microsoft.com/office/drawing/2014/main" id="{D188FD6F-9CAC-47DF-8173-0CC37E68B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0</xdr:colOff>
      <xdr:row>2</xdr:row>
      <xdr:rowOff>9525</xdr:rowOff>
    </xdr:from>
    <xdr:to>
      <xdr:col>40</xdr:col>
      <xdr:colOff>0</xdr:colOff>
      <xdr:row>16</xdr:row>
      <xdr:rowOff>133350</xdr:rowOff>
    </xdr:to>
    <xdr:graphicFrame macro="">
      <xdr:nvGraphicFramePr>
        <xdr:cNvPr id="2390" name="Gráfico 63">
          <a:extLst>
            <a:ext uri="{FF2B5EF4-FFF2-40B4-BE49-F238E27FC236}">
              <a16:creationId xmlns:a16="http://schemas.microsoft.com/office/drawing/2014/main" id="{A78128D5-3FE6-4FCD-8638-27B82FD5E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18</xdr:row>
      <xdr:rowOff>152400</xdr:rowOff>
    </xdr:from>
    <xdr:to>
      <xdr:col>40</xdr:col>
      <xdr:colOff>0</xdr:colOff>
      <xdr:row>33</xdr:row>
      <xdr:rowOff>123825</xdr:rowOff>
    </xdr:to>
    <xdr:graphicFrame macro="">
      <xdr:nvGraphicFramePr>
        <xdr:cNvPr id="2391" name="Gráfico 64">
          <a:extLst>
            <a:ext uri="{FF2B5EF4-FFF2-40B4-BE49-F238E27FC236}">
              <a16:creationId xmlns:a16="http://schemas.microsoft.com/office/drawing/2014/main" id="{EC9B2F7E-31FB-4A11-A83C-C28ABF535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0</xdr:colOff>
      <xdr:row>36</xdr:row>
      <xdr:rowOff>152400</xdr:rowOff>
    </xdr:from>
    <xdr:to>
      <xdr:col>40</xdr:col>
      <xdr:colOff>0</xdr:colOff>
      <xdr:row>51</xdr:row>
      <xdr:rowOff>123825</xdr:rowOff>
    </xdr:to>
    <xdr:graphicFrame macro="">
      <xdr:nvGraphicFramePr>
        <xdr:cNvPr id="2392" name="Gráfico 65">
          <a:extLst>
            <a:ext uri="{FF2B5EF4-FFF2-40B4-BE49-F238E27FC236}">
              <a16:creationId xmlns:a16="http://schemas.microsoft.com/office/drawing/2014/main" id="{95EC68E5-941B-4B12-845C-0DEAFA317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54</xdr:row>
      <xdr:rowOff>152400</xdr:rowOff>
    </xdr:from>
    <xdr:to>
      <xdr:col>40</xdr:col>
      <xdr:colOff>0</xdr:colOff>
      <xdr:row>69</xdr:row>
      <xdr:rowOff>123825</xdr:rowOff>
    </xdr:to>
    <xdr:graphicFrame macro="">
      <xdr:nvGraphicFramePr>
        <xdr:cNvPr id="2393" name="Gráfico 66">
          <a:extLst>
            <a:ext uri="{FF2B5EF4-FFF2-40B4-BE49-F238E27FC236}">
              <a16:creationId xmlns:a16="http://schemas.microsoft.com/office/drawing/2014/main" id="{DC8DC349-5B67-49C5-8089-B15D7A842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2</xdr:row>
      <xdr:rowOff>57150</xdr:rowOff>
    </xdr:from>
    <xdr:to>
      <xdr:col>40</xdr:col>
      <xdr:colOff>0</xdr:colOff>
      <xdr:row>17</xdr:row>
      <xdr:rowOff>19050</xdr:rowOff>
    </xdr:to>
    <xdr:graphicFrame macro="">
      <xdr:nvGraphicFramePr>
        <xdr:cNvPr id="2394" name="Gráfico 75">
          <a:extLst>
            <a:ext uri="{FF2B5EF4-FFF2-40B4-BE49-F238E27FC236}">
              <a16:creationId xmlns:a16="http://schemas.microsoft.com/office/drawing/2014/main" id="{AD867146-BF39-44BA-965B-50E4D3158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0</xdr:colOff>
      <xdr:row>19</xdr:row>
      <xdr:rowOff>38100</xdr:rowOff>
    </xdr:from>
    <xdr:to>
      <xdr:col>40</xdr:col>
      <xdr:colOff>0</xdr:colOff>
      <xdr:row>34</xdr:row>
      <xdr:rowOff>9525</xdr:rowOff>
    </xdr:to>
    <xdr:graphicFrame macro="">
      <xdr:nvGraphicFramePr>
        <xdr:cNvPr id="2395" name="Gráfico 76">
          <a:extLst>
            <a:ext uri="{FF2B5EF4-FFF2-40B4-BE49-F238E27FC236}">
              <a16:creationId xmlns:a16="http://schemas.microsoft.com/office/drawing/2014/main" id="{7E1A45F4-4240-483B-B798-3F2CD71E0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0</xdr:colOff>
      <xdr:row>37</xdr:row>
      <xdr:rowOff>28575</xdr:rowOff>
    </xdr:from>
    <xdr:to>
      <xdr:col>40</xdr:col>
      <xdr:colOff>0</xdr:colOff>
      <xdr:row>52</xdr:row>
      <xdr:rowOff>0</xdr:rowOff>
    </xdr:to>
    <xdr:graphicFrame macro="">
      <xdr:nvGraphicFramePr>
        <xdr:cNvPr id="2396" name="Gráfico 77">
          <a:extLst>
            <a:ext uri="{FF2B5EF4-FFF2-40B4-BE49-F238E27FC236}">
              <a16:creationId xmlns:a16="http://schemas.microsoft.com/office/drawing/2014/main" id="{6489809A-F896-468D-9F84-ED79F0DF9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504825</xdr:colOff>
      <xdr:row>3</xdr:row>
      <xdr:rowOff>47625</xdr:rowOff>
    </xdr:from>
    <xdr:to>
      <xdr:col>15</xdr:col>
      <xdr:colOff>28575</xdr:colOff>
      <xdr:row>18</xdr:row>
      <xdr:rowOff>0</xdr:rowOff>
    </xdr:to>
    <xdr:graphicFrame macro="">
      <xdr:nvGraphicFramePr>
        <xdr:cNvPr id="2397" name="Gráfico 106">
          <a:extLst>
            <a:ext uri="{FF2B5EF4-FFF2-40B4-BE49-F238E27FC236}">
              <a16:creationId xmlns:a16="http://schemas.microsoft.com/office/drawing/2014/main" id="{1FEC302C-312C-4DDD-8203-2C7AEDF97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23</xdr:col>
      <xdr:colOff>142875</xdr:colOff>
      <xdr:row>17</xdr:row>
      <xdr:rowOff>123825</xdr:rowOff>
    </xdr:to>
    <xdr:graphicFrame macro="">
      <xdr:nvGraphicFramePr>
        <xdr:cNvPr id="2398" name="Gráfico 108">
          <a:extLst>
            <a:ext uri="{FF2B5EF4-FFF2-40B4-BE49-F238E27FC236}">
              <a16:creationId xmlns:a16="http://schemas.microsoft.com/office/drawing/2014/main" id="{69D401CF-0025-4334-B69A-99090FC07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31</xdr:col>
      <xdr:colOff>142875</xdr:colOff>
      <xdr:row>17</xdr:row>
      <xdr:rowOff>123825</xdr:rowOff>
    </xdr:to>
    <xdr:graphicFrame macro="">
      <xdr:nvGraphicFramePr>
        <xdr:cNvPr id="2399" name="Gráfico 109">
          <a:extLst>
            <a:ext uri="{FF2B5EF4-FFF2-40B4-BE49-F238E27FC236}">
              <a16:creationId xmlns:a16="http://schemas.microsoft.com/office/drawing/2014/main" id="{98B337EA-6F64-4B5A-8658-8581DC175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39</xdr:col>
      <xdr:colOff>142875</xdr:colOff>
      <xdr:row>17</xdr:row>
      <xdr:rowOff>123825</xdr:rowOff>
    </xdr:to>
    <xdr:graphicFrame macro="">
      <xdr:nvGraphicFramePr>
        <xdr:cNvPr id="2400" name="Gráfico 110">
          <a:extLst>
            <a:ext uri="{FF2B5EF4-FFF2-40B4-BE49-F238E27FC236}">
              <a16:creationId xmlns:a16="http://schemas.microsoft.com/office/drawing/2014/main" id="{6632E49B-6ED0-4D83-AA65-FC040A601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600075</xdr:colOff>
      <xdr:row>22</xdr:row>
      <xdr:rowOff>28575</xdr:rowOff>
    </xdr:from>
    <xdr:to>
      <xdr:col>7</xdr:col>
      <xdr:colOff>133350</xdr:colOff>
      <xdr:row>36</xdr:row>
      <xdr:rowOff>152400</xdr:rowOff>
    </xdr:to>
    <xdr:graphicFrame macro="">
      <xdr:nvGraphicFramePr>
        <xdr:cNvPr id="2401" name="Gráfico 114">
          <a:extLst>
            <a:ext uri="{FF2B5EF4-FFF2-40B4-BE49-F238E27FC236}">
              <a16:creationId xmlns:a16="http://schemas.microsoft.com/office/drawing/2014/main" id="{82A70E77-C7D3-4037-8ADC-8B8E1A0D3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142875</xdr:colOff>
      <xdr:row>36</xdr:row>
      <xdr:rowOff>123825</xdr:rowOff>
    </xdr:to>
    <xdr:graphicFrame macro="">
      <xdr:nvGraphicFramePr>
        <xdr:cNvPr id="2402" name="Gráfico 115">
          <a:extLst>
            <a:ext uri="{FF2B5EF4-FFF2-40B4-BE49-F238E27FC236}">
              <a16:creationId xmlns:a16="http://schemas.microsoft.com/office/drawing/2014/main" id="{52838293-1286-4AEA-B2CE-071946066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23</xdr:col>
      <xdr:colOff>142875</xdr:colOff>
      <xdr:row>36</xdr:row>
      <xdr:rowOff>123825</xdr:rowOff>
    </xdr:to>
    <xdr:graphicFrame macro="">
      <xdr:nvGraphicFramePr>
        <xdr:cNvPr id="2403" name="Gráfico 116">
          <a:extLst>
            <a:ext uri="{FF2B5EF4-FFF2-40B4-BE49-F238E27FC236}">
              <a16:creationId xmlns:a16="http://schemas.microsoft.com/office/drawing/2014/main" id="{0EB39750-C8A9-43F2-97D9-29B00886F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31</xdr:col>
      <xdr:colOff>142875</xdr:colOff>
      <xdr:row>36</xdr:row>
      <xdr:rowOff>123825</xdr:rowOff>
    </xdr:to>
    <xdr:graphicFrame macro="">
      <xdr:nvGraphicFramePr>
        <xdr:cNvPr id="2404" name="Gráfico 117">
          <a:extLst>
            <a:ext uri="{FF2B5EF4-FFF2-40B4-BE49-F238E27FC236}">
              <a16:creationId xmlns:a16="http://schemas.microsoft.com/office/drawing/2014/main" id="{64914B73-D703-4FC5-AA6C-0E02A046B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0</xdr:colOff>
      <xdr:row>22</xdr:row>
      <xdr:rowOff>0</xdr:rowOff>
    </xdr:from>
    <xdr:to>
      <xdr:col>39</xdr:col>
      <xdr:colOff>142875</xdr:colOff>
      <xdr:row>36</xdr:row>
      <xdr:rowOff>123825</xdr:rowOff>
    </xdr:to>
    <xdr:graphicFrame macro="">
      <xdr:nvGraphicFramePr>
        <xdr:cNvPr id="2405" name="Gráfico 118">
          <a:extLst>
            <a:ext uri="{FF2B5EF4-FFF2-40B4-BE49-F238E27FC236}">
              <a16:creationId xmlns:a16="http://schemas.microsoft.com/office/drawing/2014/main" id="{23A0AEDD-BC6A-4351-8637-E73C737CA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7</xdr:col>
      <xdr:colOff>142875</xdr:colOff>
      <xdr:row>55</xdr:row>
      <xdr:rowOff>123825</xdr:rowOff>
    </xdr:to>
    <xdr:graphicFrame macro="">
      <xdr:nvGraphicFramePr>
        <xdr:cNvPr id="2406" name="Gráfico 119">
          <a:extLst>
            <a:ext uri="{FF2B5EF4-FFF2-40B4-BE49-F238E27FC236}">
              <a16:creationId xmlns:a16="http://schemas.microsoft.com/office/drawing/2014/main" id="{B155EEFA-EE8D-43C3-93BD-A3D8683FE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15</xdr:col>
      <xdr:colOff>142875</xdr:colOff>
      <xdr:row>55</xdr:row>
      <xdr:rowOff>123825</xdr:rowOff>
    </xdr:to>
    <xdr:graphicFrame macro="">
      <xdr:nvGraphicFramePr>
        <xdr:cNvPr id="2407" name="Gráfico 120">
          <a:extLst>
            <a:ext uri="{FF2B5EF4-FFF2-40B4-BE49-F238E27FC236}">
              <a16:creationId xmlns:a16="http://schemas.microsoft.com/office/drawing/2014/main" id="{E4DD2731-CFC7-4B3A-BDAB-60E049BB7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0</xdr:colOff>
      <xdr:row>41</xdr:row>
      <xdr:rowOff>0</xdr:rowOff>
    </xdr:from>
    <xdr:to>
      <xdr:col>23</xdr:col>
      <xdr:colOff>142875</xdr:colOff>
      <xdr:row>55</xdr:row>
      <xdr:rowOff>123825</xdr:rowOff>
    </xdr:to>
    <xdr:graphicFrame macro="">
      <xdr:nvGraphicFramePr>
        <xdr:cNvPr id="2408" name="Gráfico 121">
          <a:extLst>
            <a:ext uri="{FF2B5EF4-FFF2-40B4-BE49-F238E27FC236}">
              <a16:creationId xmlns:a16="http://schemas.microsoft.com/office/drawing/2014/main" id="{DCA7B472-C1C5-45CD-97FF-2C705FDE5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25</xdr:col>
      <xdr:colOff>0</xdr:colOff>
      <xdr:row>41</xdr:row>
      <xdr:rowOff>0</xdr:rowOff>
    </xdr:from>
    <xdr:to>
      <xdr:col>31</xdr:col>
      <xdr:colOff>142875</xdr:colOff>
      <xdr:row>55</xdr:row>
      <xdr:rowOff>123825</xdr:rowOff>
    </xdr:to>
    <xdr:graphicFrame macro="">
      <xdr:nvGraphicFramePr>
        <xdr:cNvPr id="2409" name="Gráfico 122">
          <a:extLst>
            <a:ext uri="{FF2B5EF4-FFF2-40B4-BE49-F238E27FC236}">
              <a16:creationId xmlns:a16="http://schemas.microsoft.com/office/drawing/2014/main" id="{10E99BF3-51C2-4DCC-B539-98ED11CCD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33</xdr:col>
      <xdr:colOff>0</xdr:colOff>
      <xdr:row>41</xdr:row>
      <xdr:rowOff>0</xdr:rowOff>
    </xdr:from>
    <xdr:to>
      <xdr:col>39</xdr:col>
      <xdr:colOff>142875</xdr:colOff>
      <xdr:row>55</xdr:row>
      <xdr:rowOff>123825</xdr:rowOff>
    </xdr:to>
    <xdr:graphicFrame macro="">
      <xdr:nvGraphicFramePr>
        <xdr:cNvPr id="2410" name="Gráfico 123">
          <a:extLst>
            <a:ext uri="{FF2B5EF4-FFF2-40B4-BE49-F238E27FC236}">
              <a16:creationId xmlns:a16="http://schemas.microsoft.com/office/drawing/2014/main" id="{85FF8CFD-0907-408C-87A1-E45E27563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142875</xdr:colOff>
      <xdr:row>74</xdr:row>
      <xdr:rowOff>123825</xdr:rowOff>
    </xdr:to>
    <xdr:graphicFrame macro="">
      <xdr:nvGraphicFramePr>
        <xdr:cNvPr id="2411" name="Gráfico 124">
          <a:extLst>
            <a:ext uri="{FF2B5EF4-FFF2-40B4-BE49-F238E27FC236}">
              <a16:creationId xmlns:a16="http://schemas.microsoft.com/office/drawing/2014/main" id="{5832D6E1-BA95-4FA0-8457-B1169793B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15</xdr:col>
      <xdr:colOff>142875</xdr:colOff>
      <xdr:row>74</xdr:row>
      <xdr:rowOff>123825</xdr:rowOff>
    </xdr:to>
    <xdr:graphicFrame macro="">
      <xdr:nvGraphicFramePr>
        <xdr:cNvPr id="2412" name="Gráfico 125">
          <a:extLst>
            <a:ext uri="{FF2B5EF4-FFF2-40B4-BE49-F238E27FC236}">
              <a16:creationId xmlns:a16="http://schemas.microsoft.com/office/drawing/2014/main" id="{E15A6ED1-8097-460F-81B5-0B118A04B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7</xdr:col>
      <xdr:colOff>142875</xdr:colOff>
      <xdr:row>93</xdr:row>
      <xdr:rowOff>123825</xdr:rowOff>
    </xdr:to>
    <xdr:graphicFrame macro="">
      <xdr:nvGraphicFramePr>
        <xdr:cNvPr id="2413" name="Gráfico 126">
          <a:extLst>
            <a:ext uri="{FF2B5EF4-FFF2-40B4-BE49-F238E27FC236}">
              <a16:creationId xmlns:a16="http://schemas.microsoft.com/office/drawing/2014/main" id="{C916B137-1D28-419E-8E8D-EE2F54BC4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0</xdr:colOff>
      <xdr:row>60</xdr:row>
      <xdr:rowOff>0</xdr:rowOff>
    </xdr:from>
    <xdr:to>
      <xdr:col>23</xdr:col>
      <xdr:colOff>142875</xdr:colOff>
      <xdr:row>74</xdr:row>
      <xdr:rowOff>123825</xdr:rowOff>
    </xdr:to>
    <xdr:graphicFrame macro="">
      <xdr:nvGraphicFramePr>
        <xdr:cNvPr id="2414" name="Gráfico 133">
          <a:extLst>
            <a:ext uri="{FF2B5EF4-FFF2-40B4-BE49-F238E27FC236}">
              <a16:creationId xmlns:a16="http://schemas.microsoft.com/office/drawing/2014/main" id="{7E3C3DC7-F3A7-43FE-9DA3-444F86357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0</xdr:colOff>
      <xdr:row>60</xdr:row>
      <xdr:rowOff>0</xdr:rowOff>
    </xdr:from>
    <xdr:to>
      <xdr:col>31</xdr:col>
      <xdr:colOff>142875</xdr:colOff>
      <xdr:row>74</xdr:row>
      <xdr:rowOff>123825</xdr:rowOff>
    </xdr:to>
    <xdr:graphicFrame macro="">
      <xdr:nvGraphicFramePr>
        <xdr:cNvPr id="2415" name="Gráfico 134">
          <a:extLst>
            <a:ext uri="{FF2B5EF4-FFF2-40B4-BE49-F238E27FC236}">
              <a16:creationId xmlns:a16="http://schemas.microsoft.com/office/drawing/2014/main" id="{D36145F4-4A93-427C-9C9E-CE8507370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33</xdr:col>
      <xdr:colOff>0</xdr:colOff>
      <xdr:row>60</xdr:row>
      <xdr:rowOff>0</xdr:rowOff>
    </xdr:from>
    <xdr:to>
      <xdr:col>39</xdr:col>
      <xdr:colOff>142875</xdr:colOff>
      <xdr:row>74</xdr:row>
      <xdr:rowOff>123825</xdr:rowOff>
    </xdr:to>
    <xdr:graphicFrame macro="">
      <xdr:nvGraphicFramePr>
        <xdr:cNvPr id="2416" name="Gráfico 135">
          <a:extLst>
            <a:ext uri="{FF2B5EF4-FFF2-40B4-BE49-F238E27FC236}">
              <a16:creationId xmlns:a16="http://schemas.microsoft.com/office/drawing/2014/main" id="{0D983EB8-30B3-4CA5-B1F2-521968FB0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0</xdr:colOff>
      <xdr:row>79</xdr:row>
      <xdr:rowOff>0</xdr:rowOff>
    </xdr:from>
    <xdr:to>
      <xdr:col>23</xdr:col>
      <xdr:colOff>142875</xdr:colOff>
      <xdr:row>93</xdr:row>
      <xdr:rowOff>123825</xdr:rowOff>
    </xdr:to>
    <xdr:graphicFrame macro="">
      <xdr:nvGraphicFramePr>
        <xdr:cNvPr id="2417" name="Gráfico 155">
          <a:extLst>
            <a:ext uri="{FF2B5EF4-FFF2-40B4-BE49-F238E27FC236}">
              <a16:creationId xmlns:a16="http://schemas.microsoft.com/office/drawing/2014/main" id="{D320669D-F0E6-4A62-BF24-11473C8BA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15</xdr:col>
      <xdr:colOff>142875</xdr:colOff>
      <xdr:row>93</xdr:row>
      <xdr:rowOff>123825</xdr:rowOff>
    </xdr:to>
    <xdr:graphicFrame macro="">
      <xdr:nvGraphicFramePr>
        <xdr:cNvPr id="2418" name="Gráfico 156">
          <a:extLst>
            <a:ext uri="{FF2B5EF4-FFF2-40B4-BE49-F238E27FC236}">
              <a16:creationId xmlns:a16="http://schemas.microsoft.com/office/drawing/2014/main" id="{DB9F30A5-D93D-4EC0-AC41-6C142700B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31</xdr:col>
      <xdr:colOff>142875</xdr:colOff>
      <xdr:row>93</xdr:row>
      <xdr:rowOff>123825</xdr:rowOff>
    </xdr:to>
    <xdr:graphicFrame macro="">
      <xdr:nvGraphicFramePr>
        <xdr:cNvPr id="2419" name="Gráfico 159">
          <a:extLst>
            <a:ext uri="{FF2B5EF4-FFF2-40B4-BE49-F238E27FC236}">
              <a16:creationId xmlns:a16="http://schemas.microsoft.com/office/drawing/2014/main" id="{D8901493-1364-4031-B6B5-3E9C8C876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33</xdr:col>
      <xdr:colOff>0</xdr:colOff>
      <xdr:row>79</xdr:row>
      <xdr:rowOff>0</xdr:rowOff>
    </xdr:from>
    <xdr:to>
      <xdr:col>39</xdr:col>
      <xdr:colOff>142875</xdr:colOff>
      <xdr:row>93</xdr:row>
      <xdr:rowOff>123825</xdr:rowOff>
    </xdr:to>
    <xdr:graphicFrame macro="">
      <xdr:nvGraphicFramePr>
        <xdr:cNvPr id="2420" name="Gráfico 160">
          <a:extLst>
            <a:ext uri="{FF2B5EF4-FFF2-40B4-BE49-F238E27FC236}">
              <a16:creationId xmlns:a16="http://schemas.microsoft.com/office/drawing/2014/main" id="{41034089-3164-4ADD-9DAD-153A6DA21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7</xdr:col>
      <xdr:colOff>142875</xdr:colOff>
      <xdr:row>112</xdr:row>
      <xdr:rowOff>123825</xdr:rowOff>
    </xdr:to>
    <xdr:graphicFrame macro="">
      <xdr:nvGraphicFramePr>
        <xdr:cNvPr id="2421" name="Gráfico 161">
          <a:extLst>
            <a:ext uri="{FF2B5EF4-FFF2-40B4-BE49-F238E27FC236}">
              <a16:creationId xmlns:a16="http://schemas.microsoft.com/office/drawing/2014/main" id="{E3A04DD5-8B5F-43C4-83BA-FF4297899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0</xdr:colOff>
      <xdr:row>98</xdr:row>
      <xdr:rowOff>0</xdr:rowOff>
    </xdr:from>
    <xdr:to>
      <xdr:col>15</xdr:col>
      <xdr:colOff>142875</xdr:colOff>
      <xdr:row>112</xdr:row>
      <xdr:rowOff>123825</xdr:rowOff>
    </xdr:to>
    <xdr:graphicFrame macro="">
      <xdr:nvGraphicFramePr>
        <xdr:cNvPr id="2422" name="Gráfico 162">
          <a:extLst>
            <a:ext uri="{FF2B5EF4-FFF2-40B4-BE49-F238E27FC236}">
              <a16:creationId xmlns:a16="http://schemas.microsoft.com/office/drawing/2014/main" id="{FBDCF14B-E7EA-4E2E-A73B-F8E47109B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17</xdr:col>
      <xdr:colOff>0</xdr:colOff>
      <xdr:row>98</xdr:row>
      <xdr:rowOff>0</xdr:rowOff>
    </xdr:from>
    <xdr:to>
      <xdr:col>23</xdr:col>
      <xdr:colOff>142875</xdr:colOff>
      <xdr:row>112</xdr:row>
      <xdr:rowOff>123825</xdr:rowOff>
    </xdr:to>
    <xdr:graphicFrame macro="">
      <xdr:nvGraphicFramePr>
        <xdr:cNvPr id="2423" name="Gráfico 163">
          <a:extLst>
            <a:ext uri="{FF2B5EF4-FFF2-40B4-BE49-F238E27FC236}">
              <a16:creationId xmlns:a16="http://schemas.microsoft.com/office/drawing/2014/main" id="{151DFF29-6915-4F7F-ABF7-1407844CC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0</xdr:colOff>
      <xdr:row>98</xdr:row>
      <xdr:rowOff>0</xdr:rowOff>
    </xdr:from>
    <xdr:to>
      <xdr:col>31</xdr:col>
      <xdr:colOff>142875</xdr:colOff>
      <xdr:row>112</xdr:row>
      <xdr:rowOff>123825</xdr:rowOff>
    </xdr:to>
    <xdr:graphicFrame macro="">
      <xdr:nvGraphicFramePr>
        <xdr:cNvPr id="2424" name="Gráfico 164">
          <a:extLst>
            <a:ext uri="{FF2B5EF4-FFF2-40B4-BE49-F238E27FC236}">
              <a16:creationId xmlns:a16="http://schemas.microsoft.com/office/drawing/2014/main" id="{1CCA2506-1DFB-4B0F-9AED-15C7086D3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33</xdr:col>
      <xdr:colOff>0</xdr:colOff>
      <xdr:row>98</xdr:row>
      <xdr:rowOff>0</xdr:rowOff>
    </xdr:from>
    <xdr:to>
      <xdr:col>39</xdr:col>
      <xdr:colOff>142875</xdr:colOff>
      <xdr:row>112</xdr:row>
      <xdr:rowOff>123825</xdr:rowOff>
    </xdr:to>
    <xdr:graphicFrame macro="">
      <xdr:nvGraphicFramePr>
        <xdr:cNvPr id="2425" name="Gráfico 165">
          <a:extLst>
            <a:ext uri="{FF2B5EF4-FFF2-40B4-BE49-F238E27FC236}">
              <a16:creationId xmlns:a16="http://schemas.microsoft.com/office/drawing/2014/main" id="{0B2FBC8E-01A7-4958-B09C-2E258BB58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7</xdr:col>
      <xdr:colOff>142875</xdr:colOff>
      <xdr:row>131</xdr:row>
      <xdr:rowOff>123825</xdr:rowOff>
    </xdr:to>
    <xdr:graphicFrame macro="">
      <xdr:nvGraphicFramePr>
        <xdr:cNvPr id="2426" name="Gráfico 166">
          <a:extLst>
            <a:ext uri="{FF2B5EF4-FFF2-40B4-BE49-F238E27FC236}">
              <a16:creationId xmlns:a16="http://schemas.microsoft.com/office/drawing/2014/main" id="{09175AF0-4177-4F20-9575-294276FD9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0</xdr:colOff>
      <xdr:row>117</xdr:row>
      <xdr:rowOff>0</xdr:rowOff>
    </xdr:from>
    <xdr:to>
      <xdr:col>15</xdr:col>
      <xdr:colOff>142875</xdr:colOff>
      <xdr:row>131</xdr:row>
      <xdr:rowOff>123825</xdr:rowOff>
    </xdr:to>
    <xdr:graphicFrame macro="">
      <xdr:nvGraphicFramePr>
        <xdr:cNvPr id="2427" name="Gráfico 167">
          <a:extLst>
            <a:ext uri="{FF2B5EF4-FFF2-40B4-BE49-F238E27FC236}">
              <a16:creationId xmlns:a16="http://schemas.microsoft.com/office/drawing/2014/main" id="{151893CE-8B2B-4A54-B681-09603A97D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17</xdr:col>
      <xdr:colOff>0</xdr:colOff>
      <xdr:row>117</xdr:row>
      <xdr:rowOff>0</xdr:rowOff>
    </xdr:from>
    <xdr:to>
      <xdr:col>23</xdr:col>
      <xdr:colOff>142875</xdr:colOff>
      <xdr:row>131</xdr:row>
      <xdr:rowOff>123825</xdr:rowOff>
    </xdr:to>
    <xdr:graphicFrame macro="">
      <xdr:nvGraphicFramePr>
        <xdr:cNvPr id="2428" name="Gráfico 168">
          <a:extLst>
            <a:ext uri="{FF2B5EF4-FFF2-40B4-BE49-F238E27FC236}">
              <a16:creationId xmlns:a16="http://schemas.microsoft.com/office/drawing/2014/main" id="{CF5DA389-0855-42D4-B81E-B02386238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25</xdr:col>
      <xdr:colOff>0</xdr:colOff>
      <xdr:row>117</xdr:row>
      <xdr:rowOff>0</xdr:rowOff>
    </xdr:from>
    <xdr:to>
      <xdr:col>31</xdr:col>
      <xdr:colOff>142875</xdr:colOff>
      <xdr:row>131</xdr:row>
      <xdr:rowOff>123825</xdr:rowOff>
    </xdr:to>
    <xdr:graphicFrame macro="">
      <xdr:nvGraphicFramePr>
        <xdr:cNvPr id="2429" name="Gráfico 169">
          <a:extLst>
            <a:ext uri="{FF2B5EF4-FFF2-40B4-BE49-F238E27FC236}">
              <a16:creationId xmlns:a16="http://schemas.microsoft.com/office/drawing/2014/main" id="{A8C7FD13-A835-45AF-8E4B-C82498D8C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33</xdr:col>
      <xdr:colOff>0</xdr:colOff>
      <xdr:row>117</xdr:row>
      <xdr:rowOff>0</xdr:rowOff>
    </xdr:from>
    <xdr:to>
      <xdr:col>39</xdr:col>
      <xdr:colOff>142875</xdr:colOff>
      <xdr:row>131</xdr:row>
      <xdr:rowOff>123825</xdr:rowOff>
    </xdr:to>
    <xdr:graphicFrame macro="">
      <xdr:nvGraphicFramePr>
        <xdr:cNvPr id="2430" name="Gráfico 170">
          <a:extLst>
            <a:ext uri="{FF2B5EF4-FFF2-40B4-BE49-F238E27FC236}">
              <a16:creationId xmlns:a16="http://schemas.microsoft.com/office/drawing/2014/main" id="{1506938F-1025-48E8-AB1E-93AA0AFBC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7</xdr:col>
      <xdr:colOff>142875</xdr:colOff>
      <xdr:row>150</xdr:row>
      <xdr:rowOff>123825</xdr:rowOff>
    </xdr:to>
    <xdr:graphicFrame macro="">
      <xdr:nvGraphicFramePr>
        <xdr:cNvPr id="2431" name="Gráfico 171">
          <a:extLst>
            <a:ext uri="{FF2B5EF4-FFF2-40B4-BE49-F238E27FC236}">
              <a16:creationId xmlns:a16="http://schemas.microsoft.com/office/drawing/2014/main" id="{B3E34AA1-560B-4CE9-8EAB-B655DDEBE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0</xdr:colOff>
      <xdr:row>136</xdr:row>
      <xdr:rowOff>0</xdr:rowOff>
    </xdr:from>
    <xdr:to>
      <xdr:col>15</xdr:col>
      <xdr:colOff>142875</xdr:colOff>
      <xdr:row>150</xdr:row>
      <xdr:rowOff>123825</xdr:rowOff>
    </xdr:to>
    <xdr:graphicFrame macro="">
      <xdr:nvGraphicFramePr>
        <xdr:cNvPr id="2432" name="Gráfico 172">
          <a:extLst>
            <a:ext uri="{FF2B5EF4-FFF2-40B4-BE49-F238E27FC236}">
              <a16:creationId xmlns:a16="http://schemas.microsoft.com/office/drawing/2014/main" id="{26EA7052-64DE-4225-B352-F929595E8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0</xdr:colOff>
      <xdr:row>136</xdr:row>
      <xdr:rowOff>0</xdr:rowOff>
    </xdr:from>
    <xdr:to>
      <xdr:col>23</xdr:col>
      <xdr:colOff>152400</xdr:colOff>
      <xdr:row>150</xdr:row>
      <xdr:rowOff>133350</xdr:rowOff>
    </xdr:to>
    <xdr:graphicFrame macro="">
      <xdr:nvGraphicFramePr>
        <xdr:cNvPr id="2433" name="Gráfico 173">
          <a:extLst>
            <a:ext uri="{FF2B5EF4-FFF2-40B4-BE49-F238E27FC236}">
              <a16:creationId xmlns:a16="http://schemas.microsoft.com/office/drawing/2014/main" id="{CC9E2762-C63C-4650-B962-9B7AD7E76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25</xdr:col>
      <xdr:colOff>0</xdr:colOff>
      <xdr:row>136</xdr:row>
      <xdr:rowOff>0</xdr:rowOff>
    </xdr:from>
    <xdr:to>
      <xdr:col>31</xdr:col>
      <xdr:colOff>142875</xdr:colOff>
      <xdr:row>150</xdr:row>
      <xdr:rowOff>123825</xdr:rowOff>
    </xdr:to>
    <xdr:graphicFrame macro="">
      <xdr:nvGraphicFramePr>
        <xdr:cNvPr id="2434" name="Gráfico 174">
          <a:extLst>
            <a:ext uri="{FF2B5EF4-FFF2-40B4-BE49-F238E27FC236}">
              <a16:creationId xmlns:a16="http://schemas.microsoft.com/office/drawing/2014/main" id="{F5FDAD99-F839-4BE7-BC24-A0069C370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33</xdr:col>
      <xdr:colOff>0</xdr:colOff>
      <xdr:row>136</xdr:row>
      <xdr:rowOff>0</xdr:rowOff>
    </xdr:from>
    <xdr:to>
      <xdr:col>39</xdr:col>
      <xdr:colOff>142875</xdr:colOff>
      <xdr:row>150</xdr:row>
      <xdr:rowOff>123825</xdr:rowOff>
    </xdr:to>
    <xdr:graphicFrame macro="">
      <xdr:nvGraphicFramePr>
        <xdr:cNvPr id="2435" name="Gráfico 175">
          <a:extLst>
            <a:ext uri="{FF2B5EF4-FFF2-40B4-BE49-F238E27FC236}">
              <a16:creationId xmlns:a16="http://schemas.microsoft.com/office/drawing/2014/main" id="{5DC60BBD-2DC0-4B5E-A05E-9024BF2D4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006551" cy="623344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BE5C76-E48A-4302-964F-C7379BB5CB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T152"/>
  <sheetViews>
    <sheetView zoomScale="40" workbookViewId="0">
      <selection activeCell="AQ71" sqref="AQ71"/>
    </sheetView>
  </sheetViews>
  <sheetFormatPr defaultRowHeight="12.75" x14ac:dyDescent="0.2"/>
  <cols>
    <col min="1" max="7" width="9.140625" style="2"/>
    <col min="8" max="8" width="9.140625" style="3"/>
    <col min="9" max="9" width="9.140625" style="4"/>
    <col min="10" max="15" width="9.140625" style="2"/>
    <col min="16" max="16" width="9.140625" style="3"/>
    <col min="17" max="23" width="9.140625" style="2"/>
    <col min="24" max="24" width="9.140625" style="3"/>
    <col min="25" max="31" width="9.140625" style="2"/>
    <col min="32" max="32" width="9.140625" style="3"/>
    <col min="33" max="39" width="9.140625" style="2"/>
    <col min="40" max="40" width="9.140625" style="3"/>
    <col min="41" max="124" width="9.140625" style="5"/>
    <col min="125" max="16384" width="9.140625" style="2"/>
  </cols>
  <sheetData>
    <row r="2" spans="4:37" ht="13.5" thickBot="1" x14ac:dyDescent="0.25">
      <c r="D2" s="1" t="str">
        <f>'Point Estimates'!A5</f>
        <v>Ro - Madeira-Guapore</v>
      </c>
      <c r="E2" s="1" t="str">
        <f>'Point Estimates'!$D$5</f>
        <v>adm</v>
      </c>
      <c r="L2" s="1" t="str">
        <f>'Point Estimates'!A6</f>
        <v>Ro - Leste Rondoniense</v>
      </c>
      <c r="M2" s="1" t="str">
        <f>'Point Estimates'!$D$5</f>
        <v>adm</v>
      </c>
      <c r="T2" s="1" t="str">
        <f>'Point Estimates'!A7</f>
        <v>Ac - Vale do Jurua</v>
      </c>
      <c r="U2" s="1" t="str">
        <f>'Point Estimates'!$D$5</f>
        <v>adm</v>
      </c>
      <c r="AB2" s="1" t="str">
        <f>'Point Estimates'!A8</f>
        <v>Ac - Vale do Acre</v>
      </c>
      <c r="AC2" s="1" t="str">
        <f>'Point Estimates'!$D$5</f>
        <v>adm</v>
      </c>
      <c r="AJ2" s="1" t="str">
        <f>'Point Estimates'!A9</f>
        <v>Am - Norte Amazonense</v>
      </c>
      <c r="AK2" s="1" t="str">
        <f>'Point Estimates'!$D$5</f>
        <v>adm</v>
      </c>
    </row>
    <row r="19" spans="1:40" s="6" customFormat="1" ht="13.5" thickBot="1" x14ac:dyDescent="0.25">
      <c r="H19" s="7"/>
      <c r="I19" s="8"/>
      <c r="P19" s="7"/>
      <c r="X19" s="7"/>
      <c r="AF19" s="7"/>
      <c r="AN19" s="7"/>
    </row>
    <row r="20" spans="1:40" s="10" customFormat="1" x14ac:dyDescent="0.2">
      <c r="A20" s="9"/>
      <c r="H20" s="11"/>
      <c r="I20" s="9"/>
      <c r="P20" s="11"/>
      <c r="X20" s="11"/>
      <c r="AF20" s="11"/>
      <c r="AN20" s="11"/>
    </row>
    <row r="21" spans="1:40" ht="13.5" thickBot="1" x14ac:dyDescent="0.25">
      <c r="A21" s="4"/>
      <c r="B21" s="5"/>
      <c r="C21" s="5"/>
      <c r="D21" s="1" t="str">
        <f>'Point Estimates'!A10</f>
        <v>Am - Sudoeste Amazonense</v>
      </c>
      <c r="E21" s="1" t="str">
        <f>'Point Estimates'!$D$5</f>
        <v>adm</v>
      </c>
      <c r="F21" s="5"/>
      <c r="G21" s="5"/>
      <c r="J21" s="5"/>
      <c r="K21" s="5"/>
      <c r="L21" s="1" t="str">
        <f>'Point Estimates'!A11</f>
        <v>Am - Centro Amazonense</v>
      </c>
      <c r="M21" s="1" t="str">
        <f>'Point Estimates'!$D$5</f>
        <v>adm</v>
      </c>
      <c r="N21" s="5"/>
      <c r="O21" s="5"/>
      <c r="Q21" s="5"/>
      <c r="R21" s="5"/>
      <c r="S21" s="5"/>
      <c r="T21" s="1" t="str">
        <f>'Point Estimates'!A12</f>
        <v>Am - Sul Amazonense</v>
      </c>
      <c r="U21" s="1" t="str">
        <f>'Point Estimates'!$D$5</f>
        <v>adm</v>
      </c>
      <c r="V21" s="5"/>
      <c r="W21" s="5"/>
      <c r="Y21" s="5"/>
      <c r="Z21" s="5"/>
      <c r="AA21" s="5"/>
      <c r="AB21" s="1" t="str">
        <f>'Point Estimates'!A13</f>
        <v>Rr - Norte de Roraima</v>
      </c>
      <c r="AC21" s="1" t="str">
        <f>'Point Estimates'!$D$5</f>
        <v>adm</v>
      </c>
      <c r="AD21" s="5"/>
      <c r="AE21" s="5"/>
      <c r="AG21" s="5"/>
      <c r="AH21" s="5"/>
      <c r="AI21" s="5"/>
      <c r="AJ21" s="1" t="str">
        <f>'Point Estimates'!A14</f>
        <v>Rr - Sul de Roraima</v>
      </c>
      <c r="AK21" s="1" t="str">
        <f>'Point Estimates'!$D$5</f>
        <v>adm</v>
      </c>
      <c r="AL21" s="5"/>
      <c r="AM21" s="5"/>
    </row>
    <row r="22" spans="1:40" x14ac:dyDescent="0.2">
      <c r="A22" s="4"/>
      <c r="B22" s="5"/>
      <c r="C22" s="5"/>
      <c r="D22" s="5"/>
      <c r="E22" s="5"/>
      <c r="F22" s="5"/>
      <c r="G22" s="5"/>
      <c r="J22" s="5"/>
      <c r="K22" s="5"/>
      <c r="L22" s="5"/>
      <c r="M22" s="5"/>
      <c r="N22" s="5"/>
      <c r="O22" s="5"/>
      <c r="Q22" s="5"/>
      <c r="R22" s="5"/>
      <c r="S22" s="5"/>
      <c r="T22" s="5"/>
      <c r="U22" s="5"/>
      <c r="V22" s="5"/>
      <c r="W22" s="5"/>
      <c r="Y22" s="5"/>
      <c r="Z22" s="5"/>
      <c r="AA22" s="5"/>
      <c r="AB22" s="5"/>
      <c r="AC22" s="5"/>
      <c r="AD22" s="5"/>
      <c r="AE22" s="5"/>
      <c r="AG22" s="5"/>
      <c r="AH22" s="5"/>
      <c r="AI22" s="5"/>
      <c r="AJ22" s="5"/>
      <c r="AK22" s="5"/>
      <c r="AL22" s="5"/>
      <c r="AM22" s="5"/>
    </row>
    <row r="23" spans="1:40" x14ac:dyDescent="0.2">
      <c r="A23" s="4"/>
      <c r="B23" s="5"/>
      <c r="C23" s="5"/>
      <c r="D23" s="5"/>
      <c r="E23" s="5"/>
      <c r="F23" s="5"/>
      <c r="G23" s="5"/>
      <c r="J23" s="5"/>
      <c r="K23" s="5"/>
      <c r="L23" s="5"/>
      <c r="M23" s="5"/>
      <c r="N23" s="5"/>
      <c r="O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  <c r="AG23" s="5"/>
      <c r="AH23" s="5"/>
      <c r="AI23" s="5"/>
      <c r="AJ23" s="5"/>
      <c r="AK23" s="5"/>
      <c r="AL23" s="5"/>
      <c r="AM23" s="5"/>
    </row>
    <row r="24" spans="1:40" x14ac:dyDescent="0.2">
      <c r="A24" s="4"/>
      <c r="B24" s="5"/>
      <c r="C24" s="5"/>
      <c r="D24" s="5"/>
      <c r="E24" s="5"/>
      <c r="F24" s="5"/>
      <c r="G24" s="5"/>
      <c r="J24" s="5"/>
      <c r="K24" s="5"/>
      <c r="L24" s="5"/>
      <c r="M24" s="5"/>
      <c r="N24" s="5"/>
      <c r="O24" s="5"/>
      <c r="Q24" s="5"/>
      <c r="R24" s="5"/>
      <c r="S24" s="5"/>
      <c r="T24" s="5"/>
      <c r="U24" s="5"/>
      <c r="V24" s="5"/>
      <c r="W24" s="5"/>
      <c r="Y24" s="5"/>
      <c r="Z24" s="5"/>
      <c r="AA24" s="5"/>
      <c r="AB24" s="5"/>
      <c r="AC24" s="5"/>
      <c r="AD24" s="5"/>
      <c r="AE24" s="5"/>
      <c r="AG24" s="5"/>
      <c r="AH24" s="5"/>
      <c r="AI24" s="5"/>
      <c r="AJ24" s="5"/>
      <c r="AK24" s="5"/>
      <c r="AL24" s="5"/>
      <c r="AM24" s="5"/>
    </row>
    <row r="25" spans="1:40" x14ac:dyDescent="0.2">
      <c r="A25" s="4"/>
      <c r="B25" s="5"/>
      <c r="C25" s="5"/>
      <c r="D25" s="5"/>
      <c r="E25" s="5"/>
      <c r="F25" s="5"/>
      <c r="G25" s="5"/>
      <c r="J25" s="5"/>
      <c r="K25" s="5"/>
      <c r="L25" s="5"/>
      <c r="M25" s="5"/>
      <c r="N25" s="5"/>
      <c r="O25" s="5"/>
      <c r="Q25" s="5"/>
      <c r="R25" s="5"/>
      <c r="S25" s="5"/>
      <c r="T25" s="5"/>
      <c r="U25" s="5"/>
      <c r="V25" s="5"/>
      <c r="W25" s="5"/>
      <c r="Y25" s="5"/>
      <c r="Z25" s="5"/>
      <c r="AA25" s="5"/>
      <c r="AB25" s="5"/>
      <c r="AC25" s="5"/>
      <c r="AD25" s="5"/>
      <c r="AE25" s="5"/>
      <c r="AG25" s="5"/>
      <c r="AH25" s="5"/>
      <c r="AI25" s="5"/>
      <c r="AJ25" s="5"/>
      <c r="AK25" s="5"/>
      <c r="AL25" s="5"/>
      <c r="AM25" s="5"/>
    </row>
    <row r="26" spans="1:40" x14ac:dyDescent="0.2">
      <c r="A26" s="4"/>
      <c r="B26" s="5"/>
      <c r="C26" s="5"/>
      <c r="D26" s="5"/>
      <c r="E26" s="5"/>
      <c r="F26" s="5"/>
      <c r="G26" s="5"/>
      <c r="J26" s="5"/>
      <c r="K26" s="5"/>
      <c r="L26" s="5"/>
      <c r="M26" s="5"/>
      <c r="N26" s="5"/>
      <c r="O26" s="5"/>
      <c r="Q26" s="5"/>
      <c r="R26" s="5"/>
      <c r="S26" s="5"/>
      <c r="T26" s="5"/>
      <c r="U26" s="5"/>
      <c r="V26" s="5"/>
      <c r="W26" s="5"/>
      <c r="Y26" s="5"/>
      <c r="Z26" s="5"/>
      <c r="AA26" s="5"/>
      <c r="AB26" s="5"/>
      <c r="AC26" s="5"/>
      <c r="AD26" s="5"/>
      <c r="AE26" s="5"/>
      <c r="AG26" s="5"/>
      <c r="AH26" s="5"/>
      <c r="AI26" s="5"/>
      <c r="AJ26" s="5"/>
      <c r="AK26" s="5"/>
      <c r="AL26" s="5"/>
      <c r="AM26" s="5"/>
    </row>
    <row r="27" spans="1:40" x14ac:dyDescent="0.2">
      <c r="A27" s="4"/>
      <c r="B27" s="5"/>
      <c r="C27" s="5"/>
      <c r="D27" s="5"/>
      <c r="E27" s="5"/>
      <c r="F27" s="5"/>
      <c r="G27" s="5"/>
      <c r="J27" s="5"/>
      <c r="K27" s="5"/>
      <c r="L27" s="5"/>
      <c r="M27" s="5"/>
      <c r="N27" s="5"/>
      <c r="O27" s="5"/>
      <c r="Q27" s="5"/>
      <c r="R27" s="5"/>
      <c r="S27" s="5"/>
      <c r="T27" s="5"/>
      <c r="U27" s="5"/>
      <c r="V27" s="5"/>
      <c r="W27" s="5"/>
      <c r="Y27" s="5"/>
      <c r="Z27" s="5"/>
      <c r="AA27" s="5"/>
      <c r="AB27" s="5"/>
      <c r="AC27" s="5"/>
      <c r="AD27" s="5"/>
      <c r="AE27" s="5"/>
      <c r="AG27" s="5"/>
      <c r="AH27" s="5"/>
      <c r="AI27" s="5"/>
      <c r="AJ27" s="5"/>
      <c r="AK27" s="5"/>
      <c r="AL27" s="5"/>
      <c r="AM27" s="5"/>
    </row>
    <row r="28" spans="1:40" x14ac:dyDescent="0.2">
      <c r="A28" s="4"/>
      <c r="B28" s="5"/>
      <c r="C28" s="5"/>
      <c r="D28" s="5"/>
      <c r="E28" s="5"/>
      <c r="F28" s="5"/>
      <c r="G28" s="5"/>
      <c r="J28" s="5"/>
      <c r="K28" s="5"/>
      <c r="L28" s="5"/>
      <c r="M28" s="5"/>
      <c r="N28" s="5"/>
      <c r="O28" s="5"/>
      <c r="Q28" s="5"/>
      <c r="R28" s="5"/>
      <c r="S28" s="5"/>
      <c r="T28" s="5"/>
      <c r="U28" s="5"/>
      <c r="V28" s="5"/>
      <c r="W28" s="5"/>
      <c r="Y28" s="5"/>
      <c r="Z28" s="5"/>
      <c r="AA28" s="5"/>
      <c r="AB28" s="5"/>
      <c r="AC28" s="5"/>
      <c r="AD28" s="5"/>
      <c r="AE28" s="5"/>
      <c r="AG28" s="5"/>
      <c r="AH28" s="5"/>
      <c r="AI28" s="5"/>
      <c r="AJ28" s="5"/>
      <c r="AK28" s="5"/>
      <c r="AL28" s="5"/>
      <c r="AM28" s="5"/>
    </row>
    <row r="29" spans="1:40" x14ac:dyDescent="0.2">
      <c r="A29" s="4"/>
      <c r="B29" s="5"/>
      <c r="C29" s="5"/>
      <c r="D29" s="5"/>
      <c r="E29" s="5"/>
      <c r="F29" s="5"/>
      <c r="G29" s="5"/>
      <c r="J29" s="5"/>
      <c r="K29" s="5"/>
      <c r="L29" s="5"/>
      <c r="M29" s="5"/>
      <c r="N29" s="5"/>
      <c r="O29" s="5"/>
      <c r="Q29" s="5"/>
      <c r="R29" s="5"/>
      <c r="S29" s="5"/>
      <c r="T29" s="5"/>
      <c r="U29" s="5"/>
      <c r="V29" s="5"/>
      <c r="W29" s="5"/>
      <c r="Y29" s="5"/>
      <c r="Z29" s="5"/>
      <c r="AA29" s="5"/>
      <c r="AB29" s="5"/>
      <c r="AC29" s="5"/>
      <c r="AD29" s="5"/>
      <c r="AE29" s="5"/>
      <c r="AG29" s="5"/>
      <c r="AH29" s="5"/>
      <c r="AI29" s="5"/>
      <c r="AJ29" s="5"/>
      <c r="AK29" s="5"/>
      <c r="AL29" s="5"/>
      <c r="AM29" s="5"/>
    </row>
    <row r="30" spans="1:40" x14ac:dyDescent="0.2">
      <c r="A30" s="4"/>
      <c r="B30" s="5"/>
      <c r="C30" s="5"/>
      <c r="D30" s="5"/>
      <c r="E30" s="5"/>
      <c r="F30" s="5"/>
      <c r="G30" s="5"/>
      <c r="J30" s="5"/>
      <c r="K30" s="5"/>
      <c r="L30" s="5"/>
      <c r="M30" s="5"/>
      <c r="N30" s="5"/>
      <c r="O30" s="5"/>
      <c r="Q30" s="5"/>
      <c r="R30" s="5"/>
      <c r="S30" s="5"/>
      <c r="T30" s="5"/>
      <c r="U30" s="5"/>
      <c r="V30" s="5"/>
      <c r="W30" s="5"/>
      <c r="Y30" s="5"/>
      <c r="Z30" s="5"/>
      <c r="AA30" s="5"/>
      <c r="AB30" s="5"/>
      <c r="AC30" s="5"/>
      <c r="AD30" s="5"/>
      <c r="AE30" s="5"/>
      <c r="AG30" s="5"/>
      <c r="AH30" s="5"/>
      <c r="AI30" s="5"/>
      <c r="AJ30" s="5"/>
      <c r="AK30" s="5"/>
      <c r="AL30" s="5"/>
      <c r="AM30" s="5"/>
    </row>
    <row r="31" spans="1:40" x14ac:dyDescent="0.2">
      <c r="A31" s="4"/>
      <c r="B31" s="5"/>
      <c r="C31" s="5"/>
      <c r="D31" s="5"/>
      <c r="E31" s="5"/>
      <c r="F31" s="5"/>
      <c r="G31" s="5"/>
      <c r="J31" s="5"/>
      <c r="K31" s="5"/>
      <c r="L31" s="5"/>
      <c r="M31" s="5"/>
      <c r="N31" s="5"/>
      <c r="O31" s="5"/>
      <c r="Q31" s="5"/>
      <c r="R31" s="5"/>
      <c r="S31" s="5"/>
      <c r="T31" s="5"/>
      <c r="U31" s="5"/>
      <c r="V31" s="5"/>
      <c r="W31" s="5"/>
      <c r="Y31" s="5"/>
      <c r="Z31" s="5"/>
      <c r="AA31" s="5"/>
      <c r="AB31" s="5"/>
      <c r="AC31" s="5"/>
      <c r="AD31" s="5"/>
      <c r="AE31" s="5"/>
      <c r="AG31" s="5"/>
      <c r="AH31" s="5"/>
      <c r="AI31" s="5"/>
      <c r="AJ31" s="5"/>
      <c r="AK31" s="5"/>
      <c r="AL31" s="5"/>
      <c r="AM31" s="5"/>
    </row>
    <row r="32" spans="1:40" x14ac:dyDescent="0.2">
      <c r="A32" s="4"/>
      <c r="B32" s="5"/>
      <c r="C32" s="5"/>
      <c r="D32" s="5"/>
      <c r="E32" s="5"/>
      <c r="F32" s="5"/>
      <c r="G32" s="5"/>
      <c r="J32" s="5"/>
      <c r="K32" s="5"/>
      <c r="L32" s="5"/>
      <c r="M32" s="5"/>
      <c r="N32" s="5"/>
      <c r="O32" s="5"/>
      <c r="Q32" s="5"/>
      <c r="R32" s="5"/>
      <c r="S32" s="5"/>
      <c r="T32" s="5"/>
      <c r="U32" s="5"/>
      <c r="V32" s="5"/>
      <c r="W32" s="5"/>
      <c r="Y32" s="5"/>
      <c r="Z32" s="5"/>
      <c r="AA32" s="5"/>
      <c r="AB32" s="5"/>
      <c r="AC32" s="5"/>
      <c r="AD32" s="5"/>
      <c r="AE32" s="5"/>
      <c r="AG32" s="5"/>
      <c r="AH32" s="5"/>
      <c r="AI32" s="5"/>
      <c r="AJ32" s="5"/>
      <c r="AK32" s="5"/>
      <c r="AL32" s="5"/>
      <c r="AM32" s="5"/>
    </row>
    <row r="33" spans="1:40" x14ac:dyDescent="0.2">
      <c r="A33" s="4"/>
      <c r="B33" s="5"/>
      <c r="C33" s="5"/>
      <c r="D33" s="5"/>
      <c r="E33" s="5"/>
      <c r="F33" s="5"/>
      <c r="G33" s="5"/>
      <c r="J33" s="5"/>
      <c r="K33" s="5"/>
      <c r="L33" s="5"/>
      <c r="M33" s="5"/>
      <c r="N33" s="5"/>
      <c r="O33" s="5"/>
      <c r="Q33" s="5"/>
      <c r="R33" s="5"/>
      <c r="S33" s="5"/>
      <c r="T33" s="5"/>
      <c r="U33" s="5"/>
      <c r="V33" s="5"/>
      <c r="W33" s="5"/>
      <c r="Y33" s="5"/>
      <c r="Z33" s="5"/>
      <c r="AA33" s="5"/>
      <c r="AB33" s="5"/>
      <c r="AC33" s="5"/>
      <c r="AD33" s="5"/>
      <c r="AE33" s="5"/>
      <c r="AG33" s="5"/>
      <c r="AH33" s="5"/>
      <c r="AI33" s="5"/>
      <c r="AJ33" s="5"/>
      <c r="AK33" s="5"/>
      <c r="AL33" s="5"/>
      <c r="AM33" s="5"/>
    </row>
    <row r="34" spans="1:40" x14ac:dyDescent="0.2">
      <c r="A34" s="4"/>
      <c r="B34" s="5"/>
      <c r="C34" s="5"/>
      <c r="D34" s="5"/>
      <c r="E34" s="5"/>
      <c r="F34" s="5"/>
      <c r="G34" s="5"/>
      <c r="J34" s="5"/>
      <c r="K34" s="5"/>
      <c r="L34" s="5"/>
      <c r="M34" s="5"/>
      <c r="N34" s="5"/>
      <c r="O34" s="5"/>
      <c r="Q34" s="5"/>
      <c r="R34" s="5"/>
      <c r="S34" s="5"/>
      <c r="T34" s="5"/>
      <c r="U34" s="5"/>
      <c r="V34" s="5"/>
      <c r="W34" s="5"/>
      <c r="Y34" s="5"/>
      <c r="Z34" s="5"/>
      <c r="AA34" s="5"/>
      <c r="AB34" s="5"/>
      <c r="AC34" s="5"/>
      <c r="AD34" s="5"/>
      <c r="AE34" s="5"/>
      <c r="AG34" s="5"/>
      <c r="AH34" s="5"/>
      <c r="AI34" s="5"/>
      <c r="AJ34" s="5"/>
      <c r="AK34" s="5"/>
      <c r="AL34" s="5"/>
      <c r="AM34" s="5"/>
    </row>
    <row r="35" spans="1:40" x14ac:dyDescent="0.2">
      <c r="A35" s="4"/>
      <c r="B35" s="5"/>
      <c r="C35" s="5"/>
      <c r="D35" s="5"/>
      <c r="E35" s="5"/>
      <c r="F35" s="5"/>
      <c r="G35" s="5"/>
      <c r="J35" s="5"/>
      <c r="K35" s="5"/>
      <c r="L35" s="5"/>
      <c r="M35" s="5"/>
      <c r="N35" s="5"/>
      <c r="O35" s="5"/>
      <c r="Q35" s="5"/>
      <c r="R35" s="5"/>
      <c r="S35" s="5"/>
      <c r="T35" s="5"/>
      <c r="U35" s="5"/>
      <c r="V35" s="5"/>
      <c r="W35" s="5"/>
      <c r="Y35" s="5"/>
      <c r="Z35" s="5"/>
      <c r="AA35" s="5"/>
      <c r="AB35" s="5"/>
      <c r="AC35" s="5"/>
      <c r="AD35" s="5"/>
      <c r="AE35" s="5"/>
      <c r="AG35" s="5"/>
      <c r="AH35" s="5"/>
      <c r="AI35" s="5"/>
      <c r="AJ35" s="5"/>
      <c r="AK35" s="5"/>
      <c r="AL35" s="5"/>
      <c r="AM35" s="5"/>
    </row>
    <row r="36" spans="1:40" x14ac:dyDescent="0.2">
      <c r="A36" s="4"/>
      <c r="B36" s="5"/>
      <c r="C36" s="5"/>
      <c r="D36" s="5"/>
      <c r="E36" s="5"/>
      <c r="F36" s="5"/>
      <c r="G36" s="5"/>
      <c r="J36" s="5"/>
      <c r="K36" s="5"/>
      <c r="L36" s="5"/>
      <c r="M36" s="5"/>
      <c r="N36" s="5"/>
      <c r="O36" s="5"/>
      <c r="Q36" s="5"/>
      <c r="R36" s="5"/>
      <c r="S36" s="5"/>
      <c r="T36" s="5"/>
      <c r="U36" s="5"/>
      <c r="V36" s="5"/>
      <c r="W36" s="5"/>
      <c r="Y36" s="5"/>
      <c r="Z36" s="5"/>
      <c r="AA36" s="5"/>
      <c r="AB36" s="5"/>
      <c r="AC36" s="5"/>
      <c r="AD36" s="5"/>
      <c r="AE36" s="5"/>
      <c r="AG36" s="5"/>
      <c r="AH36" s="5"/>
      <c r="AI36" s="5"/>
      <c r="AJ36" s="5"/>
      <c r="AK36" s="5"/>
      <c r="AL36" s="5"/>
      <c r="AM36" s="5"/>
    </row>
    <row r="37" spans="1:40" x14ac:dyDescent="0.2">
      <c r="A37" s="4"/>
      <c r="B37" s="5"/>
      <c r="C37" s="5"/>
      <c r="D37" s="5"/>
      <c r="E37" s="5"/>
      <c r="F37" s="5"/>
      <c r="G37" s="5"/>
      <c r="J37" s="5"/>
      <c r="K37" s="5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Y37" s="5"/>
      <c r="Z37" s="5"/>
      <c r="AA37" s="5"/>
      <c r="AB37" s="5"/>
      <c r="AC37" s="5"/>
      <c r="AD37" s="5"/>
      <c r="AE37" s="5"/>
      <c r="AG37" s="5"/>
      <c r="AH37" s="5"/>
      <c r="AI37" s="5"/>
      <c r="AJ37" s="5"/>
      <c r="AK37" s="5"/>
      <c r="AL37" s="5"/>
      <c r="AM37" s="5"/>
    </row>
    <row r="38" spans="1:40" s="6" customFormat="1" ht="13.5" thickBot="1" x14ac:dyDescent="0.25">
      <c r="A38" s="8"/>
      <c r="H38" s="7"/>
      <c r="I38" s="8"/>
      <c r="P38" s="7"/>
      <c r="X38" s="7"/>
      <c r="AF38" s="7"/>
      <c r="AN38" s="7"/>
    </row>
    <row r="39" spans="1:40" s="10" customFormat="1" x14ac:dyDescent="0.2">
      <c r="A39" s="9"/>
      <c r="H39" s="11"/>
      <c r="I39" s="9"/>
      <c r="P39" s="11"/>
      <c r="X39" s="11"/>
      <c r="AF39" s="11"/>
      <c r="AN39" s="11"/>
    </row>
    <row r="40" spans="1:40" ht="13.5" thickBot="1" x14ac:dyDescent="0.25">
      <c r="A40" s="4"/>
      <c r="B40" s="5"/>
      <c r="C40" s="5"/>
      <c r="D40" s="1" t="str">
        <f>'Point Estimates'!A15</f>
        <v>Pa - Baixo Amazonas</v>
      </c>
      <c r="E40" s="1" t="str">
        <f>'Point Estimates'!$D$5</f>
        <v>adm</v>
      </c>
      <c r="F40" s="5"/>
      <c r="G40" s="5"/>
      <c r="J40" s="5"/>
      <c r="K40" s="5"/>
      <c r="L40" s="1" t="str">
        <f>'Point Estimates'!A16</f>
        <v>Pa - Marajo</v>
      </c>
      <c r="M40" s="1" t="str">
        <f>'Point Estimates'!$D$5</f>
        <v>adm</v>
      </c>
      <c r="N40" s="5"/>
      <c r="O40" s="5"/>
      <c r="Q40" s="5"/>
      <c r="R40" s="5"/>
      <c r="S40" s="5"/>
      <c r="T40" s="1" t="str">
        <f>'Point Estimates'!A17</f>
        <v>Pa - Metropol de Belem</v>
      </c>
      <c r="U40" s="1" t="str">
        <f>'Point Estimates'!$D$5</f>
        <v>adm</v>
      </c>
      <c r="V40" s="5"/>
      <c r="W40" s="5"/>
      <c r="Y40" s="5"/>
      <c r="Z40" s="5"/>
      <c r="AA40" s="5"/>
      <c r="AB40" s="1" t="str">
        <f>'Point Estimates'!A18</f>
        <v>Pa - Nordeste Paraense</v>
      </c>
      <c r="AC40" s="1" t="str">
        <f>'Point Estimates'!$D$5</f>
        <v>adm</v>
      </c>
      <c r="AD40" s="5"/>
      <c r="AE40" s="5"/>
      <c r="AG40" s="5"/>
      <c r="AH40" s="5"/>
      <c r="AI40" s="5"/>
      <c r="AJ40" s="1" t="str">
        <f>'Point Estimates'!A19</f>
        <v>Pa - Sudoeste Paraense</v>
      </c>
      <c r="AK40" s="1" t="str">
        <f>'Point Estimates'!$D$5</f>
        <v>adm</v>
      </c>
      <c r="AL40" s="5"/>
      <c r="AM40" s="5"/>
    </row>
    <row r="41" spans="1:40" x14ac:dyDescent="0.2">
      <c r="A41" s="4"/>
      <c r="B41" s="5"/>
      <c r="C41" s="5"/>
      <c r="D41" s="5"/>
      <c r="E41" s="5"/>
      <c r="F41" s="5"/>
      <c r="G41" s="5"/>
      <c r="J41" s="5"/>
      <c r="K41" s="5"/>
      <c r="L41" s="5"/>
      <c r="M41" s="5"/>
      <c r="N41" s="5"/>
      <c r="O41" s="5"/>
      <c r="Q41" s="5"/>
      <c r="R41" s="5"/>
      <c r="S41" s="5"/>
      <c r="T41" s="5"/>
      <c r="U41" s="5"/>
      <c r="V41" s="5"/>
      <c r="W41" s="5"/>
      <c r="Y41" s="5"/>
      <c r="Z41" s="5"/>
      <c r="AA41" s="5"/>
      <c r="AB41" s="5"/>
      <c r="AC41" s="5"/>
      <c r="AD41" s="5"/>
      <c r="AE41" s="5"/>
      <c r="AG41" s="5"/>
      <c r="AH41" s="5"/>
      <c r="AI41" s="5"/>
      <c r="AJ41" s="5"/>
      <c r="AK41" s="5"/>
      <c r="AL41" s="5"/>
      <c r="AM41" s="5"/>
    </row>
    <row r="42" spans="1:40" x14ac:dyDescent="0.2">
      <c r="A42" s="4"/>
      <c r="B42" s="5"/>
      <c r="C42" s="5"/>
      <c r="D42" s="5"/>
      <c r="E42" s="5"/>
      <c r="F42" s="5"/>
      <c r="G42" s="5"/>
      <c r="J42" s="5"/>
      <c r="K42" s="5"/>
      <c r="L42" s="5"/>
      <c r="M42" s="5"/>
      <c r="N42" s="5"/>
      <c r="O42" s="5"/>
      <c r="Q42" s="5"/>
      <c r="R42" s="5"/>
      <c r="S42" s="5"/>
      <c r="T42" s="5"/>
      <c r="U42" s="5"/>
      <c r="V42" s="5"/>
      <c r="W42" s="5"/>
      <c r="Y42" s="5"/>
      <c r="Z42" s="5"/>
      <c r="AA42" s="5"/>
      <c r="AB42" s="5"/>
      <c r="AC42" s="5"/>
      <c r="AD42" s="5"/>
      <c r="AE42" s="5"/>
      <c r="AG42" s="5"/>
      <c r="AH42" s="5"/>
      <c r="AI42" s="5"/>
      <c r="AJ42" s="5"/>
      <c r="AK42" s="5"/>
      <c r="AL42" s="5"/>
      <c r="AM42" s="5"/>
    </row>
    <row r="43" spans="1:40" x14ac:dyDescent="0.2">
      <c r="A43" s="4"/>
      <c r="B43" s="5"/>
      <c r="C43" s="5"/>
      <c r="D43" s="5"/>
      <c r="E43" s="5"/>
      <c r="F43" s="5"/>
      <c r="G43" s="5"/>
      <c r="J43" s="5"/>
      <c r="K43" s="5"/>
      <c r="L43" s="5"/>
      <c r="M43" s="5"/>
      <c r="N43" s="5"/>
      <c r="O43" s="5"/>
      <c r="Q43" s="5"/>
      <c r="R43" s="5"/>
      <c r="S43" s="5"/>
      <c r="T43" s="5"/>
      <c r="U43" s="5"/>
      <c r="V43" s="5"/>
      <c r="W43" s="5"/>
      <c r="Y43" s="5"/>
      <c r="Z43" s="5"/>
      <c r="AA43" s="5"/>
      <c r="AB43" s="5"/>
      <c r="AC43" s="5"/>
      <c r="AD43" s="5"/>
      <c r="AE43" s="5"/>
      <c r="AG43" s="5"/>
      <c r="AH43" s="5"/>
      <c r="AI43" s="5"/>
      <c r="AJ43" s="5"/>
      <c r="AK43" s="5"/>
      <c r="AL43" s="5"/>
      <c r="AM43" s="5"/>
    </row>
    <row r="44" spans="1:40" x14ac:dyDescent="0.2">
      <c r="A44" s="4"/>
      <c r="B44" s="5"/>
      <c r="C44" s="5"/>
      <c r="D44" s="5"/>
      <c r="E44" s="5"/>
      <c r="F44" s="5"/>
      <c r="G44" s="5"/>
      <c r="J44" s="5"/>
      <c r="K44" s="5"/>
      <c r="L44" s="5"/>
      <c r="M44" s="5"/>
      <c r="N44" s="5"/>
      <c r="O44" s="5"/>
      <c r="Q44" s="5"/>
      <c r="R44" s="5"/>
      <c r="S44" s="5"/>
      <c r="T44" s="5"/>
      <c r="U44" s="5"/>
      <c r="V44" s="5"/>
      <c r="W44" s="5"/>
      <c r="Y44" s="5"/>
      <c r="Z44" s="5"/>
      <c r="AA44" s="5"/>
      <c r="AB44" s="5"/>
      <c r="AC44" s="5"/>
      <c r="AD44" s="5"/>
      <c r="AE44" s="5"/>
      <c r="AG44" s="5"/>
      <c r="AH44" s="5"/>
      <c r="AI44" s="5"/>
      <c r="AJ44" s="5"/>
      <c r="AK44" s="5"/>
      <c r="AL44" s="5"/>
      <c r="AM44" s="5"/>
    </row>
    <row r="45" spans="1:40" x14ac:dyDescent="0.2">
      <c r="A45" s="4"/>
      <c r="B45" s="5"/>
      <c r="C45" s="5"/>
      <c r="D45" s="5"/>
      <c r="E45" s="5"/>
      <c r="F45" s="5"/>
      <c r="G45" s="5"/>
      <c r="J45" s="5"/>
      <c r="K45" s="5"/>
      <c r="L45" s="5"/>
      <c r="M45" s="5"/>
      <c r="N45" s="5"/>
      <c r="O45" s="5"/>
      <c r="Q45" s="5"/>
      <c r="R45" s="5"/>
      <c r="S45" s="5"/>
      <c r="T45" s="5"/>
      <c r="U45" s="5"/>
      <c r="V45" s="5"/>
      <c r="W45" s="5"/>
      <c r="Y45" s="5"/>
      <c r="Z45" s="5"/>
      <c r="AA45" s="5"/>
      <c r="AB45" s="5"/>
      <c r="AC45" s="5"/>
      <c r="AD45" s="5"/>
      <c r="AE45" s="5"/>
      <c r="AG45" s="5"/>
      <c r="AH45" s="5"/>
      <c r="AI45" s="5"/>
      <c r="AJ45" s="5"/>
      <c r="AK45" s="5"/>
      <c r="AL45" s="5"/>
      <c r="AM45" s="5"/>
    </row>
    <row r="46" spans="1:40" x14ac:dyDescent="0.2">
      <c r="A46" s="4"/>
      <c r="B46" s="5"/>
      <c r="C46" s="5"/>
      <c r="D46" s="5"/>
      <c r="E46" s="5"/>
      <c r="F46" s="5"/>
      <c r="G46" s="5"/>
      <c r="J46" s="5"/>
      <c r="K46" s="5"/>
      <c r="L46" s="5"/>
      <c r="M46" s="5"/>
      <c r="N46" s="5"/>
      <c r="O46" s="5"/>
      <c r="Q46" s="5"/>
      <c r="R46" s="5"/>
      <c r="S46" s="5"/>
      <c r="T46" s="5"/>
      <c r="U46" s="5"/>
      <c r="V46" s="5"/>
      <c r="W46" s="5"/>
      <c r="Y46" s="5"/>
      <c r="Z46" s="5"/>
      <c r="AA46" s="5"/>
      <c r="AB46" s="5"/>
      <c r="AC46" s="5"/>
      <c r="AD46" s="5"/>
      <c r="AE46" s="5"/>
      <c r="AG46" s="5"/>
      <c r="AH46" s="5"/>
      <c r="AI46" s="5"/>
      <c r="AJ46" s="5"/>
      <c r="AK46" s="5"/>
      <c r="AL46" s="5"/>
      <c r="AM46" s="5"/>
    </row>
    <row r="47" spans="1:40" x14ac:dyDescent="0.2">
      <c r="A47" s="4"/>
      <c r="B47" s="5"/>
      <c r="C47" s="5"/>
      <c r="D47" s="5"/>
      <c r="E47" s="5"/>
      <c r="F47" s="5"/>
      <c r="G47" s="5"/>
      <c r="J47" s="5"/>
      <c r="K47" s="5"/>
      <c r="L47" s="5"/>
      <c r="M47" s="5"/>
      <c r="N47" s="5"/>
      <c r="O47" s="5"/>
      <c r="Q47" s="5"/>
      <c r="R47" s="5"/>
      <c r="S47" s="5"/>
      <c r="T47" s="5"/>
      <c r="U47" s="5"/>
      <c r="V47" s="5"/>
      <c r="W47" s="5"/>
      <c r="Y47" s="5"/>
      <c r="Z47" s="5"/>
      <c r="AA47" s="5"/>
      <c r="AB47" s="5"/>
      <c r="AC47" s="5"/>
      <c r="AD47" s="5"/>
      <c r="AE47" s="5"/>
      <c r="AG47" s="5"/>
      <c r="AH47" s="5"/>
      <c r="AI47" s="5"/>
      <c r="AJ47" s="5"/>
      <c r="AK47" s="5"/>
      <c r="AL47" s="5"/>
      <c r="AM47" s="5"/>
    </row>
    <row r="48" spans="1:40" x14ac:dyDescent="0.2">
      <c r="A48" s="4"/>
      <c r="B48" s="5"/>
      <c r="C48" s="5"/>
      <c r="D48" s="5"/>
      <c r="E48" s="5"/>
      <c r="F48" s="5"/>
      <c r="G48" s="5"/>
      <c r="J48" s="5"/>
      <c r="K48" s="5"/>
      <c r="L48" s="5"/>
      <c r="M48" s="5"/>
      <c r="N48" s="5"/>
      <c r="O48" s="5"/>
      <c r="Q48" s="5"/>
      <c r="R48" s="5"/>
      <c r="S48" s="5"/>
      <c r="T48" s="5"/>
      <c r="U48" s="5"/>
      <c r="V48" s="5"/>
      <c r="W48" s="5"/>
      <c r="Y48" s="5"/>
      <c r="Z48" s="5"/>
      <c r="AA48" s="5"/>
      <c r="AB48" s="5"/>
      <c r="AC48" s="5"/>
      <c r="AD48" s="5"/>
      <c r="AE48" s="5"/>
      <c r="AG48" s="5"/>
      <c r="AH48" s="5"/>
      <c r="AI48" s="5"/>
      <c r="AJ48" s="5"/>
      <c r="AK48" s="5"/>
      <c r="AL48" s="5"/>
      <c r="AM48" s="5"/>
    </row>
    <row r="49" spans="1:40" x14ac:dyDescent="0.2">
      <c r="A49" s="4"/>
      <c r="B49" s="5"/>
      <c r="C49" s="5"/>
      <c r="D49" s="5"/>
      <c r="E49" s="5"/>
      <c r="F49" s="5"/>
      <c r="G49" s="5"/>
      <c r="J49" s="5"/>
      <c r="K49" s="5"/>
      <c r="L49" s="5"/>
      <c r="M49" s="5"/>
      <c r="N49" s="5"/>
      <c r="O49" s="5"/>
      <c r="Q49" s="5"/>
      <c r="R49" s="5"/>
      <c r="S49" s="5"/>
      <c r="T49" s="5"/>
      <c r="U49" s="5"/>
      <c r="V49" s="5"/>
      <c r="W49" s="5"/>
      <c r="Y49" s="5"/>
      <c r="Z49" s="5"/>
      <c r="AA49" s="5"/>
      <c r="AB49" s="5"/>
      <c r="AC49" s="5"/>
      <c r="AD49" s="5"/>
      <c r="AE49" s="5"/>
      <c r="AG49" s="5"/>
      <c r="AH49" s="5"/>
      <c r="AI49" s="5"/>
      <c r="AJ49" s="5"/>
      <c r="AK49" s="5"/>
      <c r="AL49" s="5"/>
      <c r="AM49" s="5"/>
    </row>
    <row r="50" spans="1:40" x14ac:dyDescent="0.2">
      <c r="A50" s="4"/>
      <c r="B50" s="5"/>
      <c r="C50" s="5"/>
      <c r="D50" s="5"/>
      <c r="E50" s="5"/>
      <c r="F50" s="5"/>
      <c r="G50" s="5"/>
      <c r="J50" s="5"/>
      <c r="K50" s="5"/>
      <c r="L50" s="5"/>
      <c r="M50" s="5"/>
      <c r="N50" s="5"/>
      <c r="O50" s="5"/>
      <c r="Q50" s="5"/>
      <c r="R50" s="5"/>
      <c r="S50" s="5"/>
      <c r="T50" s="5"/>
      <c r="U50" s="5"/>
      <c r="V50" s="5"/>
      <c r="W50" s="5"/>
      <c r="Y50" s="5"/>
      <c r="Z50" s="5"/>
      <c r="AA50" s="5"/>
      <c r="AB50" s="5"/>
      <c r="AC50" s="5"/>
      <c r="AD50" s="5"/>
      <c r="AE50" s="5"/>
      <c r="AG50" s="5"/>
      <c r="AH50" s="5"/>
      <c r="AI50" s="5"/>
      <c r="AJ50" s="5"/>
      <c r="AK50" s="5"/>
      <c r="AL50" s="5"/>
      <c r="AM50" s="5"/>
    </row>
    <row r="51" spans="1:40" x14ac:dyDescent="0.2">
      <c r="A51" s="4"/>
      <c r="B51" s="5"/>
      <c r="C51" s="5"/>
      <c r="D51" s="5"/>
      <c r="E51" s="5"/>
      <c r="F51" s="5"/>
      <c r="G51" s="5"/>
      <c r="J51" s="5"/>
      <c r="K51" s="5"/>
      <c r="L51" s="5"/>
      <c r="M51" s="5"/>
      <c r="N51" s="5"/>
      <c r="O51" s="5"/>
      <c r="Q51" s="5"/>
      <c r="R51" s="5"/>
      <c r="S51" s="5"/>
      <c r="T51" s="5"/>
      <c r="U51" s="5"/>
      <c r="V51" s="5"/>
      <c r="W51" s="5"/>
      <c r="Y51" s="5"/>
      <c r="Z51" s="5"/>
      <c r="AA51" s="5"/>
      <c r="AB51" s="5"/>
      <c r="AC51" s="5"/>
      <c r="AD51" s="5"/>
      <c r="AE51" s="5"/>
      <c r="AG51" s="5"/>
      <c r="AH51" s="5"/>
      <c r="AI51" s="5"/>
      <c r="AJ51" s="5"/>
      <c r="AK51" s="5"/>
      <c r="AL51" s="5"/>
      <c r="AM51" s="5"/>
    </row>
    <row r="52" spans="1:40" x14ac:dyDescent="0.2">
      <c r="A52" s="4"/>
      <c r="B52" s="5"/>
      <c r="C52" s="5"/>
      <c r="D52" s="5"/>
      <c r="E52" s="5"/>
      <c r="F52" s="5"/>
      <c r="G52" s="5"/>
      <c r="J52" s="5"/>
      <c r="K52" s="5"/>
      <c r="L52" s="5"/>
      <c r="M52" s="5"/>
      <c r="N52" s="5"/>
      <c r="O52" s="5"/>
      <c r="Q52" s="5"/>
      <c r="R52" s="5"/>
      <c r="S52" s="5"/>
      <c r="T52" s="5"/>
      <c r="U52" s="5"/>
      <c r="V52" s="5"/>
      <c r="W52" s="5"/>
      <c r="Y52" s="5"/>
      <c r="Z52" s="5"/>
      <c r="AA52" s="5"/>
      <c r="AB52" s="5"/>
      <c r="AC52" s="5"/>
      <c r="AD52" s="5"/>
      <c r="AE52" s="5"/>
      <c r="AG52" s="5"/>
      <c r="AH52" s="5"/>
      <c r="AI52" s="5"/>
      <c r="AJ52" s="5"/>
      <c r="AK52" s="5"/>
      <c r="AL52" s="5"/>
      <c r="AM52" s="5"/>
    </row>
    <row r="53" spans="1:40" x14ac:dyDescent="0.2">
      <c r="A53" s="4"/>
      <c r="B53" s="5"/>
      <c r="C53" s="5"/>
      <c r="D53" s="5"/>
      <c r="E53" s="5"/>
      <c r="F53" s="5"/>
      <c r="G53" s="5"/>
      <c r="J53" s="5"/>
      <c r="K53" s="5"/>
      <c r="L53" s="5"/>
      <c r="M53" s="5"/>
      <c r="N53" s="5"/>
      <c r="O53" s="5"/>
      <c r="Q53" s="5"/>
      <c r="R53" s="5"/>
      <c r="S53" s="5"/>
      <c r="T53" s="5"/>
      <c r="U53" s="5"/>
      <c r="V53" s="5"/>
      <c r="W53" s="5"/>
      <c r="Y53" s="5"/>
      <c r="Z53" s="5"/>
      <c r="AA53" s="5"/>
      <c r="AB53" s="5"/>
      <c r="AC53" s="5"/>
      <c r="AD53" s="5"/>
      <c r="AE53" s="5"/>
      <c r="AG53" s="5"/>
      <c r="AH53" s="5"/>
      <c r="AI53" s="5"/>
      <c r="AJ53" s="5"/>
      <c r="AK53" s="5"/>
      <c r="AL53" s="5"/>
      <c r="AM53" s="5"/>
    </row>
    <row r="54" spans="1:40" x14ac:dyDescent="0.2">
      <c r="A54" s="4"/>
      <c r="B54" s="5"/>
      <c r="C54" s="5"/>
      <c r="D54" s="5"/>
      <c r="E54" s="5"/>
      <c r="F54" s="5"/>
      <c r="G54" s="5"/>
      <c r="J54" s="5"/>
      <c r="K54" s="5"/>
      <c r="L54" s="5"/>
      <c r="M54" s="5"/>
      <c r="N54" s="5"/>
      <c r="O54" s="5"/>
      <c r="Q54" s="5"/>
      <c r="R54" s="5"/>
      <c r="S54" s="5"/>
      <c r="T54" s="5"/>
      <c r="U54" s="5"/>
      <c r="V54" s="5"/>
      <c r="W54" s="5"/>
      <c r="Y54" s="5"/>
      <c r="Z54" s="5"/>
      <c r="AA54" s="5"/>
      <c r="AB54" s="5"/>
      <c r="AC54" s="5"/>
      <c r="AD54" s="5"/>
      <c r="AE54" s="5"/>
      <c r="AG54" s="5"/>
      <c r="AH54" s="5"/>
      <c r="AI54" s="5"/>
      <c r="AJ54" s="5"/>
      <c r="AK54" s="5"/>
      <c r="AL54" s="5"/>
      <c r="AM54" s="5"/>
    </row>
    <row r="55" spans="1:40" x14ac:dyDescent="0.2">
      <c r="A55" s="4"/>
      <c r="B55" s="5"/>
      <c r="C55" s="5"/>
      <c r="D55" s="5"/>
      <c r="E55" s="5"/>
      <c r="F55" s="5"/>
      <c r="G55" s="5"/>
      <c r="J55" s="5"/>
      <c r="K55" s="5"/>
      <c r="L55" s="5"/>
      <c r="M55" s="5"/>
      <c r="N55" s="5"/>
      <c r="O55" s="5"/>
      <c r="Q55" s="5"/>
      <c r="R55" s="5"/>
      <c r="S55" s="5"/>
      <c r="T55" s="5"/>
      <c r="U55" s="5"/>
      <c r="V55" s="5"/>
      <c r="W55" s="5"/>
      <c r="Y55" s="5"/>
      <c r="Z55" s="5"/>
      <c r="AA55" s="5"/>
      <c r="AB55" s="5"/>
      <c r="AC55" s="5"/>
      <c r="AD55" s="5"/>
      <c r="AE55" s="5"/>
      <c r="AG55" s="5"/>
      <c r="AH55" s="5"/>
      <c r="AI55" s="5"/>
      <c r="AJ55" s="5"/>
      <c r="AK55" s="5"/>
      <c r="AL55" s="5"/>
      <c r="AM55" s="5"/>
    </row>
    <row r="56" spans="1:40" x14ac:dyDescent="0.2">
      <c r="A56" s="4"/>
      <c r="B56" s="5"/>
      <c r="C56" s="5"/>
      <c r="D56" s="5"/>
      <c r="E56" s="5"/>
      <c r="F56" s="5"/>
      <c r="G56" s="5"/>
      <c r="J56" s="5"/>
      <c r="K56" s="5"/>
      <c r="L56" s="5"/>
      <c r="M56" s="5"/>
      <c r="N56" s="5"/>
      <c r="O56" s="5"/>
      <c r="Q56" s="5"/>
      <c r="R56" s="5"/>
      <c r="S56" s="5"/>
      <c r="T56" s="5"/>
      <c r="U56" s="5"/>
      <c r="V56" s="5"/>
      <c r="W56" s="5"/>
      <c r="Y56" s="5"/>
      <c r="Z56" s="5"/>
      <c r="AA56" s="5"/>
      <c r="AB56" s="5"/>
      <c r="AC56" s="5"/>
      <c r="AD56" s="5"/>
      <c r="AE56" s="5"/>
      <c r="AG56" s="5"/>
      <c r="AH56" s="5"/>
      <c r="AI56" s="5"/>
      <c r="AJ56" s="5"/>
      <c r="AK56" s="5"/>
      <c r="AL56" s="5"/>
      <c r="AM56" s="5"/>
    </row>
    <row r="57" spans="1:40" s="6" customFormat="1" ht="13.5" thickBot="1" x14ac:dyDescent="0.25">
      <c r="A57" s="8"/>
      <c r="H57" s="7"/>
      <c r="I57" s="8"/>
      <c r="P57" s="7"/>
      <c r="X57" s="7"/>
      <c r="AF57" s="7"/>
      <c r="AN57" s="7"/>
    </row>
    <row r="58" spans="1:40" s="10" customFormat="1" x14ac:dyDescent="0.2">
      <c r="A58" s="9"/>
      <c r="H58" s="11"/>
      <c r="I58" s="9"/>
      <c r="P58" s="11"/>
      <c r="X58" s="11"/>
      <c r="AF58" s="11"/>
      <c r="AN58" s="11"/>
    </row>
    <row r="59" spans="1:40" ht="13.5" thickBot="1" x14ac:dyDescent="0.25">
      <c r="A59" s="4"/>
      <c r="B59" s="5"/>
      <c r="C59" s="5"/>
      <c r="D59" s="1" t="str">
        <f>'Point Estimates'!A20</f>
        <v>Pa - Sudeste Paraense</v>
      </c>
      <c r="E59" s="1" t="str">
        <f>'Point Estimates'!$D$5</f>
        <v>adm</v>
      </c>
      <c r="F59" s="5"/>
      <c r="G59" s="5"/>
      <c r="J59" s="5"/>
      <c r="K59" s="5"/>
      <c r="L59" s="1" t="str">
        <f>'Point Estimates'!A21</f>
        <v>Ap - Norte do Amapa</v>
      </c>
      <c r="M59" s="1" t="str">
        <f>'Point Estimates'!$D$5</f>
        <v>adm</v>
      </c>
      <c r="N59" s="5"/>
      <c r="O59" s="5"/>
      <c r="Q59" s="5"/>
      <c r="R59" s="5"/>
      <c r="S59" s="5"/>
      <c r="T59" s="1" t="str">
        <f>'Point Estimates'!A22</f>
        <v>Ap - Sul do Amapa</v>
      </c>
      <c r="U59" s="1" t="str">
        <f>'Point Estimates'!$D$5</f>
        <v>adm</v>
      </c>
      <c r="V59" s="5"/>
      <c r="W59" s="5"/>
      <c r="Y59" s="5"/>
      <c r="Z59" s="5"/>
      <c r="AA59" s="5"/>
      <c r="AB59" s="1" t="str">
        <f>'Point Estimates'!A23</f>
        <v>To - Ocidental do TO</v>
      </c>
      <c r="AC59" s="1" t="str">
        <f>'Point Estimates'!$D$5</f>
        <v>adm</v>
      </c>
      <c r="AD59" s="5"/>
      <c r="AE59" s="5"/>
      <c r="AG59" s="5"/>
      <c r="AH59" s="5"/>
      <c r="AI59" s="5"/>
      <c r="AJ59" s="1" t="str">
        <f>'Point Estimates'!A24</f>
        <v>To - Oriental do TO</v>
      </c>
      <c r="AK59" s="1" t="str">
        <f>'Point Estimates'!$D$5</f>
        <v>adm</v>
      </c>
      <c r="AL59" s="5"/>
      <c r="AM59" s="5"/>
    </row>
    <row r="60" spans="1:40" x14ac:dyDescent="0.2">
      <c r="A60" s="4"/>
      <c r="B60" s="5"/>
      <c r="C60" s="5"/>
      <c r="D60" s="5"/>
      <c r="E60" s="5"/>
      <c r="F60" s="5"/>
      <c r="G60" s="5"/>
      <c r="J60" s="5"/>
      <c r="K60" s="5"/>
      <c r="L60" s="5"/>
      <c r="M60" s="5"/>
      <c r="N60" s="5"/>
      <c r="O60" s="5"/>
      <c r="Q60" s="5"/>
      <c r="R60" s="5"/>
      <c r="S60" s="5"/>
      <c r="T60" s="5"/>
      <c r="U60" s="5"/>
      <c r="V60" s="5"/>
      <c r="W60" s="5"/>
      <c r="Y60" s="5"/>
      <c r="Z60" s="5"/>
      <c r="AA60" s="5"/>
      <c r="AB60" s="5"/>
      <c r="AC60" s="5"/>
      <c r="AD60" s="5"/>
      <c r="AE60" s="5"/>
      <c r="AG60" s="5"/>
      <c r="AH60" s="5"/>
      <c r="AI60" s="5"/>
      <c r="AJ60" s="5"/>
      <c r="AK60" s="5"/>
      <c r="AL60" s="5"/>
      <c r="AM60" s="5"/>
    </row>
    <row r="61" spans="1:40" x14ac:dyDescent="0.2">
      <c r="A61" s="4"/>
      <c r="B61" s="5"/>
      <c r="C61" s="5"/>
      <c r="D61" s="5"/>
      <c r="E61" s="5"/>
      <c r="F61" s="5"/>
      <c r="G61" s="5"/>
      <c r="J61" s="5"/>
      <c r="K61" s="5"/>
      <c r="L61" s="5"/>
      <c r="M61" s="5"/>
      <c r="N61" s="5"/>
      <c r="O61" s="5"/>
      <c r="Q61" s="5"/>
      <c r="R61" s="5"/>
      <c r="S61" s="5"/>
      <c r="T61" s="5"/>
      <c r="U61" s="5"/>
      <c r="V61" s="5"/>
      <c r="W61" s="5"/>
      <c r="Y61" s="5"/>
      <c r="Z61" s="5"/>
      <c r="AA61" s="5"/>
      <c r="AB61" s="5"/>
      <c r="AC61" s="5"/>
      <c r="AD61" s="5"/>
      <c r="AE61" s="5"/>
      <c r="AG61" s="5"/>
      <c r="AH61" s="5"/>
      <c r="AI61" s="5"/>
      <c r="AJ61" s="5"/>
      <c r="AK61" s="5"/>
      <c r="AL61" s="5"/>
      <c r="AM61" s="5"/>
    </row>
    <row r="62" spans="1:40" x14ac:dyDescent="0.2">
      <c r="A62" s="4"/>
      <c r="B62" s="5"/>
      <c r="C62" s="5"/>
      <c r="D62" s="5"/>
      <c r="E62" s="5"/>
      <c r="F62" s="5"/>
      <c r="G62" s="5"/>
      <c r="J62" s="5"/>
      <c r="K62" s="5"/>
      <c r="L62" s="5"/>
      <c r="M62" s="5"/>
      <c r="N62" s="5"/>
      <c r="O62" s="5"/>
      <c r="Q62" s="5"/>
      <c r="R62" s="5"/>
      <c r="S62" s="5"/>
      <c r="T62" s="5"/>
      <c r="U62" s="5"/>
      <c r="V62" s="5"/>
      <c r="W62" s="5"/>
      <c r="Y62" s="5"/>
      <c r="Z62" s="5"/>
      <c r="AA62" s="5"/>
      <c r="AB62" s="5"/>
      <c r="AC62" s="5"/>
      <c r="AD62" s="5"/>
      <c r="AE62" s="5"/>
      <c r="AG62" s="5"/>
      <c r="AH62" s="5"/>
      <c r="AI62" s="5"/>
      <c r="AJ62" s="5"/>
      <c r="AK62" s="5"/>
      <c r="AL62" s="5"/>
      <c r="AM62" s="5"/>
    </row>
    <row r="63" spans="1:40" x14ac:dyDescent="0.2">
      <c r="A63" s="4"/>
      <c r="B63" s="5"/>
      <c r="C63" s="5"/>
      <c r="D63" s="5"/>
      <c r="E63" s="5"/>
      <c r="F63" s="5"/>
      <c r="G63" s="5"/>
      <c r="J63" s="5"/>
      <c r="K63" s="5"/>
      <c r="L63" s="5"/>
      <c r="M63" s="5"/>
      <c r="N63" s="5"/>
      <c r="O63" s="5"/>
      <c r="Q63" s="5"/>
      <c r="R63" s="5"/>
      <c r="S63" s="5"/>
      <c r="T63" s="5"/>
      <c r="U63" s="5"/>
      <c r="V63" s="5"/>
      <c r="W63" s="5"/>
      <c r="Y63" s="5"/>
      <c r="Z63" s="5"/>
      <c r="AA63" s="5"/>
      <c r="AB63" s="5"/>
      <c r="AC63" s="5"/>
      <c r="AD63" s="5"/>
      <c r="AE63" s="5"/>
      <c r="AG63" s="5"/>
      <c r="AH63" s="5"/>
      <c r="AI63" s="5"/>
      <c r="AJ63" s="5"/>
      <c r="AK63" s="5"/>
      <c r="AL63" s="5"/>
      <c r="AM63" s="5"/>
    </row>
    <row r="64" spans="1:40" x14ac:dyDescent="0.2">
      <c r="A64" s="4"/>
      <c r="B64" s="5"/>
      <c r="C64" s="5"/>
      <c r="D64" s="5"/>
      <c r="E64" s="5"/>
      <c r="F64" s="5"/>
      <c r="G64" s="5"/>
      <c r="J64" s="5"/>
      <c r="K64" s="5"/>
      <c r="L64" s="5"/>
      <c r="M64" s="5"/>
      <c r="N64" s="5"/>
      <c r="O64" s="5"/>
      <c r="Q64" s="5"/>
      <c r="R64" s="5"/>
      <c r="S64" s="5"/>
      <c r="T64" s="5"/>
      <c r="U64" s="5"/>
      <c r="V64" s="5"/>
      <c r="W64" s="5"/>
      <c r="Y64" s="5"/>
      <c r="Z64" s="5"/>
      <c r="AA64" s="5"/>
      <c r="AB64" s="5"/>
      <c r="AC64" s="5"/>
      <c r="AD64" s="5"/>
      <c r="AE64" s="5"/>
      <c r="AG64" s="5"/>
      <c r="AH64" s="5"/>
      <c r="AI64" s="5"/>
      <c r="AJ64" s="5"/>
      <c r="AK64" s="5"/>
      <c r="AL64" s="5"/>
      <c r="AM64" s="5"/>
    </row>
    <row r="65" spans="1:40" x14ac:dyDescent="0.2">
      <c r="A65" s="4"/>
      <c r="B65" s="5"/>
      <c r="C65" s="5"/>
      <c r="D65" s="5"/>
      <c r="E65" s="5"/>
      <c r="F65" s="5"/>
      <c r="G65" s="5"/>
      <c r="J65" s="5"/>
      <c r="K65" s="5"/>
      <c r="L65" s="5"/>
      <c r="M65" s="5"/>
      <c r="N65" s="5"/>
      <c r="O65" s="5"/>
      <c r="Q65" s="5"/>
      <c r="R65" s="5"/>
      <c r="S65" s="5"/>
      <c r="T65" s="5"/>
      <c r="U65" s="5"/>
      <c r="V65" s="5"/>
      <c r="W65" s="5"/>
      <c r="Y65" s="5"/>
      <c r="Z65" s="5"/>
      <c r="AA65" s="5"/>
      <c r="AB65" s="5"/>
      <c r="AC65" s="5"/>
      <c r="AD65" s="5"/>
      <c r="AE65" s="5"/>
      <c r="AG65" s="5"/>
      <c r="AH65" s="5"/>
      <c r="AI65" s="5"/>
      <c r="AJ65" s="5"/>
      <c r="AK65" s="5"/>
      <c r="AL65" s="5"/>
      <c r="AM65" s="5"/>
    </row>
    <row r="66" spans="1:40" x14ac:dyDescent="0.2">
      <c r="A66" s="4"/>
      <c r="B66" s="5"/>
      <c r="C66" s="5"/>
      <c r="D66" s="5"/>
      <c r="E66" s="5"/>
      <c r="F66" s="5"/>
      <c r="G66" s="5"/>
      <c r="J66" s="5"/>
      <c r="K66" s="5"/>
      <c r="L66" s="5"/>
      <c r="M66" s="5"/>
      <c r="N66" s="5"/>
      <c r="O66" s="5"/>
      <c r="Q66" s="5"/>
      <c r="R66" s="5"/>
      <c r="S66" s="5"/>
      <c r="T66" s="5"/>
      <c r="U66" s="5"/>
      <c r="V66" s="5"/>
      <c r="W66" s="5"/>
      <c r="Y66" s="5"/>
      <c r="Z66" s="5"/>
      <c r="AA66" s="5"/>
      <c r="AB66" s="5"/>
      <c r="AC66" s="5"/>
      <c r="AD66" s="5"/>
      <c r="AE66" s="5"/>
      <c r="AG66" s="5"/>
      <c r="AH66" s="5"/>
      <c r="AI66" s="5"/>
      <c r="AJ66" s="5"/>
      <c r="AK66" s="5"/>
      <c r="AL66" s="5"/>
      <c r="AM66" s="5"/>
    </row>
    <row r="67" spans="1:40" x14ac:dyDescent="0.2">
      <c r="A67" s="4"/>
      <c r="B67" s="5"/>
      <c r="C67" s="5"/>
      <c r="D67" s="5"/>
      <c r="E67" s="5"/>
      <c r="F67" s="5"/>
      <c r="G67" s="5"/>
      <c r="J67" s="5"/>
      <c r="K67" s="5"/>
      <c r="L67" s="5"/>
      <c r="M67" s="5"/>
      <c r="N67" s="5"/>
      <c r="O67" s="5"/>
      <c r="Q67" s="5"/>
      <c r="R67" s="5"/>
      <c r="S67" s="5"/>
      <c r="T67" s="5"/>
      <c r="U67" s="5"/>
      <c r="V67" s="5"/>
      <c r="W67" s="5"/>
      <c r="Y67" s="5"/>
      <c r="Z67" s="5"/>
      <c r="AA67" s="5"/>
      <c r="AB67" s="5"/>
      <c r="AC67" s="5"/>
      <c r="AD67" s="5"/>
      <c r="AE67" s="5"/>
      <c r="AG67" s="5"/>
      <c r="AH67" s="5"/>
      <c r="AI67" s="5"/>
      <c r="AJ67" s="5"/>
      <c r="AK67" s="5"/>
      <c r="AL67" s="5"/>
      <c r="AM67" s="5"/>
    </row>
    <row r="68" spans="1:40" x14ac:dyDescent="0.2">
      <c r="A68" s="4"/>
      <c r="B68" s="5"/>
      <c r="C68" s="5"/>
      <c r="D68" s="5"/>
      <c r="E68" s="5"/>
      <c r="F68" s="5"/>
      <c r="G68" s="5"/>
      <c r="J68" s="5"/>
      <c r="K68" s="5"/>
      <c r="L68" s="5"/>
      <c r="M68" s="5"/>
      <c r="N68" s="5"/>
      <c r="O68" s="5"/>
      <c r="Q68" s="5"/>
      <c r="R68" s="5"/>
      <c r="S68" s="5"/>
      <c r="T68" s="5"/>
      <c r="U68" s="5"/>
      <c r="V68" s="5"/>
      <c r="W68" s="5"/>
      <c r="Y68" s="5"/>
      <c r="Z68" s="5"/>
      <c r="AA68" s="5"/>
      <c r="AB68" s="5"/>
      <c r="AC68" s="5"/>
      <c r="AD68" s="5"/>
      <c r="AE68" s="5"/>
      <c r="AG68" s="5"/>
      <c r="AH68" s="5"/>
      <c r="AI68" s="5"/>
      <c r="AJ68" s="5"/>
      <c r="AK68" s="5"/>
      <c r="AL68" s="5"/>
      <c r="AM68" s="5"/>
    </row>
    <row r="69" spans="1:40" x14ac:dyDescent="0.2">
      <c r="A69" s="4"/>
      <c r="B69" s="5"/>
      <c r="C69" s="5"/>
      <c r="D69" s="5"/>
      <c r="E69" s="5"/>
      <c r="F69" s="5"/>
      <c r="G69" s="5"/>
      <c r="J69" s="5"/>
      <c r="K69" s="5"/>
      <c r="L69" s="5"/>
      <c r="M69" s="5"/>
      <c r="N69" s="5"/>
      <c r="O69" s="5"/>
      <c r="Q69" s="5"/>
      <c r="R69" s="5"/>
      <c r="S69" s="5"/>
      <c r="T69" s="5"/>
      <c r="U69" s="5"/>
      <c r="V69" s="5"/>
      <c r="W69" s="5"/>
      <c r="Y69" s="5"/>
      <c r="Z69" s="5"/>
      <c r="AA69" s="5"/>
      <c r="AB69" s="5"/>
      <c r="AC69" s="5"/>
      <c r="AD69" s="5"/>
      <c r="AE69" s="5"/>
      <c r="AG69" s="5"/>
      <c r="AH69" s="5"/>
      <c r="AI69" s="5"/>
      <c r="AJ69" s="5"/>
      <c r="AK69" s="5"/>
      <c r="AL69" s="5"/>
      <c r="AM69" s="5"/>
    </row>
    <row r="70" spans="1:40" x14ac:dyDescent="0.2">
      <c r="A70" s="4"/>
      <c r="B70" s="5"/>
      <c r="C70" s="5"/>
      <c r="D70" s="5"/>
      <c r="E70" s="5"/>
      <c r="F70" s="5"/>
      <c r="G70" s="5"/>
      <c r="J70" s="5"/>
      <c r="K70" s="5"/>
      <c r="L70" s="5"/>
      <c r="M70" s="5"/>
      <c r="N70" s="5"/>
      <c r="O70" s="5"/>
      <c r="Q70" s="5"/>
      <c r="R70" s="5"/>
      <c r="S70" s="5"/>
      <c r="T70" s="5"/>
      <c r="U70" s="5"/>
      <c r="V70" s="5"/>
      <c r="W70" s="5"/>
      <c r="Y70" s="5"/>
      <c r="Z70" s="5"/>
      <c r="AA70" s="5"/>
      <c r="AB70" s="5"/>
      <c r="AC70" s="5"/>
      <c r="AD70" s="5"/>
      <c r="AE70" s="5"/>
      <c r="AG70" s="5"/>
      <c r="AH70" s="5"/>
      <c r="AI70" s="5"/>
      <c r="AJ70" s="5"/>
      <c r="AK70" s="5"/>
      <c r="AL70" s="5"/>
      <c r="AM70" s="5"/>
    </row>
    <row r="71" spans="1:40" x14ac:dyDescent="0.2">
      <c r="A71" s="4"/>
      <c r="B71" s="5"/>
      <c r="C71" s="5"/>
      <c r="D71" s="5"/>
      <c r="E71" s="5"/>
      <c r="F71" s="5"/>
      <c r="G71" s="5"/>
      <c r="J71" s="5"/>
      <c r="K71" s="5"/>
      <c r="L71" s="5"/>
      <c r="M71" s="5"/>
      <c r="N71" s="5"/>
      <c r="O71" s="5"/>
      <c r="Q71" s="5"/>
      <c r="R71" s="5"/>
      <c r="S71" s="5"/>
      <c r="T71" s="5"/>
      <c r="U71" s="5"/>
      <c r="V71" s="5"/>
      <c r="W71" s="5"/>
      <c r="Y71" s="5"/>
      <c r="Z71" s="5"/>
      <c r="AA71" s="5"/>
      <c r="AB71" s="5"/>
      <c r="AC71" s="5"/>
      <c r="AD71" s="5"/>
      <c r="AE71" s="5"/>
      <c r="AG71" s="5"/>
      <c r="AH71" s="5"/>
      <c r="AI71" s="5"/>
      <c r="AJ71" s="5"/>
      <c r="AK71" s="5"/>
      <c r="AL71" s="5"/>
      <c r="AM71" s="5"/>
    </row>
    <row r="72" spans="1:40" x14ac:dyDescent="0.2">
      <c r="A72" s="4"/>
      <c r="B72" s="5"/>
      <c r="C72" s="5"/>
      <c r="D72" s="5"/>
      <c r="E72" s="5"/>
      <c r="F72" s="5"/>
      <c r="G72" s="5"/>
      <c r="J72" s="5"/>
      <c r="K72" s="5"/>
      <c r="L72" s="5"/>
      <c r="M72" s="5"/>
      <c r="N72" s="5"/>
      <c r="O72" s="5"/>
      <c r="Q72" s="5"/>
      <c r="R72" s="5"/>
      <c r="S72" s="5"/>
      <c r="T72" s="5"/>
      <c r="U72" s="5"/>
      <c r="V72" s="5"/>
      <c r="W72" s="5"/>
      <c r="Y72" s="5"/>
      <c r="Z72" s="5"/>
      <c r="AA72" s="5"/>
      <c r="AB72" s="5"/>
      <c r="AC72" s="5"/>
      <c r="AD72" s="5"/>
      <c r="AE72" s="5"/>
      <c r="AG72" s="5"/>
      <c r="AH72" s="5"/>
      <c r="AI72" s="5"/>
      <c r="AJ72" s="5"/>
      <c r="AK72" s="5"/>
      <c r="AL72" s="5"/>
      <c r="AM72" s="5"/>
    </row>
    <row r="73" spans="1:40" x14ac:dyDescent="0.2">
      <c r="A73" s="4"/>
      <c r="B73" s="5"/>
      <c r="C73" s="5"/>
      <c r="D73" s="5"/>
      <c r="E73" s="5"/>
      <c r="F73" s="5"/>
      <c r="G73" s="5"/>
      <c r="J73" s="5"/>
      <c r="K73" s="5"/>
      <c r="L73" s="5"/>
      <c r="M73" s="5"/>
      <c r="N73" s="5"/>
      <c r="O73" s="5"/>
      <c r="Q73" s="5"/>
      <c r="R73" s="5"/>
      <c r="S73" s="5"/>
      <c r="T73" s="5"/>
      <c r="U73" s="5"/>
      <c r="V73" s="5"/>
      <c r="W73" s="5"/>
      <c r="Y73" s="5"/>
      <c r="Z73" s="5"/>
      <c r="AA73" s="5"/>
      <c r="AB73" s="5"/>
      <c r="AC73" s="5"/>
      <c r="AD73" s="5"/>
      <c r="AE73" s="5"/>
      <c r="AG73" s="5"/>
      <c r="AH73" s="5"/>
      <c r="AI73" s="5"/>
      <c r="AJ73" s="5"/>
      <c r="AK73" s="5"/>
      <c r="AL73" s="5"/>
      <c r="AM73" s="5"/>
    </row>
    <row r="74" spans="1:40" x14ac:dyDescent="0.2">
      <c r="A74" s="4"/>
      <c r="B74" s="5"/>
      <c r="C74" s="5"/>
      <c r="D74" s="5"/>
      <c r="E74" s="5"/>
      <c r="F74" s="5"/>
      <c r="G74" s="5"/>
      <c r="J74" s="5"/>
      <c r="K74" s="5"/>
      <c r="L74" s="5"/>
      <c r="M74" s="5"/>
      <c r="N74" s="5"/>
      <c r="O74" s="5"/>
      <c r="Q74" s="5"/>
      <c r="R74" s="5"/>
      <c r="S74" s="5"/>
      <c r="T74" s="5"/>
      <c r="U74" s="5"/>
      <c r="V74" s="5"/>
      <c r="W74" s="5"/>
      <c r="Y74" s="5"/>
      <c r="Z74" s="5"/>
      <c r="AA74" s="5"/>
      <c r="AB74" s="5"/>
      <c r="AC74" s="5"/>
      <c r="AD74" s="5"/>
      <c r="AE74" s="5"/>
      <c r="AG74" s="5"/>
      <c r="AH74" s="5"/>
      <c r="AI74" s="5"/>
      <c r="AJ74" s="5"/>
      <c r="AK74" s="5"/>
      <c r="AL74" s="5"/>
      <c r="AM74" s="5"/>
    </row>
    <row r="75" spans="1:40" x14ac:dyDescent="0.2">
      <c r="A75" s="4"/>
      <c r="B75" s="5"/>
      <c r="C75" s="5"/>
      <c r="D75" s="5"/>
      <c r="E75" s="5"/>
      <c r="F75" s="5"/>
      <c r="G75" s="5"/>
      <c r="J75" s="5"/>
      <c r="K75" s="5"/>
      <c r="L75" s="5"/>
      <c r="M75" s="5"/>
      <c r="N75" s="5"/>
      <c r="O75" s="5"/>
      <c r="Q75" s="5"/>
      <c r="R75" s="5"/>
      <c r="S75" s="5"/>
      <c r="T75" s="5"/>
      <c r="U75" s="5"/>
      <c r="V75" s="5"/>
      <c r="W75" s="5"/>
      <c r="Y75" s="5"/>
      <c r="Z75" s="5"/>
      <c r="AA75" s="5"/>
      <c r="AB75" s="5"/>
      <c r="AC75" s="5"/>
      <c r="AD75" s="5"/>
      <c r="AE75" s="5"/>
      <c r="AG75" s="5"/>
      <c r="AH75" s="5"/>
      <c r="AI75" s="5"/>
      <c r="AJ75" s="5"/>
      <c r="AK75" s="5"/>
      <c r="AL75" s="5"/>
      <c r="AM75" s="5"/>
    </row>
    <row r="76" spans="1:40" s="6" customFormat="1" ht="13.5" thickBot="1" x14ac:dyDescent="0.25">
      <c r="A76" s="8"/>
      <c r="H76" s="7"/>
      <c r="I76" s="8"/>
      <c r="P76" s="7"/>
      <c r="X76" s="7"/>
      <c r="AF76" s="7"/>
      <c r="AN76" s="7"/>
    </row>
    <row r="77" spans="1:40" s="10" customFormat="1" x14ac:dyDescent="0.2">
      <c r="A77" s="9"/>
      <c r="H77" s="11"/>
      <c r="I77" s="9"/>
      <c r="P77" s="11"/>
      <c r="X77" s="11"/>
      <c r="AF77" s="11"/>
      <c r="AN77" s="11"/>
    </row>
    <row r="78" spans="1:40" ht="13.5" thickBot="1" x14ac:dyDescent="0.25">
      <c r="A78" s="4"/>
      <c r="B78" s="5"/>
      <c r="C78" s="5"/>
      <c r="D78" s="1" t="str">
        <f>'Point Estimates'!A25</f>
        <v>Ma - Norte Maranhense</v>
      </c>
      <c r="E78" s="1" t="str">
        <f>'Point Estimates'!$D$5</f>
        <v>adm</v>
      </c>
      <c r="F78" s="5"/>
      <c r="G78" s="5"/>
      <c r="J78" s="5"/>
      <c r="K78" s="5"/>
      <c r="L78" s="1" t="str">
        <f>'Point Estimates'!A26</f>
        <v>Ma - Oeste Maranhense</v>
      </c>
      <c r="M78" s="1" t="str">
        <f>'Point Estimates'!$D$5</f>
        <v>adm</v>
      </c>
      <c r="N78" s="5"/>
      <c r="O78" s="5"/>
      <c r="Q78" s="5"/>
      <c r="R78" s="5"/>
      <c r="S78" s="5"/>
      <c r="T78" s="1" t="str">
        <f>'Point Estimates'!A27</f>
        <v>Ma - Centro Maranhense</v>
      </c>
      <c r="U78" s="1" t="str">
        <f>'Point Estimates'!$D$5</f>
        <v>adm</v>
      </c>
      <c r="V78" s="5"/>
      <c r="W78" s="5"/>
      <c r="Y78" s="5"/>
      <c r="Z78" s="5"/>
      <c r="AA78" s="5"/>
      <c r="AB78" s="1" t="str">
        <f>'Point Estimates'!A28</f>
        <v>Ma - Leste Maranhense</v>
      </c>
      <c r="AC78" s="1" t="str">
        <f>'Point Estimates'!$D$5</f>
        <v>adm</v>
      </c>
      <c r="AD78" s="5"/>
      <c r="AE78" s="5"/>
      <c r="AG78" s="5"/>
      <c r="AH78" s="5"/>
      <c r="AI78" s="5"/>
      <c r="AJ78" s="1" t="str">
        <f>'Point Estimates'!A29</f>
        <v>Ma - Sul Maranhense</v>
      </c>
      <c r="AK78" s="1" t="str">
        <f>'Point Estimates'!$D$5</f>
        <v>adm</v>
      </c>
      <c r="AL78" s="5"/>
      <c r="AM78" s="5"/>
    </row>
    <row r="79" spans="1:40" x14ac:dyDescent="0.2">
      <c r="A79" s="4"/>
      <c r="B79" s="5"/>
      <c r="C79" s="5"/>
      <c r="D79" s="5"/>
      <c r="E79" s="5"/>
      <c r="F79" s="5"/>
      <c r="G79" s="5"/>
      <c r="J79" s="5"/>
      <c r="K79" s="5"/>
      <c r="L79" s="5"/>
      <c r="M79" s="5"/>
      <c r="N79" s="5"/>
      <c r="O79" s="5"/>
      <c r="Q79" s="5"/>
      <c r="R79" s="5"/>
      <c r="S79" s="5"/>
      <c r="T79" s="5"/>
      <c r="U79" s="5"/>
      <c r="V79" s="5"/>
      <c r="W79" s="5"/>
      <c r="Y79" s="5"/>
      <c r="Z79" s="5"/>
      <c r="AA79" s="5"/>
      <c r="AB79" s="5"/>
      <c r="AC79" s="5"/>
      <c r="AD79" s="5"/>
      <c r="AE79" s="5"/>
      <c r="AG79" s="5"/>
      <c r="AH79" s="5"/>
      <c r="AI79" s="5"/>
      <c r="AJ79" s="5"/>
      <c r="AK79" s="5"/>
      <c r="AL79" s="5"/>
      <c r="AM79" s="5"/>
    </row>
    <row r="80" spans="1:40" x14ac:dyDescent="0.2">
      <c r="A80" s="4"/>
      <c r="B80" s="5"/>
      <c r="C80" s="5"/>
      <c r="D80" s="5"/>
      <c r="E80" s="5"/>
      <c r="F80" s="5"/>
      <c r="G80" s="5"/>
      <c r="J80" s="5"/>
      <c r="K80" s="5"/>
      <c r="L80" s="5"/>
      <c r="M80" s="5"/>
      <c r="N80" s="5"/>
      <c r="O80" s="5"/>
      <c r="Q80" s="5"/>
      <c r="R80" s="5"/>
      <c r="S80" s="5"/>
      <c r="T80" s="5"/>
      <c r="U80" s="5"/>
      <c r="V80" s="5"/>
      <c r="W80" s="5"/>
      <c r="Y80" s="5"/>
      <c r="Z80" s="5"/>
      <c r="AA80" s="5"/>
      <c r="AB80" s="5"/>
      <c r="AC80" s="5"/>
      <c r="AD80" s="5"/>
      <c r="AE80" s="5"/>
      <c r="AG80" s="5"/>
      <c r="AH80" s="5"/>
      <c r="AI80" s="5"/>
      <c r="AJ80" s="5"/>
      <c r="AK80" s="5"/>
      <c r="AL80" s="5"/>
      <c r="AM80" s="5"/>
    </row>
    <row r="81" spans="1:40" x14ac:dyDescent="0.2">
      <c r="A81" s="4"/>
      <c r="B81" s="5"/>
      <c r="C81" s="5"/>
      <c r="D81" s="5"/>
      <c r="E81" s="5"/>
      <c r="F81" s="5"/>
      <c r="G81" s="5"/>
      <c r="J81" s="5"/>
      <c r="K81" s="5"/>
      <c r="L81" s="5"/>
      <c r="M81" s="5"/>
      <c r="N81" s="5"/>
      <c r="O81" s="5"/>
      <c r="Q81" s="5"/>
      <c r="R81" s="5"/>
      <c r="S81" s="5"/>
      <c r="T81" s="5"/>
      <c r="U81" s="5"/>
      <c r="V81" s="5"/>
      <c r="W81" s="5"/>
      <c r="Y81" s="5"/>
      <c r="Z81" s="5"/>
      <c r="AA81" s="5"/>
      <c r="AB81" s="5"/>
      <c r="AC81" s="5"/>
      <c r="AD81" s="5"/>
      <c r="AE81" s="5"/>
      <c r="AG81" s="5"/>
      <c r="AH81" s="5"/>
      <c r="AI81" s="5"/>
      <c r="AJ81" s="5"/>
      <c r="AK81" s="5"/>
      <c r="AL81" s="5"/>
      <c r="AM81" s="5"/>
    </row>
    <row r="82" spans="1:40" x14ac:dyDescent="0.2">
      <c r="A82" s="4"/>
      <c r="B82" s="5"/>
      <c r="C82" s="5"/>
      <c r="D82" s="5"/>
      <c r="E82" s="5"/>
      <c r="F82" s="5"/>
      <c r="G82" s="5"/>
      <c r="J82" s="5"/>
      <c r="K82" s="5"/>
      <c r="L82" s="5"/>
      <c r="M82" s="5"/>
      <c r="N82" s="5"/>
      <c r="O82" s="5"/>
      <c r="Q82" s="5"/>
      <c r="R82" s="5"/>
      <c r="S82" s="5"/>
      <c r="T82" s="5"/>
      <c r="U82" s="5"/>
      <c r="V82" s="5"/>
      <c r="W82" s="5"/>
      <c r="Y82" s="5"/>
      <c r="Z82" s="5"/>
      <c r="AA82" s="5"/>
      <c r="AB82" s="5"/>
      <c r="AC82" s="5"/>
      <c r="AD82" s="5"/>
      <c r="AE82" s="5"/>
      <c r="AG82" s="5"/>
      <c r="AH82" s="5"/>
      <c r="AI82" s="5"/>
      <c r="AJ82" s="5"/>
      <c r="AK82" s="5"/>
      <c r="AL82" s="5"/>
      <c r="AM82" s="5"/>
    </row>
    <row r="83" spans="1:40" x14ac:dyDescent="0.2">
      <c r="A83" s="4"/>
      <c r="B83" s="5"/>
      <c r="C83" s="5"/>
      <c r="D83" s="5"/>
      <c r="E83" s="5"/>
      <c r="F83" s="5"/>
      <c r="G83" s="5"/>
      <c r="J83" s="5"/>
      <c r="K83" s="5"/>
      <c r="L83" s="5"/>
      <c r="M83" s="5"/>
      <c r="N83" s="5"/>
      <c r="O83" s="5"/>
      <c r="Q83" s="5"/>
      <c r="R83" s="5"/>
      <c r="S83" s="5"/>
      <c r="T83" s="5"/>
      <c r="U83" s="5"/>
      <c r="V83" s="5"/>
      <c r="W83" s="5"/>
      <c r="Y83" s="5"/>
      <c r="Z83" s="5"/>
      <c r="AA83" s="5"/>
      <c r="AB83" s="5"/>
      <c r="AC83" s="5"/>
      <c r="AD83" s="5"/>
      <c r="AE83" s="5"/>
      <c r="AG83" s="5"/>
      <c r="AH83" s="5"/>
      <c r="AI83" s="5"/>
      <c r="AJ83" s="5"/>
      <c r="AK83" s="5"/>
      <c r="AL83" s="5"/>
      <c r="AM83" s="5"/>
    </row>
    <row r="84" spans="1:40" x14ac:dyDescent="0.2">
      <c r="A84" s="4"/>
      <c r="B84" s="5"/>
      <c r="C84" s="5"/>
      <c r="D84" s="5"/>
      <c r="E84" s="5"/>
      <c r="F84" s="5"/>
      <c r="G84" s="5"/>
      <c r="J84" s="5"/>
      <c r="K84" s="5"/>
      <c r="L84" s="5"/>
      <c r="M84" s="5"/>
      <c r="N84" s="5"/>
      <c r="O84" s="5"/>
      <c r="Q84" s="5"/>
      <c r="R84" s="5"/>
      <c r="S84" s="5"/>
      <c r="T84" s="5"/>
      <c r="U84" s="5"/>
      <c r="V84" s="5"/>
      <c r="W84" s="5"/>
      <c r="Y84" s="5"/>
      <c r="Z84" s="5"/>
      <c r="AA84" s="5"/>
      <c r="AB84" s="5"/>
      <c r="AC84" s="5"/>
      <c r="AD84" s="5"/>
      <c r="AE84" s="5"/>
      <c r="AG84" s="5"/>
      <c r="AH84" s="5"/>
      <c r="AI84" s="5"/>
      <c r="AJ84" s="5"/>
      <c r="AK84" s="5"/>
      <c r="AL84" s="5"/>
      <c r="AM84" s="5"/>
    </row>
    <row r="85" spans="1:40" x14ac:dyDescent="0.2">
      <c r="A85" s="4"/>
      <c r="B85" s="5"/>
      <c r="C85" s="5"/>
      <c r="D85" s="5"/>
      <c r="E85" s="5"/>
      <c r="F85" s="5"/>
      <c r="G85" s="5"/>
      <c r="J85" s="5"/>
      <c r="K85" s="5"/>
      <c r="L85" s="5"/>
      <c r="M85" s="5"/>
      <c r="N85" s="5"/>
      <c r="O85" s="5"/>
      <c r="Q85" s="5"/>
      <c r="R85" s="5"/>
      <c r="S85" s="5"/>
      <c r="T85" s="5"/>
      <c r="U85" s="5"/>
      <c r="V85" s="5"/>
      <c r="W85" s="5"/>
      <c r="Y85" s="5"/>
      <c r="Z85" s="5"/>
      <c r="AA85" s="5"/>
      <c r="AB85" s="5"/>
      <c r="AC85" s="5"/>
      <c r="AD85" s="5"/>
      <c r="AE85" s="5"/>
      <c r="AG85" s="5"/>
      <c r="AH85" s="5"/>
      <c r="AI85" s="5"/>
      <c r="AJ85" s="5"/>
      <c r="AK85" s="5"/>
      <c r="AL85" s="5"/>
      <c r="AM85" s="5"/>
    </row>
    <row r="86" spans="1:40" x14ac:dyDescent="0.2">
      <c r="A86" s="4"/>
      <c r="B86" s="5"/>
      <c r="C86" s="5"/>
      <c r="D86" s="5"/>
      <c r="E86" s="5"/>
      <c r="F86" s="5"/>
      <c r="G86" s="5"/>
      <c r="J86" s="5"/>
      <c r="K86" s="5"/>
      <c r="L86" s="5"/>
      <c r="M86" s="5"/>
      <c r="N86" s="5"/>
      <c r="O86" s="5"/>
      <c r="Q86" s="5"/>
      <c r="R86" s="5"/>
      <c r="S86" s="5"/>
      <c r="T86" s="5"/>
      <c r="U86" s="5"/>
      <c r="V86" s="5"/>
      <c r="W86" s="5"/>
      <c r="Y86" s="5"/>
      <c r="Z86" s="5"/>
      <c r="AA86" s="5"/>
      <c r="AB86" s="5"/>
      <c r="AC86" s="5"/>
      <c r="AD86" s="5"/>
      <c r="AE86" s="5"/>
      <c r="AG86" s="5"/>
      <c r="AH86" s="5"/>
      <c r="AI86" s="5"/>
      <c r="AJ86" s="5"/>
      <c r="AK86" s="5"/>
      <c r="AL86" s="5"/>
      <c r="AM86" s="5"/>
    </row>
    <row r="87" spans="1:40" x14ac:dyDescent="0.2">
      <c r="A87" s="4"/>
      <c r="B87" s="5"/>
      <c r="C87" s="5"/>
      <c r="D87" s="5"/>
      <c r="E87" s="5"/>
      <c r="F87" s="5"/>
      <c r="G87" s="5"/>
      <c r="J87" s="5"/>
      <c r="K87" s="5"/>
      <c r="L87" s="5"/>
      <c r="M87" s="5"/>
      <c r="N87" s="5"/>
      <c r="O87" s="5"/>
      <c r="Q87" s="5"/>
      <c r="R87" s="5"/>
      <c r="S87" s="5"/>
      <c r="T87" s="5"/>
      <c r="U87" s="5"/>
      <c r="V87" s="5"/>
      <c r="W87" s="5"/>
      <c r="Y87" s="5"/>
      <c r="Z87" s="5"/>
      <c r="AA87" s="5"/>
      <c r="AB87" s="5"/>
      <c r="AC87" s="5"/>
      <c r="AD87" s="5"/>
      <c r="AE87" s="5"/>
      <c r="AG87" s="5"/>
      <c r="AH87" s="5"/>
      <c r="AI87" s="5"/>
      <c r="AJ87" s="5"/>
      <c r="AK87" s="5"/>
      <c r="AL87" s="5"/>
      <c r="AM87" s="5"/>
    </row>
    <row r="88" spans="1:40" x14ac:dyDescent="0.2">
      <c r="A88" s="4"/>
      <c r="B88" s="5"/>
      <c r="C88" s="5"/>
      <c r="D88" s="5"/>
      <c r="E88" s="5"/>
      <c r="F88" s="5"/>
      <c r="G88" s="5"/>
      <c r="J88" s="5"/>
      <c r="K88" s="5"/>
      <c r="L88" s="5"/>
      <c r="M88" s="5"/>
      <c r="N88" s="5"/>
      <c r="O88" s="5"/>
      <c r="Q88" s="5"/>
      <c r="R88" s="5"/>
      <c r="S88" s="5"/>
      <c r="T88" s="5"/>
      <c r="U88" s="5"/>
      <c r="V88" s="5"/>
      <c r="W88" s="5"/>
      <c r="Y88" s="5"/>
      <c r="Z88" s="5"/>
      <c r="AA88" s="5"/>
      <c r="AB88" s="5"/>
      <c r="AC88" s="5"/>
      <c r="AD88" s="5"/>
      <c r="AE88" s="5"/>
      <c r="AG88" s="5"/>
      <c r="AH88" s="5"/>
      <c r="AI88" s="5"/>
      <c r="AJ88" s="5"/>
      <c r="AK88" s="5"/>
      <c r="AL88" s="5"/>
      <c r="AM88" s="5"/>
    </row>
    <row r="89" spans="1:40" x14ac:dyDescent="0.2">
      <c r="A89" s="4"/>
      <c r="B89" s="5"/>
      <c r="C89" s="5"/>
      <c r="D89" s="5"/>
      <c r="E89" s="5"/>
      <c r="F89" s="5"/>
      <c r="G89" s="5"/>
      <c r="J89" s="5"/>
      <c r="K89" s="5"/>
      <c r="L89" s="5"/>
      <c r="M89" s="5"/>
      <c r="N89" s="5"/>
      <c r="O89" s="5"/>
      <c r="Q89" s="5"/>
      <c r="R89" s="5"/>
      <c r="S89" s="5"/>
      <c r="T89" s="5"/>
      <c r="U89" s="5"/>
      <c r="V89" s="5"/>
      <c r="W89" s="5"/>
      <c r="Y89" s="5"/>
      <c r="Z89" s="5"/>
      <c r="AA89" s="5"/>
      <c r="AB89" s="5"/>
      <c r="AC89" s="5"/>
      <c r="AD89" s="5"/>
      <c r="AE89" s="5"/>
      <c r="AG89" s="5"/>
      <c r="AH89" s="5"/>
      <c r="AI89" s="5"/>
      <c r="AJ89" s="5"/>
      <c r="AK89" s="5"/>
      <c r="AL89" s="5"/>
      <c r="AM89" s="5"/>
    </row>
    <row r="90" spans="1:40" x14ac:dyDescent="0.2">
      <c r="A90" s="4"/>
      <c r="B90" s="5"/>
      <c r="C90" s="5"/>
      <c r="D90" s="5"/>
      <c r="E90" s="5"/>
      <c r="F90" s="5"/>
      <c r="G90" s="5"/>
      <c r="J90" s="5"/>
      <c r="K90" s="5"/>
      <c r="L90" s="5"/>
      <c r="M90" s="5"/>
      <c r="N90" s="5"/>
      <c r="O90" s="5"/>
      <c r="Q90" s="5"/>
      <c r="R90" s="5"/>
      <c r="S90" s="5"/>
      <c r="T90" s="5"/>
      <c r="U90" s="5"/>
      <c r="V90" s="5"/>
      <c r="W90" s="5"/>
      <c r="Y90" s="5"/>
      <c r="Z90" s="5"/>
      <c r="AA90" s="5"/>
      <c r="AB90" s="5"/>
      <c r="AC90" s="5"/>
      <c r="AD90" s="5"/>
      <c r="AE90" s="5"/>
      <c r="AG90" s="5"/>
      <c r="AH90" s="5"/>
      <c r="AI90" s="5"/>
      <c r="AJ90" s="5"/>
      <c r="AK90" s="5"/>
      <c r="AL90" s="5"/>
      <c r="AM90" s="5"/>
    </row>
    <row r="91" spans="1:40" x14ac:dyDescent="0.2">
      <c r="A91" s="4"/>
      <c r="B91" s="5"/>
      <c r="C91" s="5"/>
      <c r="D91" s="5"/>
      <c r="E91" s="5"/>
      <c r="F91" s="5"/>
      <c r="G91" s="5"/>
      <c r="J91" s="5"/>
      <c r="K91" s="5"/>
      <c r="L91" s="5"/>
      <c r="M91" s="5"/>
      <c r="N91" s="5"/>
      <c r="O91" s="5"/>
      <c r="Q91" s="5"/>
      <c r="R91" s="5"/>
      <c r="S91" s="5"/>
      <c r="T91" s="5"/>
      <c r="U91" s="5"/>
      <c r="V91" s="5"/>
      <c r="W91" s="5"/>
      <c r="Y91" s="5"/>
      <c r="Z91" s="5"/>
      <c r="AA91" s="5"/>
      <c r="AB91" s="5"/>
      <c r="AC91" s="5"/>
      <c r="AD91" s="5"/>
      <c r="AE91" s="5"/>
      <c r="AG91" s="5"/>
      <c r="AH91" s="5"/>
      <c r="AI91" s="5"/>
      <c r="AJ91" s="5"/>
      <c r="AK91" s="5"/>
      <c r="AL91" s="5"/>
      <c r="AM91" s="5"/>
    </row>
    <row r="92" spans="1:40" x14ac:dyDescent="0.2">
      <c r="A92" s="4"/>
      <c r="B92" s="5"/>
      <c r="C92" s="5"/>
      <c r="D92" s="5"/>
      <c r="E92" s="5"/>
      <c r="F92" s="5"/>
      <c r="G92" s="5"/>
      <c r="J92" s="5"/>
      <c r="K92" s="5"/>
      <c r="L92" s="5"/>
      <c r="M92" s="5"/>
      <c r="N92" s="5"/>
      <c r="O92" s="5"/>
      <c r="Q92" s="5"/>
      <c r="R92" s="5"/>
      <c r="S92" s="5"/>
      <c r="T92" s="5"/>
      <c r="U92" s="5"/>
      <c r="V92" s="5"/>
      <c r="W92" s="5"/>
      <c r="Y92" s="5"/>
      <c r="Z92" s="5"/>
      <c r="AA92" s="5"/>
      <c r="AB92" s="5"/>
      <c r="AC92" s="5"/>
      <c r="AD92" s="5"/>
      <c r="AE92" s="5"/>
      <c r="AG92" s="5"/>
      <c r="AH92" s="5"/>
      <c r="AI92" s="5"/>
      <c r="AJ92" s="5"/>
      <c r="AK92" s="5"/>
      <c r="AL92" s="5"/>
      <c r="AM92" s="5"/>
    </row>
    <row r="93" spans="1:40" x14ac:dyDescent="0.2">
      <c r="A93" s="4"/>
      <c r="B93" s="5"/>
      <c r="C93" s="5"/>
      <c r="D93" s="5"/>
      <c r="E93" s="5"/>
      <c r="F93" s="5"/>
      <c r="G93" s="5"/>
      <c r="J93" s="5"/>
      <c r="K93" s="5"/>
      <c r="L93" s="5"/>
      <c r="M93" s="5"/>
      <c r="N93" s="5"/>
      <c r="O93" s="5"/>
      <c r="Q93" s="5"/>
      <c r="R93" s="5"/>
      <c r="S93" s="5"/>
      <c r="T93" s="5"/>
      <c r="U93" s="5"/>
      <c r="V93" s="5"/>
      <c r="W93" s="5"/>
      <c r="Y93" s="5"/>
      <c r="Z93" s="5"/>
      <c r="AA93" s="5"/>
      <c r="AB93" s="5"/>
      <c r="AC93" s="5"/>
      <c r="AD93" s="5"/>
      <c r="AE93" s="5"/>
      <c r="AG93" s="5"/>
      <c r="AH93" s="5"/>
      <c r="AI93" s="5"/>
      <c r="AJ93" s="5"/>
      <c r="AK93" s="5"/>
      <c r="AL93" s="5"/>
      <c r="AM93" s="5"/>
    </row>
    <row r="94" spans="1:40" x14ac:dyDescent="0.2">
      <c r="A94" s="4"/>
      <c r="B94" s="5"/>
      <c r="C94" s="5"/>
      <c r="D94" s="5"/>
      <c r="E94" s="5"/>
      <c r="F94" s="5"/>
      <c r="G94" s="5"/>
      <c r="J94" s="5"/>
      <c r="K94" s="5"/>
      <c r="L94" s="5"/>
      <c r="M94" s="5"/>
      <c r="N94" s="5"/>
      <c r="O94" s="5"/>
      <c r="Q94" s="5"/>
      <c r="R94" s="5"/>
      <c r="S94" s="5"/>
      <c r="T94" s="5"/>
      <c r="U94" s="5"/>
      <c r="V94" s="5"/>
      <c r="W94" s="5"/>
      <c r="Y94" s="5"/>
      <c r="Z94" s="5"/>
      <c r="AA94" s="5"/>
      <c r="AB94" s="5"/>
      <c r="AC94" s="5"/>
      <c r="AD94" s="5"/>
      <c r="AE94" s="5"/>
      <c r="AG94" s="5"/>
      <c r="AH94" s="5"/>
      <c r="AI94" s="5"/>
      <c r="AJ94" s="5"/>
      <c r="AK94" s="5"/>
      <c r="AL94" s="5"/>
      <c r="AM94" s="5"/>
    </row>
    <row r="95" spans="1:40" s="6" customFormat="1" ht="13.5" thickBot="1" x14ac:dyDescent="0.25">
      <c r="A95" s="8"/>
      <c r="H95" s="7"/>
      <c r="I95" s="8"/>
      <c r="P95" s="7"/>
      <c r="X95" s="7"/>
      <c r="AF95" s="7"/>
      <c r="AN95" s="7"/>
    </row>
    <row r="96" spans="1:40" s="10" customFormat="1" x14ac:dyDescent="0.2">
      <c r="A96" s="9"/>
      <c r="H96" s="11"/>
      <c r="I96" s="9"/>
      <c r="P96" s="11"/>
      <c r="X96" s="11"/>
      <c r="AF96" s="11"/>
      <c r="AN96" s="11"/>
    </row>
    <row r="97" spans="1:39" ht="13.5" thickBot="1" x14ac:dyDescent="0.25">
      <c r="A97" s="4"/>
      <c r="B97" s="5"/>
      <c r="C97" s="5"/>
      <c r="D97" s="1" t="str">
        <f>'Point Estimates'!A30</f>
        <v>Pi - Norte Piauiense</v>
      </c>
      <c r="E97" s="1" t="str">
        <f>'Point Estimates'!$D$5</f>
        <v>adm</v>
      </c>
      <c r="F97" s="5"/>
      <c r="G97" s="5"/>
      <c r="J97" s="5"/>
      <c r="K97" s="5"/>
      <c r="L97" s="1" t="str">
        <f>'Point Estimates'!A31</f>
        <v>Pi - Centro-Norte Piaui</v>
      </c>
      <c r="M97" s="1" t="str">
        <f>'Point Estimates'!$D$5</f>
        <v>adm</v>
      </c>
      <c r="N97" s="5"/>
      <c r="O97" s="5"/>
      <c r="Q97" s="5"/>
      <c r="R97" s="5"/>
      <c r="S97" s="5"/>
      <c r="T97" s="1" t="str">
        <f>'Point Estimates'!A32</f>
        <v>Pi - Sudoeste Piauiense</v>
      </c>
      <c r="U97" s="1" t="str">
        <f>'Point Estimates'!$D$5</f>
        <v>adm</v>
      </c>
      <c r="V97" s="5"/>
      <c r="W97" s="5"/>
      <c r="Y97" s="5"/>
      <c r="Z97" s="5"/>
      <c r="AA97" s="5"/>
      <c r="AB97" s="1" t="str">
        <f>'Point Estimates'!A33</f>
        <v>Pi - Sudeste Piauiense</v>
      </c>
      <c r="AC97" s="1" t="str">
        <f>'Point Estimates'!$D$5</f>
        <v>adm</v>
      </c>
      <c r="AD97" s="5"/>
      <c r="AE97" s="5"/>
      <c r="AG97" s="5"/>
      <c r="AH97" s="5"/>
      <c r="AI97" s="5"/>
      <c r="AJ97" s="1" t="str">
        <f>'Point Estimates'!A34</f>
        <v>Ce - Noroeste Cearense</v>
      </c>
      <c r="AK97" s="1" t="str">
        <f>'Point Estimates'!$D$5</f>
        <v>adm</v>
      </c>
      <c r="AL97" s="5"/>
      <c r="AM97" s="5"/>
    </row>
    <row r="98" spans="1:39" x14ac:dyDescent="0.2">
      <c r="A98" s="4"/>
      <c r="B98" s="5"/>
      <c r="C98" s="5"/>
      <c r="D98" s="5"/>
      <c r="E98" s="5"/>
      <c r="F98" s="5"/>
      <c r="G98" s="5"/>
      <c r="J98" s="5"/>
      <c r="K98" s="5"/>
      <c r="L98" s="5"/>
      <c r="M98" s="5"/>
      <c r="N98" s="5"/>
      <c r="O98" s="5"/>
      <c r="Q98" s="5"/>
      <c r="R98" s="5"/>
      <c r="S98" s="5"/>
      <c r="T98" s="5"/>
      <c r="U98" s="5"/>
      <c r="V98" s="5"/>
      <c r="W98" s="5"/>
      <c r="Y98" s="5"/>
      <c r="Z98" s="5"/>
      <c r="AA98" s="5"/>
      <c r="AB98" s="5"/>
      <c r="AC98" s="5"/>
      <c r="AD98" s="5"/>
      <c r="AE98" s="5"/>
      <c r="AG98" s="5"/>
      <c r="AH98" s="5"/>
      <c r="AI98" s="5"/>
      <c r="AJ98" s="5"/>
      <c r="AK98" s="5"/>
      <c r="AL98" s="5"/>
      <c r="AM98" s="5"/>
    </row>
    <row r="99" spans="1:39" x14ac:dyDescent="0.2">
      <c r="A99" s="4"/>
      <c r="B99" s="5"/>
      <c r="C99" s="5"/>
      <c r="D99" s="5"/>
      <c r="E99" s="5"/>
      <c r="F99" s="5"/>
      <c r="G99" s="5"/>
      <c r="J99" s="5"/>
      <c r="K99" s="5"/>
      <c r="L99" s="5"/>
      <c r="M99" s="5"/>
      <c r="N99" s="5"/>
      <c r="O99" s="5"/>
      <c r="Q99" s="5"/>
      <c r="R99" s="5"/>
      <c r="S99" s="5"/>
      <c r="T99" s="5"/>
      <c r="U99" s="5"/>
      <c r="V99" s="5"/>
      <c r="W99" s="5"/>
      <c r="Y99" s="5"/>
      <c r="Z99" s="5"/>
      <c r="AA99" s="5"/>
      <c r="AB99" s="5"/>
      <c r="AC99" s="5"/>
      <c r="AD99" s="5"/>
      <c r="AE99" s="5"/>
      <c r="AG99" s="5"/>
      <c r="AH99" s="5"/>
      <c r="AI99" s="5"/>
      <c r="AJ99" s="5"/>
      <c r="AK99" s="5"/>
      <c r="AL99" s="5"/>
      <c r="AM99" s="5"/>
    </row>
    <row r="100" spans="1:39" x14ac:dyDescent="0.2">
      <c r="A100" s="4"/>
      <c r="B100" s="5"/>
      <c r="C100" s="5"/>
      <c r="D100" s="5"/>
      <c r="E100" s="5"/>
      <c r="F100" s="5"/>
      <c r="G100" s="5"/>
      <c r="J100" s="5"/>
      <c r="K100" s="5"/>
      <c r="L100" s="5"/>
      <c r="M100" s="5"/>
      <c r="N100" s="5"/>
      <c r="O100" s="5"/>
      <c r="Q100" s="5"/>
      <c r="R100" s="5"/>
      <c r="S100" s="5"/>
      <c r="T100" s="5"/>
      <c r="U100" s="5"/>
      <c r="V100" s="5"/>
      <c r="W100" s="5"/>
      <c r="Y100" s="5"/>
      <c r="Z100" s="5"/>
      <c r="AA100" s="5"/>
      <c r="AB100" s="5"/>
      <c r="AC100" s="5"/>
      <c r="AD100" s="5"/>
      <c r="AE100" s="5"/>
      <c r="AG100" s="5"/>
      <c r="AH100" s="5"/>
      <c r="AI100" s="5"/>
      <c r="AJ100" s="5"/>
      <c r="AK100" s="5"/>
      <c r="AL100" s="5"/>
      <c r="AM100" s="5"/>
    </row>
    <row r="101" spans="1:39" x14ac:dyDescent="0.2">
      <c r="A101" s="4"/>
      <c r="B101" s="5"/>
      <c r="C101" s="5"/>
      <c r="D101" s="5"/>
      <c r="E101" s="5"/>
      <c r="F101" s="5"/>
      <c r="G101" s="5"/>
      <c r="J101" s="5"/>
      <c r="K101" s="5"/>
      <c r="L101" s="5"/>
      <c r="M101" s="5"/>
      <c r="N101" s="5"/>
      <c r="O101" s="5"/>
      <c r="Q101" s="5"/>
      <c r="R101" s="5"/>
      <c r="S101" s="5"/>
      <c r="T101" s="5"/>
      <c r="U101" s="5"/>
      <c r="V101" s="5"/>
      <c r="W101" s="5"/>
      <c r="Y101" s="5"/>
      <c r="Z101" s="5"/>
      <c r="AA101" s="5"/>
      <c r="AB101" s="5"/>
      <c r="AC101" s="5"/>
      <c r="AD101" s="5"/>
      <c r="AE101" s="5"/>
      <c r="AG101" s="5"/>
      <c r="AH101" s="5"/>
      <c r="AI101" s="5"/>
      <c r="AJ101" s="5"/>
      <c r="AK101" s="5"/>
      <c r="AL101" s="5"/>
      <c r="AM101" s="5"/>
    </row>
    <row r="102" spans="1:39" x14ac:dyDescent="0.2">
      <c r="A102" s="4"/>
      <c r="B102" s="5"/>
      <c r="C102" s="5"/>
      <c r="D102" s="5"/>
      <c r="E102" s="5"/>
      <c r="F102" s="5"/>
      <c r="G102" s="5"/>
      <c r="J102" s="5"/>
      <c r="K102" s="5"/>
      <c r="L102" s="5"/>
      <c r="M102" s="5"/>
      <c r="N102" s="5"/>
      <c r="O102" s="5"/>
      <c r="Q102" s="5"/>
      <c r="R102" s="5"/>
      <c r="S102" s="5"/>
      <c r="T102" s="5"/>
      <c r="U102" s="5"/>
      <c r="V102" s="5"/>
      <c r="W102" s="5"/>
      <c r="Y102" s="5"/>
      <c r="Z102" s="5"/>
      <c r="AA102" s="5"/>
      <c r="AB102" s="5"/>
      <c r="AC102" s="5"/>
      <c r="AD102" s="5"/>
      <c r="AE102" s="5"/>
      <c r="AG102" s="5"/>
      <c r="AH102" s="5"/>
      <c r="AI102" s="5"/>
      <c r="AJ102" s="5"/>
      <c r="AK102" s="5"/>
      <c r="AL102" s="5"/>
      <c r="AM102" s="5"/>
    </row>
    <row r="103" spans="1:39" x14ac:dyDescent="0.2">
      <c r="A103" s="4"/>
      <c r="B103" s="5"/>
      <c r="C103" s="5"/>
      <c r="D103" s="5"/>
      <c r="E103" s="5"/>
      <c r="F103" s="5"/>
      <c r="G103" s="5"/>
      <c r="J103" s="5"/>
      <c r="K103" s="5"/>
      <c r="L103" s="5"/>
      <c r="M103" s="5"/>
      <c r="N103" s="5"/>
      <c r="O103" s="5"/>
      <c r="Q103" s="5"/>
      <c r="R103" s="5"/>
      <c r="S103" s="5"/>
      <c r="T103" s="5"/>
      <c r="U103" s="5"/>
      <c r="V103" s="5"/>
      <c r="W103" s="5"/>
      <c r="Y103" s="5"/>
      <c r="Z103" s="5"/>
      <c r="AA103" s="5"/>
      <c r="AB103" s="5"/>
      <c r="AC103" s="5"/>
      <c r="AD103" s="5"/>
      <c r="AE103" s="5"/>
      <c r="AG103" s="5"/>
      <c r="AH103" s="5"/>
      <c r="AI103" s="5"/>
      <c r="AJ103" s="5"/>
      <c r="AK103" s="5"/>
      <c r="AL103" s="5"/>
      <c r="AM103" s="5"/>
    </row>
    <row r="104" spans="1:39" x14ac:dyDescent="0.2">
      <c r="A104" s="4"/>
      <c r="B104" s="5"/>
      <c r="C104" s="5"/>
      <c r="D104" s="5"/>
      <c r="E104" s="5"/>
      <c r="F104" s="5"/>
      <c r="G104" s="5"/>
      <c r="J104" s="5"/>
      <c r="K104" s="5"/>
      <c r="L104" s="5"/>
      <c r="M104" s="5"/>
      <c r="N104" s="5"/>
      <c r="O104" s="5"/>
      <c r="Q104" s="5"/>
      <c r="R104" s="5"/>
      <c r="S104" s="5"/>
      <c r="T104" s="5"/>
      <c r="U104" s="5"/>
      <c r="V104" s="5"/>
      <c r="W104" s="5"/>
      <c r="Y104" s="5"/>
      <c r="Z104" s="5"/>
      <c r="AA104" s="5"/>
      <c r="AB104" s="5"/>
      <c r="AC104" s="5"/>
      <c r="AD104" s="5"/>
      <c r="AE104" s="5"/>
      <c r="AG104" s="5"/>
      <c r="AH104" s="5"/>
      <c r="AI104" s="5"/>
      <c r="AJ104" s="5"/>
      <c r="AK104" s="5"/>
      <c r="AL104" s="5"/>
      <c r="AM104" s="5"/>
    </row>
    <row r="105" spans="1:39" x14ac:dyDescent="0.2">
      <c r="A105" s="4"/>
      <c r="B105" s="5"/>
      <c r="C105" s="5"/>
      <c r="D105" s="5"/>
      <c r="E105" s="5"/>
      <c r="F105" s="5"/>
      <c r="G105" s="5"/>
      <c r="J105" s="5"/>
      <c r="K105" s="5"/>
      <c r="L105" s="5"/>
      <c r="M105" s="5"/>
      <c r="N105" s="5"/>
      <c r="O105" s="5"/>
      <c r="Q105" s="5"/>
      <c r="R105" s="5"/>
      <c r="S105" s="5"/>
      <c r="T105" s="5"/>
      <c r="U105" s="5"/>
      <c r="V105" s="5"/>
      <c r="W105" s="5"/>
      <c r="Y105" s="5"/>
      <c r="Z105" s="5"/>
      <c r="AA105" s="5"/>
      <c r="AB105" s="5"/>
      <c r="AC105" s="5"/>
      <c r="AD105" s="5"/>
      <c r="AE105" s="5"/>
      <c r="AG105" s="5"/>
      <c r="AH105" s="5"/>
      <c r="AI105" s="5"/>
      <c r="AJ105" s="5"/>
      <c r="AK105" s="5"/>
      <c r="AL105" s="5"/>
      <c r="AM105" s="5"/>
    </row>
    <row r="106" spans="1:39" x14ac:dyDescent="0.2">
      <c r="A106" s="4"/>
      <c r="B106" s="5"/>
      <c r="C106" s="5"/>
      <c r="D106" s="5"/>
      <c r="E106" s="5"/>
      <c r="F106" s="5"/>
      <c r="G106" s="5"/>
      <c r="J106" s="5"/>
      <c r="K106" s="5"/>
      <c r="L106" s="5"/>
      <c r="M106" s="5"/>
      <c r="N106" s="5"/>
      <c r="O106" s="5"/>
      <c r="Q106" s="5"/>
      <c r="R106" s="5"/>
      <c r="S106" s="5"/>
      <c r="T106" s="5"/>
      <c r="U106" s="5"/>
      <c r="V106" s="5"/>
      <c r="W106" s="5"/>
      <c r="Y106" s="5"/>
      <c r="Z106" s="5"/>
      <c r="AA106" s="5"/>
      <c r="AB106" s="5"/>
      <c r="AC106" s="5"/>
      <c r="AD106" s="5"/>
      <c r="AE106" s="5"/>
      <c r="AG106" s="5"/>
      <c r="AH106" s="5"/>
      <c r="AI106" s="5"/>
      <c r="AJ106" s="5"/>
      <c r="AK106" s="5"/>
      <c r="AL106" s="5"/>
      <c r="AM106" s="5"/>
    </row>
    <row r="107" spans="1:39" x14ac:dyDescent="0.2">
      <c r="A107" s="4"/>
      <c r="B107" s="5"/>
      <c r="C107" s="5"/>
      <c r="D107" s="5"/>
      <c r="E107" s="5"/>
      <c r="F107" s="5"/>
      <c r="G107" s="5"/>
      <c r="J107" s="5"/>
      <c r="K107" s="5"/>
      <c r="L107" s="5"/>
      <c r="M107" s="5"/>
      <c r="N107" s="5"/>
      <c r="O107" s="5"/>
      <c r="Q107" s="5"/>
      <c r="R107" s="5"/>
      <c r="S107" s="5"/>
      <c r="T107" s="5"/>
      <c r="U107" s="5"/>
      <c r="V107" s="5"/>
      <c r="W107" s="5"/>
      <c r="Y107" s="5"/>
      <c r="Z107" s="5"/>
      <c r="AA107" s="5"/>
      <c r="AB107" s="5"/>
      <c r="AC107" s="5"/>
      <c r="AD107" s="5"/>
      <c r="AE107" s="5"/>
      <c r="AG107" s="5"/>
      <c r="AH107" s="5"/>
      <c r="AI107" s="5"/>
      <c r="AJ107" s="5"/>
      <c r="AK107" s="5"/>
      <c r="AL107" s="5"/>
      <c r="AM107" s="5"/>
    </row>
    <row r="108" spans="1:39" x14ac:dyDescent="0.2">
      <c r="A108" s="4"/>
      <c r="B108" s="5"/>
      <c r="C108" s="5"/>
      <c r="D108" s="5"/>
      <c r="E108" s="5"/>
      <c r="F108" s="5"/>
      <c r="G108" s="5"/>
      <c r="J108" s="5"/>
      <c r="K108" s="5"/>
      <c r="L108" s="5"/>
      <c r="M108" s="5"/>
      <c r="N108" s="5"/>
      <c r="O108" s="5"/>
      <c r="Q108" s="5"/>
      <c r="R108" s="5"/>
      <c r="S108" s="5"/>
      <c r="T108" s="5"/>
      <c r="U108" s="5"/>
      <c r="V108" s="5"/>
      <c r="W108" s="5"/>
      <c r="Y108" s="5"/>
      <c r="Z108" s="5"/>
      <c r="AA108" s="5"/>
      <c r="AB108" s="5"/>
      <c r="AC108" s="5"/>
      <c r="AD108" s="5"/>
      <c r="AE108" s="5"/>
      <c r="AG108" s="5"/>
      <c r="AH108" s="5"/>
      <c r="AI108" s="5"/>
      <c r="AJ108" s="5"/>
      <c r="AK108" s="5"/>
      <c r="AL108" s="5"/>
      <c r="AM108" s="5"/>
    </row>
    <row r="109" spans="1:39" x14ac:dyDescent="0.2">
      <c r="A109" s="4"/>
      <c r="B109" s="5"/>
      <c r="C109" s="5"/>
      <c r="D109" s="5"/>
      <c r="E109" s="5"/>
      <c r="F109" s="5"/>
      <c r="G109" s="5"/>
      <c r="J109" s="5"/>
      <c r="K109" s="5"/>
      <c r="L109" s="5"/>
      <c r="M109" s="5"/>
      <c r="N109" s="5"/>
      <c r="O109" s="5"/>
      <c r="Q109" s="5"/>
      <c r="R109" s="5"/>
      <c r="S109" s="5"/>
      <c r="T109" s="5"/>
      <c r="U109" s="5"/>
      <c r="V109" s="5"/>
      <c r="W109" s="5"/>
      <c r="Y109" s="5"/>
      <c r="Z109" s="5"/>
      <c r="AA109" s="5"/>
      <c r="AB109" s="5"/>
      <c r="AC109" s="5"/>
      <c r="AD109" s="5"/>
      <c r="AE109" s="5"/>
      <c r="AG109" s="5"/>
      <c r="AH109" s="5"/>
      <c r="AI109" s="5"/>
      <c r="AJ109" s="5"/>
      <c r="AK109" s="5"/>
      <c r="AL109" s="5"/>
      <c r="AM109" s="5"/>
    </row>
    <row r="110" spans="1:39" x14ac:dyDescent="0.2">
      <c r="A110" s="4"/>
      <c r="B110" s="5"/>
      <c r="C110" s="5"/>
      <c r="D110" s="5"/>
      <c r="E110" s="5"/>
      <c r="F110" s="5"/>
      <c r="G110" s="5"/>
      <c r="J110" s="5"/>
      <c r="K110" s="5"/>
      <c r="L110" s="5"/>
      <c r="M110" s="5"/>
      <c r="N110" s="5"/>
      <c r="O110" s="5"/>
      <c r="Q110" s="5"/>
      <c r="R110" s="5"/>
      <c r="S110" s="5"/>
      <c r="T110" s="5"/>
      <c r="U110" s="5"/>
      <c r="V110" s="5"/>
      <c r="W110" s="5"/>
      <c r="Y110" s="5"/>
      <c r="Z110" s="5"/>
      <c r="AA110" s="5"/>
      <c r="AB110" s="5"/>
      <c r="AC110" s="5"/>
      <c r="AD110" s="5"/>
      <c r="AE110" s="5"/>
      <c r="AG110" s="5"/>
      <c r="AH110" s="5"/>
      <c r="AI110" s="5"/>
      <c r="AJ110" s="5"/>
      <c r="AK110" s="5"/>
      <c r="AL110" s="5"/>
      <c r="AM110" s="5"/>
    </row>
    <row r="111" spans="1:39" x14ac:dyDescent="0.2">
      <c r="A111" s="4"/>
      <c r="B111" s="5"/>
      <c r="C111" s="5"/>
      <c r="D111" s="5"/>
      <c r="E111" s="5"/>
      <c r="F111" s="5"/>
      <c r="G111" s="5"/>
      <c r="J111" s="5"/>
      <c r="K111" s="5"/>
      <c r="L111" s="5"/>
      <c r="M111" s="5"/>
      <c r="N111" s="5"/>
      <c r="O111" s="5"/>
      <c r="Q111" s="5"/>
      <c r="R111" s="5"/>
      <c r="S111" s="5"/>
      <c r="T111" s="5"/>
      <c r="U111" s="5"/>
      <c r="V111" s="5"/>
      <c r="W111" s="5"/>
      <c r="Y111" s="5"/>
      <c r="Z111" s="5"/>
      <c r="AA111" s="5"/>
      <c r="AB111" s="5"/>
      <c r="AC111" s="5"/>
      <c r="AD111" s="5"/>
      <c r="AE111" s="5"/>
      <c r="AG111" s="5"/>
      <c r="AH111" s="5"/>
      <c r="AI111" s="5"/>
      <c r="AJ111" s="5"/>
      <c r="AK111" s="5"/>
      <c r="AL111" s="5"/>
      <c r="AM111" s="5"/>
    </row>
    <row r="112" spans="1:39" x14ac:dyDescent="0.2">
      <c r="A112" s="4"/>
      <c r="B112" s="5"/>
      <c r="C112" s="5"/>
      <c r="D112" s="5"/>
      <c r="E112" s="5"/>
      <c r="F112" s="5"/>
      <c r="G112" s="5"/>
      <c r="J112" s="5"/>
      <c r="K112" s="5"/>
      <c r="L112" s="5"/>
      <c r="M112" s="5"/>
      <c r="N112" s="5"/>
      <c r="O112" s="5"/>
      <c r="Q112" s="5"/>
      <c r="R112" s="5"/>
      <c r="S112" s="5"/>
      <c r="T112" s="5"/>
      <c r="U112" s="5"/>
      <c r="V112" s="5"/>
      <c r="W112" s="5"/>
      <c r="Y112" s="5"/>
      <c r="Z112" s="5"/>
      <c r="AA112" s="5"/>
      <c r="AB112" s="5"/>
      <c r="AC112" s="5"/>
      <c r="AD112" s="5"/>
      <c r="AE112" s="5"/>
      <c r="AG112" s="5"/>
      <c r="AH112" s="5"/>
      <c r="AI112" s="5"/>
      <c r="AJ112" s="5"/>
      <c r="AK112" s="5"/>
      <c r="AL112" s="5"/>
      <c r="AM112" s="5"/>
    </row>
    <row r="113" spans="1:40" x14ac:dyDescent="0.2">
      <c r="A113" s="4"/>
      <c r="B113" s="5"/>
      <c r="C113" s="5"/>
      <c r="D113" s="5"/>
      <c r="E113" s="5"/>
      <c r="F113" s="5"/>
      <c r="G113" s="5"/>
      <c r="J113" s="5"/>
      <c r="K113" s="5"/>
      <c r="L113" s="5"/>
      <c r="M113" s="5"/>
      <c r="N113" s="5"/>
      <c r="O113" s="5"/>
      <c r="Q113" s="5"/>
      <c r="R113" s="5"/>
      <c r="S113" s="5"/>
      <c r="T113" s="5"/>
      <c r="U113" s="5"/>
      <c r="V113" s="5"/>
      <c r="W113" s="5"/>
      <c r="Y113" s="5"/>
      <c r="Z113" s="5"/>
      <c r="AA113" s="5"/>
      <c r="AB113" s="5"/>
      <c r="AC113" s="5"/>
      <c r="AD113" s="5"/>
      <c r="AE113" s="5"/>
      <c r="AG113" s="5"/>
      <c r="AH113" s="5"/>
      <c r="AI113" s="5"/>
      <c r="AJ113" s="5"/>
      <c r="AK113" s="5"/>
      <c r="AL113" s="5"/>
      <c r="AM113" s="5"/>
    </row>
    <row r="114" spans="1:40" s="6" customFormat="1" ht="13.5" thickBot="1" x14ac:dyDescent="0.25">
      <c r="A114" s="8"/>
      <c r="H114" s="7"/>
      <c r="I114" s="8"/>
      <c r="P114" s="7"/>
      <c r="X114" s="7"/>
      <c r="AF114" s="7"/>
      <c r="AN114" s="7"/>
    </row>
    <row r="115" spans="1:40" s="10" customFormat="1" x14ac:dyDescent="0.2">
      <c r="A115" s="9"/>
      <c r="H115" s="11"/>
      <c r="I115" s="9"/>
      <c r="P115" s="11"/>
      <c r="X115" s="11"/>
      <c r="AF115" s="11"/>
      <c r="AN115" s="11"/>
    </row>
    <row r="116" spans="1:40" ht="13.5" thickBot="1" x14ac:dyDescent="0.25">
      <c r="A116" s="4"/>
      <c r="B116" s="5"/>
      <c r="C116" s="5"/>
      <c r="D116" s="1" t="str">
        <f>'Point Estimates'!A35</f>
        <v>Ce - Norte Cearense</v>
      </c>
      <c r="E116" s="1" t="str">
        <f>'Point Estimates'!$D$5</f>
        <v>adm</v>
      </c>
      <c r="F116" s="5"/>
      <c r="G116" s="5"/>
      <c r="J116" s="5"/>
      <c r="K116" s="5"/>
      <c r="L116" s="1" t="str">
        <f>'Point Estimates'!A36</f>
        <v>Ce - Metropol Fortaleza</v>
      </c>
      <c r="M116" s="1" t="str">
        <f>'Point Estimates'!$D$5</f>
        <v>adm</v>
      </c>
      <c r="N116" s="5"/>
      <c r="O116" s="5"/>
      <c r="Q116" s="5"/>
      <c r="R116" s="5"/>
      <c r="S116" s="5"/>
      <c r="T116" s="1" t="str">
        <f>'Point Estimates'!A37</f>
        <v>Ce - Sertoes Cearenses</v>
      </c>
      <c r="U116" s="1" t="str">
        <f>'Point Estimates'!$D$5</f>
        <v>adm</v>
      </c>
      <c r="V116" s="5"/>
      <c r="W116" s="5"/>
      <c r="Y116" s="5"/>
      <c r="Z116" s="5"/>
      <c r="AA116" s="5"/>
      <c r="AB116" s="1" t="str">
        <f>'Point Estimates'!A38</f>
        <v>Ce - Jaguaribe</v>
      </c>
      <c r="AC116" s="1" t="str">
        <f>'Point Estimates'!$D$5</f>
        <v>adm</v>
      </c>
      <c r="AD116" s="5"/>
      <c r="AE116" s="5"/>
      <c r="AG116" s="5"/>
      <c r="AH116" s="5"/>
      <c r="AI116" s="5"/>
      <c r="AJ116" s="1" t="str">
        <f>'Point Estimates'!A39</f>
        <v>Ce - Centro-Sul Cearense</v>
      </c>
      <c r="AK116" s="1" t="str">
        <f>'Point Estimates'!$D$5</f>
        <v>adm</v>
      </c>
      <c r="AL116" s="5"/>
      <c r="AM116" s="5"/>
    </row>
    <row r="117" spans="1:40" x14ac:dyDescent="0.2">
      <c r="A117" s="4"/>
      <c r="B117" s="5"/>
      <c r="C117" s="5"/>
      <c r="D117" s="5"/>
      <c r="E117" s="5"/>
      <c r="F117" s="5"/>
      <c r="G117" s="5"/>
      <c r="J117" s="5"/>
      <c r="K117" s="5"/>
      <c r="L117" s="5"/>
      <c r="M117" s="5"/>
      <c r="N117" s="5"/>
      <c r="O117" s="5"/>
      <c r="Q117" s="5"/>
      <c r="R117" s="5"/>
      <c r="S117" s="5"/>
      <c r="T117" s="5"/>
      <c r="U117" s="5"/>
      <c r="V117" s="5"/>
      <c r="W117" s="5"/>
      <c r="Y117" s="5"/>
      <c r="Z117" s="5"/>
      <c r="AA117" s="5"/>
      <c r="AB117" s="5"/>
      <c r="AC117" s="5"/>
      <c r="AD117" s="5"/>
      <c r="AE117" s="5"/>
      <c r="AG117" s="5"/>
      <c r="AH117" s="5"/>
      <c r="AI117" s="5"/>
      <c r="AJ117" s="5"/>
      <c r="AK117" s="5"/>
      <c r="AL117" s="5"/>
      <c r="AM117" s="5"/>
    </row>
    <row r="118" spans="1:40" x14ac:dyDescent="0.2">
      <c r="A118" s="4"/>
      <c r="B118" s="5"/>
      <c r="C118" s="5"/>
      <c r="D118" s="5"/>
      <c r="E118" s="5"/>
      <c r="F118" s="5"/>
      <c r="G118" s="5"/>
      <c r="J118" s="5"/>
      <c r="K118" s="5"/>
      <c r="L118" s="5"/>
      <c r="M118" s="5"/>
      <c r="N118" s="5"/>
      <c r="O118" s="5"/>
      <c r="Q118" s="5"/>
      <c r="R118" s="5"/>
      <c r="S118" s="5"/>
      <c r="T118" s="5"/>
      <c r="U118" s="5"/>
      <c r="V118" s="5"/>
      <c r="W118" s="5"/>
      <c r="Y118" s="5"/>
      <c r="Z118" s="5"/>
      <c r="AA118" s="5"/>
      <c r="AB118" s="5"/>
      <c r="AC118" s="5"/>
      <c r="AD118" s="5"/>
      <c r="AE118" s="5"/>
      <c r="AG118" s="5"/>
      <c r="AH118" s="5"/>
      <c r="AI118" s="5"/>
      <c r="AJ118" s="5"/>
      <c r="AK118" s="5"/>
      <c r="AL118" s="5"/>
      <c r="AM118" s="5"/>
    </row>
    <row r="119" spans="1:40" x14ac:dyDescent="0.2">
      <c r="A119" s="4"/>
      <c r="B119" s="5"/>
      <c r="C119" s="5"/>
      <c r="D119" s="5"/>
      <c r="E119" s="5"/>
      <c r="F119" s="5"/>
      <c r="G119" s="5"/>
      <c r="J119" s="5"/>
      <c r="K119" s="5"/>
      <c r="L119" s="5"/>
      <c r="M119" s="5"/>
      <c r="N119" s="5"/>
      <c r="O119" s="5"/>
      <c r="Q119" s="5"/>
      <c r="R119" s="5"/>
      <c r="S119" s="5"/>
      <c r="T119" s="5"/>
      <c r="U119" s="5"/>
      <c r="V119" s="5"/>
      <c r="W119" s="5"/>
      <c r="Y119" s="5"/>
      <c r="Z119" s="5"/>
      <c r="AA119" s="5"/>
      <c r="AB119" s="5"/>
      <c r="AC119" s="5"/>
      <c r="AD119" s="5"/>
      <c r="AE119" s="5"/>
      <c r="AG119" s="5"/>
      <c r="AH119" s="5"/>
      <c r="AI119" s="5"/>
      <c r="AJ119" s="5"/>
      <c r="AK119" s="5"/>
      <c r="AL119" s="5"/>
      <c r="AM119" s="5"/>
    </row>
    <row r="120" spans="1:40" x14ac:dyDescent="0.2">
      <c r="A120" s="4"/>
      <c r="B120" s="5"/>
      <c r="C120" s="5"/>
      <c r="D120" s="5"/>
      <c r="E120" s="5"/>
      <c r="F120" s="5"/>
      <c r="G120" s="5"/>
      <c r="J120" s="5"/>
      <c r="K120" s="5"/>
      <c r="L120" s="5"/>
      <c r="M120" s="5"/>
      <c r="N120" s="5"/>
      <c r="O120" s="5"/>
      <c r="Q120" s="5"/>
      <c r="R120" s="5"/>
      <c r="S120" s="5"/>
      <c r="T120" s="5"/>
      <c r="U120" s="5"/>
      <c r="V120" s="5"/>
      <c r="W120" s="5"/>
      <c r="Y120" s="5"/>
      <c r="Z120" s="5"/>
      <c r="AA120" s="5"/>
      <c r="AB120" s="5"/>
      <c r="AC120" s="5"/>
      <c r="AD120" s="5"/>
      <c r="AE120" s="5"/>
      <c r="AG120" s="5"/>
      <c r="AH120" s="5"/>
      <c r="AI120" s="5"/>
      <c r="AJ120" s="5"/>
      <c r="AK120" s="5"/>
      <c r="AL120" s="5"/>
      <c r="AM120" s="5"/>
    </row>
    <row r="121" spans="1:40" x14ac:dyDescent="0.2">
      <c r="A121" s="4"/>
      <c r="B121" s="5"/>
      <c r="C121" s="5"/>
      <c r="D121" s="5"/>
      <c r="E121" s="5"/>
      <c r="F121" s="5"/>
      <c r="G121" s="5"/>
      <c r="J121" s="5"/>
      <c r="K121" s="5"/>
      <c r="L121" s="5"/>
      <c r="M121" s="5"/>
      <c r="N121" s="5"/>
      <c r="O121" s="5"/>
      <c r="Q121" s="5"/>
      <c r="R121" s="5"/>
      <c r="S121" s="5"/>
      <c r="T121" s="5"/>
      <c r="U121" s="5"/>
      <c r="V121" s="5"/>
      <c r="W121" s="5"/>
      <c r="Y121" s="5"/>
      <c r="Z121" s="5"/>
      <c r="AA121" s="5"/>
      <c r="AB121" s="5"/>
      <c r="AC121" s="5"/>
      <c r="AD121" s="5"/>
      <c r="AE121" s="5"/>
      <c r="AG121" s="5"/>
      <c r="AH121" s="5"/>
      <c r="AI121" s="5"/>
      <c r="AJ121" s="5"/>
      <c r="AK121" s="5"/>
      <c r="AL121" s="5"/>
      <c r="AM121" s="5"/>
    </row>
    <row r="122" spans="1:40" x14ac:dyDescent="0.2">
      <c r="A122" s="4"/>
      <c r="B122" s="5"/>
      <c r="C122" s="5"/>
      <c r="D122" s="5"/>
      <c r="E122" s="5"/>
      <c r="F122" s="5"/>
      <c r="G122" s="5"/>
      <c r="J122" s="5"/>
      <c r="K122" s="5"/>
      <c r="L122" s="5"/>
      <c r="M122" s="5"/>
      <c r="N122" s="5"/>
      <c r="O122" s="5"/>
      <c r="Q122" s="5"/>
      <c r="R122" s="5"/>
      <c r="S122" s="5"/>
      <c r="T122" s="5"/>
      <c r="U122" s="5"/>
      <c r="V122" s="5"/>
      <c r="W122" s="5"/>
      <c r="Y122" s="5"/>
      <c r="Z122" s="5"/>
      <c r="AA122" s="5"/>
      <c r="AB122" s="5"/>
      <c r="AC122" s="5"/>
      <c r="AD122" s="5"/>
      <c r="AE122" s="5"/>
      <c r="AG122" s="5"/>
      <c r="AH122" s="5"/>
      <c r="AI122" s="5"/>
      <c r="AJ122" s="5"/>
      <c r="AK122" s="5"/>
      <c r="AL122" s="5"/>
      <c r="AM122" s="5"/>
    </row>
    <row r="123" spans="1:40" x14ac:dyDescent="0.2">
      <c r="A123" s="4"/>
      <c r="B123" s="5"/>
      <c r="C123" s="5"/>
      <c r="D123" s="5"/>
      <c r="E123" s="5"/>
      <c r="F123" s="5"/>
      <c r="G123" s="5"/>
      <c r="J123" s="5"/>
      <c r="K123" s="5"/>
      <c r="L123" s="5"/>
      <c r="M123" s="5"/>
      <c r="N123" s="5"/>
      <c r="O123" s="5"/>
      <c r="Q123" s="5"/>
      <c r="R123" s="5"/>
      <c r="S123" s="5"/>
      <c r="T123" s="5"/>
      <c r="U123" s="5"/>
      <c r="V123" s="5"/>
      <c r="W123" s="5"/>
      <c r="Y123" s="5"/>
      <c r="Z123" s="5"/>
      <c r="AA123" s="5"/>
      <c r="AB123" s="5"/>
      <c r="AC123" s="5"/>
      <c r="AD123" s="5"/>
      <c r="AE123" s="5"/>
      <c r="AG123" s="5"/>
      <c r="AH123" s="5"/>
      <c r="AI123" s="5"/>
      <c r="AJ123" s="5"/>
      <c r="AK123" s="5"/>
      <c r="AL123" s="5"/>
      <c r="AM123" s="5"/>
    </row>
    <row r="124" spans="1:40" x14ac:dyDescent="0.2">
      <c r="A124" s="4"/>
      <c r="B124" s="5"/>
      <c r="C124" s="5"/>
      <c r="D124" s="5"/>
      <c r="E124" s="5"/>
      <c r="F124" s="5"/>
      <c r="G124" s="5"/>
      <c r="J124" s="5"/>
      <c r="K124" s="5"/>
      <c r="L124" s="5"/>
      <c r="M124" s="5"/>
      <c r="N124" s="5"/>
      <c r="O124" s="5"/>
      <c r="Q124" s="5"/>
      <c r="R124" s="5"/>
      <c r="S124" s="5"/>
      <c r="T124" s="5"/>
      <c r="U124" s="5"/>
      <c r="V124" s="5"/>
      <c r="W124" s="5"/>
      <c r="Y124" s="5"/>
      <c r="Z124" s="5"/>
      <c r="AA124" s="5"/>
      <c r="AB124" s="5"/>
      <c r="AC124" s="5"/>
      <c r="AD124" s="5"/>
      <c r="AE124" s="5"/>
      <c r="AG124" s="5"/>
      <c r="AH124" s="5"/>
      <c r="AI124" s="5"/>
      <c r="AJ124" s="5"/>
      <c r="AK124" s="5"/>
      <c r="AL124" s="5"/>
      <c r="AM124" s="5"/>
    </row>
    <row r="125" spans="1:40" x14ac:dyDescent="0.2">
      <c r="A125" s="4"/>
      <c r="B125" s="5"/>
      <c r="C125" s="5"/>
      <c r="D125" s="5"/>
      <c r="E125" s="5"/>
      <c r="F125" s="5"/>
      <c r="G125" s="5"/>
      <c r="J125" s="5"/>
      <c r="K125" s="5"/>
      <c r="L125" s="5"/>
      <c r="M125" s="5"/>
      <c r="N125" s="5"/>
      <c r="O125" s="5"/>
      <c r="Q125" s="5"/>
      <c r="R125" s="5"/>
      <c r="S125" s="5"/>
      <c r="T125" s="5"/>
      <c r="U125" s="5"/>
      <c r="V125" s="5"/>
      <c r="W125" s="5"/>
      <c r="Y125" s="5"/>
      <c r="Z125" s="5"/>
      <c r="AA125" s="5"/>
      <c r="AB125" s="5"/>
      <c r="AC125" s="5"/>
      <c r="AD125" s="5"/>
      <c r="AE125" s="5"/>
      <c r="AG125" s="5"/>
      <c r="AH125" s="5"/>
      <c r="AI125" s="5"/>
      <c r="AJ125" s="5"/>
      <c r="AK125" s="5"/>
      <c r="AL125" s="5"/>
      <c r="AM125" s="5"/>
    </row>
    <row r="126" spans="1:40" x14ac:dyDescent="0.2">
      <c r="A126" s="4"/>
      <c r="B126" s="5"/>
      <c r="C126" s="5"/>
      <c r="D126" s="5"/>
      <c r="E126" s="5"/>
      <c r="F126" s="5"/>
      <c r="G126" s="5"/>
      <c r="J126" s="5"/>
      <c r="K126" s="5"/>
      <c r="L126" s="5"/>
      <c r="M126" s="5"/>
      <c r="N126" s="5"/>
      <c r="O126" s="5"/>
      <c r="Q126" s="5"/>
      <c r="R126" s="5"/>
      <c r="S126" s="5"/>
      <c r="T126" s="5"/>
      <c r="U126" s="5"/>
      <c r="V126" s="5"/>
      <c r="W126" s="5"/>
      <c r="Y126" s="5"/>
      <c r="Z126" s="5"/>
      <c r="AA126" s="5"/>
      <c r="AB126" s="5"/>
      <c r="AC126" s="5"/>
      <c r="AD126" s="5"/>
      <c r="AE126" s="5"/>
      <c r="AG126" s="5"/>
      <c r="AH126" s="5"/>
      <c r="AI126" s="5"/>
      <c r="AJ126" s="5"/>
      <c r="AK126" s="5"/>
      <c r="AL126" s="5"/>
      <c r="AM126" s="5"/>
    </row>
    <row r="127" spans="1:40" x14ac:dyDescent="0.2">
      <c r="A127" s="4"/>
      <c r="B127" s="5"/>
      <c r="C127" s="5"/>
      <c r="D127" s="5"/>
      <c r="E127" s="5"/>
      <c r="F127" s="5"/>
      <c r="G127" s="5"/>
      <c r="J127" s="5"/>
      <c r="K127" s="5"/>
      <c r="L127" s="5"/>
      <c r="M127" s="5"/>
      <c r="N127" s="5"/>
      <c r="O127" s="5"/>
      <c r="Q127" s="5"/>
      <c r="R127" s="5"/>
      <c r="S127" s="5"/>
      <c r="T127" s="5"/>
      <c r="U127" s="5"/>
      <c r="V127" s="5"/>
      <c r="W127" s="5"/>
      <c r="Y127" s="5"/>
      <c r="Z127" s="5"/>
      <c r="AA127" s="5"/>
      <c r="AB127" s="5"/>
      <c r="AC127" s="5"/>
      <c r="AD127" s="5"/>
      <c r="AE127" s="5"/>
      <c r="AG127" s="5"/>
      <c r="AH127" s="5"/>
      <c r="AI127" s="5"/>
      <c r="AJ127" s="5"/>
      <c r="AK127" s="5"/>
      <c r="AL127" s="5"/>
      <c r="AM127" s="5"/>
    </row>
    <row r="128" spans="1:40" x14ac:dyDescent="0.2">
      <c r="A128" s="4"/>
      <c r="B128" s="5"/>
      <c r="C128" s="5"/>
      <c r="D128" s="5"/>
      <c r="E128" s="5"/>
      <c r="F128" s="5"/>
      <c r="G128" s="5"/>
      <c r="J128" s="5"/>
      <c r="K128" s="5"/>
      <c r="L128" s="5"/>
      <c r="M128" s="5"/>
      <c r="N128" s="5"/>
      <c r="O128" s="5"/>
      <c r="Q128" s="5"/>
      <c r="R128" s="5"/>
      <c r="S128" s="5"/>
      <c r="T128" s="5"/>
      <c r="U128" s="5"/>
      <c r="V128" s="5"/>
      <c r="W128" s="5"/>
      <c r="Y128" s="5"/>
      <c r="Z128" s="5"/>
      <c r="AA128" s="5"/>
      <c r="AB128" s="5"/>
      <c r="AC128" s="5"/>
      <c r="AD128" s="5"/>
      <c r="AE128" s="5"/>
      <c r="AG128" s="5"/>
      <c r="AH128" s="5"/>
      <c r="AI128" s="5"/>
      <c r="AJ128" s="5"/>
      <c r="AK128" s="5"/>
      <c r="AL128" s="5"/>
      <c r="AM128" s="5"/>
    </row>
    <row r="129" spans="1:40" x14ac:dyDescent="0.2">
      <c r="A129" s="4"/>
      <c r="B129" s="5"/>
      <c r="C129" s="5"/>
      <c r="D129" s="5"/>
      <c r="E129" s="5"/>
      <c r="F129" s="5"/>
      <c r="G129" s="5"/>
      <c r="J129" s="5"/>
      <c r="K129" s="5"/>
      <c r="L129" s="5"/>
      <c r="M129" s="5"/>
      <c r="N129" s="5"/>
      <c r="O129" s="5"/>
      <c r="Q129" s="5"/>
      <c r="R129" s="5"/>
      <c r="S129" s="5"/>
      <c r="T129" s="5"/>
      <c r="U129" s="5"/>
      <c r="V129" s="5"/>
      <c r="W129" s="5"/>
      <c r="Y129" s="5"/>
      <c r="Z129" s="5"/>
      <c r="AA129" s="5"/>
      <c r="AB129" s="5"/>
      <c r="AC129" s="5"/>
      <c r="AD129" s="5"/>
      <c r="AE129" s="5"/>
      <c r="AG129" s="5"/>
      <c r="AH129" s="5"/>
      <c r="AI129" s="5"/>
      <c r="AJ129" s="5"/>
      <c r="AK129" s="5"/>
      <c r="AL129" s="5"/>
      <c r="AM129" s="5"/>
    </row>
    <row r="130" spans="1:40" x14ac:dyDescent="0.2">
      <c r="A130" s="4"/>
      <c r="B130" s="5"/>
      <c r="C130" s="5"/>
      <c r="D130" s="5"/>
      <c r="E130" s="5"/>
      <c r="F130" s="5"/>
      <c r="G130" s="5"/>
      <c r="J130" s="5"/>
      <c r="K130" s="5"/>
      <c r="L130" s="5"/>
      <c r="M130" s="5"/>
      <c r="N130" s="5"/>
      <c r="O130" s="5"/>
      <c r="Q130" s="5"/>
      <c r="R130" s="5"/>
      <c r="S130" s="5"/>
      <c r="T130" s="5"/>
      <c r="U130" s="5"/>
      <c r="V130" s="5"/>
      <c r="W130" s="5"/>
      <c r="Y130" s="5"/>
      <c r="Z130" s="5"/>
      <c r="AA130" s="5"/>
      <c r="AB130" s="5"/>
      <c r="AC130" s="5"/>
      <c r="AD130" s="5"/>
      <c r="AE130" s="5"/>
      <c r="AG130" s="5"/>
      <c r="AH130" s="5"/>
      <c r="AI130" s="5"/>
      <c r="AJ130" s="5"/>
      <c r="AK130" s="5"/>
      <c r="AL130" s="5"/>
      <c r="AM130" s="5"/>
    </row>
    <row r="131" spans="1:40" x14ac:dyDescent="0.2">
      <c r="A131" s="4"/>
      <c r="B131" s="5"/>
      <c r="C131" s="5"/>
      <c r="D131" s="5"/>
      <c r="E131" s="5"/>
      <c r="F131" s="5"/>
      <c r="G131" s="5"/>
      <c r="J131" s="5"/>
      <c r="K131" s="5"/>
      <c r="L131" s="5"/>
      <c r="M131" s="5"/>
      <c r="N131" s="5"/>
      <c r="O131" s="5"/>
      <c r="Q131" s="5"/>
      <c r="R131" s="5"/>
      <c r="S131" s="5"/>
      <c r="T131" s="5"/>
      <c r="U131" s="5"/>
      <c r="V131" s="5"/>
      <c r="W131" s="5"/>
      <c r="Y131" s="5"/>
      <c r="Z131" s="5"/>
      <c r="AA131" s="5"/>
      <c r="AB131" s="5"/>
      <c r="AC131" s="5"/>
      <c r="AD131" s="5"/>
      <c r="AE131" s="5"/>
      <c r="AG131" s="5"/>
      <c r="AH131" s="5"/>
      <c r="AI131" s="5"/>
      <c r="AJ131" s="5"/>
      <c r="AK131" s="5"/>
      <c r="AL131" s="5"/>
      <c r="AM131" s="5"/>
    </row>
    <row r="132" spans="1:40" x14ac:dyDescent="0.2">
      <c r="A132" s="4"/>
      <c r="B132" s="5"/>
      <c r="C132" s="5"/>
      <c r="D132" s="5"/>
      <c r="E132" s="5"/>
      <c r="F132" s="5"/>
      <c r="G132" s="5"/>
      <c r="J132" s="5"/>
      <c r="K132" s="5"/>
      <c r="L132" s="5"/>
      <c r="M132" s="5"/>
      <c r="N132" s="5"/>
      <c r="O132" s="5"/>
      <c r="Q132" s="5"/>
      <c r="R132" s="5"/>
      <c r="S132" s="5"/>
      <c r="T132" s="5"/>
      <c r="U132" s="5"/>
      <c r="V132" s="5"/>
      <c r="W132" s="5"/>
      <c r="Y132" s="5"/>
      <c r="Z132" s="5"/>
      <c r="AA132" s="5"/>
      <c r="AB132" s="5"/>
      <c r="AC132" s="5"/>
      <c r="AD132" s="5"/>
      <c r="AE132" s="5"/>
      <c r="AG132" s="5"/>
      <c r="AH132" s="5"/>
      <c r="AI132" s="5"/>
      <c r="AJ132" s="5"/>
      <c r="AK132" s="5"/>
      <c r="AL132" s="5"/>
      <c r="AM132" s="5"/>
    </row>
    <row r="133" spans="1:40" s="6" customFormat="1" ht="13.5" thickBot="1" x14ac:dyDescent="0.25">
      <c r="A133" s="8"/>
      <c r="H133" s="7"/>
      <c r="I133" s="8"/>
      <c r="P133" s="7"/>
      <c r="X133" s="7"/>
      <c r="AF133" s="7"/>
      <c r="AN133" s="7"/>
    </row>
    <row r="135" spans="1:40" ht="13.5" thickBot="1" x14ac:dyDescent="0.25">
      <c r="D135" s="1" t="str">
        <f>'Point Estimates'!A40</f>
        <v>Ce - Sul Cearense</v>
      </c>
      <c r="E135" s="1" t="str">
        <f>'Point Estimates'!$D$5</f>
        <v>adm</v>
      </c>
      <c r="L135" s="1" t="str">
        <f>'Point Estimates'!A41</f>
        <v>Rn - Oeste Potiguar</v>
      </c>
      <c r="M135" s="1" t="str">
        <f>'Point Estimates'!$D$5</f>
        <v>adm</v>
      </c>
      <c r="T135" s="1" t="str">
        <f>'Point Estimates'!A42</f>
        <v>Rn - Central Potiguar</v>
      </c>
      <c r="U135" s="1" t="str">
        <f>'Point Estimates'!$D$5</f>
        <v>adm</v>
      </c>
      <c r="AB135" s="1" t="str">
        <f>'Point Estimates'!A43</f>
        <v>Rn - Agreste Potiguar</v>
      </c>
      <c r="AC135" s="1" t="str">
        <f>'Point Estimates'!$D$5</f>
        <v>adm</v>
      </c>
      <c r="AJ135" s="1" t="str">
        <f>'Point Estimates'!A44</f>
        <v>Rn - Leste Potiguar</v>
      </c>
      <c r="AK135" s="1" t="str">
        <f>'Point Estimates'!$D$5</f>
        <v>adm</v>
      </c>
    </row>
    <row r="152" spans="8:40" s="6" customFormat="1" ht="13.5" thickBot="1" x14ac:dyDescent="0.25">
      <c r="H152" s="7"/>
      <c r="I152" s="8"/>
      <c r="P152" s="7"/>
      <c r="X152" s="7"/>
      <c r="AF152" s="7"/>
      <c r="AN152" s="7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43"/>
  <sheetViews>
    <sheetView topLeftCell="A113" workbookViewId="0">
      <selection activeCell="D143" sqref="D143"/>
    </sheetView>
  </sheetViews>
  <sheetFormatPr defaultRowHeight="12.75" x14ac:dyDescent="0.2"/>
  <cols>
    <col min="1" max="1" width="66.28515625" bestFit="1" customWidth="1"/>
  </cols>
  <sheetData>
    <row r="1" spans="1:53" x14ac:dyDescent="0.2">
      <c r="A1" t="s">
        <v>0</v>
      </c>
    </row>
    <row r="2" spans="1:53" x14ac:dyDescent="0.2">
      <c r="A2" t="s">
        <v>1</v>
      </c>
    </row>
    <row r="3" spans="1:53" x14ac:dyDescent="0.2">
      <c r="A3" t="s">
        <v>2</v>
      </c>
    </row>
    <row r="4" spans="1:53" x14ac:dyDescent="0.2">
      <c r="E4">
        <v>0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  <c r="AE4">
        <v>26</v>
      </c>
      <c r="AF4">
        <v>27</v>
      </c>
      <c r="AG4">
        <v>28</v>
      </c>
      <c r="AH4">
        <v>29</v>
      </c>
      <c r="AI4">
        <v>30</v>
      </c>
      <c r="AJ4">
        <v>31</v>
      </c>
      <c r="AK4">
        <v>32</v>
      </c>
      <c r="AL4">
        <v>33</v>
      </c>
      <c r="AM4">
        <v>34</v>
      </c>
      <c r="AN4">
        <v>35</v>
      </c>
      <c r="AO4">
        <v>36</v>
      </c>
      <c r="AP4">
        <v>37</v>
      </c>
      <c r="AQ4">
        <v>38</v>
      </c>
      <c r="AR4">
        <v>39</v>
      </c>
      <c r="AS4">
        <v>40</v>
      </c>
      <c r="AT4">
        <v>41</v>
      </c>
      <c r="AU4">
        <v>42</v>
      </c>
      <c r="AV4">
        <v>43</v>
      </c>
      <c r="AW4">
        <v>44</v>
      </c>
      <c r="AX4">
        <v>45</v>
      </c>
      <c r="AY4">
        <v>46</v>
      </c>
      <c r="AZ4">
        <v>47</v>
      </c>
      <c r="BA4">
        <v>48</v>
      </c>
    </row>
    <row r="5" spans="1:53" x14ac:dyDescent="0.2">
      <c r="A5" t="s">
        <v>3</v>
      </c>
      <c r="B5" t="s">
        <v>141</v>
      </c>
      <c r="C5" t="s">
        <v>142</v>
      </c>
      <c r="D5" t="s">
        <v>4</v>
      </c>
      <c r="E5">
        <v>384.58713904283525</v>
      </c>
      <c r="F5">
        <v>279.4609638848226</v>
      </c>
      <c r="G5">
        <v>246.85178206298431</v>
      </c>
      <c r="H5">
        <v>206.00708862996441</v>
      </c>
      <c r="I5">
        <v>230.37145028429109</v>
      </c>
      <c r="J5">
        <v>311.30578053646684</v>
      </c>
      <c r="K5">
        <v>310.67826627621167</v>
      </c>
      <c r="L5">
        <v>373.26263243303407</v>
      </c>
      <c r="M5">
        <v>404.49975766528689</v>
      </c>
      <c r="N5">
        <v>448.38486533729281</v>
      </c>
      <c r="O5">
        <v>476.94294997681271</v>
      </c>
      <c r="P5">
        <v>480.12797119477085</v>
      </c>
      <c r="Q5">
        <v>491.60453181150211</v>
      </c>
      <c r="R5">
        <v>487.53662990549066</v>
      </c>
      <c r="S5">
        <v>492.78919786841124</v>
      </c>
      <c r="T5">
        <v>495.91493721975473</v>
      </c>
      <c r="U5">
        <v>502.13002451082298</v>
      </c>
      <c r="V5">
        <v>514.5399991424224</v>
      </c>
      <c r="W5">
        <v>525.79908731854448</v>
      </c>
      <c r="X5">
        <v>540.53223360871175</v>
      </c>
      <c r="Y5">
        <v>551.87045227929741</v>
      </c>
      <c r="Z5">
        <v>561.6989367435001</v>
      </c>
      <c r="AA5">
        <v>568.74835549911063</v>
      </c>
      <c r="AB5">
        <v>572.4540838918731</v>
      </c>
      <c r="AC5">
        <v>574.80706324266203</v>
      </c>
      <c r="AD5">
        <v>575.21662447183246</v>
      </c>
      <c r="AE5">
        <v>575.8222936417344</v>
      </c>
      <c r="AF5">
        <v>576.71221356183173</v>
      </c>
      <c r="AG5">
        <v>578.46112133266377</v>
      </c>
      <c r="AH5">
        <v>581.24503670600734</v>
      </c>
      <c r="AI5">
        <v>584.46630914251875</v>
      </c>
      <c r="AJ5">
        <v>588.02935378563211</v>
      </c>
      <c r="AK5">
        <v>591.20720171886069</v>
      </c>
      <c r="AL5">
        <v>593.79535046262401</v>
      </c>
      <c r="AM5">
        <v>595.58286057068869</v>
      </c>
      <c r="AN5">
        <v>596.55831119528239</v>
      </c>
      <c r="AO5">
        <v>596.97456649132039</v>
      </c>
      <c r="AP5">
        <v>597.01081079105325</v>
      </c>
      <c r="AQ5">
        <v>596.98763472862606</v>
      </c>
      <c r="AR5">
        <v>597.07231080477106</v>
      </c>
      <c r="AS5">
        <v>597.38123831763573</v>
      </c>
      <c r="AT5">
        <v>597.93215904202225</v>
      </c>
      <c r="AU5">
        <v>598.63858593340171</v>
      </c>
      <c r="AV5">
        <v>599.40570553545274</v>
      </c>
      <c r="AW5">
        <v>600.10164925738263</v>
      </c>
      <c r="AX5">
        <v>600.64192503196944</v>
      </c>
      <c r="AY5">
        <v>600.97715843394371</v>
      </c>
      <c r="AZ5">
        <v>601.10675752861187</v>
      </c>
      <c r="BA5">
        <v>601.07643679333125</v>
      </c>
    </row>
    <row r="6" spans="1:53" x14ac:dyDescent="0.2">
      <c r="A6" t="s">
        <v>5</v>
      </c>
      <c r="B6" t="s">
        <v>143</v>
      </c>
      <c r="C6" t="s">
        <v>142</v>
      </c>
      <c r="D6" t="s">
        <v>4</v>
      </c>
      <c r="E6">
        <v>442.77980497750076</v>
      </c>
      <c r="F6">
        <v>232.57347718453235</v>
      </c>
      <c r="G6">
        <v>209.61079221007589</v>
      </c>
      <c r="H6">
        <v>146.99202609195299</v>
      </c>
      <c r="I6">
        <v>154.26700407293959</v>
      </c>
      <c r="J6">
        <v>250.43365280468984</v>
      </c>
      <c r="K6">
        <v>222.19917445931401</v>
      </c>
      <c r="L6">
        <v>282.43867641796351</v>
      </c>
      <c r="M6">
        <v>282.08710051894656</v>
      </c>
      <c r="N6">
        <v>302.65338234729575</v>
      </c>
      <c r="O6">
        <v>310.38588179269721</v>
      </c>
      <c r="P6">
        <v>289.45114764690271</v>
      </c>
      <c r="Q6">
        <v>291.08575859936582</v>
      </c>
      <c r="R6">
        <v>275.53544303478276</v>
      </c>
      <c r="S6">
        <v>279.81347323671116</v>
      </c>
      <c r="T6">
        <v>283.33208400642741</v>
      </c>
      <c r="U6">
        <v>291.15909747154052</v>
      </c>
      <c r="V6">
        <v>306.39089251247276</v>
      </c>
      <c r="W6">
        <v>316.82744976067045</v>
      </c>
      <c r="X6">
        <v>330.44479812661626</v>
      </c>
      <c r="Y6">
        <v>337.7017440696813</v>
      </c>
      <c r="Z6">
        <v>342.94705642187853</v>
      </c>
      <c r="AA6">
        <v>345.52948721714716</v>
      </c>
      <c r="AB6">
        <v>345.39718139856188</v>
      </c>
      <c r="AC6">
        <v>345.96299576825271</v>
      </c>
      <c r="AD6">
        <v>345.90391481775009</v>
      </c>
      <c r="AE6">
        <v>347.77065909932048</v>
      </c>
      <c r="AF6">
        <v>350.76675956953096</v>
      </c>
      <c r="AG6">
        <v>354.96753446360196</v>
      </c>
      <c r="AH6">
        <v>360.13477950812148</v>
      </c>
      <c r="AI6">
        <v>365.14919163016128</v>
      </c>
      <c r="AJ6">
        <v>370.00610095294479</v>
      </c>
      <c r="AK6">
        <v>373.91279192948269</v>
      </c>
      <c r="AL6">
        <v>376.96215305826371</v>
      </c>
      <c r="AM6">
        <v>379.18203864125422</v>
      </c>
      <c r="AN6">
        <v>380.7681161602614</v>
      </c>
      <c r="AO6">
        <v>382.16715295633816</v>
      </c>
      <c r="AP6">
        <v>383.5590432495793</v>
      </c>
      <c r="AQ6">
        <v>385.24799224302137</v>
      </c>
      <c r="AR6">
        <v>387.26282740681688</v>
      </c>
      <c r="AS6">
        <v>389.57618635677761</v>
      </c>
      <c r="AT6">
        <v>392.07430653746184</v>
      </c>
      <c r="AU6">
        <v>394.56496810265213</v>
      </c>
      <c r="AV6">
        <v>396.92433832185537</v>
      </c>
      <c r="AW6">
        <v>399.02764146893901</v>
      </c>
      <c r="AX6">
        <v>400.84891291627559</v>
      </c>
      <c r="AY6">
        <v>402.40935627318282</v>
      </c>
      <c r="AZ6">
        <v>403.77380057091835</v>
      </c>
      <c r="BA6">
        <v>405.03566906661911</v>
      </c>
    </row>
    <row r="7" spans="1:53" x14ac:dyDescent="0.2">
      <c r="A7" t="s">
        <v>6</v>
      </c>
      <c r="B7" t="s">
        <v>144</v>
      </c>
      <c r="C7" t="s">
        <v>142</v>
      </c>
      <c r="D7" t="s">
        <v>4</v>
      </c>
      <c r="E7">
        <v>6.348012483317536</v>
      </c>
      <c r="F7">
        <v>-2.0539293814925648</v>
      </c>
      <c r="G7">
        <v>4.0696513701853245</v>
      </c>
      <c r="H7">
        <v>5.0423355633058105</v>
      </c>
      <c r="I7">
        <v>2.4431185808807783</v>
      </c>
      <c r="J7">
        <v>4.4199511811185088</v>
      </c>
      <c r="K7">
        <v>2.7926617853319495</v>
      </c>
      <c r="L7">
        <v>8.1122357347824678</v>
      </c>
      <c r="M7">
        <v>10.672177947074333</v>
      </c>
      <c r="N7">
        <v>13.585720518123075</v>
      </c>
      <c r="O7">
        <v>15.916986183091634</v>
      </c>
      <c r="P7">
        <v>16.316341519457044</v>
      </c>
      <c r="Q7">
        <v>17.117680178796288</v>
      </c>
      <c r="R7">
        <v>16.03122215963813</v>
      </c>
      <c r="S7">
        <v>15.281579096877575</v>
      </c>
      <c r="T7">
        <v>14.432538723910488</v>
      </c>
      <c r="U7">
        <v>13.997744240982982</v>
      </c>
      <c r="V7">
        <v>14.395780977568682</v>
      </c>
      <c r="W7">
        <v>14.990829489686659</v>
      </c>
      <c r="X7">
        <v>16.150138370354881</v>
      </c>
      <c r="Y7">
        <v>17.240615734300022</v>
      </c>
      <c r="Z7">
        <v>18.262411014832125</v>
      </c>
      <c r="AA7">
        <v>19.032203136926888</v>
      </c>
      <c r="AB7">
        <v>19.427707712725898</v>
      </c>
      <c r="AC7">
        <v>19.618900185309457</v>
      </c>
      <c r="AD7">
        <v>19.577506382606771</v>
      </c>
      <c r="AE7">
        <v>19.509595913502089</v>
      </c>
      <c r="AF7">
        <v>19.467676076993737</v>
      </c>
      <c r="AG7">
        <v>19.528050996727529</v>
      </c>
      <c r="AH7">
        <v>19.735061453902631</v>
      </c>
      <c r="AI7">
        <v>20.046637565907272</v>
      </c>
      <c r="AJ7">
        <v>20.449962078096842</v>
      </c>
      <c r="AK7">
        <v>20.869470788876765</v>
      </c>
      <c r="AL7">
        <v>21.263740614155338</v>
      </c>
      <c r="AM7">
        <v>21.593164880372854</v>
      </c>
      <c r="AN7">
        <v>21.836746482117455</v>
      </c>
      <c r="AO7">
        <v>22.005822108518799</v>
      </c>
      <c r="AP7">
        <v>22.115149866285396</v>
      </c>
      <c r="AQ7">
        <v>22.199242159137984</v>
      </c>
      <c r="AR7">
        <v>22.284876158852096</v>
      </c>
      <c r="AS7">
        <v>22.393817042755774</v>
      </c>
      <c r="AT7">
        <v>22.536690070874911</v>
      </c>
      <c r="AU7">
        <v>22.709763907913121</v>
      </c>
      <c r="AV7">
        <v>22.903448004157795</v>
      </c>
      <c r="AW7">
        <v>23.101341435635252</v>
      </c>
      <c r="AX7">
        <v>23.289228626250008</v>
      </c>
      <c r="AY7">
        <v>23.456486916639399</v>
      </c>
      <c r="AZ7">
        <v>23.598388102093235</v>
      </c>
      <c r="BA7">
        <v>23.716734974183687</v>
      </c>
    </row>
    <row r="8" spans="1:53" x14ac:dyDescent="0.2">
      <c r="A8" t="s">
        <v>7</v>
      </c>
      <c r="B8" t="s">
        <v>145</v>
      </c>
      <c r="C8" t="s">
        <v>142</v>
      </c>
      <c r="D8" t="s">
        <v>4</v>
      </c>
      <c r="E8">
        <v>153.37917203920495</v>
      </c>
      <c r="F8">
        <v>98.632035505598807</v>
      </c>
      <c r="G8">
        <v>80.770401292527481</v>
      </c>
      <c r="H8">
        <v>67.092188120109839</v>
      </c>
      <c r="I8">
        <v>61.797211644379416</v>
      </c>
      <c r="J8">
        <v>95.145746650986126</v>
      </c>
      <c r="K8">
        <v>90.443078155417439</v>
      </c>
      <c r="L8">
        <v>107.59150834712982</v>
      </c>
      <c r="M8">
        <v>112.83694859929041</v>
      </c>
      <c r="N8">
        <v>120.22260204015744</v>
      </c>
      <c r="O8">
        <v>126.24752992406995</v>
      </c>
      <c r="P8">
        <v>121.06437563095842</v>
      </c>
      <c r="Q8">
        <v>121.66301887170727</v>
      </c>
      <c r="R8">
        <v>117.38886799130636</v>
      </c>
      <c r="S8">
        <v>117.31131596506171</v>
      </c>
      <c r="T8">
        <v>117.73463914191912</v>
      </c>
      <c r="U8">
        <v>118.68057930060144</v>
      </c>
      <c r="V8">
        <v>122.46185980308289</v>
      </c>
      <c r="W8">
        <v>125.34457857444337</v>
      </c>
      <c r="X8">
        <v>129.51563873221841</v>
      </c>
      <c r="Y8">
        <v>132.46757807627745</v>
      </c>
      <c r="Z8">
        <v>134.74968751174006</v>
      </c>
      <c r="AA8">
        <v>136.3441804207965</v>
      </c>
      <c r="AB8">
        <v>136.82149080043314</v>
      </c>
      <c r="AC8">
        <v>137.18777440365128</v>
      </c>
      <c r="AD8">
        <v>137.12460431410449</v>
      </c>
      <c r="AE8">
        <v>137.3853133577166</v>
      </c>
      <c r="AF8">
        <v>137.98205184990354</v>
      </c>
      <c r="AG8">
        <v>138.95653191668427</v>
      </c>
      <c r="AH8">
        <v>140.35965784607146</v>
      </c>
      <c r="AI8">
        <v>141.86245016579267</v>
      </c>
      <c r="AJ8">
        <v>143.43196897801562</v>
      </c>
      <c r="AK8">
        <v>144.81320883408176</v>
      </c>
      <c r="AL8">
        <v>145.95438249630013</v>
      </c>
      <c r="AM8">
        <v>146.83786878205305</v>
      </c>
      <c r="AN8">
        <v>147.47678606132303</v>
      </c>
      <c r="AO8">
        <v>147.99225561969851</v>
      </c>
      <c r="AP8">
        <v>148.44277359193342</v>
      </c>
      <c r="AQ8">
        <v>148.9294061865919</v>
      </c>
      <c r="AR8">
        <v>149.49169238694969</v>
      </c>
      <c r="AS8">
        <v>150.14301016102215</v>
      </c>
      <c r="AT8">
        <v>150.87350287324654</v>
      </c>
      <c r="AU8">
        <v>151.63680178298563</v>
      </c>
      <c r="AV8">
        <v>152.39578129408068</v>
      </c>
      <c r="AW8">
        <v>153.1054808219651</v>
      </c>
      <c r="AX8">
        <v>153.74209460479389</v>
      </c>
      <c r="AY8">
        <v>154.29774296792957</v>
      </c>
      <c r="AZ8">
        <v>154.77941296914108</v>
      </c>
      <c r="BA8">
        <v>155.20940097994628</v>
      </c>
    </row>
    <row r="9" spans="1:53" x14ac:dyDescent="0.2">
      <c r="A9" t="s">
        <v>8</v>
      </c>
      <c r="B9" t="s">
        <v>146</v>
      </c>
      <c r="C9" t="s">
        <v>142</v>
      </c>
      <c r="D9" t="s">
        <v>4</v>
      </c>
      <c r="E9">
        <v>2.9822388186886588</v>
      </c>
      <c r="F9">
        <v>-7.0947536622608904</v>
      </c>
      <c r="G9">
        <v>-2.7575271230836789</v>
      </c>
      <c r="H9">
        <v>-1.4394646463541929</v>
      </c>
      <c r="I9">
        <v>-2.1979888222576509</v>
      </c>
      <c r="J9">
        <v>-0.47009289823773737</v>
      </c>
      <c r="K9">
        <v>-2.602542522426269</v>
      </c>
      <c r="L9">
        <v>-0.86119031807175705</v>
      </c>
      <c r="M9">
        <v>-1.4007972249637208</v>
      </c>
      <c r="N9">
        <v>-1.3821858274995193</v>
      </c>
      <c r="O9">
        <v>-1.1239355437128644</v>
      </c>
      <c r="P9">
        <v>-1.5982540847526807</v>
      </c>
      <c r="Q9">
        <v>-1.0415978925066278</v>
      </c>
      <c r="R9">
        <v>-1.2959593714372635</v>
      </c>
      <c r="S9">
        <v>-1.0932956536257019</v>
      </c>
      <c r="T9">
        <v>-1.0726389413294632</v>
      </c>
      <c r="U9">
        <v>-1.1036500886167671</v>
      </c>
      <c r="V9">
        <v>-0.93443994283014564</v>
      </c>
      <c r="W9">
        <v>-0.98882117348290399</v>
      </c>
      <c r="X9">
        <v>-0.86772742588344109</v>
      </c>
      <c r="Y9">
        <v>-0.86307044424828594</v>
      </c>
      <c r="Z9">
        <v>-0.82591505966312995</v>
      </c>
      <c r="AA9">
        <v>-0.78082593337588557</v>
      </c>
      <c r="AB9">
        <v>-0.7853220945028595</v>
      </c>
      <c r="AC9">
        <v>-0.73940434929327747</v>
      </c>
      <c r="AD9">
        <v>-0.73062692429561171</v>
      </c>
      <c r="AE9">
        <v>-0.69160751130018339</v>
      </c>
      <c r="AF9">
        <v>-0.65792452759410469</v>
      </c>
      <c r="AG9">
        <v>-0.62750972728086407</v>
      </c>
      <c r="AH9">
        <v>-0.58887951818146933</v>
      </c>
      <c r="AI9">
        <v>-0.56518305204889707</v>
      </c>
      <c r="AJ9">
        <v>-0.53570415183486175</v>
      </c>
      <c r="AK9">
        <v>-0.51486480540678292</v>
      </c>
      <c r="AL9">
        <v>-0.4939821653015169</v>
      </c>
      <c r="AM9">
        <v>-0.47305792695122112</v>
      </c>
      <c r="AN9">
        <v>-0.45470353365643013</v>
      </c>
      <c r="AO9">
        <v>-0.43371635898472594</v>
      </c>
      <c r="AP9">
        <v>-0.41491111949068549</v>
      </c>
      <c r="AQ9">
        <v>-0.39496404808556251</v>
      </c>
      <c r="AR9">
        <v>-0.37568823322542721</v>
      </c>
      <c r="AS9">
        <v>-0.35700513847746534</v>
      </c>
      <c r="AT9">
        <v>-0.33834020317556529</v>
      </c>
      <c r="AU9">
        <v>-0.32104253623614543</v>
      </c>
      <c r="AV9">
        <v>-0.30419691381953912</v>
      </c>
      <c r="AW9">
        <v>-0.28866938001385894</v>
      </c>
      <c r="AX9">
        <v>-0.27403813436729546</v>
      </c>
      <c r="AY9">
        <v>-0.26018448547616208</v>
      </c>
      <c r="AZ9">
        <v>-0.24704965580757363</v>
      </c>
      <c r="BA9">
        <v>-0.23414344974954357</v>
      </c>
    </row>
    <row r="10" spans="1:53" x14ac:dyDescent="0.2">
      <c r="A10" t="s">
        <v>9</v>
      </c>
      <c r="B10" t="s">
        <v>147</v>
      </c>
      <c r="C10" t="s">
        <v>142</v>
      </c>
      <c r="D10" t="s">
        <v>4</v>
      </c>
      <c r="E10">
        <v>2.9171056158858368</v>
      </c>
      <c r="F10">
        <v>0.9077327793725718</v>
      </c>
      <c r="G10">
        <v>1.674561636731579</v>
      </c>
      <c r="H10">
        <v>1.8088491736531804</v>
      </c>
      <c r="I10">
        <v>1.5202744764422369</v>
      </c>
      <c r="J10">
        <v>2.3309652723749705</v>
      </c>
      <c r="K10">
        <v>1.9714234812496874</v>
      </c>
      <c r="L10">
        <v>2.4969648797604935</v>
      </c>
      <c r="M10">
        <v>2.4474707859198417</v>
      </c>
      <c r="N10">
        <v>2.5073180131230095</v>
      </c>
      <c r="O10">
        <v>2.6490262594688341</v>
      </c>
      <c r="P10">
        <v>2.4891680847810158</v>
      </c>
      <c r="Q10">
        <v>2.5752855208126557</v>
      </c>
      <c r="R10">
        <v>2.4513490922171215</v>
      </c>
      <c r="S10">
        <v>2.4641515642322322</v>
      </c>
      <c r="T10">
        <v>2.4715363818586704</v>
      </c>
      <c r="U10">
        <v>2.4780020722448408</v>
      </c>
      <c r="V10">
        <v>2.5660009888710955</v>
      </c>
      <c r="W10">
        <v>2.6027160928452582</v>
      </c>
      <c r="X10">
        <v>2.6844999190544971</v>
      </c>
      <c r="Y10">
        <v>2.7262606718260116</v>
      </c>
      <c r="Z10">
        <v>2.7572282098936038</v>
      </c>
      <c r="AA10">
        <v>2.7784170785883471</v>
      </c>
      <c r="AB10">
        <v>2.7745187406052261</v>
      </c>
      <c r="AC10">
        <v>2.7800016719637801</v>
      </c>
      <c r="AD10">
        <v>2.7759919898331065</v>
      </c>
      <c r="AE10">
        <v>2.7835843084010881</v>
      </c>
      <c r="AF10">
        <v>2.7968231285068668</v>
      </c>
      <c r="AG10">
        <v>2.8149877876023117</v>
      </c>
      <c r="AH10">
        <v>2.8406435440152307</v>
      </c>
      <c r="AI10">
        <v>2.8646275666745615</v>
      </c>
      <c r="AJ10">
        <v>2.8899749697386703</v>
      </c>
      <c r="AK10">
        <v>2.9108443830303239</v>
      </c>
      <c r="AL10">
        <v>2.9278924363094605</v>
      </c>
      <c r="AM10">
        <v>2.9411385633999165</v>
      </c>
      <c r="AN10">
        <v>2.9503272750922789</v>
      </c>
      <c r="AO10">
        <v>2.9582961443937363</v>
      </c>
      <c r="AP10">
        <v>2.9652570569272081</v>
      </c>
      <c r="AQ10">
        <v>2.9733372970822511</v>
      </c>
      <c r="AR10">
        <v>2.9828864981276113</v>
      </c>
      <c r="AS10">
        <v>2.9939938779285113</v>
      </c>
      <c r="AT10">
        <v>3.0064731513155265</v>
      </c>
      <c r="AU10">
        <v>3.0192202818500857</v>
      </c>
      <c r="AV10">
        <v>3.0316989656168394</v>
      </c>
      <c r="AW10">
        <v>3.0430523945639512</v>
      </c>
      <c r="AX10">
        <v>3.0530217390589254</v>
      </c>
      <c r="AY10">
        <v>3.0616117273276311</v>
      </c>
      <c r="AZ10">
        <v>3.0690382371052101</v>
      </c>
      <c r="BA10">
        <v>3.0758007110939176</v>
      </c>
    </row>
    <row r="11" spans="1:53" x14ac:dyDescent="0.2">
      <c r="A11" t="s">
        <v>10</v>
      </c>
      <c r="B11" t="s">
        <v>148</v>
      </c>
      <c r="C11" t="s">
        <v>142</v>
      </c>
      <c r="D11" t="s">
        <v>4</v>
      </c>
      <c r="E11">
        <v>1687.3665649960117</v>
      </c>
      <c r="F11">
        <v>1388.7172509562372</v>
      </c>
      <c r="G11">
        <v>1404.5391484636364</v>
      </c>
      <c r="H11">
        <v>1212.5448339610273</v>
      </c>
      <c r="I11">
        <v>1168.1767228729057</v>
      </c>
      <c r="J11">
        <v>1461.307171472328</v>
      </c>
      <c r="K11">
        <v>1318.0403145365146</v>
      </c>
      <c r="L11">
        <v>1435.2416277683528</v>
      </c>
      <c r="M11">
        <v>1372.0295086012177</v>
      </c>
      <c r="N11">
        <v>1384.4615027747016</v>
      </c>
      <c r="O11">
        <v>1378.944710928399</v>
      </c>
      <c r="P11">
        <v>1274.3834797337597</v>
      </c>
      <c r="Q11">
        <v>1247.570339521151</v>
      </c>
      <c r="R11">
        <v>1170.5346268230257</v>
      </c>
      <c r="S11">
        <v>1160.028546148209</v>
      </c>
      <c r="T11">
        <v>1150.5677900856631</v>
      </c>
      <c r="U11">
        <v>1149.1002320716755</v>
      </c>
      <c r="V11">
        <v>1168.7898163448438</v>
      </c>
      <c r="W11">
        <v>1168.6087044453118</v>
      </c>
      <c r="X11">
        <v>1177.0666314662619</v>
      </c>
      <c r="Y11">
        <v>1166.3448254174734</v>
      </c>
      <c r="Z11">
        <v>1151.5474911949148</v>
      </c>
      <c r="AA11">
        <v>1133.1963501843109</v>
      </c>
      <c r="AB11">
        <v>1110.075117942436</v>
      </c>
      <c r="AC11">
        <v>1092.5548956010468</v>
      </c>
      <c r="AD11">
        <v>1074.5316507577602</v>
      </c>
      <c r="AE11">
        <v>1062.7124271669538</v>
      </c>
      <c r="AF11">
        <v>1054.0255431045559</v>
      </c>
      <c r="AG11">
        <v>1048.2710181308773</v>
      </c>
      <c r="AH11">
        <v>1045.1995799127678</v>
      </c>
      <c r="AI11">
        <v>1041.5707653882109</v>
      </c>
      <c r="AJ11">
        <v>1037.9183722811397</v>
      </c>
      <c r="AK11">
        <v>1032.1076447832831</v>
      </c>
      <c r="AL11">
        <v>1024.6056361863568</v>
      </c>
      <c r="AM11">
        <v>1015.6478316358326</v>
      </c>
      <c r="AN11">
        <v>1005.7697071077256</v>
      </c>
      <c r="AO11">
        <v>996.30034398458781</v>
      </c>
      <c r="AP11">
        <v>987.59762949470871</v>
      </c>
      <c r="AQ11">
        <v>980.38822126757304</v>
      </c>
      <c r="AR11">
        <v>974.55070533811511</v>
      </c>
      <c r="AS11">
        <v>969.82344854715564</v>
      </c>
      <c r="AT11">
        <v>965.79599037245816</v>
      </c>
      <c r="AU11">
        <v>961.88942647200054</v>
      </c>
      <c r="AV11">
        <v>957.82632562583228</v>
      </c>
      <c r="AW11">
        <v>953.3489248689624</v>
      </c>
      <c r="AX11">
        <v>948.48644180365</v>
      </c>
      <c r="AY11">
        <v>943.36685940591974</v>
      </c>
      <c r="AZ11">
        <v>938.18384610830981</v>
      </c>
      <c r="BA11">
        <v>933.17271706653366</v>
      </c>
    </row>
    <row r="12" spans="1:53" x14ac:dyDescent="0.2">
      <c r="A12" t="s">
        <v>11</v>
      </c>
      <c r="B12" t="s">
        <v>149</v>
      </c>
      <c r="C12" t="s">
        <v>142</v>
      </c>
      <c r="D12" t="s">
        <v>4</v>
      </c>
      <c r="E12">
        <v>10.581128056630458</v>
      </c>
      <c r="F12">
        <v>2.4442060628764577</v>
      </c>
      <c r="G12">
        <v>2.4848146241399229</v>
      </c>
      <c r="H12">
        <v>0.311424094232786</v>
      </c>
      <c r="I12">
        <v>1.3479194160255255</v>
      </c>
      <c r="J12">
        <v>3.6969515934632864</v>
      </c>
      <c r="K12">
        <v>2.4697293575326098</v>
      </c>
      <c r="L12">
        <v>4.0606697944262686</v>
      </c>
      <c r="M12">
        <v>3.6865070694946693</v>
      </c>
      <c r="N12">
        <v>4.4115186304758689</v>
      </c>
      <c r="O12">
        <v>4.5759436119139956</v>
      </c>
      <c r="P12">
        <v>4.2225785168510583</v>
      </c>
      <c r="Q12">
        <v>4.5645928432003409</v>
      </c>
      <c r="R12">
        <v>4.3676561486175318</v>
      </c>
      <c r="S12">
        <v>4.7457869047206511</v>
      </c>
      <c r="T12">
        <v>4.8991964444997995</v>
      </c>
      <c r="U12">
        <v>5.1402796550742282</v>
      </c>
      <c r="V12">
        <v>5.4811489484005165</v>
      </c>
      <c r="W12">
        <v>5.6614082300931488</v>
      </c>
      <c r="X12">
        <v>5.9527300814952753</v>
      </c>
      <c r="Y12">
        <v>6.0825446350349797</v>
      </c>
      <c r="Z12">
        <v>6.2295941369993395</v>
      </c>
      <c r="AA12">
        <v>6.334043684253408</v>
      </c>
      <c r="AB12">
        <v>6.401970414679492</v>
      </c>
      <c r="AC12">
        <v>6.4997968424779931</v>
      </c>
      <c r="AD12">
        <v>6.5706940543191612</v>
      </c>
      <c r="AE12">
        <v>6.6820325264778209</v>
      </c>
      <c r="AF12">
        <v>6.795897874476255</v>
      </c>
      <c r="AG12">
        <v>6.9237656351806232</v>
      </c>
      <c r="AH12">
        <v>7.0595236932149064</v>
      </c>
      <c r="AI12">
        <v>7.1824942362269866</v>
      </c>
      <c r="AJ12">
        <v>7.3019206411634139</v>
      </c>
      <c r="AK12">
        <v>7.4008229180139455</v>
      </c>
      <c r="AL12">
        <v>7.4881531450063417</v>
      </c>
      <c r="AM12">
        <v>7.5632885505000438</v>
      </c>
      <c r="AN12">
        <v>7.6303196392743482</v>
      </c>
      <c r="AO12">
        <v>7.6967114448157528</v>
      </c>
      <c r="AP12">
        <v>7.7623030378452684</v>
      </c>
      <c r="AQ12">
        <v>7.8318932446562721</v>
      </c>
      <c r="AR12">
        <v>7.9034533914975347</v>
      </c>
      <c r="AS12">
        <v>7.9764644755005456</v>
      </c>
      <c r="AT12">
        <v>8.049045429015246</v>
      </c>
      <c r="AU12">
        <v>8.1185060677330299</v>
      </c>
      <c r="AV12">
        <v>8.1841342531031103</v>
      </c>
      <c r="AW12">
        <v>8.2444657248860445</v>
      </c>
      <c r="AX12">
        <v>8.3000136071905075</v>
      </c>
      <c r="AY12">
        <v>8.3513181304491848</v>
      </c>
      <c r="AZ12">
        <v>8.3994542173625302</v>
      </c>
      <c r="BA12">
        <v>8.4457501606681262</v>
      </c>
    </row>
    <row r="13" spans="1:53" x14ac:dyDescent="0.2">
      <c r="A13" t="s">
        <v>12</v>
      </c>
      <c r="B13" t="s">
        <v>150</v>
      </c>
      <c r="C13" t="s">
        <v>142</v>
      </c>
      <c r="D13" t="s">
        <v>4</v>
      </c>
      <c r="E13">
        <v>103.38219152270919</v>
      </c>
      <c r="F13">
        <v>55.268084163520825</v>
      </c>
      <c r="G13">
        <v>55.409654798995192</v>
      </c>
      <c r="H13">
        <v>54.330677341543279</v>
      </c>
      <c r="I13">
        <v>48.869018482125213</v>
      </c>
      <c r="J13">
        <v>70.711257593703266</v>
      </c>
      <c r="K13">
        <v>57.894747631076427</v>
      </c>
      <c r="L13">
        <v>68.530554570683719</v>
      </c>
      <c r="M13">
        <v>65.91204447573152</v>
      </c>
      <c r="N13">
        <v>66.242096208176449</v>
      </c>
      <c r="O13">
        <v>67.572169665578201</v>
      </c>
      <c r="P13">
        <v>60.955496809701408</v>
      </c>
      <c r="Q13">
        <v>61.403550726934604</v>
      </c>
      <c r="R13">
        <v>57.399077762947257</v>
      </c>
      <c r="S13">
        <v>57.507403104238996</v>
      </c>
      <c r="T13">
        <v>57.579498783977513</v>
      </c>
      <c r="U13">
        <v>57.51852081673087</v>
      </c>
      <c r="V13">
        <v>59.294792240102858</v>
      </c>
      <c r="W13">
        <v>59.443948990934601</v>
      </c>
      <c r="X13">
        <v>60.489530324483454</v>
      </c>
      <c r="Y13">
        <v>60.374536372713969</v>
      </c>
      <c r="Z13">
        <v>60.030472820663014</v>
      </c>
      <c r="AA13">
        <v>59.580790838184029</v>
      </c>
      <c r="AB13">
        <v>58.659649052155281</v>
      </c>
      <c r="AC13">
        <v>58.121650246318062</v>
      </c>
      <c r="AD13">
        <v>57.438483806794665</v>
      </c>
      <c r="AE13">
        <v>57.117990239020997</v>
      </c>
      <c r="AF13">
        <v>56.97304224598463</v>
      </c>
      <c r="AG13">
        <v>56.961467242193393</v>
      </c>
      <c r="AH13">
        <v>57.128675693618675</v>
      </c>
      <c r="AI13">
        <v>57.227761485307902</v>
      </c>
      <c r="AJ13">
        <v>57.333777005966482</v>
      </c>
      <c r="AK13">
        <v>57.302458638213658</v>
      </c>
      <c r="AL13">
        <v>57.167543656552219</v>
      </c>
      <c r="AM13">
        <v>56.951206579587989</v>
      </c>
      <c r="AN13">
        <v>56.668262721356086</v>
      </c>
      <c r="AO13">
        <v>56.404513451441765</v>
      </c>
      <c r="AP13">
        <v>56.166433246879897</v>
      </c>
      <c r="AQ13">
        <v>55.999142371734472</v>
      </c>
      <c r="AR13">
        <v>55.895610963352929</v>
      </c>
      <c r="AS13">
        <v>55.842089916940004</v>
      </c>
      <c r="AT13">
        <v>55.822108899280487</v>
      </c>
      <c r="AU13">
        <v>55.802574431632657</v>
      </c>
      <c r="AV13">
        <v>55.771508699466288</v>
      </c>
      <c r="AW13">
        <v>55.712874818932207</v>
      </c>
      <c r="AX13">
        <v>55.627361549471516</v>
      </c>
      <c r="AY13">
        <v>55.521215826572607</v>
      </c>
      <c r="AZ13">
        <v>55.403638647046961</v>
      </c>
      <c r="BA13">
        <v>55.288329731098571</v>
      </c>
    </row>
    <row r="14" spans="1:53" x14ac:dyDescent="0.2">
      <c r="A14" t="s">
        <v>13</v>
      </c>
      <c r="B14" t="s">
        <v>151</v>
      </c>
      <c r="C14" t="s">
        <v>142</v>
      </c>
      <c r="D14" t="s">
        <v>4</v>
      </c>
      <c r="E14">
        <v>3.8755052300141744</v>
      </c>
      <c r="F14">
        <v>1.8629662585016942</v>
      </c>
      <c r="G14">
        <v>1.9140535792568918</v>
      </c>
      <c r="H14">
        <v>1.1533765014491797</v>
      </c>
      <c r="I14">
        <v>1.2151700164617134</v>
      </c>
      <c r="J14">
        <v>2.6792806638054669</v>
      </c>
      <c r="K14">
        <v>2.4752082631197649</v>
      </c>
      <c r="L14">
        <v>3.4386226746570867</v>
      </c>
      <c r="M14">
        <v>3.5792015017060015</v>
      </c>
      <c r="N14">
        <v>3.9783537395275235</v>
      </c>
      <c r="O14">
        <v>4.2537827728389495</v>
      </c>
      <c r="P14">
        <v>4.0854272739208604</v>
      </c>
      <c r="Q14">
        <v>4.1955696492260142</v>
      </c>
      <c r="R14">
        <v>4.0235465894308513</v>
      </c>
      <c r="S14">
        <v>4.0816925876953993</v>
      </c>
      <c r="T14">
        <v>4.1199731084566968</v>
      </c>
      <c r="U14">
        <v>4.2054398438927985</v>
      </c>
      <c r="V14">
        <v>4.4107310539025946</v>
      </c>
      <c r="W14">
        <v>4.5686255782017104</v>
      </c>
      <c r="X14">
        <v>4.7921173047079542</v>
      </c>
      <c r="Y14">
        <v>4.9450275013611282</v>
      </c>
      <c r="Z14">
        <v>5.0730405234293725</v>
      </c>
      <c r="AA14">
        <v>5.1626688589930714</v>
      </c>
      <c r="AB14">
        <v>5.204238184720956</v>
      </c>
      <c r="AC14">
        <v>5.2448519121790653</v>
      </c>
      <c r="AD14">
        <v>5.266872701308472</v>
      </c>
      <c r="AE14">
        <v>5.3079302708933618</v>
      </c>
      <c r="AF14">
        <v>5.3616776710792111</v>
      </c>
      <c r="AG14">
        <v>5.4314872414952315</v>
      </c>
      <c r="AH14">
        <v>5.5172644901809793</v>
      </c>
      <c r="AI14">
        <v>5.6044128388736496</v>
      </c>
      <c r="AJ14">
        <v>5.6931234299149196</v>
      </c>
      <c r="AK14">
        <v>5.77177663384568</v>
      </c>
      <c r="AL14">
        <v>5.8399422061042703</v>
      </c>
      <c r="AM14">
        <v>5.8964655922026896</v>
      </c>
      <c r="AN14">
        <v>5.9422687440655304</v>
      </c>
      <c r="AO14">
        <v>5.9825672138116142</v>
      </c>
      <c r="AP14">
        <v>6.0195407686847195</v>
      </c>
      <c r="AQ14">
        <v>6.0578149407052946</v>
      </c>
      <c r="AR14">
        <v>6.0988021181928289</v>
      </c>
      <c r="AS14">
        <v>6.1431982708540449</v>
      </c>
      <c r="AT14">
        <v>6.1904293513747106</v>
      </c>
      <c r="AU14">
        <v>6.2383795527385866</v>
      </c>
      <c r="AV14">
        <v>6.2854359570443101</v>
      </c>
      <c r="AW14">
        <v>6.3295851650178783</v>
      </c>
      <c r="AX14">
        <v>6.3699384005690627</v>
      </c>
      <c r="AY14">
        <v>6.4062515138816165</v>
      </c>
      <c r="AZ14">
        <v>6.4389827476223811</v>
      </c>
      <c r="BA14">
        <v>6.4692030754340779</v>
      </c>
    </row>
    <row r="15" spans="1:53" x14ac:dyDescent="0.2">
      <c r="A15" t="s">
        <v>14</v>
      </c>
      <c r="B15" t="s">
        <v>152</v>
      </c>
      <c r="C15" t="s">
        <v>142</v>
      </c>
      <c r="D15" t="s">
        <v>4</v>
      </c>
      <c r="E15">
        <v>138.81197644654534</v>
      </c>
      <c r="F15">
        <v>105.77886410677448</v>
      </c>
      <c r="G15">
        <v>94.445809816202086</v>
      </c>
      <c r="H15">
        <v>88.156704454717982</v>
      </c>
      <c r="I15">
        <v>71.257427487872661</v>
      </c>
      <c r="J15">
        <v>103.72195501346282</v>
      </c>
      <c r="K15">
        <v>87.887219171626995</v>
      </c>
      <c r="L15">
        <v>96.217753782958951</v>
      </c>
      <c r="M15">
        <v>91.422184604047715</v>
      </c>
      <c r="N15">
        <v>87.912989351688438</v>
      </c>
      <c r="O15">
        <v>90.409473589055423</v>
      </c>
      <c r="P15">
        <v>80.689432915254969</v>
      </c>
      <c r="Q15">
        <v>81.147512260441417</v>
      </c>
      <c r="R15">
        <v>77.252165465575331</v>
      </c>
      <c r="S15">
        <v>78.589136132749999</v>
      </c>
      <c r="T15">
        <v>81.187963738569294</v>
      </c>
      <c r="U15">
        <v>82.549051181926828</v>
      </c>
      <c r="V15">
        <v>86.212229862501147</v>
      </c>
      <c r="W15">
        <v>87.032650370632624</v>
      </c>
      <c r="X15">
        <v>88.360321156156814</v>
      </c>
      <c r="Y15">
        <v>88.029657712317942</v>
      </c>
      <c r="Z15">
        <v>87.048939015129648</v>
      </c>
      <c r="AA15">
        <v>86.254594443579236</v>
      </c>
      <c r="AB15">
        <v>85.045478024100035</v>
      </c>
      <c r="AC15">
        <v>84.686399560636076</v>
      </c>
      <c r="AD15">
        <v>84.413165540126059</v>
      </c>
      <c r="AE15">
        <v>84.685573309844628</v>
      </c>
      <c r="AF15">
        <v>85.242878542583981</v>
      </c>
      <c r="AG15">
        <v>85.838638989057543</v>
      </c>
      <c r="AH15">
        <v>86.542132846539644</v>
      </c>
      <c r="AI15">
        <v>86.994224403539462</v>
      </c>
      <c r="AJ15">
        <v>87.319142065462216</v>
      </c>
      <c r="AK15">
        <v>87.395196600193344</v>
      </c>
      <c r="AL15">
        <v>87.295304149905007</v>
      </c>
      <c r="AM15">
        <v>87.116968031059031</v>
      </c>
      <c r="AN15">
        <v>86.897361514844761</v>
      </c>
      <c r="AO15">
        <v>86.76812510663909</v>
      </c>
      <c r="AP15">
        <v>86.732139351752451</v>
      </c>
      <c r="AQ15">
        <v>86.822844776136876</v>
      </c>
      <c r="AR15">
        <v>87.007686486579757</v>
      </c>
      <c r="AS15">
        <v>87.235528703184585</v>
      </c>
      <c r="AT15">
        <v>87.467911130434615</v>
      </c>
      <c r="AU15">
        <v>87.652062074665466</v>
      </c>
      <c r="AV15">
        <v>87.776334234390305</v>
      </c>
      <c r="AW15">
        <v>87.833931121903959</v>
      </c>
      <c r="AX15">
        <v>87.841519420344937</v>
      </c>
      <c r="AY15">
        <v>87.824083604239789</v>
      </c>
      <c r="AZ15">
        <v>87.80341373693571</v>
      </c>
      <c r="BA15">
        <v>87.801444628219443</v>
      </c>
    </row>
    <row r="16" spans="1:53" x14ac:dyDescent="0.2">
      <c r="A16" t="s">
        <v>15</v>
      </c>
      <c r="B16" t="s">
        <v>153</v>
      </c>
      <c r="C16" t="s">
        <v>142</v>
      </c>
      <c r="D16" t="s">
        <v>4</v>
      </c>
      <c r="E16">
        <v>15.752686040059693</v>
      </c>
      <c r="F16">
        <v>7.2337852863729726</v>
      </c>
      <c r="G16">
        <v>-6.5289232493186855E-2</v>
      </c>
      <c r="H16">
        <v>2.6840571793935335</v>
      </c>
      <c r="I16">
        <v>-0.25828247444659402</v>
      </c>
      <c r="J16">
        <v>3.1853032189353008</v>
      </c>
      <c r="K16">
        <v>0.57415410167302039</v>
      </c>
      <c r="L16">
        <v>0.90683852364002449</v>
      </c>
      <c r="M16">
        <v>1.2540705806364276</v>
      </c>
      <c r="N16">
        <v>0.28775458101049639</v>
      </c>
      <c r="O16">
        <v>0.70807263991015479</v>
      </c>
      <c r="P16">
        <v>-0.65672515574320967</v>
      </c>
      <c r="Q16">
        <v>-0.70222034794401988</v>
      </c>
      <c r="R16">
        <v>-1.1631433342611872</v>
      </c>
      <c r="S16">
        <v>-1.457997459129611</v>
      </c>
      <c r="T16">
        <v>-1.4519518759496637</v>
      </c>
      <c r="U16">
        <v>-1.8225137404666822</v>
      </c>
      <c r="V16">
        <v>-1.8000585987207969</v>
      </c>
      <c r="W16">
        <v>-2.0581201069429786</v>
      </c>
      <c r="X16">
        <v>-2.2105552852286023</v>
      </c>
      <c r="Y16">
        <v>-2.4006307849739561</v>
      </c>
      <c r="Z16">
        <v>-2.6619884478837097</v>
      </c>
      <c r="AA16">
        <v>-2.8323292727050924</v>
      </c>
      <c r="AB16">
        <v>-3.0871733463708559</v>
      </c>
      <c r="AC16">
        <v>-3.2751801134370528</v>
      </c>
      <c r="AD16">
        <v>-3.4808666660001695</v>
      </c>
      <c r="AE16">
        <v>-3.6652152048674806</v>
      </c>
      <c r="AF16">
        <v>-3.8144962946237229</v>
      </c>
      <c r="AG16">
        <v>-3.9664699357113937</v>
      </c>
      <c r="AH16">
        <v>-4.0860315497967221</v>
      </c>
      <c r="AI16">
        <v>-4.2138905789765042</v>
      </c>
      <c r="AJ16">
        <v>-4.3357777221011222</v>
      </c>
      <c r="AK16">
        <v>-4.4627656111792149</v>
      </c>
      <c r="AL16">
        <v>-4.5979596683388158</v>
      </c>
      <c r="AM16">
        <v>-4.7305473715258932</v>
      </c>
      <c r="AN16">
        <v>-4.8656944055127012</v>
      </c>
      <c r="AO16">
        <v>-4.9918004178518043</v>
      </c>
      <c r="AP16">
        <v>-5.1110297268617124</v>
      </c>
      <c r="AQ16">
        <v>-5.2211072519761723</v>
      </c>
      <c r="AR16">
        <v>-5.3222514808780605</v>
      </c>
      <c r="AS16">
        <v>-5.4181158698592133</v>
      </c>
      <c r="AT16">
        <v>-5.5085492683514934</v>
      </c>
      <c r="AU16">
        <v>-5.5969682170640702</v>
      </c>
      <c r="AV16">
        <v>-5.6834099144428061</v>
      </c>
      <c r="AW16">
        <v>-5.768697861027607</v>
      </c>
      <c r="AX16">
        <v>-5.8529324520871775</v>
      </c>
      <c r="AY16">
        <v>-5.9352603679676728</v>
      </c>
      <c r="AZ16">
        <v>-6.0155592590191826</v>
      </c>
      <c r="BA16">
        <v>-6.092799657680021</v>
      </c>
    </row>
    <row r="17" spans="1:53" x14ac:dyDescent="0.2">
      <c r="A17" t="s">
        <v>16</v>
      </c>
      <c r="B17" t="s">
        <v>154</v>
      </c>
      <c r="C17" t="s">
        <v>142</v>
      </c>
      <c r="D17" t="s">
        <v>4</v>
      </c>
      <c r="E17">
        <v>642.98804220718353</v>
      </c>
      <c r="F17">
        <v>647.05251030437762</v>
      </c>
      <c r="G17">
        <v>631.18842709928947</v>
      </c>
      <c r="H17">
        <v>706.92372010376994</v>
      </c>
      <c r="I17">
        <v>576.47365736811139</v>
      </c>
      <c r="J17">
        <v>744.03882840797314</v>
      </c>
      <c r="K17">
        <v>710.36215708596023</v>
      </c>
      <c r="L17">
        <v>763.32680536660257</v>
      </c>
      <c r="M17">
        <v>772.79792587660802</v>
      </c>
      <c r="N17">
        <v>755.64352719597969</v>
      </c>
      <c r="O17">
        <v>782.86502719013333</v>
      </c>
      <c r="P17">
        <v>738.76862146471524</v>
      </c>
      <c r="Q17">
        <v>733.6276760835766</v>
      </c>
      <c r="R17">
        <v>708.44504992604084</v>
      </c>
      <c r="S17">
        <v>700.52858839782391</v>
      </c>
      <c r="T17">
        <v>707.87259470732147</v>
      </c>
      <c r="U17">
        <v>709.30469258872586</v>
      </c>
      <c r="V17">
        <v>727.03196984169256</v>
      </c>
      <c r="W17">
        <v>734.43899616241913</v>
      </c>
      <c r="X17">
        <v>744.55117528391247</v>
      </c>
      <c r="Y17">
        <v>748.57240159584751</v>
      </c>
      <c r="Z17">
        <v>746.85695928447933</v>
      </c>
      <c r="AA17">
        <v>745.02369374794182</v>
      </c>
      <c r="AB17">
        <v>738.93951048484814</v>
      </c>
      <c r="AC17">
        <v>735.36665851340467</v>
      </c>
      <c r="AD17">
        <v>731.71985112725417</v>
      </c>
      <c r="AE17">
        <v>730.18020468587349</v>
      </c>
      <c r="AF17">
        <v>730.809278893341</v>
      </c>
      <c r="AG17">
        <v>732.28180313809685</v>
      </c>
      <c r="AH17">
        <v>735.31556424956932</v>
      </c>
      <c r="AI17">
        <v>737.9864155002075</v>
      </c>
      <c r="AJ17">
        <v>740.47224220237899</v>
      </c>
      <c r="AK17">
        <v>741.97380521076241</v>
      </c>
      <c r="AL17">
        <v>742.33792648132419</v>
      </c>
      <c r="AM17">
        <v>741.92840112482293</v>
      </c>
      <c r="AN17">
        <v>740.78997193122655</v>
      </c>
      <c r="AO17">
        <v>739.63951651588536</v>
      </c>
      <c r="AP17">
        <v>738.68803944304466</v>
      </c>
      <c r="AQ17">
        <v>738.26796090971959</v>
      </c>
      <c r="AR17">
        <v>738.44435226774351</v>
      </c>
      <c r="AS17">
        <v>739.06059273354401</v>
      </c>
      <c r="AT17">
        <v>739.97837038534999</v>
      </c>
      <c r="AU17">
        <v>740.89957054892398</v>
      </c>
      <c r="AV17">
        <v>741.67195320321321</v>
      </c>
      <c r="AW17">
        <v>742.16513758833594</v>
      </c>
      <c r="AX17">
        <v>742.35840025146911</v>
      </c>
      <c r="AY17">
        <v>742.31961135631798</v>
      </c>
      <c r="AZ17">
        <v>742.13300491503196</v>
      </c>
      <c r="BA17">
        <v>741.92377341176734</v>
      </c>
    </row>
    <row r="18" spans="1:53" x14ac:dyDescent="0.2">
      <c r="A18" t="s">
        <v>17</v>
      </c>
      <c r="B18" t="s">
        <v>155</v>
      </c>
      <c r="C18" t="s">
        <v>142</v>
      </c>
      <c r="D18" t="s">
        <v>4</v>
      </c>
      <c r="E18">
        <v>186.02699152927062</v>
      </c>
      <c r="F18">
        <v>147.42370200252523</v>
      </c>
      <c r="G18">
        <v>178.82896721447676</v>
      </c>
      <c r="H18">
        <v>158.22436048966938</v>
      </c>
      <c r="I18">
        <v>126.29578564629668</v>
      </c>
      <c r="J18">
        <v>168.82830191522501</v>
      </c>
      <c r="K18">
        <v>158.82277460938278</v>
      </c>
      <c r="L18">
        <v>177.27988894734901</v>
      </c>
      <c r="M18">
        <v>167.63087677293004</v>
      </c>
      <c r="N18">
        <v>165.89193360459387</v>
      </c>
      <c r="O18">
        <v>170.04935984439294</v>
      </c>
      <c r="P18">
        <v>158.48392597429614</v>
      </c>
      <c r="Q18">
        <v>157.82741285442671</v>
      </c>
      <c r="R18">
        <v>150.04118143155412</v>
      </c>
      <c r="S18">
        <v>151.06143570528326</v>
      </c>
      <c r="T18">
        <v>153.56658859138776</v>
      </c>
      <c r="U18">
        <v>155.93906898904814</v>
      </c>
      <c r="V18">
        <v>161.34667250782567</v>
      </c>
      <c r="W18">
        <v>163.33190138269293</v>
      </c>
      <c r="X18">
        <v>166.23357242374806</v>
      </c>
      <c r="Y18">
        <v>166.5130198470253</v>
      </c>
      <c r="Z18">
        <v>165.88263409304588</v>
      </c>
      <c r="AA18">
        <v>164.9984715065799</v>
      </c>
      <c r="AB18">
        <v>163.44769733864516</v>
      </c>
      <c r="AC18">
        <v>162.8939401286184</v>
      </c>
      <c r="AD18">
        <v>162.37730575491622</v>
      </c>
      <c r="AE18">
        <v>162.67024897071173</v>
      </c>
      <c r="AF18">
        <v>163.36327480879859</v>
      </c>
      <c r="AG18">
        <v>164.26860586262882</v>
      </c>
      <c r="AH18">
        <v>165.41365495557937</v>
      </c>
      <c r="AI18">
        <v>166.31677379975159</v>
      </c>
      <c r="AJ18">
        <v>167.09866179656478</v>
      </c>
      <c r="AK18">
        <v>167.5217571263571</v>
      </c>
      <c r="AL18">
        <v>167.66647704086256</v>
      </c>
      <c r="AM18">
        <v>167.61452314934809</v>
      </c>
      <c r="AN18">
        <v>167.43073338808389</v>
      </c>
      <c r="AO18">
        <v>167.30621539659703</v>
      </c>
      <c r="AP18">
        <v>167.27702864877938</v>
      </c>
      <c r="AQ18">
        <v>167.42560882167925</v>
      </c>
      <c r="AR18">
        <v>167.72523324205559</v>
      </c>
      <c r="AS18">
        <v>168.12219918058031</v>
      </c>
      <c r="AT18">
        <v>168.55784776567856</v>
      </c>
      <c r="AU18">
        <v>168.95040383679776</v>
      </c>
      <c r="AV18">
        <v>169.26849501627066</v>
      </c>
      <c r="AW18">
        <v>169.48741445598978</v>
      </c>
      <c r="AX18">
        <v>169.62120413470626</v>
      </c>
      <c r="AY18">
        <v>169.69829709769689</v>
      </c>
      <c r="AZ18">
        <v>169.75024820136804</v>
      </c>
      <c r="BA18">
        <v>169.81148064512698</v>
      </c>
    </row>
    <row r="19" spans="1:53" x14ac:dyDescent="0.2">
      <c r="A19" t="s">
        <v>18</v>
      </c>
      <c r="B19" t="s">
        <v>156</v>
      </c>
      <c r="C19" t="s">
        <v>142</v>
      </c>
      <c r="D19" t="s">
        <v>4</v>
      </c>
      <c r="E19">
        <v>219.74166195999879</v>
      </c>
      <c r="F19">
        <v>190.78600721267816</v>
      </c>
      <c r="G19">
        <v>150.71595253014158</v>
      </c>
      <c r="H19">
        <v>151.17528094539014</v>
      </c>
      <c r="I19">
        <v>143.85782950871507</v>
      </c>
      <c r="J19">
        <v>198.755984361369</v>
      </c>
      <c r="K19">
        <v>196.88650644175507</v>
      </c>
      <c r="L19">
        <v>219.77445884635674</v>
      </c>
      <c r="M19">
        <v>228.08229857189687</v>
      </c>
      <c r="N19">
        <v>229.28911023034283</v>
      </c>
      <c r="O19">
        <v>231.25343539961261</v>
      </c>
      <c r="P19">
        <v>213.69123886720178</v>
      </c>
      <c r="Q19">
        <v>205.36530613917142</v>
      </c>
      <c r="R19">
        <v>193.12503859884933</v>
      </c>
      <c r="S19">
        <v>188.41519592345375</v>
      </c>
      <c r="T19">
        <v>188.94620999991145</v>
      </c>
      <c r="U19">
        <v>191.24341912305692</v>
      </c>
      <c r="V19">
        <v>198.92488682963304</v>
      </c>
      <c r="W19">
        <v>204.63430001441012</v>
      </c>
      <c r="X19">
        <v>210.49536610075393</v>
      </c>
      <c r="Y19">
        <v>213.26878965341893</v>
      </c>
      <c r="Z19">
        <v>213.37686692506713</v>
      </c>
      <c r="AA19">
        <v>212.0348662640653</v>
      </c>
      <c r="AB19">
        <v>208.94446936273911</v>
      </c>
      <c r="AC19">
        <v>206.23656177054647</v>
      </c>
      <c r="AD19">
        <v>203.77063542332147</v>
      </c>
      <c r="AE19">
        <v>202.51464611006719</v>
      </c>
      <c r="AF19">
        <v>202.47738786676828</v>
      </c>
      <c r="AG19">
        <v>203.32113451112377</v>
      </c>
      <c r="AH19">
        <v>204.93251841855533</v>
      </c>
      <c r="AI19">
        <v>206.58134248679136</v>
      </c>
      <c r="AJ19">
        <v>208.0635662595291</v>
      </c>
      <c r="AK19">
        <v>208.98607679091768</v>
      </c>
      <c r="AL19">
        <v>209.26715001743668</v>
      </c>
      <c r="AM19">
        <v>209.01050155503361</v>
      </c>
      <c r="AN19">
        <v>208.35134076734363</v>
      </c>
      <c r="AO19">
        <v>207.60669077218319</v>
      </c>
      <c r="AP19">
        <v>206.96483655785215</v>
      </c>
      <c r="AQ19">
        <v>206.61021699183704</v>
      </c>
      <c r="AR19">
        <v>206.59403309690367</v>
      </c>
      <c r="AS19">
        <v>206.86670804317799</v>
      </c>
      <c r="AT19">
        <v>207.33330377054568</v>
      </c>
      <c r="AU19">
        <v>207.84420396598199</v>
      </c>
      <c r="AV19">
        <v>208.28900470252265</v>
      </c>
      <c r="AW19">
        <v>208.58303580751453</v>
      </c>
      <c r="AX19">
        <v>208.70147649656238</v>
      </c>
      <c r="AY19">
        <v>208.66850041888125</v>
      </c>
      <c r="AZ19">
        <v>208.53551007308059</v>
      </c>
      <c r="BA19">
        <v>208.37267824126141</v>
      </c>
    </row>
    <row r="20" spans="1:53" x14ac:dyDescent="0.2">
      <c r="A20" t="s">
        <v>19</v>
      </c>
      <c r="B20" t="s">
        <v>157</v>
      </c>
      <c r="C20" t="s">
        <v>142</v>
      </c>
      <c r="D20" t="s">
        <v>4</v>
      </c>
      <c r="E20">
        <v>760.11364084037166</v>
      </c>
      <c r="F20">
        <v>590.00053602122739</v>
      </c>
      <c r="G20">
        <v>458.38898197457701</v>
      </c>
      <c r="H20">
        <v>462.69296377183406</v>
      </c>
      <c r="I20">
        <v>319.12056272013751</v>
      </c>
      <c r="J20">
        <v>487.1593343295184</v>
      </c>
      <c r="K20">
        <v>429.14940425895981</v>
      </c>
      <c r="L20">
        <v>489.62748501623992</v>
      </c>
      <c r="M20">
        <v>505.51203082551996</v>
      </c>
      <c r="N20">
        <v>498.67770925951203</v>
      </c>
      <c r="O20">
        <v>530.7985649878334</v>
      </c>
      <c r="P20">
        <v>486.07398962461281</v>
      </c>
      <c r="Q20">
        <v>485.91721104305975</v>
      </c>
      <c r="R20">
        <v>461.24668445793873</v>
      </c>
      <c r="S20">
        <v>454.37083930631269</v>
      </c>
      <c r="T20">
        <v>458.83035208841312</v>
      </c>
      <c r="U20">
        <v>455.83088575950802</v>
      </c>
      <c r="V20">
        <v>470.14308908001834</v>
      </c>
      <c r="W20">
        <v>474.42732430080679</v>
      </c>
      <c r="X20">
        <v>484.33963214152988</v>
      </c>
      <c r="Y20">
        <v>489.45041659449168</v>
      </c>
      <c r="Z20">
        <v>490.42116323093876</v>
      </c>
      <c r="AA20">
        <v>491.6396020509892</v>
      </c>
      <c r="AB20">
        <v>487.81234864992683</v>
      </c>
      <c r="AC20">
        <v>485.61744382901969</v>
      </c>
      <c r="AD20">
        <v>481.99452044375118</v>
      </c>
      <c r="AE20">
        <v>479.8437748585439</v>
      </c>
      <c r="AF20">
        <v>479.48869091764817</v>
      </c>
      <c r="AG20">
        <v>480.05654901287073</v>
      </c>
      <c r="AH20">
        <v>482.55995646682891</v>
      </c>
      <c r="AI20">
        <v>485.05646310247755</v>
      </c>
      <c r="AJ20">
        <v>487.79315383257756</v>
      </c>
      <c r="AK20">
        <v>489.78342169559153</v>
      </c>
      <c r="AL20">
        <v>490.79667149641983</v>
      </c>
      <c r="AM20">
        <v>491.06742183874127</v>
      </c>
      <c r="AN20">
        <v>490.52778634044768</v>
      </c>
      <c r="AO20">
        <v>489.84089513284965</v>
      </c>
      <c r="AP20">
        <v>489.15027989584075</v>
      </c>
      <c r="AQ20">
        <v>488.80860207452969</v>
      </c>
      <c r="AR20">
        <v>488.91676483024122</v>
      </c>
      <c r="AS20">
        <v>489.39857594938383</v>
      </c>
      <c r="AT20">
        <v>490.20393293611073</v>
      </c>
      <c r="AU20">
        <v>491.0968362106687</v>
      </c>
      <c r="AV20">
        <v>491.96241853912517</v>
      </c>
      <c r="AW20">
        <v>492.65760645700021</v>
      </c>
      <c r="AX20">
        <v>493.12447635594219</v>
      </c>
      <c r="AY20">
        <v>493.37707831796138</v>
      </c>
      <c r="AZ20">
        <v>493.45052361487876</v>
      </c>
      <c r="BA20">
        <v>493.44060472425338</v>
      </c>
    </row>
    <row r="21" spans="1:53" x14ac:dyDescent="0.2">
      <c r="A21" t="s">
        <v>20</v>
      </c>
      <c r="B21" t="s">
        <v>158</v>
      </c>
      <c r="C21" t="s">
        <v>142</v>
      </c>
      <c r="D21" t="s">
        <v>4</v>
      </c>
      <c r="E21">
        <v>14.08284847296795</v>
      </c>
      <c r="F21">
        <v>14.51799774384626</v>
      </c>
      <c r="G21">
        <v>13.853164632841915</v>
      </c>
      <c r="H21">
        <v>10.300299380668967</v>
      </c>
      <c r="I21">
        <v>7.6823812769886572</v>
      </c>
      <c r="J21">
        <v>8.38205313700721</v>
      </c>
      <c r="K21">
        <v>7.085675720330264</v>
      </c>
      <c r="L21">
        <v>7.2633699321357863</v>
      </c>
      <c r="M21">
        <v>6.7838528955121555</v>
      </c>
      <c r="N21">
        <v>6.8825658054988503</v>
      </c>
      <c r="O21">
        <v>7.0993129018919232</v>
      </c>
      <c r="P21">
        <v>6.6126449568868289</v>
      </c>
      <c r="Q21">
        <v>6.4299680628812608</v>
      </c>
      <c r="R21">
        <v>5.8649559806069966</v>
      </c>
      <c r="S21">
        <v>5.5568058487805212</v>
      </c>
      <c r="T21">
        <v>5.2116329411627778</v>
      </c>
      <c r="U21">
        <v>4.8367554527577603</v>
      </c>
      <c r="V21">
        <v>4.5906750814880279</v>
      </c>
      <c r="W21">
        <v>4.2784564514081209</v>
      </c>
      <c r="X21">
        <v>4.0907945286904575</v>
      </c>
      <c r="Y21">
        <v>3.8854481579921831</v>
      </c>
      <c r="Z21">
        <v>3.7149108302104525</v>
      </c>
      <c r="AA21">
        <v>3.5650315906512899</v>
      </c>
      <c r="AB21">
        <v>3.3879874849593232</v>
      </c>
      <c r="AC21">
        <v>3.2188264692335617</v>
      </c>
      <c r="AD21">
        <v>3.0095993561488319</v>
      </c>
      <c r="AE21">
        <v>2.7967854249029793</v>
      </c>
      <c r="AF21">
        <v>2.5791552290451367</v>
      </c>
      <c r="AG21">
        <v>2.370138253059443</v>
      </c>
      <c r="AH21">
        <v>2.1861436008944501</v>
      </c>
      <c r="AI21">
        <v>2.0188191404169502</v>
      </c>
      <c r="AJ21">
        <v>1.8753001444551889</v>
      </c>
      <c r="AK21">
        <v>1.7425550635663729</v>
      </c>
      <c r="AL21">
        <v>1.6168323480421123</v>
      </c>
      <c r="AM21">
        <v>1.492721667944108</v>
      </c>
      <c r="AN21">
        <v>1.3656919976411943</v>
      </c>
      <c r="AO21">
        <v>1.2380028104241076</v>
      </c>
      <c r="AP21">
        <v>1.1087620220406138</v>
      </c>
      <c r="AQ21">
        <v>0.98159884215128668</v>
      </c>
      <c r="AR21">
        <v>0.85789793881070031</v>
      </c>
      <c r="AS21">
        <v>0.73935796347176375</v>
      </c>
      <c r="AT21">
        <v>0.62749070866882473</v>
      </c>
      <c r="AU21">
        <v>0.52212907707154477</v>
      </c>
      <c r="AV21">
        <v>0.42352021540572454</v>
      </c>
      <c r="AW21">
        <v>0.33046160894487481</v>
      </c>
      <c r="AX21">
        <v>0.24188144282496904</v>
      </c>
      <c r="AY21">
        <v>0.15645980109686941</v>
      </c>
      <c r="AZ21">
        <v>7.2996796502948574E-2</v>
      </c>
      <c r="BA21">
        <v>-9.0213469155226884E-3</v>
      </c>
    </row>
    <row r="22" spans="1:53" x14ac:dyDescent="0.2">
      <c r="A22" t="s">
        <v>21</v>
      </c>
      <c r="B22" t="s">
        <v>159</v>
      </c>
      <c r="C22" t="s">
        <v>142</v>
      </c>
      <c r="D22" t="s">
        <v>4</v>
      </c>
      <c r="E22">
        <v>154.68462205505065</v>
      </c>
      <c r="F22">
        <v>179.6379894372445</v>
      </c>
      <c r="G22">
        <v>174.86318943372009</v>
      </c>
      <c r="H22">
        <v>178.03118367370294</v>
      </c>
      <c r="I22">
        <v>150.13222131579596</v>
      </c>
      <c r="J22">
        <v>201.87908159967526</v>
      </c>
      <c r="K22">
        <v>189.00245352484208</v>
      </c>
      <c r="L22">
        <v>201.33036130944171</v>
      </c>
      <c r="M22">
        <v>202.62014165424932</v>
      </c>
      <c r="N22">
        <v>202.23097326238027</v>
      </c>
      <c r="O22">
        <v>211.0531651046565</v>
      </c>
      <c r="P22">
        <v>200.84005532824173</v>
      </c>
      <c r="Q22">
        <v>201.49719836705313</v>
      </c>
      <c r="R22">
        <v>196.1445591605972</v>
      </c>
      <c r="S22">
        <v>195.79845013967815</v>
      </c>
      <c r="T22">
        <v>198.11073364332805</v>
      </c>
      <c r="U22">
        <v>198.7639960175932</v>
      </c>
      <c r="V22">
        <v>203.46762160817855</v>
      </c>
      <c r="W22">
        <v>205.46188898264239</v>
      </c>
      <c r="X22">
        <v>208.58076216272642</v>
      </c>
      <c r="Y22">
        <v>210.13703005664837</v>
      </c>
      <c r="Z22">
        <v>210.57056527128805</v>
      </c>
      <c r="AA22">
        <v>211.04663581696542</v>
      </c>
      <c r="AB22">
        <v>210.46366227602894</v>
      </c>
      <c r="AC22">
        <v>210.48516922791939</v>
      </c>
      <c r="AD22">
        <v>210.29268147625683</v>
      </c>
      <c r="AE22">
        <v>210.54079025682739</v>
      </c>
      <c r="AF22">
        <v>211.18907540134416</v>
      </c>
      <c r="AG22">
        <v>211.98605533886092</v>
      </c>
      <c r="AH22">
        <v>213.14473903751755</v>
      </c>
      <c r="AI22">
        <v>214.20252482146444</v>
      </c>
      <c r="AJ22">
        <v>215.25450394502786</v>
      </c>
      <c r="AK22">
        <v>216.0834746725547</v>
      </c>
      <c r="AL22">
        <v>216.66452841730262</v>
      </c>
      <c r="AM22">
        <v>217.06474518131077</v>
      </c>
      <c r="AN22">
        <v>217.27813563915382</v>
      </c>
      <c r="AO22">
        <v>217.46976343295091</v>
      </c>
      <c r="AP22">
        <v>217.67247031070079</v>
      </c>
      <c r="AQ22">
        <v>217.96870741513354</v>
      </c>
      <c r="AR22">
        <v>218.37201574292175</v>
      </c>
      <c r="AS22">
        <v>218.85352610699931</v>
      </c>
      <c r="AT22">
        <v>219.39009193507076</v>
      </c>
      <c r="AU22">
        <v>219.91793164794856</v>
      </c>
      <c r="AV22">
        <v>220.40905463136389</v>
      </c>
      <c r="AW22">
        <v>220.83354500262269</v>
      </c>
      <c r="AX22">
        <v>221.18650596796189</v>
      </c>
      <c r="AY22">
        <v>221.48026080526131</v>
      </c>
      <c r="AZ22">
        <v>221.73019262017749</v>
      </c>
      <c r="BA22">
        <v>221.9624480801329</v>
      </c>
    </row>
    <row r="23" spans="1:53" x14ac:dyDescent="0.2">
      <c r="A23" t="s">
        <v>22</v>
      </c>
      <c r="B23" t="s">
        <v>160</v>
      </c>
      <c r="C23" t="s">
        <v>142</v>
      </c>
      <c r="D23" t="s">
        <v>4</v>
      </c>
      <c r="E23">
        <v>212.58221366411527</v>
      </c>
      <c r="F23">
        <v>140.63458404066364</v>
      </c>
      <c r="G23">
        <v>87.320280463420616</v>
      </c>
      <c r="H23">
        <v>76.899777049070252</v>
      </c>
      <c r="I23">
        <v>85.633590871181667</v>
      </c>
      <c r="J23">
        <v>132.97833862882962</v>
      </c>
      <c r="K23">
        <v>125.64273973565639</v>
      </c>
      <c r="L23">
        <v>139.74530413413672</v>
      </c>
      <c r="M23">
        <v>141.50521540827654</v>
      </c>
      <c r="N23">
        <v>144.15065278934838</v>
      </c>
      <c r="O23">
        <v>143.76300030162989</v>
      </c>
      <c r="P23">
        <v>130.5666500593635</v>
      </c>
      <c r="Q23">
        <v>126.48562459523167</v>
      </c>
      <c r="R23">
        <v>119.97783103792349</v>
      </c>
      <c r="S23">
        <v>120.4234667503307</v>
      </c>
      <c r="T23">
        <v>122.73763642042577</v>
      </c>
      <c r="U23">
        <v>125.7972440848131</v>
      </c>
      <c r="V23">
        <v>131.53879890999025</v>
      </c>
      <c r="W23">
        <v>135.02810479835148</v>
      </c>
      <c r="X23">
        <v>138.55980637946269</v>
      </c>
      <c r="Y23">
        <v>139.61848277924011</v>
      </c>
      <c r="Z23">
        <v>139.37491277776132</v>
      </c>
      <c r="AA23">
        <v>138.45692402349874</v>
      </c>
      <c r="AB23">
        <v>136.76615239302609</v>
      </c>
      <c r="AC23">
        <v>135.65050711613668</v>
      </c>
      <c r="AD23">
        <v>134.73368109171449</v>
      </c>
      <c r="AE23">
        <v>134.70212675034691</v>
      </c>
      <c r="AF23">
        <v>135.34055789321476</v>
      </c>
      <c r="AG23">
        <v>136.44176619703225</v>
      </c>
      <c r="AH23">
        <v>137.88099579249172</v>
      </c>
      <c r="AI23">
        <v>139.17451168619314</v>
      </c>
      <c r="AJ23">
        <v>140.26363692838788</v>
      </c>
      <c r="AK23">
        <v>140.91047124595559</v>
      </c>
      <c r="AL23">
        <v>141.15248531342837</v>
      </c>
      <c r="AM23">
        <v>141.09107203219639</v>
      </c>
      <c r="AN23">
        <v>140.84826173915067</v>
      </c>
      <c r="AO23">
        <v>140.63557703303627</v>
      </c>
      <c r="AP23">
        <v>140.5436007978482</v>
      </c>
      <c r="AQ23">
        <v>140.66302225746139</v>
      </c>
      <c r="AR23">
        <v>140.9813809800215</v>
      </c>
      <c r="AS23">
        <v>141.44183005221811</v>
      </c>
      <c r="AT23">
        <v>141.96956076202278</v>
      </c>
      <c r="AU23">
        <v>142.47072318542274</v>
      </c>
      <c r="AV23">
        <v>142.89144627351206</v>
      </c>
      <c r="AW23">
        <v>143.19539766098322</v>
      </c>
      <c r="AX23">
        <v>143.38687947291365</v>
      </c>
      <c r="AY23">
        <v>143.49341402724912</v>
      </c>
      <c r="AZ23">
        <v>143.55353092112907</v>
      </c>
      <c r="BA23">
        <v>143.61095059786234</v>
      </c>
    </row>
    <row r="24" spans="1:53" x14ac:dyDescent="0.2">
      <c r="A24" t="s">
        <v>23</v>
      </c>
      <c r="B24" t="s">
        <v>161</v>
      </c>
      <c r="C24" t="s">
        <v>142</v>
      </c>
      <c r="D24" t="s">
        <v>4</v>
      </c>
      <c r="E24">
        <v>281.7043345507351</v>
      </c>
      <c r="F24">
        <v>186.74583023035214</v>
      </c>
      <c r="G24">
        <v>161.01482919113968</v>
      </c>
      <c r="H24">
        <v>129.48654336556172</v>
      </c>
      <c r="I24">
        <v>125.93456036391417</v>
      </c>
      <c r="J24">
        <v>192.13832970750454</v>
      </c>
      <c r="K24">
        <v>173.85762986704515</v>
      </c>
      <c r="L24">
        <v>203.44840655553912</v>
      </c>
      <c r="M24">
        <v>204.08669814817395</v>
      </c>
      <c r="N24">
        <v>211.87834931809579</v>
      </c>
      <c r="O24">
        <v>215.97448554531098</v>
      </c>
      <c r="P24">
        <v>198.40432941672864</v>
      </c>
      <c r="Q24">
        <v>195.28767485309447</v>
      </c>
      <c r="R24">
        <v>182.81916490424746</v>
      </c>
      <c r="S24">
        <v>181.46782852538689</v>
      </c>
      <c r="T24">
        <v>181.32874551176062</v>
      </c>
      <c r="U24">
        <v>182.77197687751456</v>
      </c>
      <c r="V24">
        <v>189.51096853575251</v>
      </c>
      <c r="W24">
        <v>193.27662395513363</v>
      </c>
      <c r="X24">
        <v>198.93148578844784</v>
      </c>
      <c r="Y24">
        <v>201.13341902733077</v>
      </c>
      <c r="Z24">
        <v>201.89219178121198</v>
      </c>
      <c r="AA24">
        <v>201.41879511139061</v>
      </c>
      <c r="AB24">
        <v>199.23608701098476</v>
      </c>
      <c r="AC24">
        <v>197.56286124730423</v>
      </c>
      <c r="AD24">
        <v>195.56284983854101</v>
      </c>
      <c r="AE24">
        <v>194.68918660090321</v>
      </c>
      <c r="AF24">
        <v>194.63796890061403</v>
      </c>
      <c r="AG24">
        <v>195.34814022919426</v>
      </c>
      <c r="AH24">
        <v>196.78577038622299</v>
      </c>
      <c r="AI24">
        <v>198.22783098741436</v>
      </c>
      <c r="AJ24">
        <v>199.65820859408552</v>
      </c>
      <c r="AK24">
        <v>200.59795238291304</v>
      </c>
      <c r="AL24">
        <v>201.04848688155187</v>
      </c>
      <c r="AM24">
        <v>201.04534944396372</v>
      </c>
      <c r="AN24">
        <v>200.68321749289029</v>
      </c>
      <c r="AO24">
        <v>200.24684064000425</v>
      </c>
      <c r="AP24">
        <v>199.85102069530302</v>
      </c>
      <c r="AQ24">
        <v>199.6791085951547</v>
      </c>
      <c r="AR24">
        <v>199.75812832359631</v>
      </c>
      <c r="AS24">
        <v>200.0637097793585</v>
      </c>
      <c r="AT24">
        <v>200.52961126800957</v>
      </c>
      <c r="AU24">
        <v>201.0344671721092</v>
      </c>
      <c r="AV24">
        <v>201.50052262945238</v>
      </c>
      <c r="AW24">
        <v>201.85062380725577</v>
      </c>
      <c r="AX24">
        <v>202.06424233874111</v>
      </c>
      <c r="AY24">
        <v>202.15278408232695</v>
      </c>
      <c r="AZ24">
        <v>202.15172662914759</v>
      </c>
      <c r="BA24">
        <v>202.11628015119075</v>
      </c>
    </row>
    <row r="25" spans="1:53" x14ac:dyDescent="0.2">
      <c r="A25" t="s">
        <v>24</v>
      </c>
      <c r="B25" t="s">
        <v>162</v>
      </c>
      <c r="C25" t="s">
        <v>163</v>
      </c>
      <c r="D25" t="s">
        <v>4</v>
      </c>
      <c r="E25">
        <v>642.30146787648107</v>
      </c>
      <c r="F25">
        <v>538.73335926130312</v>
      </c>
      <c r="G25">
        <v>665.81765377564318</v>
      </c>
      <c r="H25">
        <v>614.33219705745535</v>
      </c>
      <c r="I25">
        <v>520.35835164876198</v>
      </c>
      <c r="J25">
        <v>705.92362267516546</v>
      </c>
      <c r="K25">
        <v>653.17178664002518</v>
      </c>
      <c r="L25">
        <v>745.1741446931095</v>
      </c>
      <c r="M25">
        <v>744.4445945038218</v>
      </c>
      <c r="N25">
        <v>772.1633121038285</v>
      </c>
      <c r="O25">
        <v>812.9793502025492</v>
      </c>
      <c r="P25">
        <v>784.39825257965208</v>
      </c>
      <c r="Q25">
        <v>797.05939336837059</v>
      </c>
      <c r="R25">
        <v>772.06205065375866</v>
      </c>
      <c r="S25">
        <v>774.38329694012168</v>
      </c>
      <c r="T25">
        <v>778.37382750701079</v>
      </c>
      <c r="U25">
        <v>782.78998051386895</v>
      </c>
      <c r="V25">
        <v>804.2348649320752</v>
      </c>
      <c r="W25">
        <v>817.27893138854768</v>
      </c>
      <c r="X25">
        <v>839.2506789683116</v>
      </c>
      <c r="Y25">
        <v>853.7941186710226</v>
      </c>
      <c r="Z25">
        <v>865.51256751162646</v>
      </c>
      <c r="AA25">
        <v>874.7572845319861</v>
      </c>
      <c r="AB25">
        <v>878.28336931476872</v>
      </c>
      <c r="AC25">
        <v>882.58320116417042</v>
      </c>
      <c r="AD25">
        <v>884.30804705635887</v>
      </c>
      <c r="AE25">
        <v>887.74249747567455</v>
      </c>
      <c r="AF25">
        <v>892.34570234472824</v>
      </c>
      <c r="AG25">
        <v>898.25061191903376</v>
      </c>
      <c r="AH25">
        <v>906.12033067020513</v>
      </c>
      <c r="AI25">
        <v>914.13471161633458</v>
      </c>
      <c r="AJ25">
        <v>922.63078944955555</v>
      </c>
      <c r="AK25">
        <v>930.25225110177951</v>
      </c>
      <c r="AL25">
        <v>936.86144238015754</v>
      </c>
      <c r="AM25">
        <v>942.34908525899959</v>
      </c>
      <c r="AN25">
        <v>946.64614833437861</v>
      </c>
      <c r="AO25">
        <v>950.37327966742714</v>
      </c>
      <c r="AP25">
        <v>953.699135414686</v>
      </c>
      <c r="AQ25">
        <v>957.1436510500256</v>
      </c>
      <c r="AR25">
        <v>960.87115081015656</v>
      </c>
      <c r="AS25">
        <v>964.9443556607564</v>
      </c>
      <c r="AT25">
        <v>969.33964777979338</v>
      </c>
      <c r="AU25">
        <v>973.82560912123859</v>
      </c>
      <c r="AV25">
        <v>978.25879199273322</v>
      </c>
      <c r="AW25">
        <v>982.43070585706619</v>
      </c>
      <c r="AX25">
        <v>986.24788140975818</v>
      </c>
      <c r="AY25">
        <v>989.6821693380009</v>
      </c>
      <c r="AZ25">
        <v>992.76233680708037</v>
      </c>
      <c r="BA25">
        <v>995.59075271719416</v>
      </c>
    </row>
    <row r="26" spans="1:53" x14ac:dyDescent="0.2">
      <c r="A26" t="s">
        <v>25</v>
      </c>
      <c r="B26" t="s">
        <v>164</v>
      </c>
      <c r="C26" t="s">
        <v>163</v>
      </c>
      <c r="D26" t="s">
        <v>4</v>
      </c>
      <c r="E26">
        <v>253.62988539601173</v>
      </c>
      <c r="F26">
        <v>154.23936160784314</v>
      </c>
      <c r="G26">
        <v>162.64380947522253</v>
      </c>
      <c r="H26">
        <v>152.86693550008283</v>
      </c>
      <c r="I26">
        <v>120.05833889624149</v>
      </c>
      <c r="J26">
        <v>190.72033456211227</v>
      </c>
      <c r="K26">
        <v>158.90723490970117</v>
      </c>
      <c r="L26">
        <v>185.96280364973219</v>
      </c>
      <c r="M26">
        <v>181.07540394143621</v>
      </c>
      <c r="N26">
        <v>183.27828493856583</v>
      </c>
      <c r="O26">
        <v>194.14998969837347</v>
      </c>
      <c r="P26">
        <v>179.19333747585651</v>
      </c>
      <c r="Q26">
        <v>184.64441587019454</v>
      </c>
      <c r="R26">
        <v>177.46748380173585</v>
      </c>
      <c r="S26">
        <v>180.60312002550629</v>
      </c>
      <c r="T26">
        <v>184.2324349918012</v>
      </c>
      <c r="U26">
        <v>185.98045755007516</v>
      </c>
      <c r="V26">
        <v>193.28125988352551</v>
      </c>
      <c r="W26">
        <v>195.81884349604357</v>
      </c>
      <c r="X26">
        <v>201.05871120646478</v>
      </c>
      <c r="Y26">
        <v>203.46963388068789</v>
      </c>
      <c r="Z26">
        <v>205.12727515256211</v>
      </c>
      <c r="AA26">
        <v>206.78629954098983</v>
      </c>
      <c r="AB26">
        <v>206.95786207769703</v>
      </c>
      <c r="AC26">
        <v>208.14692210246912</v>
      </c>
      <c r="AD26">
        <v>208.7475354027161</v>
      </c>
      <c r="AE26">
        <v>210.10290703914848</v>
      </c>
      <c r="AF26">
        <v>211.81517119674001</v>
      </c>
      <c r="AG26">
        <v>213.69735528890195</v>
      </c>
      <c r="AH26">
        <v>216.01122259069703</v>
      </c>
      <c r="AI26">
        <v>218.06596507173504</v>
      </c>
      <c r="AJ26">
        <v>220.12123029308847</v>
      </c>
      <c r="AK26">
        <v>221.80610585425762</v>
      </c>
      <c r="AL26">
        <v>223.19048265324042</v>
      </c>
      <c r="AM26">
        <v>224.34536659589992</v>
      </c>
      <c r="AN26">
        <v>225.26776409571571</v>
      </c>
      <c r="AO26">
        <v>226.18319940750311</v>
      </c>
      <c r="AP26">
        <v>227.08841898633037</v>
      </c>
      <c r="AQ26">
        <v>228.09850389700691</v>
      </c>
      <c r="AR26">
        <v>229.20247030186732</v>
      </c>
      <c r="AS26">
        <v>230.36800111036479</v>
      </c>
      <c r="AT26">
        <v>231.5698721500338</v>
      </c>
      <c r="AU26">
        <v>232.7292316553287</v>
      </c>
      <c r="AV26">
        <v>233.82530012421327</v>
      </c>
      <c r="AW26">
        <v>234.82021014233203</v>
      </c>
      <c r="AX26">
        <v>235.71510737993532</v>
      </c>
      <c r="AY26">
        <v>236.52499659301424</v>
      </c>
      <c r="AZ26">
        <v>237.26872735025825</v>
      </c>
      <c r="BA26">
        <v>237.97942585481672</v>
      </c>
    </row>
    <row r="27" spans="1:53" x14ac:dyDescent="0.2">
      <c r="A27" t="s">
        <v>26</v>
      </c>
      <c r="B27" t="s">
        <v>165</v>
      </c>
      <c r="C27" t="s">
        <v>163</v>
      </c>
      <c r="D27" t="s">
        <v>4</v>
      </c>
      <c r="E27">
        <v>67.065047815472269</v>
      </c>
      <c r="F27">
        <v>48.878182293617456</v>
      </c>
      <c r="G27">
        <v>58.204695767353805</v>
      </c>
      <c r="H27">
        <v>50.679439797939963</v>
      </c>
      <c r="I27">
        <v>42.442791168836727</v>
      </c>
      <c r="J27">
        <v>62.42311360655895</v>
      </c>
      <c r="K27">
        <v>54.689235830329515</v>
      </c>
      <c r="L27">
        <v>62.756550752419471</v>
      </c>
      <c r="M27">
        <v>59.68544279794186</v>
      </c>
      <c r="N27">
        <v>61.229938213466511</v>
      </c>
      <c r="O27">
        <v>63.840543188268697</v>
      </c>
      <c r="P27">
        <v>60.09518169357667</v>
      </c>
      <c r="Q27">
        <v>61.572240212024312</v>
      </c>
      <c r="R27">
        <v>59.426274496667851</v>
      </c>
      <c r="S27">
        <v>60.734576172617821</v>
      </c>
      <c r="T27">
        <v>61.833890459452228</v>
      </c>
      <c r="U27">
        <v>62.786150357997109</v>
      </c>
      <c r="V27">
        <v>65.010420422623042</v>
      </c>
      <c r="W27">
        <v>65.891852300779604</v>
      </c>
      <c r="X27">
        <v>67.47355890262142</v>
      </c>
      <c r="Y27">
        <v>68.08769967614046</v>
      </c>
      <c r="Z27">
        <v>68.549424514171037</v>
      </c>
      <c r="AA27">
        <v>68.930403825496185</v>
      </c>
      <c r="AB27">
        <v>68.988318840994154</v>
      </c>
      <c r="AC27">
        <v>69.368784971449841</v>
      </c>
      <c r="AD27">
        <v>69.618304508280431</v>
      </c>
      <c r="AE27">
        <v>70.121174565277968</v>
      </c>
      <c r="AF27">
        <v>70.699985380627226</v>
      </c>
      <c r="AG27">
        <v>71.331310688505027</v>
      </c>
      <c r="AH27">
        <v>72.050681686999823</v>
      </c>
      <c r="AI27">
        <v>72.679537091889046</v>
      </c>
      <c r="AJ27">
        <v>73.293182516773072</v>
      </c>
      <c r="AK27">
        <v>73.786868961038053</v>
      </c>
      <c r="AL27">
        <v>74.196505483319342</v>
      </c>
      <c r="AM27">
        <v>74.537108188739509</v>
      </c>
      <c r="AN27">
        <v>74.818839239713412</v>
      </c>
      <c r="AO27">
        <v>75.104189640497069</v>
      </c>
      <c r="AP27">
        <v>75.39352659198336</v>
      </c>
      <c r="AQ27">
        <v>75.719511753910766</v>
      </c>
      <c r="AR27">
        <v>76.073683577142518</v>
      </c>
      <c r="AS27">
        <v>76.445370914910598</v>
      </c>
      <c r="AT27">
        <v>76.822365600584121</v>
      </c>
      <c r="AU27">
        <v>77.181134559239709</v>
      </c>
      <c r="AV27">
        <v>77.515424484701882</v>
      </c>
      <c r="AW27">
        <v>77.815595061433385</v>
      </c>
      <c r="AX27">
        <v>78.084888365105158</v>
      </c>
      <c r="AY27">
        <v>78.329507230918338</v>
      </c>
      <c r="AZ27">
        <v>78.556988853843464</v>
      </c>
      <c r="BA27">
        <v>78.777321392068927</v>
      </c>
    </row>
    <row r="28" spans="1:53" x14ac:dyDescent="0.2">
      <c r="A28" t="s">
        <v>27</v>
      </c>
      <c r="B28" t="s">
        <v>166</v>
      </c>
      <c r="C28" t="s">
        <v>163</v>
      </c>
      <c r="D28" t="s">
        <v>4</v>
      </c>
      <c r="E28">
        <v>162.4224362467325</v>
      </c>
      <c r="F28">
        <v>100.20649687430634</v>
      </c>
      <c r="G28">
        <v>105.12867452856892</v>
      </c>
      <c r="H28">
        <v>54.019966245081825</v>
      </c>
      <c r="I28">
        <v>44.644409717231504</v>
      </c>
      <c r="J28">
        <v>73.257541961256564</v>
      </c>
      <c r="K28">
        <v>70.106576862761287</v>
      </c>
      <c r="L28">
        <v>77.529991963858336</v>
      </c>
      <c r="M28">
        <v>73.260841627571509</v>
      </c>
      <c r="N28">
        <v>76.244409378323581</v>
      </c>
      <c r="O28">
        <v>79.525954201540458</v>
      </c>
      <c r="P28">
        <v>72.690521495829486</v>
      </c>
      <c r="Q28">
        <v>71.13039142110452</v>
      </c>
      <c r="R28">
        <v>66.244413355759193</v>
      </c>
      <c r="S28">
        <v>66.700705105740155</v>
      </c>
      <c r="T28">
        <v>67.580893425245904</v>
      </c>
      <c r="U28">
        <v>68.64653614904114</v>
      </c>
      <c r="V28">
        <v>71.376809859924293</v>
      </c>
      <c r="W28">
        <v>72.578027097447318</v>
      </c>
      <c r="X28">
        <v>74.415429948836774</v>
      </c>
      <c r="Y28">
        <v>74.781564671695932</v>
      </c>
      <c r="Z28">
        <v>74.668566825093592</v>
      </c>
      <c r="AA28">
        <v>74.265984049411657</v>
      </c>
      <c r="AB28">
        <v>73.413008279222893</v>
      </c>
      <c r="AC28">
        <v>72.939873296126279</v>
      </c>
      <c r="AD28">
        <v>72.379748081797104</v>
      </c>
      <c r="AE28">
        <v>72.243310935751623</v>
      </c>
      <c r="AF28">
        <v>72.3530685099945</v>
      </c>
      <c r="AG28">
        <v>72.678174236086818</v>
      </c>
      <c r="AH28">
        <v>73.215788374042262</v>
      </c>
      <c r="AI28">
        <v>73.697630547707874</v>
      </c>
      <c r="AJ28">
        <v>74.152341214429043</v>
      </c>
      <c r="AK28">
        <v>74.411993735329446</v>
      </c>
      <c r="AL28">
        <v>74.499441744256814</v>
      </c>
      <c r="AM28">
        <v>74.439111056029205</v>
      </c>
      <c r="AN28">
        <v>74.272475563564143</v>
      </c>
      <c r="AO28">
        <v>74.110555814192253</v>
      </c>
      <c r="AP28">
        <v>73.98751710730815</v>
      </c>
      <c r="AQ28">
        <v>73.962280119057041</v>
      </c>
      <c r="AR28">
        <v>74.02940179440877</v>
      </c>
      <c r="AS28">
        <v>74.167824439849952</v>
      </c>
      <c r="AT28">
        <v>74.346506900758456</v>
      </c>
      <c r="AU28">
        <v>74.519510468032067</v>
      </c>
      <c r="AV28">
        <v>74.664261419021472</v>
      </c>
      <c r="AW28">
        <v>74.760189783764076</v>
      </c>
      <c r="AX28">
        <v>74.808485041379527</v>
      </c>
      <c r="AY28">
        <v>74.819247405952183</v>
      </c>
      <c r="AZ28">
        <v>74.807745780281323</v>
      </c>
      <c r="BA28">
        <v>74.793401080243754</v>
      </c>
    </row>
    <row r="29" spans="1:53" x14ac:dyDescent="0.2">
      <c r="A29" t="s">
        <v>28</v>
      </c>
      <c r="B29" t="s">
        <v>167</v>
      </c>
      <c r="C29" t="s">
        <v>163</v>
      </c>
      <c r="D29" t="s">
        <v>4</v>
      </c>
      <c r="E29">
        <v>141.1660297000177</v>
      </c>
      <c r="F29">
        <v>175.02359907387338</v>
      </c>
      <c r="G29">
        <v>87.605205444031014</v>
      </c>
      <c r="H29">
        <v>32.320964514274493</v>
      </c>
      <c r="I29">
        <v>51.750982355473823</v>
      </c>
      <c r="J29">
        <v>103.27212225800366</v>
      </c>
      <c r="K29">
        <v>110.29889870449411</v>
      </c>
      <c r="L29">
        <v>111.22939876852742</v>
      </c>
      <c r="M29">
        <v>115.35241570249464</v>
      </c>
      <c r="N29">
        <v>124.10955088587751</v>
      </c>
      <c r="O29">
        <v>126.16756808608805</v>
      </c>
      <c r="P29">
        <v>116.56374565396986</v>
      </c>
      <c r="Q29">
        <v>108.6562842425744</v>
      </c>
      <c r="R29">
        <v>102.20300469639477</v>
      </c>
      <c r="S29">
        <v>100.1239598242</v>
      </c>
      <c r="T29">
        <v>99.963086688412787</v>
      </c>
      <c r="U29">
        <v>101.06010957848046</v>
      </c>
      <c r="V29">
        <v>104.32001612116754</v>
      </c>
      <c r="W29">
        <v>107.54148913360122</v>
      </c>
      <c r="X29">
        <v>110.63078747546629</v>
      </c>
      <c r="Y29">
        <v>112.11678304910639</v>
      </c>
      <c r="Z29">
        <v>112.19566862823545</v>
      </c>
      <c r="AA29">
        <v>111.28474902601681</v>
      </c>
      <c r="AB29">
        <v>109.57180894058013</v>
      </c>
      <c r="AC29">
        <v>107.79863360260252</v>
      </c>
      <c r="AD29">
        <v>106.13335359102058</v>
      </c>
      <c r="AE29">
        <v>105.06591113785932</v>
      </c>
      <c r="AF29">
        <v>104.67892084476181</v>
      </c>
      <c r="AG29">
        <v>104.88692668480176</v>
      </c>
      <c r="AH29">
        <v>105.53662252939441</v>
      </c>
      <c r="AI29">
        <v>106.29350054659582</v>
      </c>
      <c r="AJ29">
        <v>106.96962193689714</v>
      </c>
      <c r="AK29">
        <v>107.35257315898369</v>
      </c>
      <c r="AL29">
        <v>107.37928936052504</v>
      </c>
      <c r="AM29">
        <v>107.08309481846766</v>
      </c>
      <c r="AN29">
        <v>106.56008149010466</v>
      </c>
      <c r="AO29">
        <v>105.97170895898185</v>
      </c>
      <c r="AP29">
        <v>105.44045707072425</v>
      </c>
      <c r="AQ29">
        <v>105.06741024212506</v>
      </c>
      <c r="AR29">
        <v>104.88553445567851</v>
      </c>
      <c r="AS29">
        <v>104.87546920852893</v>
      </c>
      <c r="AT29">
        <v>104.98336412575628</v>
      </c>
      <c r="AU29">
        <v>105.13213953638159</v>
      </c>
      <c r="AV29">
        <v>105.25666448545749</v>
      </c>
      <c r="AW29">
        <v>105.30807437792625</v>
      </c>
      <c r="AX29">
        <v>105.2681649454333</v>
      </c>
      <c r="AY29">
        <v>105.14516057187672</v>
      </c>
      <c r="AZ29">
        <v>104.96569637382409</v>
      </c>
      <c r="BA29">
        <v>104.76682656644381</v>
      </c>
    </row>
    <row r="30" spans="1:53" x14ac:dyDescent="0.2">
      <c r="A30" t="s">
        <v>29</v>
      </c>
      <c r="B30" t="s">
        <v>168</v>
      </c>
      <c r="C30" t="s">
        <v>163</v>
      </c>
      <c r="D30" t="s">
        <v>4</v>
      </c>
      <c r="E30">
        <v>41.905877542826445</v>
      </c>
      <c r="F30">
        <v>26.275041539319336</v>
      </c>
      <c r="G30">
        <v>32.251826515097008</v>
      </c>
      <c r="H30">
        <v>31.584411392425935</v>
      </c>
      <c r="I30">
        <v>29.823638864168558</v>
      </c>
      <c r="J30">
        <v>38.896535278600261</v>
      </c>
      <c r="K30">
        <v>37.212556517835381</v>
      </c>
      <c r="L30">
        <v>41.99714719384103</v>
      </c>
      <c r="M30">
        <v>43.253953507659588</v>
      </c>
      <c r="N30">
        <v>44.307082518711425</v>
      </c>
      <c r="O30">
        <v>46.158021080828462</v>
      </c>
      <c r="P30">
        <v>44.484923923951868</v>
      </c>
      <c r="Q30">
        <v>44.742006416838173</v>
      </c>
      <c r="R30">
        <v>43.517999891717075</v>
      </c>
      <c r="S30">
        <v>43.553280470038409</v>
      </c>
      <c r="T30">
        <v>44.090485059953394</v>
      </c>
      <c r="U30">
        <v>44.72210102501645</v>
      </c>
      <c r="V30">
        <v>46.256354059006263</v>
      </c>
      <c r="W30">
        <v>47.339827827714771</v>
      </c>
      <c r="X30">
        <v>48.652764129372208</v>
      </c>
      <c r="Y30">
        <v>49.511857835370037</v>
      </c>
      <c r="Z30">
        <v>50.079623430040371</v>
      </c>
      <c r="AA30">
        <v>50.499232616601354</v>
      </c>
      <c r="AB30">
        <v>50.640380879017457</v>
      </c>
      <c r="AC30">
        <v>50.855391861793642</v>
      </c>
      <c r="AD30">
        <v>51.018129594538742</v>
      </c>
      <c r="AE30">
        <v>51.304484356811379</v>
      </c>
      <c r="AF30">
        <v>51.693229142903611</v>
      </c>
      <c r="AG30">
        <v>52.154568753229107</v>
      </c>
      <c r="AH30">
        <v>52.708951377674431</v>
      </c>
      <c r="AI30">
        <v>53.255159589067446</v>
      </c>
      <c r="AJ30">
        <v>53.796424582548489</v>
      </c>
      <c r="AK30">
        <v>54.269961607855819</v>
      </c>
      <c r="AL30">
        <v>54.666228230544284</v>
      </c>
      <c r="AM30">
        <v>54.990453640097016</v>
      </c>
      <c r="AN30">
        <v>55.247786601012756</v>
      </c>
      <c r="AO30">
        <v>55.478440996496239</v>
      </c>
      <c r="AP30">
        <v>55.699625160922338</v>
      </c>
      <c r="AQ30">
        <v>55.93887174972113</v>
      </c>
      <c r="AR30">
        <v>56.204248305294186</v>
      </c>
      <c r="AS30">
        <v>56.493081076120141</v>
      </c>
      <c r="AT30">
        <v>56.797825829384308</v>
      </c>
      <c r="AU30">
        <v>57.101071409089492</v>
      </c>
      <c r="AV30">
        <v>57.391599564298943</v>
      </c>
      <c r="AW30">
        <v>57.658527678058789</v>
      </c>
      <c r="AX30">
        <v>57.898569379705272</v>
      </c>
      <c r="AY30">
        <v>58.113666767615108</v>
      </c>
      <c r="AZ30">
        <v>58.308675716146723</v>
      </c>
      <c r="BA30">
        <v>58.491480268348774</v>
      </c>
    </row>
    <row r="31" spans="1:53" x14ac:dyDescent="0.2">
      <c r="A31" t="s">
        <v>30</v>
      </c>
      <c r="B31" t="s">
        <v>169</v>
      </c>
      <c r="C31" t="s">
        <v>163</v>
      </c>
      <c r="D31" t="s">
        <v>4</v>
      </c>
      <c r="E31">
        <v>307.4905645766471</v>
      </c>
      <c r="F31">
        <v>343.26745374999132</v>
      </c>
      <c r="G31">
        <v>228.69896696593653</v>
      </c>
      <c r="H31">
        <v>280.70485366673603</v>
      </c>
      <c r="I31">
        <v>106.94935053498571</v>
      </c>
      <c r="J31">
        <v>272.24233599809673</v>
      </c>
      <c r="K31">
        <v>234.13676405991831</v>
      </c>
      <c r="L31">
        <v>272.57017346215918</v>
      </c>
      <c r="M31">
        <v>295.56658665086121</v>
      </c>
      <c r="N31">
        <v>285.46264823658163</v>
      </c>
      <c r="O31">
        <v>329.25744909753342</v>
      </c>
      <c r="P31">
        <v>300.08727407553795</v>
      </c>
      <c r="Q31">
        <v>309.14130878929308</v>
      </c>
      <c r="R31">
        <v>300.59045770826975</v>
      </c>
      <c r="S31">
        <v>301.84325009814921</v>
      </c>
      <c r="T31">
        <v>317.97704234638718</v>
      </c>
      <c r="U31">
        <v>323.9318107639001</v>
      </c>
      <c r="V31">
        <v>346.24041001118911</v>
      </c>
      <c r="W31">
        <v>359.58792625274867</v>
      </c>
      <c r="X31">
        <v>376.65858111011948</v>
      </c>
      <c r="Y31">
        <v>390.52340436273346</v>
      </c>
      <c r="Z31">
        <v>399.33085883262783</v>
      </c>
      <c r="AA31">
        <v>408.97857573788582</v>
      </c>
      <c r="AB31">
        <v>413.87439857866195</v>
      </c>
      <c r="AC31">
        <v>420.20411409868723</v>
      </c>
      <c r="AD31">
        <v>425.42173071384281</v>
      </c>
      <c r="AE31">
        <v>431.38715104660707</v>
      </c>
      <c r="AF31">
        <v>438.81624425756269</v>
      </c>
      <c r="AG31">
        <v>446.4510005602981</v>
      </c>
      <c r="AH31">
        <v>455.44180197639059</v>
      </c>
      <c r="AI31">
        <v>464.08921593410525</v>
      </c>
      <c r="AJ31">
        <v>472.64590310624993</v>
      </c>
      <c r="AK31">
        <v>480.44704986787139</v>
      </c>
      <c r="AL31">
        <v>487.2042989728306</v>
      </c>
      <c r="AM31">
        <v>493.2248259167107</v>
      </c>
      <c r="AN31">
        <v>498.37221278511419</v>
      </c>
      <c r="AO31">
        <v>503.21598379348956</v>
      </c>
      <c r="AP31">
        <v>507.87524320015581</v>
      </c>
      <c r="AQ31">
        <v>512.62155188835243</v>
      </c>
      <c r="AR31">
        <v>517.57209963195839</v>
      </c>
      <c r="AS31">
        <v>522.6434074895119</v>
      </c>
      <c r="AT31">
        <v>527.81347139542322</v>
      </c>
      <c r="AU31">
        <v>532.88364898517284</v>
      </c>
      <c r="AV31">
        <v>537.7633390004371</v>
      </c>
      <c r="AW31">
        <v>542.34793538142912</v>
      </c>
      <c r="AX31">
        <v>546.59392343999889</v>
      </c>
      <c r="AY31">
        <v>550.52989846918581</v>
      </c>
      <c r="AZ31">
        <v>554.19038512390716</v>
      </c>
      <c r="BA31">
        <v>557.66168348803728</v>
      </c>
    </row>
    <row r="32" spans="1:53" x14ac:dyDescent="0.2">
      <c r="A32" t="s">
        <v>31</v>
      </c>
      <c r="B32" t="s">
        <v>170</v>
      </c>
      <c r="C32" t="s">
        <v>163</v>
      </c>
      <c r="D32" t="s">
        <v>4</v>
      </c>
      <c r="E32">
        <v>77.315738127012196</v>
      </c>
      <c r="F32">
        <v>61.706000413808013</v>
      </c>
      <c r="G32">
        <v>68.652862940889676</v>
      </c>
      <c r="H32">
        <v>43.823661529091936</v>
      </c>
      <c r="I32">
        <v>44.094892901464448</v>
      </c>
      <c r="J32">
        <v>64.771953330605712</v>
      </c>
      <c r="K32">
        <v>55.754639323091716</v>
      </c>
      <c r="L32">
        <v>67.930082429609342</v>
      </c>
      <c r="M32">
        <v>63.955313155862562</v>
      </c>
      <c r="N32">
        <v>71.591507430173493</v>
      </c>
      <c r="O32">
        <v>73.826169770139316</v>
      </c>
      <c r="P32">
        <v>70.937197140671131</v>
      </c>
      <c r="Q32">
        <v>72.22262690330497</v>
      </c>
      <c r="R32">
        <v>68.911699289865552</v>
      </c>
      <c r="S32">
        <v>70.628506634229169</v>
      </c>
      <c r="T32">
        <v>70.781393559630914</v>
      </c>
      <c r="U32">
        <v>72.194362730940767</v>
      </c>
      <c r="V32">
        <v>74.708651088608818</v>
      </c>
      <c r="W32">
        <v>76.313020371847202</v>
      </c>
      <c r="X32">
        <v>78.997517953712091</v>
      </c>
      <c r="Y32">
        <v>80.362620111074875</v>
      </c>
      <c r="Z32">
        <v>81.802409550696993</v>
      </c>
      <c r="AA32">
        <v>82.72466625474074</v>
      </c>
      <c r="AB32">
        <v>83.240025640250181</v>
      </c>
      <c r="AC32">
        <v>83.869227775725193</v>
      </c>
      <c r="AD32">
        <v>84.20141080729276</v>
      </c>
      <c r="AE32">
        <v>84.841827362487038</v>
      </c>
      <c r="AF32">
        <v>85.530420103769458</v>
      </c>
      <c r="AG32">
        <v>86.421881057513829</v>
      </c>
      <c r="AH32">
        <v>87.472293388167898</v>
      </c>
      <c r="AI32">
        <v>88.513734432749544</v>
      </c>
      <c r="AJ32">
        <v>89.58857448647413</v>
      </c>
      <c r="AK32">
        <v>90.518148834135872</v>
      </c>
      <c r="AL32">
        <v>91.339517103383301</v>
      </c>
      <c r="AM32">
        <v>92.017534499504279</v>
      </c>
      <c r="AN32">
        <v>92.579561845133213</v>
      </c>
      <c r="AO32">
        <v>93.091959787773732</v>
      </c>
      <c r="AP32">
        <v>93.572367429791299</v>
      </c>
      <c r="AQ32">
        <v>94.08112742872035</v>
      </c>
      <c r="AR32">
        <v>94.618859627247332</v>
      </c>
      <c r="AS32">
        <v>95.192752940243267</v>
      </c>
      <c r="AT32">
        <v>95.789288341224747</v>
      </c>
      <c r="AU32">
        <v>96.382698886625562</v>
      </c>
      <c r="AV32">
        <v>96.958536293771942</v>
      </c>
      <c r="AW32">
        <v>97.495157589795838</v>
      </c>
      <c r="AX32">
        <v>97.988436392358793</v>
      </c>
      <c r="AY32">
        <v>98.43697084498649</v>
      </c>
      <c r="AZ32">
        <v>98.84753916595993</v>
      </c>
      <c r="BA32">
        <v>99.232006846109371</v>
      </c>
    </row>
    <row r="33" spans="1:53" x14ac:dyDescent="0.2">
      <c r="A33" t="s">
        <v>32</v>
      </c>
      <c r="B33" t="s">
        <v>171</v>
      </c>
      <c r="C33" t="s">
        <v>163</v>
      </c>
      <c r="D33" t="s">
        <v>4</v>
      </c>
      <c r="E33">
        <v>82.420240778129113</v>
      </c>
      <c r="F33">
        <v>57.49935912487237</v>
      </c>
      <c r="G33">
        <v>60.182578587069365</v>
      </c>
      <c r="H33">
        <v>35.533974239818029</v>
      </c>
      <c r="I33">
        <v>20.146705048186274</v>
      </c>
      <c r="J33">
        <v>40.46688551086929</v>
      </c>
      <c r="K33">
        <v>32.281234197851127</v>
      </c>
      <c r="L33">
        <v>39.547049145180992</v>
      </c>
      <c r="M33">
        <v>36.135677096801899</v>
      </c>
      <c r="N33">
        <v>36.511843771796876</v>
      </c>
      <c r="O33">
        <v>39.396424482875304</v>
      </c>
      <c r="P33">
        <v>34.747381795082397</v>
      </c>
      <c r="Q33">
        <v>36.138551469743362</v>
      </c>
      <c r="R33">
        <v>33.963312275328093</v>
      </c>
      <c r="S33">
        <v>35.589526312155968</v>
      </c>
      <c r="T33">
        <v>37.387716677560817</v>
      </c>
      <c r="U33">
        <v>38.700526804720901</v>
      </c>
      <c r="V33">
        <v>41.351483496591577</v>
      </c>
      <c r="W33">
        <v>42.334438865327051</v>
      </c>
      <c r="X33">
        <v>43.947663519917022</v>
      </c>
      <c r="Y33">
        <v>44.517068600553777</v>
      </c>
      <c r="Z33">
        <v>44.855090490158872</v>
      </c>
      <c r="AA33">
        <v>45.202865104179466</v>
      </c>
      <c r="AB33">
        <v>45.233688517370823</v>
      </c>
      <c r="AC33">
        <v>45.68769256587003</v>
      </c>
      <c r="AD33">
        <v>46.049569934803422</v>
      </c>
      <c r="AE33">
        <v>46.696831130045531</v>
      </c>
      <c r="AF33">
        <v>47.44621546228931</v>
      </c>
      <c r="AG33">
        <v>48.227948612134043</v>
      </c>
      <c r="AH33">
        <v>49.086683436223048</v>
      </c>
      <c r="AI33">
        <v>49.812446698711767</v>
      </c>
      <c r="AJ33">
        <v>50.489807087762337</v>
      </c>
      <c r="AK33">
        <v>51.018442405073273</v>
      </c>
      <c r="AL33">
        <v>51.443862159400148</v>
      </c>
      <c r="AM33">
        <v>51.801787623453201</v>
      </c>
      <c r="AN33">
        <v>52.108582418194594</v>
      </c>
      <c r="AO33">
        <v>52.438232589426448</v>
      </c>
      <c r="AP33">
        <v>52.788897967203098</v>
      </c>
      <c r="AQ33">
        <v>53.188577195253202</v>
      </c>
      <c r="AR33">
        <v>53.621451349976027</v>
      </c>
      <c r="AS33">
        <v>54.067379509418096</v>
      </c>
      <c r="AT33">
        <v>54.509757831543411</v>
      </c>
      <c r="AU33">
        <v>54.921539570749232</v>
      </c>
      <c r="AV33">
        <v>55.297760310647398</v>
      </c>
      <c r="AW33">
        <v>55.631621205881707</v>
      </c>
      <c r="AX33">
        <v>55.930102757882622</v>
      </c>
      <c r="AY33">
        <v>56.203423929095187</v>
      </c>
      <c r="AZ33">
        <v>56.461473014989721</v>
      </c>
      <c r="BA33">
        <v>56.715762506461438</v>
      </c>
    </row>
    <row r="34" spans="1:53" x14ac:dyDescent="0.2">
      <c r="A34" t="s">
        <v>33</v>
      </c>
      <c r="B34" t="s">
        <v>172</v>
      </c>
      <c r="C34" t="s">
        <v>163</v>
      </c>
      <c r="D34" t="s">
        <v>4</v>
      </c>
      <c r="E34">
        <v>183.75604272260881</v>
      </c>
      <c r="F34">
        <v>153.12239561041511</v>
      </c>
      <c r="G34">
        <v>114.95646301934156</v>
      </c>
      <c r="H34">
        <v>76.703509012179538</v>
      </c>
      <c r="I34">
        <v>50.935941356135174</v>
      </c>
      <c r="J34">
        <v>73.629216101750984</v>
      </c>
      <c r="K34">
        <v>58.152184807808318</v>
      </c>
      <c r="L34">
        <v>72.398455845194874</v>
      </c>
      <c r="M34">
        <v>67.887291610240183</v>
      </c>
      <c r="N34">
        <v>72.716145077999101</v>
      </c>
      <c r="O34">
        <v>76.555376953280003</v>
      </c>
      <c r="P34">
        <v>70.6021030367083</v>
      </c>
      <c r="Q34">
        <v>73.19033214002377</v>
      </c>
      <c r="R34">
        <v>70.852261768437984</v>
      </c>
      <c r="S34">
        <v>75.790733782259764</v>
      </c>
      <c r="T34">
        <v>80.402232434832953</v>
      </c>
      <c r="U34">
        <v>85.158401183395071</v>
      </c>
      <c r="V34">
        <v>91.372398074253056</v>
      </c>
      <c r="W34">
        <v>95.007284593683636</v>
      </c>
      <c r="X34">
        <v>99.403333101487419</v>
      </c>
      <c r="Y34">
        <v>101.82227637622472</v>
      </c>
      <c r="Z34">
        <v>103.97898000830487</v>
      </c>
      <c r="AA34">
        <v>105.87058090587864</v>
      </c>
      <c r="AB34">
        <v>107.28644442224321</v>
      </c>
      <c r="AC34">
        <v>109.20368221321631</v>
      </c>
      <c r="AD34">
        <v>110.89759352056019</v>
      </c>
      <c r="AE34">
        <v>113.05542065181889</v>
      </c>
      <c r="AF34">
        <v>115.35518235345153</v>
      </c>
      <c r="AG34">
        <v>117.80425651674942</v>
      </c>
      <c r="AH34">
        <v>120.39060980301264</v>
      </c>
      <c r="AI34">
        <v>122.7858599130149</v>
      </c>
      <c r="AJ34">
        <v>125.0599096322313</v>
      </c>
      <c r="AK34">
        <v>127.00445274130217</v>
      </c>
      <c r="AL34">
        <v>128.69344018051379</v>
      </c>
      <c r="AM34">
        <v>130.17124578778149</v>
      </c>
      <c r="AN34">
        <v>131.50691046265641</v>
      </c>
      <c r="AO34">
        <v>132.83870340581871</v>
      </c>
      <c r="AP34">
        <v>134.19068364748378</v>
      </c>
      <c r="AQ34">
        <v>135.62095904960844</v>
      </c>
      <c r="AR34">
        <v>137.1002332149051</v>
      </c>
      <c r="AS34">
        <v>138.59416505929823</v>
      </c>
      <c r="AT34">
        <v>140.06298973629015</v>
      </c>
      <c r="AU34">
        <v>141.45768044417269</v>
      </c>
      <c r="AV34">
        <v>142.76429852851439</v>
      </c>
      <c r="AW34">
        <v>143.96924140978101</v>
      </c>
      <c r="AX34">
        <v>145.08464414677377</v>
      </c>
      <c r="AY34">
        <v>146.12748211560097</v>
      </c>
      <c r="AZ34">
        <v>147.1175762666781</v>
      </c>
      <c r="BA34">
        <v>148.07694794735065</v>
      </c>
    </row>
    <row r="35" spans="1:53" x14ac:dyDescent="0.2">
      <c r="A35" t="s">
        <v>34</v>
      </c>
      <c r="B35" t="s">
        <v>173</v>
      </c>
      <c r="C35" t="s">
        <v>163</v>
      </c>
      <c r="D35" t="s">
        <v>4</v>
      </c>
      <c r="E35">
        <v>193.49905911643867</v>
      </c>
      <c r="F35">
        <v>135.52623586377186</v>
      </c>
      <c r="G35">
        <v>115.88880182101131</v>
      </c>
      <c r="H35">
        <v>109.37504383606625</v>
      </c>
      <c r="I35">
        <v>89.880054298381893</v>
      </c>
      <c r="J35">
        <v>127.7165162697692</v>
      </c>
      <c r="K35">
        <v>115.85632610834358</v>
      </c>
      <c r="L35">
        <v>127.96041882676792</v>
      </c>
      <c r="M35">
        <v>130.4177153855471</v>
      </c>
      <c r="N35">
        <v>131.77714800473797</v>
      </c>
      <c r="O35">
        <v>137.5710069639303</v>
      </c>
      <c r="P35">
        <v>129.01244553276987</v>
      </c>
      <c r="Q35">
        <v>129.43995924598889</v>
      </c>
      <c r="R35">
        <v>125.43862044885802</v>
      </c>
      <c r="S35">
        <v>126.05691573582321</v>
      </c>
      <c r="T35">
        <v>128.48690596562602</v>
      </c>
      <c r="U35">
        <v>130.12301255479457</v>
      </c>
      <c r="V35">
        <v>134.88309653072125</v>
      </c>
      <c r="W35">
        <v>137.50018220577522</v>
      </c>
      <c r="X35">
        <v>140.89172973076435</v>
      </c>
      <c r="Y35">
        <v>142.7548190342707</v>
      </c>
      <c r="Z35">
        <v>143.65310134857791</v>
      </c>
      <c r="AA35">
        <v>144.36030540568407</v>
      </c>
      <c r="AB35">
        <v>144.17117793302239</v>
      </c>
      <c r="AC35">
        <v>144.41992804228926</v>
      </c>
      <c r="AD35">
        <v>144.53398331848155</v>
      </c>
      <c r="AE35">
        <v>145.11337847325879</v>
      </c>
      <c r="AF35">
        <v>146.08636312341204</v>
      </c>
      <c r="AG35">
        <v>147.26534327455693</v>
      </c>
      <c r="AH35">
        <v>148.74517921963482</v>
      </c>
      <c r="AI35">
        <v>150.12466119007681</v>
      </c>
      <c r="AJ35">
        <v>151.44428696708908</v>
      </c>
      <c r="AK35">
        <v>152.50858967739441</v>
      </c>
      <c r="AL35">
        <v>153.31254066647432</v>
      </c>
      <c r="AM35">
        <v>153.91858199130058</v>
      </c>
      <c r="AN35">
        <v>154.35223981127527</v>
      </c>
      <c r="AO35">
        <v>154.7631640368418</v>
      </c>
      <c r="AP35">
        <v>155.19191038121505</v>
      </c>
      <c r="AQ35">
        <v>155.71182948567204</v>
      </c>
      <c r="AR35">
        <v>156.33001805391137</v>
      </c>
      <c r="AS35">
        <v>157.01912196684884</v>
      </c>
      <c r="AT35">
        <v>157.75010665970723</v>
      </c>
      <c r="AU35">
        <v>158.46369219156577</v>
      </c>
      <c r="AV35">
        <v>159.13037603925895</v>
      </c>
      <c r="AW35">
        <v>159.72202003975943</v>
      </c>
      <c r="AX35">
        <v>160.23503361694767</v>
      </c>
      <c r="AY35">
        <v>160.68177139558424</v>
      </c>
      <c r="AZ35">
        <v>161.07998781030602</v>
      </c>
      <c r="BA35">
        <v>161.45612124501858</v>
      </c>
    </row>
    <row r="36" spans="1:53" x14ac:dyDescent="0.2">
      <c r="A36" t="s">
        <v>35</v>
      </c>
      <c r="B36" t="s">
        <v>174</v>
      </c>
      <c r="C36" t="s">
        <v>163</v>
      </c>
      <c r="D36" t="s">
        <v>4</v>
      </c>
      <c r="E36">
        <v>2046.0341337215907</v>
      </c>
      <c r="F36">
        <v>1743.5442764026825</v>
      </c>
      <c r="G36">
        <v>1735.5274436571219</v>
      </c>
      <c r="H36">
        <v>1955.279596831901</v>
      </c>
      <c r="I36">
        <v>1682.396220960871</v>
      </c>
      <c r="J36">
        <v>2236.3484533873448</v>
      </c>
      <c r="K36">
        <v>2149.2558599402109</v>
      </c>
      <c r="L36">
        <v>2346.9806080245226</v>
      </c>
      <c r="M36">
        <v>2435.90123693337</v>
      </c>
      <c r="N36">
        <v>2436.379162610247</v>
      </c>
      <c r="O36">
        <v>2546.7987796777606</v>
      </c>
      <c r="P36">
        <v>2435.3372374370847</v>
      </c>
      <c r="Q36">
        <v>2437.8332259159702</v>
      </c>
      <c r="R36">
        <v>2376.6804547684687</v>
      </c>
      <c r="S36">
        <v>2362.2653022239988</v>
      </c>
      <c r="T36">
        <v>2391.0836102929029</v>
      </c>
      <c r="U36">
        <v>2405.3773346835501</v>
      </c>
      <c r="V36">
        <v>2473.4156959992647</v>
      </c>
      <c r="W36">
        <v>2515.5850574188376</v>
      </c>
      <c r="X36">
        <v>2568.8992726637412</v>
      </c>
      <c r="Y36">
        <v>2604.8441028356688</v>
      </c>
      <c r="Z36">
        <v>2622.6614289592703</v>
      </c>
      <c r="AA36">
        <v>2637.3614751315145</v>
      </c>
      <c r="AB36">
        <v>2635.9182200553178</v>
      </c>
      <c r="AC36">
        <v>2638.7146423824647</v>
      </c>
      <c r="AD36">
        <v>2639.0720911184958</v>
      </c>
      <c r="AE36">
        <v>2644.793714306224</v>
      </c>
      <c r="AF36">
        <v>2657.0573212581912</v>
      </c>
      <c r="AG36">
        <v>2672.5587468285398</v>
      </c>
      <c r="AH36">
        <v>2693.6108993064677</v>
      </c>
      <c r="AI36">
        <v>2714.3311539186125</v>
      </c>
      <c r="AJ36">
        <v>2734.8683545790682</v>
      </c>
      <c r="AK36">
        <v>2752.3558532765992</v>
      </c>
      <c r="AL36">
        <v>2765.909429544316</v>
      </c>
      <c r="AM36">
        <v>2776.2975143299518</v>
      </c>
      <c r="AN36">
        <v>2783.5164894274321</v>
      </c>
      <c r="AO36">
        <v>2789.7282289262434</v>
      </c>
      <c r="AP36">
        <v>2795.726049297456</v>
      </c>
      <c r="AQ36">
        <v>2802.7530061490115</v>
      </c>
      <c r="AR36">
        <v>2811.2677077979765</v>
      </c>
      <c r="AS36">
        <v>2821.0214929357221</v>
      </c>
      <c r="AT36">
        <v>2831.7216825942382</v>
      </c>
      <c r="AU36">
        <v>2842.4909365497356</v>
      </c>
      <c r="AV36">
        <v>2852.7951381030684</v>
      </c>
      <c r="AW36">
        <v>2862.1132795914968</v>
      </c>
      <c r="AX36">
        <v>2870.2477971483017</v>
      </c>
      <c r="AY36">
        <v>2877.2996014108426</v>
      </c>
      <c r="AZ36">
        <v>2883.47636063442</v>
      </c>
      <c r="BA36">
        <v>2889.1667520046562</v>
      </c>
    </row>
    <row r="37" spans="1:53" x14ac:dyDescent="0.2">
      <c r="A37" t="s">
        <v>36</v>
      </c>
      <c r="B37" t="s">
        <v>175</v>
      </c>
      <c r="C37" t="s">
        <v>163</v>
      </c>
      <c r="D37" t="s">
        <v>4</v>
      </c>
      <c r="E37">
        <v>71.422255061528773</v>
      </c>
      <c r="F37">
        <v>33.447875808384246</v>
      </c>
      <c r="G37">
        <v>31.220760379843401</v>
      </c>
      <c r="H37">
        <v>25.860656674109883</v>
      </c>
      <c r="I37">
        <v>22.55863790761558</v>
      </c>
      <c r="J37">
        <v>39.880664557556479</v>
      </c>
      <c r="K37">
        <v>33.06850476968053</v>
      </c>
      <c r="L37">
        <v>38.039653333012104</v>
      </c>
      <c r="M37">
        <v>36.742235937572204</v>
      </c>
      <c r="N37">
        <v>37.56648414445376</v>
      </c>
      <c r="O37">
        <v>39.608613970905381</v>
      </c>
      <c r="P37">
        <v>36.250695400418017</v>
      </c>
      <c r="Q37">
        <v>37.567146330358021</v>
      </c>
      <c r="R37">
        <v>36.668360887540629</v>
      </c>
      <c r="S37">
        <v>38.178127989649425</v>
      </c>
      <c r="T37">
        <v>39.666189741641169</v>
      </c>
      <c r="U37">
        <v>40.680067177636602</v>
      </c>
      <c r="V37">
        <v>42.683800414787349</v>
      </c>
      <c r="W37">
        <v>43.526154295528428</v>
      </c>
      <c r="X37">
        <v>44.782574811817298</v>
      </c>
      <c r="Y37">
        <v>45.320798345106361</v>
      </c>
      <c r="Z37">
        <v>45.68742166798765</v>
      </c>
      <c r="AA37">
        <v>46.079280901070106</v>
      </c>
      <c r="AB37">
        <v>46.234010523794254</v>
      </c>
      <c r="AC37">
        <v>46.673999860945528</v>
      </c>
      <c r="AD37">
        <v>47.048460597423698</v>
      </c>
      <c r="AE37">
        <v>47.621073024940046</v>
      </c>
      <c r="AF37">
        <v>48.270894763378678</v>
      </c>
      <c r="AG37">
        <v>48.935938290568998</v>
      </c>
      <c r="AH37">
        <v>49.647405271300542</v>
      </c>
      <c r="AI37">
        <v>50.255321839379135</v>
      </c>
      <c r="AJ37">
        <v>50.819645448601548</v>
      </c>
      <c r="AK37">
        <v>51.274539444316531</v>
      </c>
      <c r="AL37">
        <v>51.653206624256796</v>
      </c>
      <c r="AM37">
        <v>51.98514016153139</v>
      </c>
      <c r="AN37">
        <v>52.281990909680935</v>
      </c>
      <c r="AO37">
        <v>52.595307514923789</v>
      </c>
      <c r="AP37">
        <v>52.922216420450837</v>
      </c>
      <c r="AQ37">
        <v>53.28022637200884</v>
      </c>
      <c r="AR37">
        <v>53.657705742375477</v>
      </c>
      <c r="AS37">
        <v>54.039970641814442</v>
      </c>
      <c r="AT37">
        <v>54.415990494949035</v>
      </c>
      <c r="AU37">
        <v>54.767350681711967</v>
      </c>
      <c r="AV37">
        <v>55.09113675512269</v>
      </c>
      <c r="AW37">
        <v>55.383122903541526</v>
      </c>
      <c r="AX37">
        <v>55.648380055163045</v>
      </c>
      <c r="AY37">
        <v>55.894337311956221</v>
      </c>
      <c r="AZ37">
        <v>56.128004943363507</v>
      </c>
      <c r="BA37">
        <v>56.357554936509686</v>
      </c>
    </row>
    <row r="38" spans="1:53" x14ac:dyDescent="0.2">
      <c r="A38" t="s">
        <v>37</v>
      </c>
      <c r="B38" t="s">
        <v>176</v>
      </c>
      <c r="C38" t="s">
        <v>163</v>
      </c>
      <c r="D38" t="s">
        <v>4</v>
      </c>
      <c r="E38">
        <v>256.30701667178636</v>
      </c>
      <c r="F38">
        <v>283.08569055617016</v>
      </c>
      <c r="G38">
        <v>173.74435672561324</v>
      </c>
      <c r="H38">
        <v>149.56362476824353</v>
      </c>
      <c r="I38">
        <v>83.728656537637605</v>
      </c>
      <c r="J38">
        <v>101.32523746413128</v>
      </c>
      <c r="K38">
        <v>53.21368253507508</v>
      </c>
      <c r="L38">
        <v>49.802179814268989</v>
      </c>
      <c r="M38">
        <v>55.274311003500422</v>
      </c>
      <c r="N38">
        <v>57.481742381159563</v>
      </c>
      <c r="O38">
        <v>74.663801765742122</v>
      </c>
      <c r="P38">
        <v>69.871907443122737</v>
      </c>
      <c r="Q38">
        <v>77.986511975108741</v>
      </c>
      <c r="R38">
        <v>78.899102341577773</v>
      </c>
      <c r="S38">
        <v>81.419678222006482</v>
      </c>
      <c r="T38">
        <v>85.295891195835395</v>
      </c>
      <c r="U38">
        <v>84.003410661438494</v>
      </c>
      <c r="V38">
        <v>85.886535837053799</v>
      </c>
      <c r="W38">
        <v>83.784341852927199</v>
      </c>
      <c r="X38">
        <v>82.929824821837101</v>
      </c>
      <c r="Y38">
        <v>81.884379647978506</v>
      </c>
      <c r="Z38">
        <v>81.141493567552885</v>
      </c>
      <c r="AA38">
        <v>82.425171396432702</v>
      </c>
      <c r="AB38">
        <v>83.617293642879247</v>
      </c>
      <c r="AC38">
        <v>85.874127231591785</v>
      </c>
      <c r="AD38">
        <v>87.584990436066647</v>
      </c>
      <c r="AE38">
        <v>88.892320423857427</v>
      </c>
      <c r="AF38">
        <v>89.745675605435565</v>
      </c>
      <c r="AG38">
        <v>89.908665250436002</v>
      </c>
      <c r="AH38">
        <v>90.022474384375514</v>
      </c>
      <c r="AI38">
        <v>89.922235374902925</v>
      </c>
      <c r="AJ38">
        <v>90.009077431005466</v>
      </c>
      <c r="AK38">
        <v>90.244887919605276</v>
      </c>
      <c r="AL38">
        <v>90.61778871576854</v>
      </c>
      <c r="AM38">
        <v>91.169752774013816</v>
      </c>
      <c r="AN38">
        <v>91.753921559090131</v>
      </c>
      <c r="AO38">
        <v>92.408184641424441</v>
      </c>
      <c r="AP38">
        <v>93.028706598211485</v>
      </c>
      <c r="AQ38">
        <v>93.595644544219724</v>
      </c>
      <c r="AR38">
        <v>94.079308986338063</v>
      </c>
      <c r="AS38">
        <v>94.447575563492592</v>
      </c>
      <c r="AT38">
        <v>94.732293544129021</v>
      </c>
      <c r="AU38">
        <v>94.94379356606386</v>
      </c>
      <c r="AV38">
        <v>95.136509572188132</v>
      </c>
      <c r="AW38">
        <v>95.345170052017352</v>
      </c>
      <c r="AX38">
        <v>95.595275993834051</v>
      </c>
      <c r="AY38">
        <v>95.89736885961652</v>
      </c>
      <c r="AZ38">
        <v>96.234075493074428</v>
      </c>
      <c r="BA38">
        <v>96.586433088596664</v>
      </c>
    </row>
    <row r="39" spans="1:53" x14ac:dyDescent="0.2">
      <c r="A39" t="s">
        <v>38</v>
      </c>
      <c r="B39" t="s">
        <v>177</v>
      </c>
      <c r="C39" t="s">
        <v>163</v>
      </c>
      <c r="D39" t="s">
        <v>4</v>
      </c>
      <c r="E39">
        <v>72.425295132531943</v>
      </c>
      <c r="F39">
        <v>37.841784557572616</v>
      </c>
      <c r="G39">
        <v>19.580442945356122</v>
      </c>
      <c r="H39">
        <v>24.16317762082506</v>
      </c>
      <c r="I39">
        <v>28.415137479536739</v>
      </c>
      <c r="J39">
        <v>41.096457015883423</v>
      </c>
      <c r="K39">
        <v>37.405433354888423</v>
      </c>
      <c r="L39">
        <v>39.508387163610955</v>
      </c>
      <c r="M39">
        <v>40.048190670388522</v>
      </c>
      <c r="N39">
        <v>39.279884285658873</v>
      </c>
      <c r="O39">
        <v>39.568955446778155</v>
      </c>
      <c r="P39">
        <v>36.154105785735496</v>
      </c>
      <c r="Q39">
        <v>35.947450837274154</v>
      </c>
      <c r="R39">
        <v>35.603801514469644</v>
      </c>
      <c r="S39">
        <v>36.80288695834772</v>
      </c>
      <c r="T39">
        <v>38.733756136508369</v>
      </c>
      <c r="U39">
        <v>40.296084736105257</v>
      </c>
      <c r="V39">
        <v>42.47718860576154</v>
      </c>
      <c r="W39">
        <v>43.717050817870991</v>
      </c>
      <c r="X39">
        <v>44.713996737833547</v>
      </c>
      <c r="Y39">
        <v>45.041373728863014</v>
      </c>
      <c r="Z39">
        <v>44.965141692186393</v>
      </c>
      <c r="AA39">
        <v>44.905799198666365</v>
      </c>
      <c r="AB39">
        <v>44.757038902708437</v>
      </c>
      <c r="AC39">
        <v>44.916453039091081</v>
      </c>
      <c r="AD39">
        <v>45.227202077464071</v>
      </c>
      <c r="AE39">
        <v>45.775150966611264</v>
      </c>
      <c r="AF39">
        <v>46.478685032224597</v>
      </c>
      <c r="AG39">
        <v>47.202717890639228</v>
      </c>
      <c r="AH39">
        <v>47.926435569748882</v>
      </c>
      <c r="AI39">
        <v>48.521044681322337</v>
      </c>
      <c r="AJ39">
        <v>49.000418266953865</v>
      </c>
      <c r="AK39">
        <v>49.341650673167145</v>
      </c>
      <c r="AL39">
        <v>49.575540507339163</v>
      </c>
      <c r="AM39">
        <v>49.757640197918114</v>
      </c>
      <c r="AN39">
        <v>49.922221392235954</v>
      </c>
      <c r="AO39">
        <v>50.124575074959665</v>
      </c>
      <c r="AP39">
        <v>50.376726461132762</v>
      </c>
      <c r="AQ39">
        <v>50.685681660799744</v>
      </c>
      <c r="AR39">
        <v>51.035276440575181</v>
      </c>
      <c r="AS39">
        <v>51.397586664593028</v>
      </c>
      <c r="AT39">
        <v>51.749197974644851</v>
      </c>
      <c r="AU39">
        <v>52.065880793464196</v>
      </c>
      <c r="AV39">
        <v>52.33956862899462</v>
      </c>
      <c r="AW39">
        <v>52.569717337152717</v>
      </c>
      <c r="AX39">
        <v>52.76569696726456</v>
      </c>
      <c r="AY39">
        <v>52.941767458998811</v>
      </c>
      <c r="AZ39">
        <v>53.110963505982681</v>
      </c>
      <c r="BA39">
        <v>53.284645768408367</v>
      </c>
    </row>
    <row r="40" spans="1:53" x14ac:dyDescent="0.2">
      <c r="A40" t="s">
        <v>39</v>
      </c>
      <c r="B40" t="s">
        <v>178</v>
      </c>
      <c r="C40" t="s">
        <v>163</v>
      </c>
      <c r="D40" t="s">
        <v>4</v>
      </c>
      <c r="E40">
        <v>196.52369761845878</v>
      </c>
      <c r="F40">
        <v>133.41568855622015</v>
      </c>
      <c r="G40">
        <v>151.75794355880043</v>
      </c>
      <c r="H40">
        <v>137.74777240229159</v>
      </c>
      <c r="I40">
        <v>128.20007064409512</v>
      </c>
      <c r="J40">
        <v>170.70788555194684</v>
      </c>
      <c r="K40">
        <v>158.86616384960794</v>
      </c>
      <c r="L40">
        <v>183.14197061537803</v>
      </c>
      <c r="M40">
        <v>184.72811463209604</v>
      </c>
      <c r="N40">
        <v>191.9398380659749</v>
      </c>
      <c r="O40">
        <v>198.94174269426301</v>
      </c>
      <c r="P40">
        <v>191.11370248650459</v>
      </c>
      <c r="Q40">
        <v>193.06752371872085</v>
      </c>
      <c r="R40">
        <v>187.13201800336043</v>
      </c>
      <c r="S40">
        <v>188.28639494571172</v>
      </c>
      <c r="T40">
        <v>189.86950358618486</v>
      </c>
      <c r="U40">
        <v>192.14256454678844</v>
      </c>
      <c r="V40">
        <v>198.05690679247149</v>
      </c>
      <c r="W40">
        <v>201.82594606751957</v>
      </c>
      <c r="X40">
        <v>207.18737290220145</v>
      </c>
      <c r="Y40">
        <v>210.37549198051056</v>
      </c>
      <c r="Z40">
        <v>212.74338037564178</v>
      </c>
      <c r="AA40">
        <v>214.36349079968133</v>
      </c>
      <c r="AB40">
        <v>214.75449078475555</v>
      </c>
      <c r="AC40">
        <v>215.43075621898308</v>
      </c>
      <c r="AD40">
        <v>215.70177388567251</v>
      </c>
      <c r="AE40">
        <v>216.5633243010422</v>
      </c>
      <c r="AF40">
        <v>217.8073178210627</v>
      </c>
      <c r="AG40">
        <v>219.42987529434686</v>
      </c>
      <c r="AH40">
        <v>221.48262785330093</v>
      </c>
      <c r="AI40">
        <v>223.51037229935457</v>
      </c>
      <c r="AJ40">
        <v>225.5548353678266</v>
      </c>
      <c r="AK40">
        <v>227.29808598167199</v>
      </c>
      <c r="AL40">
        <v>228.73758301160217</v>
      </c>
      <c r="AM40">
        <v>229.87606807905127</v>
      </c>
      <c r="AN40">
        <v>230.7441674365169</v>
      </c>
      <c r="AO40">
        <v>231.5126059645969</v>
      </c>
      <c r="AP40">
        <v>232.23909758651072</v>
      </c>
      <c r="AQ40">
        <v>233.04552792148004</v>
      </c>
      <c r="AR40">
        <v>233.95598223974622</v>
      </c>
      <c r="AS40">
        <v>234.96706791446223</v>
      </c>
      <c r="AT40">
        <v>236.05075328568748</v>
      </c>
      <c r="AU40">
        <v>237.13809807668602</v>
      </c>
      <c r="AV40">
        <v>238.18697030249857</v>
      </c>
      <c r="AW40">
        <v>239.1487672078965</v>
      </c>
      <c r="AX40">
        <v>240.00866372930824</v>
      </c>
      <c r="AY40">
        <v>240.76974847390073</v>
      </c>
      <c r="AZ40">
        <v>241.44950064219955</v>
      </c>
      <c r="BA40">
        <v>242.07958671435432</v>
      </c>
    </row>
    <row r="41" spans="1:53" x14ac:dyDescent="0.2">
      <c r="A41" t="s">
        <v>40</v>
      </c>
      <c r="B41" t="s">
        <v>179</v>
      </c>
      <c r="C41" t="s">
        <v>163</v>
      </c>
      <c r="D41" t="s">
        <v>4</v>
      </c>
      <c r="E41">
        <v>323.06752139645192</v>
      </c>
      <c r="F41">
        <v>251.84129488002878</v>
      </c>
      <c r="G41">
        <v>279.97063845211028</v>
      </c>
      <c r="H41">
        <v>267.97851644701876</v>
      </c>
      <c r="I41">
        <v>236.84825104825737</v>
      </c>
      <c r="J41">
        <v>282.74683529518018</v>
      </c>
      <c r="K41">
        <v>209.0432322732093</v>
      </c>
      <c r="L41">
        <v>230.70070481656194</v>
      </c>
      <c r="M41">
        <v>225.1831517874312</v>
      </c>
      <c r="N41">
        <v>233.57069689169703</v>
      </c>
      <c r="O41">
        <v>242.42537205361123</v>
      </c>
      <c r="P41">
        <v>224.91226362049719</v>
      </c>
      <c r="Q41">
        <v>232.2799689755623</v>
      </c>
      <c r="R41">
        <v>222.8091761953747</v>
      </c>
      <c r="S41">
        <v>223.48058459491568</v>
      </c>
      <c r="T41">
        <v>220.89495262716463</v>
      </c>
      <c r="U41">
        <v>216.68213484605408</v>
      </c>
      <c r="V41">
        <v>218.56933192077204</v>
      </c>
      <c r="W41">
        <v>215.66446720575306</v>
      </c>
      <c r="X41">
        <v>216.99170009650851</v>
      </c>
      <c r="Y41">
        <v>215.9331598946014</v>
      </c>
      <c r="Z41">
        <v>215.58061970488967</v>
      </c>
      <c r="AA41">
        <v>215.78418980777229</v>
      </c>
      <c r="AB41">
        <v>214.63953504830945</v>
      </c>
      <c r="AC41">
        <v>214.4033358261434</v>
      </c>
      <c r="AD41">
        <v>212.93954417840868</v>
      </c>
      <c r="AE41">
        <v>211.87134711006024</v>
      </c>
      <c r="AF41">
        <v>210.68640163575625</v>
      </c>
      <c r="AG41">
        <v>209.53023623343023</v>
      </c>
      <c r="AH41">
        <v>208.88107345423074</v>
      </c>
      <c r="AI41">
        <v>208.20016996483923</v>
      </c>
      <c r="AJ41">
        <v>207.91756420850675</v>
      </c>
      <c r="AK41">
        <v>207.5927262636221</v>
      </c>
      <c r="AL41">
        <v>207.27797807979906</v>
      </c>
      <c r="AM41">
        <v>206.91215491275858</v>
      </c>
      <c r="AN41">
        <v>206.38866322181383</v>
      </c>
      <c r="AO41">
        <v>205.85404994388716</v>
      </c>
      <c r="AP41">
        <v>205.23504074608195</v>
      </c>
      <c r="AQ41">
        <v>204.64905095510011</v>
      </c>
      <c r="AR41">
        <v>204.09428938421175</v>
      </c>
      <c r="AS41">
        <v>203.58859364614742</v>
      </c>
      <c r="AT41">
        <v>203.1579564962652</v>
      </c>
      <c r="AU41">
        <v>202.76787038965992</v>
      </c>
      <c r="AV41">
        <v>202.43160958564872</v>
      </c>
      <c r="AW41">
        <v>202.11631993390679</v>
      </c>
      <c r="AX41">
        <v>201.81379999349818</v>
      </c>
      <c r="AY41">
        <v>201.51104738255884</v>
      </c>
      <c r="AZ41">
        <v>201.19496827662377</v>
      </c>
      <c r="BA41">
        <v>200.87045640669547</v>
      </c>
    </row>
    <row r="42" spans="1:53" x14ac:dyDescent="0.2">
      <c r="A42" t="s">
        <v>41</v>
      </c>
      <c r="B42" t="s">
        <v>180</v>
      </c>
      <c r="C42" t="s">
        <v>163</v>
      </c>
      <c r="D42" t="s">
        <v>4</v>
      </c>
      <c r="E42">
        <v>58.089037126075397</v>
      </c>
      <c r="F42">
        <v>42.378914828933389</v>
      </c>
      <c r="G42">
        <v>39.972321314955025</v>
      </c>
      <c r="H42">
        <v>37.727040331246833</v>
      </c>
      <c r="I42">
        <v>30.501180111769454</v>
      </c>
      <c r="J42">
        <v>46.571172246672646</v>
      </c>
      <c r="K42">
        <v>39.247703506318899</v>
      </c>
      <c r="L42">
        <v>44.925693531860659</v>
      </c>
      <c r="M42">
        <v>45.11969769457319</v>
      </c>
      <c r="N42">
        <v>45.733278727022928</v>
      </c>
      <c r="O42">
        <v>48.386264963357206</v>
      </c>
      <c r="P42">
        <v>44.959167141578639</v>
      </c>
      <c r="Q42">
        <v>46.014553910009951</v>
      </c>
      <c r="R42">
        <v>44.416244681731925</v>
      </c>
      <c r="S42">
        <v>44.713380077359425</v>
      </c>
      <c r="T42">
        <v>45.240233498194009</v>
      </c>
      <c r="U42">
        <v>45.245391646760851</v>
      </c>
      <c r="V42">
        <v>46.619862608145631</v>
      </c>
      <c r="W42">
        <v>47.043163363990267</v>
      </c>
      <c r="X42">
        <v>48.083756149730654</v>
      </c>
      <c r="Y42">
        <v>48.595752762603581</v>
      </c>
      <c r="Z42">
        <v>48.908368085501422</v>
      </c>
      <c r="AA42">
        <v>49.234585388771094</v>
      </c>
      <c r="AB42">
        <v>49.181385107903004</v>
      </c>
      <c r="AC42">
        <v>49.306786070601767</v>
      </c>
      <c r="AD42">
        <v>49.281014811314463</v>
      </c>
      <c r="AE42">
        <v>49.395881543933122</v>
      </c>
      <c r="AF42">
        <v>49.603417948463374</v>
      </c>
      <c r="AG42">
        <v>49.856684156371742</v>
      </c>
      <c r="AH42">
        <v>50.229397653263774</v>
      </c>
      <c r="AI42">
        <v>50.568249747144478</v>
      </c>
      <c r="AJ42">
        <v>50.924147830443502</v>
      </c>
      <c r="AK42">
        <v>51.214156906488626</v>
      </c>
      <c r="AL42">
        <v>51.441253843092291</v>
      </c>
      <c r="AM42">
        <v>51.6188605220634</v>
      </c>
      <c r="AN42">
        <v>51.739920006719842</v>
      </c>
      <c r="AO42">
        <v>51.852844592150348</v>
      </c>
      <c r="AP42">
        <v>51.958333024509052</v>
      </c>
      <c r="AQ42">
        <v>52.083349107410953</v>
      </c>
      <c r="AR42">
        <v>52.230540764288541</v>
      </c>
      <c r="AS42">
        <v>52.395632251478368</v>
      </c>
      <c r="AT42">
        <v>52.576187484970937</v>
      </c>
      <c r="AU42">
        <v>52.755706581454078</v>
      </c>
      <c r="AV42">
        <v>52.928785153238785</v>
      </c>
      <c r="AW42">
        <v>53.085486746050549</v>
      </c>
      <c r="AX42">
        <v>53.223431602452777</v>
      </c>
      <c r="AY42">
        <v>53.343989275000006</v>
      </c>
      <c r="AZ42">
        <v>53.44978025483119</v>
      </c>
      <c r="BA42">
        <v>53.547621409408379</v>
      </c>
    </row>
    <row r="43" spans="1:53" x14ac:dyDescent="0.2">
      <c r="A43" t="s">
        <v>42</v>
      </c>
      <c r="B43" t="s">
        <v>181</v>
      </c>
      <c r="C43" t="s">
        <v>163</v>
      </c>
      <c r="D43" t="s">
        <v>4</v>
      </c>
      <c r="E43">
        <v>37.734129072994897</v>
      </c>
      <c r="F43">
        <v>20.98525450636636</v>
      </c>
      <c r="G43">
        <v>18.56247707296432</v>
      </c>
      <c r="H43">
        <v>8.1296005451147515</v>
      </c>
      <c r="I43">
        <v>10.242267030160395</v>
      </c>
      <c r="J43">
        <v>18.215315642326633</v>
      </c>
      <c r="K43">
        <v>14.512880752159033</v>
      </c>
      <c r="L43">
        <v>17.601065558417869</v>
      </c>
      <c r="M43">
        <v>15.888842293983624</v>
      </c>
      <c r="N43">
        <v>17.53950554539993</v>
      </c>
      <c r="O43">
        <v>17.586146570741047</v>
      </c>
      <c r="P43">
        <v>15.824548729092907</v>
      </c>
      <c r="Q43">
        <v>16.019624862745886</v>
      </c>
      <c r="R43">
        <v>14.928277732065178</v>
      </c>
      <c r="S43">
        <v>15.542173410334376</v>
      </c>
      <c r="T43">
        <v>15.636508517560703</v>
      </c>
      <c r="U43">
        <v>15.996497410880927</v>
      </c>
      <c r="V43">
        <v>16.716273684702902</v>
      </c>
      <c r="W43">
        <v>17.036887417735365</v>
      </c>
      <c r="X43">
        <v>17.669126322888847</v>
      </c>
      <c r="Y43">
        <v>17.834531248825229</v>
      </c>
      <c r="Z43">
        <v>18.004280876990226</v>
      </c>
      <c r="AA43">
        <v>18.038599370951694</v>
      </c>
      <c r="AB43">
        <v>17.958151616161977</v>
      </c>
      <c r="AC43">
        <v>17.965364795838489</v>
      </c>
      <c r="AD43">
        <v>17.915757373173641</v>
      </c>
      <c r="AE43">
        <v>18.003752826992461</v>
      </c>
      <c r="AF43">
        <v>18.131630510031609</v>
      </c>
      <c r="AG43">
        <v>18.323544692319892</v>
      </c>
      <c r="AH43">
        <v>18.556379834584156</v>
      </c>
      <c r="AI43">
        <v>18.762721721855357</v>
      </c>
      <c r="AJ43">
        <v>18.96103646534533</v>
      </c>
      <c r="AK43">
        <v>19.100380406720141</v>
      </c>
      <c r="AL43">
        <v>19.203042238391834</v>
      </c>
      <c r="AM43">
        <v>19.269126832326318</v>
      </c>
      <c r="AN43">
        <v>19.312369183678328</v>
      </c>
      <c r="AO43">
        <v>19.35738361863763</v>
      </c>
      <c r="AP43">
        <v>19.407036681599337</v>
      </c>
      <c r="AQ43">
        <v>19.476692150920204</v>
      </c>
      <c r="AR43">
        <v>19.561713874345049</v>
      </c>
      <c r="AS43">
        <v>19.659866208980169</v>
      </c>
      <c r="AT43">
        <v>19.764361766584418</v>
      </c>
      <c r="AU43">
        <v>19.865449030617057</v>
      </c>
      <c r="AV43">
        <v>19.958978068836366</v>
      </c>
      <c r="AW43">
        <v>20.039317373075146</v>
      </c>
      <c r="AX43">
        <v>20.10707404851302</v>
      </c>
      <c r="AY43">
        <v>20.163859720602108</v>
      </c>
      <c r="AZ43">
        <v>20.213325812044182</v>
      </c>
      <c r="BA43">
        <v>20.260157367985226</v>
      </c>
    </row>
    <row r="44" spans="1:53" x14ac:dyDescent="0.2">
      <c r="A44" t="s">
        <v>43</v>
      </c>
      <c r="B44" t="s">
        <v>182</v>
      </c>
      <c r="C44" t="s">
        <v>163</v>
      </c>
      <c r="D44" t="s">
        <v>4</v>
      </c>
      <c r="E44">
        <v>736.44979382361612</v>
      </c>
      <c r="F44">
        <v>780.57699111200668</v>
      </c>
      <c r="G44">
        <v>647.32846697779712</v>
      </c>
      <c r="H44">
        <v>679.67627581006025</v>
      </c>
      <c r="I44">
        <v>480.92273907829008</v>
      </c>
      <c r="J44">
        <v>669.90946177051933</v>
      </c>
      <c r="K44">
        <v>598.84804812471191</v>
      </c>
      <c r="L44">
        <v>597.20321300417936</v>
      </c>
      <c r="M44">
        <v>591.00850604380514</v>
      </c>
      <c r="N44">
        <v>546.90990297352198</v>
      </c>
      <c r="O44">
        <v>574.1103780767437</v>
      </c>
      <c r="P44">
        <v>516.95996716193702</v>
      </c>
      <c r="Q44">
        <v>510.51858261338998</v>
      </c>
      <c r="R44">
        <v>491.0792126183805</v>
      </c>
      <c r="S44">
        <v>485.09795147134503</v>
      </c>
      <c r="T44">
        <v>497.56289856880414</v>
      </c>
      <c r="U44">
        <v>494.28170773852366</v>
      </c>
      <c r="V44">
        <v>506.71483908532201</v>
      </c>
      <c r="W44">
        <v>505.03728256872819</v>
      </c>
      <c r="X44">
        <v>504.89286701483309</v>
      </c>
      <c r="Y44">
        <v>500.53647407570628</v>
      </c>
      <c r="Z44">
        <v>490.98383075150906</v>
      </c>
      <c r="AA44">
        <v>485.00991421163684</v>
      </c>
      <c r="AB44">
        <v>476.21791628647037</v>
      </c>
      <c r="AC44">
        <v>471.59300656982793</v>
      </c>
      <c r="AD44">
        <v>467.42438717956935</v>
      </c>
      <c r="AE44">
        <v>464.8389359260479</v>
      </c>
      <c r="AF44">
        <v>464.06003089270365</v>
      </c>
      <c r="AG44">
        <v>462.99882096850052</v>
      </c>
      <c r="AH44">
        <v>462.8951450686493</v>
      </c>
      <c r="AI44">
        <v>461.84536108493324</v>
      </c>
      <c r="AJ44">
        <v>460.41932603717368</v>
      </c>
      <c r="AK44">
        <v>458.23668149636865</v>
      </c>
      <c r="AL44">
        <v>455.26892481995941</v>
      </c>
      <c r="AM44">
        <v>452.15927659367486</v>
      </c>
      <c r="AN44">
        <v>448.8592604622155</v>
      </c>
      <c r="AO44">
        <v>446.02564717281081</v>
      </c>
      <c r="AP44">
        <v>443.66691742239698</v>
      </c>
      <c r="AQ44">
        <v>441.88539015052135</v>
      </c>
      <c r="AR44">
        <v>440.60579155012448</v>
      </c>
      <c r="AS44">
        <v>439.54699645139476</v>
      </c>
      <c r="AT44">
        <v>438.58959322764292</v>
      </c>
      <c r="AU44">
        <v>437.49252588867517</v>
      </c>
      <c r="AV44">
        <v>436.21454991468255</v>
      </c>
      <c r="AW44">
        <v>434.74050297475281</v>
      </c>
      <c r="AX44">
        <v>433.12484083761842</v>
      </c>
      <c r="AY44">
        <v>431.48048158287025</v>
      </c>
      <c r="AZ44">
        <v>429.879412779284</v>
      </c>
      <c r="BA44">
        <v>428.4090038679791</v>
      </c>
    </row>
    <row r="45" spans="1:53" x14ac:dyDescent="0.2">
      <c r="A45" t="s">
        <v>44</v>
      </c>
      <c r="B45" t="s">
        <v>183</v>
      </c>
      <c r="C45" t="s">
        <v>163</v>
      </c>
      <c r="D45" t="s">
        <v>4</v>
      </c>
      <c r="E45">
        <v>67.714881791163137</v>
      </c>
      <c r="F45">
        <v>31.231108628174272</v>
      </c>
      <c r="G45">
        <v>41.805891675994069</v>
      </c>
      <c r="H45">
        <v>34.349329155015177</v>
      </c>
      <c r="I45">
        <v>31.176469863251874</v>
      </c>
      <c r="J45">
        <v>56.113011474996966</v>
      </c>
      <c r="K45">
        <v>43.804170063464305</v>
      </c>
      <c r="L45">
        <v>57.666256709096523</v>
      </c>
      <c r="M45">
        <v>55.894074902960234</v>
      </c>
      <c r="N45">
        <v>60.55094294636713</v>
      </c>
      <c r="O45">
        <v>64.519059455147215</v>
      </c>
      <c r="P45">
        <v>60.662606128000334</v>
      </c>
      <c r="Q45">
        <v>63.981601782713845</v>
      </c>
      <c r="R45">
        <v>61.685276970562853</v>
      </c>
      <c r="S45">
        <v>63.716077056969546</v>
      </c>
      <c r="T45">
        <v>64.650775351894637</v>
      </c>
      <c r="U45">
        <v>65.613922959285873</v>
      </c>
      <c r="V45">
        <v>68.342896629265567</v>
      </c>
      <c r="W45">
        <v>69.486047596304843</v>
      </c>
      <c r="X45">
        <v>71.835376549610814</v>
      </c>
      <c r="Y45">
        <v>72.956876818925139</v>
      </c>
      <c r="Z45">
        <v>74.041915585695406</v>
      </c>
      <c r="AA45">
        <v>74.926499691449692</v>
      </c>
      <c r="AB45">
        <v>75.285343808440572</v>
      </c>
      <c r="AC45">
        <v>75.937611300166623</v>
      </c>
      <c r="AD45">
        <v>76.287547484245508</v>
      </c>
      <c r="AE45">
        <v>76.931371461178756</v>
      </c>
      <c r="AF45">
        <v>77.629146593366016</v>
      </c>
      <c r="AG45">
        <v>78.414679782167966</v>
      </c>
      <c r="AH45">
        <v>79.34049365580529</v>
      </c>
      <c r="AI45">
        <v>80.186144592632203</v>
      </c>
      <c r="AJ45">
        <v>81.057768894144047</v>
      </c>
      <c r="AK45">
        <v>81.798115490042804</v>
      </c>
      <c r="AL45">
        <v>82.450703797299468</v>
      </c>
      <c r="AM45">
        <v>83.011215209165783</v>
      </c>
      <c r="AN45">
        <v>83.481154095334446</v>
      </c>
      <c r="AO45">
        <v>83.930923592213915</v>
      </c>
      <c r="AP45">
        <v>84.355477661134415</v>
      </c>
      <c r="AQ45">
        <v>84.804209286796407</v>
      </c>
      <c r="AR45">
        <v>85.273446376410874</v>
      </c>
      <c r="AS45">
        <v>85.762911555321637</v>
      </c>
      <c r="AT45">
        <v>86.266128609264925</v>
      </c>
      <c r="AU45">
        <v>86.758423486804659</v>
      </c>
      <c r="AV45">
        <v>87.232918664302034</v>
      </c>
      <c r="AW45">
        <v>87.672958398519739</v>
      </c>
      <c r="AX45">
        <v>88.077473423470451</v>
      </c>
      <c r="AY45">
        <v>88.448083804999158</v>
      </c>
      <c r="AZ45">
        <v>88.790210574377241</v>
      </c>
      <c r="BA45">
        <v>89.114623807722751</v>
      </c>
    </row>
    <row r="46" spans="1:53" x14ac:dyDescent="0.2">
      <c r="A46" t="s">
        <v>45</v>
      </c>
      <c r="B46" t="s">
        <v>184</v>
      </c>
      <c r="C46" t="s">
        <v>163</v>
      </c>
      <c r="D46" t="s">
        <v>4</v>
      </c>
      <c r="E46">
        <v>13.446177757712572</v>
      </c>
      <c r="F46">
        <v>7.5527729163069361</v>
      </c>
      <c r="G46">
        <v>9.8624696458522401</v>
      </c>
      <c r="H46">
        <v>6.8554448944036599</v>
      </c>
      <c r="I46">
        <v>7.5807401108806962</v>
      </c>
      <c r="J46">
        <v>10.2140271755301</v>
      </c>
      <c r="K46">
        <v>8.6324219413013221</v>
      </c>
      <c r="L46">
        <v>10.279694349860874</v>
      </c>
      <c r="M46">
        <v>9.6500160420603081</v>
      </c>
      <c r="N46">
        <v>10.600067048645293</v>
      </c>
      <c r="O46">
        <v>10.77730254416479</v>
      </c>
      <c r="P46">
        <v>10.351486611626262</v>
      </c>
      <c r="Q46">
        <v>10.668090755263908</v>
      </c>
      <c r="R46">
        <v>10.312374910654958</v>
      </c>
      <c r="S46">
        <v>10.608732129739495</v>
      </c>
      <c r="T46">
        <v>10.595372198828258</v>
      </c>
      <c r="U46">
        <v>10.715283634670994</v>
      </c>
      <c r="V46">
        <v>10.954973696232907</v>
      </c>
      <c r="W46">
        <v>11.028099510221065</v>
      </c>
      <c r="X46">
        <v>11.246990572363972</v>
      </c>
      <c r="Y46">
        <v>11.288538857689185</v>
      </c>
      <c r="Z46">
        <v>11.372785386298847</v>
      </c>
      <c r="AA46">
        <v>11.413805400732514</v>
      </c>
      <c r="AB46">
        <v>11.420869633499887</v>
      </c>
      <c r="AC46">
        <v>11.460555845743098</v>
      </c>
      <c r="AD46">
        <v>11.462414385280074</v>
      </c>
      <c r="AE46">
        <v>11.504587603018573</v>
      </c>
      <c r="AF46">
        <v>11.541624707604202</v>
      </c>
      <c r="AG46">
        <v>11.593990594122936</v>
      </c>
      <c r="AH46">
        <v>11.658033676816933</v>
      </c>
      <c r="AI46">
        <v>11.715063431168236</v>
      </c>
      <c r="AJ46">
        <v>11.77781137545032</v>
      </c>
      <c r="AK46">
        <v>11.825700249192934</v>
      </c>
      <c r="AL46">
        <v>11.867592624725768</v>
      </c>
      <c r="AM46">
        <v>11.899212454829275</v>
      </c>
      <c r="AN46">
        <v>11.923123560891403</v>
      </c>
      <c r="AO46">
        <v>11.946083203488522</v>
      </c>
      <c r="AP46">
        <v>11.967314348237855</v>
      </c>
      <c r="AQ46">
        <v>11.992781744085859</v>
      </c>
      <c r="AR46">
        <v>12.020787282063045</v>
      </c>
      <c r="AS46">
        <v>12.051847446565507</v>
      </c>
      <c r="AT46">
        <v>12.084550987086471</v>
      </c>
      <c r="AU46">
        <v>12.116436213250104</v>
      </c>
      <c r="AV46">
        <v>12.146959360636183</v>
      </c>
      <c r="AW46">
        <v>12.17434712435916</v>
      </c>
      <c r="AX46">
        <v>12.19889334517657</v>
      </c>
      <c r="AY46">
        <v>12.220659032379663</v>
      </c>
      <c r="AZ46">
        <v>12.240313387099569</v>
      </c>
      <c r="BA46">
        <v>12.25885538842177</v>
      </c>
    </row>
    <row r="47" spans="1:53" x14ac:dyDescent="0.2">
      <c r="A47" t="s">
        <v>46</v>
      </c>
      <c r="B47" t="s">
        <v>185</v>
      </c>
      <c r="C47" t="s">
        <v>163</v>
      </c>
      <c r="D47" t="s">
        <v>4</v>
      </c>
      <c r="E47">
        <v>219.96277262146378</v>
      </c>
      <c r="F47">
        <v>140.79991582436236</v>
      </c>
      <c r="G47">
        <v>150.12453259194754</v>
      </c>
      <c r="H47">
        <v>155.13637065561346</v>
      </c>
      <c r="I47">
        <v>135.33886138688629</v>
      </c>
      <c r="J47">
        <v>201.79946923641415</v>
      </c>
      <c r="K47">
        <v>164.09043674101301</v>
      </c>
      <c r="L47">
        <v>190.22095540804793</v>
      </c>
      <c r="M47">
        <v>187.2716277242759</v>
      </c>
      <c r="N47">
        <v>191.30561392497711</v>
      </c>
      <c r="O47">
        <v>199.69298021346825</v>
      </c>
      <c r="P47">
        <v>183.30447036863745</v>
      </c>
      <c r="Q47">
        <v>186.83637844838211</v>
      </c>
      <c r="R47">
        <v>177.88345149714385</v>
      </c>
      <c r="S47">
        <v>178.40607696066724</v>
      </c>
      <c r="T47">
        <v>178.57537757170692</v>
      </c>
      <c r="U47">
        <v>177.38570510201592</v>
      </c>
      <c r="V47">
        <v>181.82251428518484</v>
      </c>
      <c r="W47">
        <v>181.96267655441196</v>
      </c>
      <c r="X47">
        <v>184.83259962206003</v>
      </c>
      <c r="Y47">
        <v>184.98319243416276</v>
      </c>
      <c r="Z47">
        <v>184.59874100121326</v>
      </c>
      <c r="AA47">
        <v>184.21799057139634</v>
      </c>
      <c r="AB47">
        <v>182.43332038439314</v>
      </c>
      <c r="AC47">
        <v>181.59071222649254</v>
      </c>
      <c r="AD47">
        <v>180.15768458647022</v>
      </c>
      <c r="AE47">
        <v>179.47752639983759</v>
      </c>
      <c r="AF47">
        <v>179.14843000783094</v>
      </c>
      <c r="AG47">
        <v>179.04583341875988</v>
      </c>
      <c r="AH47">
        <v>179.42998108986262</v>
      </c>
      <c r="AI47">
        <v>179.66865826913465</v>
      </c>
      <c r="AJ47">
        <v>180.01885262966653</v>
      </c>
      <c r="AK47">
        <v>180.10570766946705</v>
      </c>
      <c r="AL47">
        <v>179.98343636105662</v>
      </c>
      <c r="AM47">
        <v>179.68973243248521</v>
      </c>
      <c r="AN47">
        <v>179.2075865593178</v>
      </c>
      <c r="AO47">
        <v>178.74120614664326</v>
      </c>
      <c r="AP47">
        <v>178.2857178449145</v>
      </c>
      <c r="AQ47">
        <v>177.95938343541951</v>
      </c>
      <c r="AR47">
        <v>177.75930675368943</v>
      </c>
      <c r="AS47">
        <v>177.6651630888432</v>
      </c>
      <c r="AT47">
        <v>177.65744818867481</v>
      </c>
      <c r="AU47">
        <v>177.66242552266996</v>
      </c>
      <c r="AV47">
        <v>177.65812626783378</v>
      </c>
      <c r="AW47">
        <v>177.60314695337283</v>
      </c>
      <c r="AX47">
        <v>177.4932080662694</v>
      </c>
      <c r="AY47">
        <v>177.33659468311785</v>
      </c>
      <c r="AZ47">
        <v>177.14692813618714</v>
      </c>
      <c r="BA47">
        <v>176.95278057394557</v>
      </c>
    </row>
    <row r="48" spans="1:53" x14ac:dyDescent="0.2">
      <c r="A48" t="s">
        <v>47</v>
      </c>
      <c r="B48" t="s">
        <v>186</v>
      </c>
      <c r="C48" t="s">
        <v>163</v>
      </c>
      <c r="D48" t="s">
        <v>4</v>
      </c>
      <c r="E48">
        <v>991.60691821839987</v>
      </c>
      <c r="F48">
        <v>817.91144697382867</v>
      </c>
      <c r="G48">
        <v>569.62141679161357</v>
      </c>
      <c r="H48">
        <v>581.28076157065868</v>
      </c>
      <c r="I48">
        <v>402.32333714822056</v>
      </c>
      <c r="J48">
        <v>682.70160112129497</v>
      </c>
      <c r="K48">
        <v>518.53413971244026</v>
      </c>
      <c r="L48">
        <v>553.8168375662442</v>
      </c>
      <c r="M48">
        <v>575.90494674181582</v>
      </c>
      <c r="N48">
        <v>567.88104485587269</v>
      </c>
      <c r="O48">
        <v>618.2705021000811</v>
      </c>
      <c r="P48">
        <v>551.73509439931001</v>
      </c>
      <c r="Q48">
        <v>577.89074963131634</v>
      </c>
      <c r="R48">
        <v>573.08144990757376</v>
      </c>
      <c r="S48">
        <v>583.3175131829272</v>
      </c>
      <c r="T48">
        <v>598.00732280778175</v>
      </c>
      <c r="U48">
        <v>590.00481160159075</v>
      </c>
      <c r="V48">
        <v>605.25814715872582</v>
      </c>
      <c r="W48">
        <v>600.99504702044021</v>
      </c>
      <c r="X48">
        <v>604.39870389345583</v>
      </c>
      <c r="Y48">
        <v>603.22860639871021</v>
      </c>
      <c r="Z48">
        <v>600.38721129952341</v>
      </c>
      <c r="AA48">
        <v>603.71602855908725</v>
      </c>
      <c r="AB48">
        <v>602.7603656397597</v>
      </c>
      <c r="AC48">
        <v>606.3284477146035</v>
      </c>
      <c r="AD48">
        <v>607.7198167436037</v>
      </c>
      <c r="AE48">
        <v>609.86477338288773</v>
      </c>
      <c r="AF48">
        <v>612.45477773328776</v>
      </c>
      <c r="AG48">
        <v>613.70996943390537</v>
      </c>
      <c r="AH48">
        <v>615.8842929055113</v>
      </c>
      <c r="AI48">
        <v>616.8526386406653</v>
      </c>
      <c r="AJ48">
        <v>618.09364470026685</v>
      </c>
      <c r="AK48">
        <v>618.94936921866667</v>
      </c>
      <c r="AL48">
        <v>619.51838606374656</v>
      </c>
      <c r="AM48">
        <v>620.30285452606154</v>
      </c>
      <c r="AN48">
        <v>620.90054377077468</v>
      </c>
      <c r="AO48">
        <v>621.87559348767923</v>
      </c>
      <c r="AP48">
        <v>622.89949918604384</v>
      </c>
      <c r="AQ48">
        <v>624.0644443097342</v>
      </c>
      <c r="AR48">
        <v>625.27232785810043</v>
      </c>
      <c r="AS48">
        <v>626.34390451290903</v>
      </c>
      <c r="AT48">
        <v>627.34097719292924</v>
      </c>
      <c r="AU48">
        <v>628.13767130466101</v>
      </c>
      <c r="AV48">
        <v>628.83402267692838</v>
      </c>
      <c r="AW48">
        <v>629.44300556838618</v>
      </c>
      <c r="AX48">
        <v>630.0146718283172</v>
      </c>
      <c r="AY48">
        <v>630.60649475764808</v>
      </c>
      <c r="AZ48">
        <v>631.209087278379</v>
      </c>
      <c r="BA48">
        <v>631.84900307851763</v>
      </c>
    </row>
    <row r="49" spans="1:53" x14ac:dyDescent="0.2">
      <c r="A49" t="s">
        <v>48</v>
      </c>
      <c r="B49" t="s">
        <v>187</v>
      </c>
      <c r="C49" t="s">
        <v>163</v>
      </c>
      <c r="D49" t="s">
        <v>4</v>
      </c>
      <c r="E49">
        <v>108.76344584822478</v>
      </c>
      <c r="F49">
        <v>61.818360877922274</v>
      </c>
      <c r="G49">
        <v>93.604545132503162</v>
      </c>
      <c r="H49">
        <v>69.839375891118664</v>
      </c>
      <c r="I49">
        <v>79.624269583638139</v>
      </c>
      <c r="J49">
        <v>96.143619729132155</v>
      </c>
      <c r="K49">
        <v>82.730523493831825</v>
      </c>
      <c r="L49">
        <v>98.816734698724972</v>
      </c>
      <c r="M49">
        <v>91.733870439631218</v>
      </c>
      <c r="N49">
        <v>99.227738007672301</v>
      </c>
      <c r="O49">
        <v>97.542910004742083</v>
      </c>
      <c r="P49">
        <v>92.273789028361421</v>
      </c>
      <c r="Q49">
        <v>92.430533678799492</v>
      </c>
      <c r="R49">
        <v>86.862614332414879</v>
      </c>
      <c r="S49">
        <v>88.030917783132423</v>
      </c>
      <c r="T49">
        <v>86.719766662276115</v>
      </c>
      <c r="U49">
        <v>87.601300586132993</v>
      </c>
      <c r="V49">
        <v>89.340669282244633</v>
      </c>
      <c r="W49">
        <v>89.787616148035625</v>
      </c>
      <c r="X49">
        <v>91.343755666622641</v>
      </c>
      <c r="Y49">
        <v>91.032870176281989</v>
      </c>
      <c r="Z49">
        <v>90.987712331625701</v>
      </c>
      <c r="AA49">
        <v>90.285752425994588</v>
      </c>
      <c r="AB49">
        <v>89.327102833586139</v>
      </c>
      <c r="AC49">
        <v>88.67228813042847</v>
      </c>
      <c r="AD49">
        <v>87.816418415430704</v>
      </c>
      <c r="AE49">
        <v>87.486609248159155</v>
      </c>
      <c r="AF49">
        <v>87.229569763491398</v>
      </c>
      <c r="AG49">
        <v>87.248470757397371</v>
      </c>
      <c r="AH49">
        <v>87.417064663492994</v>
      </c>
      <c r="AI49">
        <v>87.550163762704429</v>
      </c>
      <c r="AJ49">
        <v>87.709328306375028</v>
      </c>
      <c r="AK49">
        <v>87.688490087167708</v>
      </c>
      <c r="AL49">
        <v>87.573852555506292</v>
      </c>
      <c r="AM49">
        <v>87.328821025424944</v>
      </c>
      <c r="AN49">
        <v>87.010322503078001</v>
      </c>
      <c r="AO49">
        <v>86.697429071312627</v>
      </c>
      <c r="AP49">
        <v>86.40710613630668</v>
      </c>
      <c r="AQ49">
        <v>86.204325479344234</v>
      </c>
      <c r="AR49">
        <v>86.072301727709814</v>
      </c>
      <c r="AS49">
        <v>86.009842045078344</v>
      </c>
      <c r="AT49">
        <v>85.988130569553661</v>
      </c>
      <c r="AU49">
        <v>85.97220167611718</v>
      </c>
      <c r="AV49">
        <v>85.944960233909228</v>
      </c>
      <c r="AW49">
        <v>85.884114887128746</v>
      </c>
      <c r="AX49">
        <v>85.79201571349877</v>
      </c>
      <c r="AY49">
        <v>85.672319494601567</v>
      </c>
      <c r="AZ49">
        <v>85.537824847324458</v>
      </c>
      <c r="BA49">
        <v>85.403716393230198</v>
      </c>
    </row>
    <row r="50" spans="1:53" x14ac:dyDescent="0.2">
      <c r="A50" t="s">
        <v>49</v>
      </c>
      <c r="B50" t="s">
        <v>188</v>
      </c>
      <c r="C50" t="s">
        <v>163</v>
      </c>
      <c r="D50" t="s">
        <v>4</v>
      </c>
      <c r="E50">
        <v>118.63443605533539</v>
      </c>
      <c r="F50">
        <v>267.26859887438678</v>
      </c>
      <c r="G50">
        <v>320.72580132377578</v>
      </c>
      <c r="H50">
        <v>434.73907751567265</v>
      </c>
      <c r="I50">
        <v>312.0004881120928</v>
      </c>
      <c r="J50">
        <v>215.2051711466126</v>
      </c>
      <c r="K50">
        <v>149.30226809644594</v>
      </c>
      <c r="L50">
        <v>155.70499180655366</v>
      </c>
      <c r="M50">
        <v>212.28396229215136</v>
      </c>
      <c r="N50">
        <v>230.85749455741015</v>
      </c>
      <c r="O50">
        <v>255.59475708657928</v>
      </c>
      <c r="P50">
        <v>253.00286308195447</v>
      </c>
      <c r="Q50">
        <v>247.22124615720776</v>
      </c>
      <c r="R50">
        <v>236.90639774100725</v>
      </c>
      <c r="S50">
        <v>223.23663744977918</v>
      </c>
      <c r="T50">
        <v>223.63088289666544</v>
      </c>
      <c r="U50">
        <v>226.97103970071535</v>
      </c>
      <c r="V50">
        <v>238.19277778554167</v>
      </c>
      <c r="W50">
        <v>248.04730075932906</v>
      </c>
      <c r="X50">
        <v>254.98842715365831</v>
      </c>
      <c r="Y50">
        <v>259.62153825087017</v>
      </c>
      <c r="Z50">
        <v>259.64681226446066</v>
      </c>
      <c r="AA50">
        <v>258.68375645348505</v>
      </c>
      <c r="AB50">
        <v>256.01959221821335</v>
      </c>
      <c r="AC50">
        <v>253.95587364580055</v>
      </c>
      <c r="AD50">
        <v>253.03958188181818</v>
      </c>
      <c r="AE50">
        <v>253.19380552374452</v>
      </c>
      <c r="AF50">
        <v>254.87086468343833</v>
      </c>
      <c r="AG50">
        <v>257.09673088190186</v>
      </c>
      <c r="AH50">
        <v>259.87039402126805</v>
      </c>
      <c r="AI50">
        <v>262.49193429100438</v>
      </c>
      <c r="AJ50">
        <v>264.64411128354919</v>
      </c>
      <c r="AK50">
        <v>266.19436818625792</v>
      </c>
      <c r="AL50">
        <v>266.98318556801524</v>
      </c>
      <c r="AM50">
        <v>267.29197428033649</v>
      </c>
      <c r="AN50">
        <v>267.26168930531406</v>
      </c>
      <c r="AO50">
        <v>267.21556481873688</v>
      </c>
      <c r="AP50">
        <v>267.36283270435138</v>
      </c>
      <c r="AQ50">
        <v>267.8093881595625</v>
      </c>
      <c r="AR50">
        <v>268.59903066781698</v>
      </c>
      <c r="AS50">
        <v>269.61830882576999</v>
      </c>
      <c r="AT50">
        <v>270.7558037272222</v>
      </c>
      <c r="AU50">
        <v>271.8580520793264</v>
      </c>
      <c r="AV50">
        <v>272.8183684201461</v>
      </c>
      <c r="AW50">
        <v>273.58475826845245</v>
      </c>
      <c r="AX50">
        <v>274.14913811779383</v>
      </c>
      <c r="AY50">
        <v>274.56149544624208</v>
      </c>
      <c r="AZ50">
        <v>274.88299966971891</v>
      </c>
      <c r="BA50">
        <v>275.18565313704278</v>
      </c>
    </row>
    <row r="51" spans="1:53" x14ac:dyDescent="0.2">
      <c r="A51" t="s">
        <v>50</v>
      </c>
      <c r="B51" t="s">
        <v>189</v>
      </c>
      <c r="C51" t="s">
        <v>163</v>
      </c>
      <c r="D51" t="s">
        <v>4</v>
      </c>
      <c r="E51">
        <v>279.87837061137998</v>
      </c>
      <c r="F51">
        <v>233.10421701342656</v>
      </c>
      <c r="G51">
        <v>259.87034714835505</v>
      </c>
      <c r="H51">
        <v>238.40136425484451</v>
      </c>
      <c r="I51">
        <v>244.41959928055198</v>
      </c>
      <c r="J51">
        <v>295.24965635602319</v>
      </c>
      <c r="K51">
        <v>291.47704078542063</v>
      </c>
      <c r="L51">
        <v>328.50973598955215</v>
      </c>
      <c r="M51">
        <v>338.40466941632423</v>
      </c>
      <c r="N51">
        <v>357.16410823430067</v>
      </c>
      <c r="O51">
        <v>366.59842001535571</v>
      </c>
      <c r="P51">
        <v>360.39032549127489</v>
      </c>
      <c r="Q51">
        <v>362.1321842562844</v>
      </c>
      <c r="R51">
        <v>354.90180955442656</v>
      </c>
      <c r="S51">
        <v>355.82057662201419</v>
      </c>
      <c r="T51">
        <v>355.92555794995224</v>
      </c>
      <c r="U51">
        <v>358.2869026967719</v>
      </c>
      <c r="V51">
        <v>364.44142536785859</v>
      </c>
      <c r="W51">
        <v>369.00524198792192</v>
      </c>
      <c r="X51">
        <v>375.38595369019322</v>
      </c>
      <c r="Y51">
        <v>379.10127335979467</v>
      </c>
      <c r="Z51">
        <v>381.96291823272929</v>
      </c>
      <c r="AA51">
        <v>383.42887697737069</v>
      </c>
      <c r="AB51">
        <v>383.36403541474056</v>
      </c>
      <c r="AC51">
        <v>383.22532153128844</v>
      </c>
      <c r="AD51">
        <v>382.47795273289017</v>
      </c>
      <c r="AE51">
        <v>382.40326994836659</v>
      </c>
      <c r="AF51">
        <v>382.79163348139082</v>
      </c>
      <c r="AG51">
        <v>383.83123089376812</v>
      </c>
      <c r="AH51">
        <v>385.49763701054582</v>
      </c>
      <c r="AI51">
        <v>387.31795047232629</v>
      </c>
      <c r="AJ51">
        <v>389.25232744106171</v>
      </c>
      <c r="AK51">
        <v>390.86830683906675</v>
      </c>
      <c r="AL51">
        <v>392.1257261247992</v>
      </c>
      <c r="AM51">
        <v>392.96569266607185</v>
      </c>
      <c r="AN51">
        <v>393.43951389602347</v>
      </c>
      <c r="AO51">
        <v>393.74071112354432</v>
      </c>
      <c r="AP51">
        <v>393.97052403564845</v>
      </c>
      <c r="AQ51">
        <v>394.30100878582374</v>
      </c>
      <c r="AR51">
        <v>394.7826686115655</v>
      </c>
      <c r="AS51">
        <v>395.43533068003615</v>
      </c>
      <c r="AT51">
        <v>396.22642282041426</v>
      </c>
      <c r="AU51">
        <v>397.07456876680072</v>
      </c>
      <c r="AV51">
        <v>397.9162013935794</v>
      </c>
      <c r="AW51">
        <v>398.67882484438979</v>
      </c>
      <c r="AX51">
        <v>399.33126894178008</v>
      </c>
      <c r="AY51">
        <v>399.86511330373372</v>
      </c>
      <c r="AZ51">
        <v>400.29749245711514</v>
      </c>
      <c r="BA51">
        <v>400.66583418595673</v>
      </c>
    </row>
    <row r="52" spans="1:53" x14ac:dyDescent="0.2">
      <c r="A52" t="s">
        <v>51</v>
      </c>
      <c r="B52" t="s">
        <v>190</v>
      </c>
      <c r="C52" t="s">
        <v>163</v>
      </c>
      <c r="D52" t="s">
        <v>4</v>
      </c>
      <c r="E52">
        <v>461.61151800231471</v>
      </c>
      <c r="F52">
        <v>1467.7703381492206</v>
      </c>
      <c r="G52">
        <v>881.76956300282268</v>
      </c>
      <c r="H52">
        <v>1050.7929636621059</v>
      </c>
      <c r="I52">
        <v>1181.9057310613366</v>
      </c>
      <c r="J52">
        <v>773.1610052708395</v>
      </c>
      <c r="K52">
        <v>713.68872590744502</v>
      </c>
      <c r="L52">
        <v>475.33220576410446</v>
      </c>
      <c r="M52">
        <v>642.33179717214796</v>
      </c>
      <c r="N52">
        <v>648.80070250100789</v>
      </c>
      <c r="O52">
        <v>568.00899511682985</v>
      </c>
      <c r="P52">
        <v>546.16863518221385</v>
      </c>
      <c r="Q52">
        <v>473.12583629895954</v>
      </c>
      <c r="R52">
        <v>515.22304981776108</v>
      </c>
      <c r="S52">
        <v>495.513209997731</v>
      </c>
      <c r="T52">
        <v>491.5836383213674</v>
      </c>
      <c r="U52">
        <v>484.0635441882394</v>
      </c>
      <c r="V52">
        <v>459.20063258642176</v>
      </c>
      <c r="W52">
        <v>450.67532887476375</v>
      </c>
      <c r="X52">
        <v>416.52096542301484</v>
      </c>
      <c r="Y52">
        <v>394.98475063788362</v>
      </c>
      <c r="Z52">
        <v>371.83317290931325</v>
      </c>
      <c r="AA52">
        <v>353.85708666798581</v>
      </c>
      <c r="AB52">
        <v>342.92633124215968</v>
      </c>
      <c r="AC52">
        <v>328.50569800333693</v>
      </c>
      <c r="AD52">
        <v>319.23710609439053</v>
      </c>
      <c r="AE52">
        <v>307.214637516202</v>
      </c>
      <c r="AF52">
        <v>296.43260502747142</v>
      </c>
      <c r="AG52">
        <v>285.37372145796644</v>
      </c>
      <c r="AH52">
        <v>273.16777041959881</v>
      </c>
      <c r="AI52">
        <v>261.92394950854037</v>
      </c>
      <c r="AJ52">
        <v>249.54865896297815</v>
      </c>
      <c r="AK52">
        <v>237.85957287383337</v>
      </c>
      <c r="AL52">
        <v>226.1235798764493</v>
      </c>
      <c r="AM52">
        <v>214.98133880073968</v>
      </c>
      <c r="AN52">
        <v>204.94110197648504</v>
      </c>
      <c r="AO52">
        <v>195.64363779979504</v>
      </c>
      <c r="AP52">
        <v>187.45861121293061</v>
      </c>
      <c r="AQ52">
        <v>179.71392052576348</v>
      </c>
      <c r="AR52">
        <v>172.30500314268215</v>
      </c>
      <c r="AS52">
        <v>164.90940096070966</v>
      </c>
      <c r="AT52">
        <v>157.35489171670585</v>
      </c>
      <c r="AU52">
        <v>149.77173089466052</v>
      </c>
      <c r="AV52">
        <v>142.17417393324729</v>
      </c>
      <c r="AW52">
        <v>134.81185073378762</v>
      </c>
      <c r="AX52">
        <v>127.76767712133352</v>
      </c>
      <c r="AY52">
        <v>121.12633787876528</v>
      </c>
      <c r="AZ52">
        <v>114.90499666470471</v>
      </c>
      <c r="BA52">
        <v>109.03688189381316</v>
      </c>
    </row>
    <row r="53" spans="1:53" x14ac:dyDescent="0.2">
      <c r="A53" t="s">
        <v>52</v>
      </c>
      <c r="B53" t="s">
        <v>191</v>
      </c>
      <c r="C53" t="s">
        <v>163</v>
      </c>
      <c r="D53" t="s">
        <v>4</v>
      </c>
      <c r="E53">
        <v>1739.5290533914783</v>
      </c>
      <c r="F53">
        <v>2057.5284393721395</v>
      </c>
      <c r="G53">
        <v>2245.0060825751216</v>
      </c>
      <c r="H53">
        <v>2515.9251311563116</v>
      </c>
      <c r="I53">
        <v>2442.3245262438099</v>
      </c>
      <c r="J53">
        <v>3003.9859501222518</v>
      </c>
      <c r="K53">
        <v>2956.9648095840962</v>
      </c>
      <c r="L53">
        <v>3160.0334039617442</v>
      </c>
      <c r="M53">
        <v>3258.3124124037072</v>
      </c>
      <c r="N53">
        <v>3307.4236012589799</v>
      </c>
      <c r="O53">
        <v>3385.9086892503819</v>
      </c>
      <c r="P53">
        <v>3251.6076667642083</v>
      </c>
      <c r="Q53">
        <v>3201.272700094948</v>
      </c>
      <c r="R53">
        <v>3094.0709215419774</v>
      </c>
      <c r="S53">
        <v>3041.2825405149388</v>
      </c>
      <c r="T53">
        <v>3027.3458375593932</v>
      </c>
      <c r="U53">
        <v>3018.0503011307305</v>
      </c>
      <c r="V53">
        <v>3061.9223021766015</v>
      </c>
      <c r="W53">
        <v>3088.162097057063</v>
      </c>
      <c r="X53">
        <v>3123.2523458303626</v>
      </c>
      <c r="Y53">
        <v>3136.5818931585991</v>
      </c>
      <c r="Z53">
        <v>3130.4567132070456</v>
      </c>
      <c r="AA53">
        <v>3115.7895814474182</v>
      </c>
      <c r="AB53">
        <v>3084.9985676496208</v>
      </c>
      <c r="AC53">
        <v>3056.8527049999166</v>
      </c>
      <c r="AD53">
        <v>3027.3856535856021</v>
      </c>
      <c r="AE53">
        <v>3005.406802824994</v>
      </c>
      <c r="AF53">
        <v>2991.8586314266049</v>
      </c>
      <c r="AG53">
        <v>2984.6121379868227</v>
      </c>
      <c r="AH53">
        <v>2984.7056874648115</v>
      </c>
      <c r="AI53">
        <v>2986.3723794026341</v>
      </c>
      <c r="AJ53">
        <v>2988.7485191672554</v>
      </c>
      <c r="AK53">
        <v>2988.2830402553359</v>
      </c>
      <c r="AL53">
        <v>2983.7831497905931</v>
      </c>
      <c r="AM53">
        <v>2975.5830587676287</v>
      </c>
      <c r="AN53">
        <v>2964.0328526223561</v>
      </c>
      <c r="AO53">
        <v>2951.4938518681247</v>
      </c>
      <c r="AP53">
        <v>2939.2631285243251</v>
      </c>
      <c r="AQ53">
        <v>2928.9617320185653</v>
      </c>
      <c r="AR53">
        <v>2921.2268465722041</v>
      </c>
      <c r="AS53">
        <v>2915.896390613791</v>
      </c>
      <c r="AT53">
        <v>2912.4916651380186</v>
      </c>
      <c r="AU53">
        <v>2909.9396242947819</v>
      </c>
      <c r="AV53">
        <v>2907.4437000394387</v>
      </c>
      <c r="AW53">
        <v>2904.2823579272031</v>
      </c>
      <c r="AX53">
        <v>2900.1494707893808</v>
      </c>
      <c r="AY53">
        <v>2895.1015876503025</v>
      </c>
      <c r="AZ53">
        <v>2889.3969285511976</v>
      </c>
      <c r="BA53">
        <v>2883.4963460734207</v>
      </c>
    </row>
    <row r="54" spans="1:53" x14ac:dyDescent="0.2">
      <c r="A54" t="s">
        <v>53</v>
      </c>
      <c r="B54" t="s">
        <v>192</v>
      </c>
      <c r="C54" t="s">
        <v>163</v>
      </c>
      <c r="D54" t="s">
        <v>4</v>
      </c>
      <c r="E54">
        <v>14.64188701856151</v>
      </c>
      <c r="F54">
        <v>6.2884994970083907</v>
      </c>
      <c r="G54">
        <v>11.614285339896814</v>
      </c>
      <c r="H54">
        <v>-0.62757487118919131</v>
      </c>
      <c r="I54">
        <v>5.8632029103060335</v>
      </c>
      <c r="J54">
        <v>6.870436370707</v>
      </c>
      <c r="K54">
        <v>8.4709044710935313</v>
      </c>
      <c r="L54">
        <v>8.0679841992609695</v>
      </c>
      <c r="M54">
        <v>8.3559471281381583</v>
      </c>
      <c r="N54">
        <v>10.867875840190935</v>
      </c>
      <c r="O54">
        <v>10.314201154125437</v>
      </c>
      <c r="P54">
        <v>10.050176924119487</v>
      </c>
      <c r="Q54">
        <v>9.4476364123484071</v>
      </c>
      <c r="R54">
        <v>9.3346726596511864</v>
      </c>
      <c r="S54">
        <v>9.6231916669767443</v>
      </c>
      <c r="T54">
        <v>9.4244116906980118</v>
      </c>
      <c r="U54">
        <v>9.7571185027301315</v>
      </c>
      <c r="V54">
        <v>9.9784982876437649</v>
      </c>
      <c r="W54">
        <v>10.411927932444001</v>
      </c>
      <c r="X54">
        <v>10.786775460741726</v>
      </c>
      <c r="Y54">
        <v>10.994303767035413</v>
      </c>
      <c r="Z54">
        <v>11.216569252021598</v>
      </c>
      <c r="AA54">
        <v>11.271601613809686</v>
      </c>
      <c r="AB54">
        <v>11.331518392365377</v>
      </c>
      <c r="AC54">
        <v>11.323214979568887</v>
      </c>
      <c r="AD54">
        <v>11.313950609761291</v>
      </c>
      <c r="AE54">
        <v>11.350515179311159</v>
      </c>
      <c r="AF54">
        <v>11.407859627893767</v>
      </c>
      <c r="AG54">
        <v>11.528571975878421</v>
      </c>
      <c r="AH54">
        <v>11.663122956150787</v>
      </c>
      <c r="AI54">
        <v>11.815918756254671</v>
      </c>
      <c r="AJ54">
        <v>11.962391806307304</v>
      </c>
      <c r="AK54">
        <v>12.085120693089571</v>
      </c>
      <c r="AL54">
        <v>12.186285405301255</v>
      </c>
      <c r="AM54">
        <v>12.256294024719587</v>
      </c>
      <c r="AN54">
        <v>12.310127281803528</v>
      </c>
      <c r="AO54">
        <v>12.35233831483691</v>
      </c>
      <c r="AP54">
        <v>12.393712853477538</v>
      </c>
      <c r="AQ54">
        <v>12.44195540423765</v>
      </c>
      <c r="AR54">
        <v>12.498373332712983</v>
      </c>
      <c r="AS54">
        <v>12.565228790823731</v>
      </c>
      <c r="AT54">
        <v>12.637739407385236</v>
      </c>
      <c r="AU54">
        <v>12.712589643124844</v>
      </c>
      <c r="AV54">
        <v>12.78488099045574</v>
      </c>
      <c r="AW54">
        <v>12.850882866242745</v>
      </c>
      <c r="AX54">
        <v>12.909239905490168</v>
      </c>
      <c r="AY54">
        <v>12.95938595429894</v>
      </c>
      <c r="AZ54">
        <v>13.003222227737051</v>
      </c>
      <c r="BA54">
        <v>13.042849851993672</v>
      </c>
    </row>
    <row r="55" spans="1:53" x14ac:dyDescent="0.2">
      <c r="A55" t="s">
        <v>54</v>
      </c>
      <c r="B55" t="s">
        <v>193</v>
      </c>
      <c r="C55" t="s">
        <v>163</v>
      </c>
      <c r="D55" t="s">
        <v>4</v>
      </c>
      <c r="E55">
        <v>95.288766927159102</v>
      </c>
      <c r="F55">
        <v>48.023597991615567</v>
      </c>
      <c r="G55">
        <v>72.458492375491474</v>
      </c>
      <c r="H55">
        <v>31.582362878700895</v>
      </c>
      <c r="I55">
        <v>29.400355535556354</v>
      </c>
      <c r="J55">
        <v>24.660235616651924</v>
      </c>
      <c r="K55">
        <v>16.622367862833656</v>
      </c>
      <c r="L55">
        <v>22.071543649132579</v>
      </c>
      <c r="M55">
        <v>13.217704760488274</v>
      </c>
      <c r="N55">
        <v>15.346291133952271</v>
      </c>
      <c r="O55">
        <v>11.587415579869532</v>
      </c>
      <c r="P55">
        <v>10.01913461506356</v>
      </c>
      <c r="Q55">
        <v>10.222971024275951</v>
      </c>
      <c r="R55">
        <v>7.3884017044115025</v>
      </c>
      <c r="S55">
        <v>7.9453647410896817</v>
      </c>
      <c r="T55">
        <v>6.2204592391451516</v>
      </c>
      <c r="U55">
        <v>6.1135814269939157</v>
      </c>
      <c r="V55">
        <v>5.7723611593436894</v>
      </c>
      <c r="W55">
        <v>5.2308480459987408</v>
      </c>
      <c r="X55">
        <v>5.612960412640656</v>
      </c>
      <c r="Y55">
        <v>5.4672244501501988</v>
      </c>
      <c r="Z55">
        <v>6.0617438750041934</v>
      </c>
      <c r="AA55">
        <v>6.4362297313050636</v>
      </c>
      <c r="AB55">
        <v>6.9309252494289915</v>
      </c>
      <c r="AC55">
        <v>7.5039959843677044</v>
      </c>
      <c r="AD55">
        <v>7.8860432620921923</v>
      </c>
      <c r="AE55">
        <v>8.4137526900729114</v>
      </c>
      <c r="AF55">
        <v>8.8070229405424794</v>
      </c>
      <c r="AG55">
        <v>9.2922837641423879</v>
      </c>
      <c r="AH55">
        <v>9.7960932210083502</v>
      </c>
      <c r="AI55">
        <v>10.320596226450213</v>
      </c>
      <c r="AJ55">
        <v>10.916574111604969</v>
      </c>
      <c r="AK55">
        <v>11.495088454794884</v>
      </c>
      <c r="AL55">
        <v>12.110985188933624</v>
      </c>
      <c r="AM55">
        <v>12.706710204024001</v>
      </c>
      <c r="AN55">
        <v>13.293941167914175</v>
      </c>
      <c r="AO55">
        <v>13.868358054568649</v>
      </c>
      <c r="AP55">
        <v>14.414594749293165</v>
      </c>
      <c r="AQ55">
        <v>14.950479625610223</v>
      </c>
      <c r="AR55">
        <v>15.462537737215179</v>
      </c>
      <c r="AS55">
        <v>15.964484514535393</v>
      </c>
      <c r="AT55">
        <v>16.45548743565374</v>
      </c>
      <c r="AU55">
        <v>16.938317616165975</v>
      </c>
      <c r="AV55">
        <v>17.417505689632922</v>
      </c>
      <c r="AW55">
        <v>17.888560211304462</v>
      </c>
      <c r="AX55">
        <v>18.352897989856626</v>
      </c>
      <c r="AY55">
        <v>18.805153562364833</v>
      </c>
      <c r="AZ55">
        <v>19.243439166843928</v>
      </c>
      <c r="BA55">
        <v>19.665869517972869</v>
      </c>
    </row>
    <row r="56" spans="1:53" x14ac:dyDescent="0.2">
      <c r="A56" t="s">
        <v>55</v>
      </c>
      <c r="B56" t="s">
        <v>194</v>
      </c>
      <c r="C56" t="s">
        <v>163</v>
      </c>
      <c r="D56" t="s">
        <v>4</v>
      </c>
      <c r="E56">
        <v>-60.895557638909779</v>
      </c>
      <c r="F56">
        <v>2243.3708811307743</v>
      </c>
      <c r="G56">
        <v>1103.4673207229712</v>
      </c>
      <c r="H56">
        <v>2036.4600781204322</v>
      </c>
      <c r="I56">
        <v>2437.6729365655597</v>
      </c>
      <c r="J56">
        <v>1687.5320204629124</v>
      </c>
      <c r="K56">
        <v>2015.0250525245424</v>
      </c>
      <c r="L56">
        <v>1400.9031118787029</v>
      </c>
      <c r="M56">
        <v>1700.5661692377912</v>
      </c>
      <c r="N56">
        <v>1676.9945856196562</v>
      </c>
      <c r="O56">
        <v>1596.1003380439279</v>
      </c>
      <c r="P56">
        <v>1613.0535252893569</v>
      </c>
      <c r="Q56">
        <v>1367.4896708131255</v>
      </c>
      <c r="R56">
        <v>1420.90268868474</v>
      </c>
      <c r="S56">
        <v>1332.7501998617697</v>
      </c>
      <c r="T56">
        <v>1321.8263474520425</v>
      </c>
      <c r="U56">
        <v>1299.9989425921656</v>
      </c>
      <c r="V56">
        <v>1240.0767893599236</v>
      </c>
      <c r="W56">
        <v>1243.692816938536</v>
      </c>
      <c r="X56">
        <v>1186.6280178367267</v>
      </c>
      <c r="Y56">
        <v>1162.3920490075457</v>
      </c>
      <c r="Z56">
        <v>1118.1447248693094</v>
      </c>
      <c r="AA56">
        <v>1076.4197821418857</v>
      </c>
      <c r="AB56">
        <v>1046.4162399299382</v>
      </c>
      <c r="AC56">
        <v>1003.7809240016903</v>
      </c>
      <c r="AD56">
        <v>975.57704476365154</v>
      </c>
      <c r="AE56">
        <v>941.11628863944918</v>
      </c>
      <c r="AF56">
        <v>913.70399431740418</v>
      </c>
      <c r="AG56">
        <v>888.7331339547203</v>
      </c>
      <c r="AH56">
        <v>863.30710435877927</v>
      </c>
      <c r="AI56">
        <v>842.04857132805148</v>
      </c>
      <c r="AJ56">
        <v>818.07342381611079</v>
      </c>
      <c r="AK56">
        <v>795.7466871234343</v>
      </c>
      <c r="AL56">
        <v>772.01352190845284</v>
      </c>
      <c r="AM56">
        <v>748.1249918797289</v>
      </c>
      <c r="AN56">
        <v>725.17532968688818</v>
      </c>
      <c r="AO56">
        <v>702.49253736630772</v>
      </c>
      <c r="AP56">
        <v>681.85114294177879</v>
      </c>
      <c r="AQ56">
        <v>662.22905567655687</v>
      </c>
      <c r="AR56">
        <v>644.1396363486208</v>
      </c>
      <c r="AS56">
        <v>627.08880764595756</v>
      </c>
      <c r="AT56">
        <v>610.64077845292479</v>
      </c>
      <c r="AU56">
        <v>594.82924695572001</v>
      </c>
      <c r="AV56">
        <v>579.18197638664037</v>
      </c>
      <c r="AW56">
        <v>563.90472442833766</v>
      </c>
      <c r="AX56">
        <v>548.87809051791498</v>
      </c>
      <c r="AY56">
        <v>534.22085687594824</v>
      </c>
      <c r="AZ56">
        <v>520.04804132704965</v>
      </c>
      <c r="BA56">
        <v>506.37098876500937</v>
      </c>
    </row>
    <row r="57" spans="1:53" x14ac:dyDescent="0.2">
      <c r="A57" t="s">
        <v>56</v>
      </c>
      <c r="B57" t="s">
        <v>195</v>
      </c>
      <c r="C57" t="s">
        <v>163</v>
      </c>
      <c r="D57" t="s">
        <v>4</v>
      </c>
      <c r="E57">
        <v>15.023722268959135</v>
      </c>
      <c r="F57">
        <v>13.059955667194686</v>
      </c>
      <c r="G57">
        <v>15.767215406384528</v>
      </c>
      <c r="H57">
        <v>14.523242158275158</v>
      </c>
      <c r="I57">
        <v>19.836352740068328</v>
      </c>
      <c r="J57">
        <v>19.912982418722883</v>
      </c>
      <c r="K57">
        <v>21.333513905589196</v>
      </c>
      <c r="L57">
        <v>21.944308396564146</v>
      </c>
      <c r="M57">
        <v>22.387641955242533</v>
      </c>
      <c r="N57">
        <v>23.852336186434883</v>
      </c>
      <c r="O57">
        <v>23.588925108501815</v>
      </c>
      <c r="P57">
        <v>23.625132754709607</v>
      </c>
      <c r="Q57">
        <v>22.784188692470291</v>
      </c>
      <c r="R57">
        <v>22.094824584193077</v>
      </c>
      <c r="S57">
        <v>21.664915014273468</v>
      </c>
      <c r="T57">
        <v>21.162123053649925</v>
      </c>
      <c r="U57">
        <v>21.119102937813384</v>
      </c>
      <c r="V57">
        <v>21.052921581097056</v>
      </c>
      <c r="W57">
        <v>21.235988458957809</v>
      </c>
      <c r="X57">
        <v>21.413053937508895</v>
      </c>
      <c r="Y57">
        <v>21.507543791685556</v>
      </c>
      <c r="Z57">
        <v>21.560623204456292</v>
      </c>
      <c r="AA57">
        <v>21.446553823427706</v>
      </c>
      <c r="AB57">
        <v>21.291021096522904</v>
      </c>
      <c r="AC57">
        <v>21.050495632801621</v>
      </c>
      <c r="AD57">
        <v>20.801135989193423</v>
      </c>
      <c r="AE57">
        <v>20.581165418388395</v>
      </c>
      <c r="AF57">
        <v>20.398537606379325</v>
      </c>
      <c r="AG57">
        <v>20.290623944255589</v>
      </c>
      <c r="AH57">
        <v>20.226339147343957</v>
      </c>
      <c r="AI57">
        <v>20.205342908194961</v>
      </c>
      <c r="AJ57">
        <v>20.197247784320446</v>
      </c>
      <c r="AK57">
        <v>20.180928377901136</v>
      </c>
      <c r="AL57">
        <v>20.14586416302468</v>
      </c>
      <c r="AM57">
        <v>20.07983062808427</v>
      </c>
      <c r="AN57">
        <v>19.991486064877989</v>
      </c>
      <c r="AO57">
        <v>19.88630656605789</v>
      </c>
      <c r="AP57">
        <v>19.778068216235287</v>
      </c>
      <c r="AQ57">
        <v>19.677801696068023</v>
      </c>
      <c r="AR57">
        <v>19.591958468428036</v>
      </c>
      <c r="AS57">
        <v>19.524752584206372</v>
      </c>
      <c r="AT57">
        <v>19.473202836693055</v>
      </c>
      <c r="AU57">
        <v>19.433361425027133</v>
      </c>
      <c r="AV57">
        <v>19.398693534361534</v>
      </c>
      <c r="AW57">
        <v>19.363513684113752</v>
      </c>
      <c r="AX57">
        <v>19.324110475388064</v>
      </c>
      <c r="AY57">
        <v>19.27852078398276</v>
      </c>
      <c r="AZ57">
        <v>19.227637658733357</v>
      </c>
      <c r="BA57">
        <v>19.173487898220412</v>
      </c>
    </row>
    <row r="58" spans="1:53" x14ac:dyDescent="0.2">
      <c r="A58" t="s">
        <v>57</v>
      </c>
      <c r="B58" t="s">
        <v>196</v>
      </c>
      <c r="C58" t="s">
        <v>163</v>
      </c>
      <c r="D58" t="s">
        <v>4</v>
      </c>
      <c r="E58">
        <v>51.357652267672357</v>
      </c>
      <c r="F58">
        <v>43.860089980807174</v>
      </c>
      <c r="G58">
        <v>72.286834452244463</v>
      </c>
      <c r="H58">
        <v>71.972636061840063</v>
      </c>
      <c r="I58">
        <v>106.54522928189704</v>
      </c>
      <c r="J58">
        <v>88.207197586956454</v>
      </c>
      <c r="K58">
        <v>98.054432524683889</v>
      </c>
      <c r="L58">
        <v>108.87154597940749</v>
      </c>
      <c r="M58">
        <v>111.47812626169008</v>
      </c>
      <c r="N58">
        <v>119.85666266245448</v>
      </c>
      <c r="O58">
        <v>111.97067577080276</v>
      </c>
      <c r="P58">
        <v>113.01266317742851</v>
      </c>
      <c r="Q58">
        <v>108.48381165255324</v>
      </c>
      <c r="R58">
        <v>105.40967561235497</v>
      </c>
      <c r="S58">
        <v>104.60002811585645</v>
      </c>
      <c r="T58">
        <v>102.6714426832033</v>
      </c>
      <c r="U58">
        <v>105.36030012742754</v>
      </c>
      <c r="V58">
        <v>106.95764585993939</v>
      </c>
      <c r="W58">
        <v>110.02329535774091</v>
      </c>
      <c r="X58">
        <v>112.36311938853895</v>
      </c>
      <c r="Y58">
        <v>113.59332360853641</v>
      </c>
      <c r="Z58">
        <v>114.58258425053269</v>
      </c>
      <c r="AA58">
        <v>114.14263800524083</v>
      </c>
      <c r="AB58">
        <v>113.70412982301855</v>
      </c>
      <c r="AC58">
        <v>112.84086378245431</v>
      </c>
      <c r="AD58">
        <v>112.20439473384059</v>
      </c>
      <c r="AE58">
        <v>111.99516993465443</v>
      </c>
      <c r="AF58">
        <v>112.04402664898222</v>
      </c>
      <c r="AG58">
        <v>112.5964809973502</v>
      </c>
      <c r="AH58">
        <v>113.26835367740165</v>
      </c>
      <c r="AI58">
        <v>114.08328943266211</v>
      </c>
      <c r="AJ58">
        <v>114.81846898669698</v>
      </c>
      <c r="AK58">
        <v>115.363282862652</v>
      </c>
      <c r="AL58">
        <v>115.72151947832991</v>
      </c>
      <c r="AM58">
        <v>115.83723209326904</v>
      </c>
      <c r="AN58">
        <v>115.82924609464818</v>
      </c>
      <c r="AO58">
        <v>115.74088090877322</v>
      </c>
      <c r="AP58">
        <v>115.67242449017505</v>
      </c>
      <c r="AQ58">
        <v>115.68717851029079</v>
      </c>
      <c r="AR58">
        <v>115.80198902836949</v>
      </c>
      <c r="AS58">
        <v>116.02649034207398</v>
      </c>
      <c r="AT58">
        <v>116.31442110823049</v>
      </c>
      <c r="AU58">
        <v>116.62938310728489</v>
      </c>
      <c r="AV58">
        <v>116.92364830663698</v>
      </c>
      <c r="AW58">
        <v>117.16557242898354</v>
      </c>
      <c r="AX58">
        <v>117.34459906722141</v>
      </c>
      <c r="AY58">
        <v>117.46145569912623</v>
      </c>
      <c r="AZ58">
        <v>117.53641065086671</v>
      </c>
      <c r="BA58">
        <v>117.59045562965677</v>
      </c>
    </row>
    <row r="59" spans="1:53" x14ac:dyDescent="0.2">
      <c r="A59" t="s">
        <v>58</v>
      </c>
      <c r="B59" t="s">
        <v>197</v>
      </c>
      <c r="C59" t="s">
        <v>163</v>
      </c>
      <c r="D59" t="s">
        <v>4</v>
      </c>
      <c r="E59">
        <v>425.54639440360279</v>
      </c>
      <c r="F59">
        <v>473.74531715955425</v>
      </c>
      <c r="G59">
        <v>515.91674246639707</v>
      </c>
      <c r="H59">
        <v>428.63020313996282</v>
      </c>
      <c r="I59">
        <v>527.3027935251464</v>
      </c>
      <c r="J59">
        <v>585.24164222513832</v>
      </c>
      <c r="K59">
        <v>599.84732086265058</v>
      </c>
      <c r="L59">
        <v>628.14686152993409</v>
      </c>
      <c r="M59">
        <v>626.50707425843052</v>
      </c>
      <c r="N59">
        <v>662.66804112894692</v>
      </c>
      <c r="O59">
        <v>655.26465901214158</v>
      </c>
      <c r="P59">
        <v>636.66582459318613</v>
      </c>
      <c r="Q59">
        <v>611.67146854121188</v>
      </c>
      <c r="R59">
        <v>586.31619785964062</v>
      </c>
      <c r="S59">
        <v>580.47427809370549</v>
      </c>
      <c r="T59">
        <v>574.86022386280047</v>
      </c>
      <c r="U59">
        <v>581.39093967648864</v>
      </c>
      <c r="V59">
        <v>590.56623891779429</v>
      </c>
      <c r="W59">
        <v>601.42582778512349</v>
      </c>
      <c r="X59">
        <v>611.93626946050631</v>
      </c>
      <c r="Y59">
        <v>615.90472972716759</v>
      </c>
      <c r="Z59">
        <v>617.00808632883115</v>
      </c>
      <c r="AA59">
        <v>613.21959551642749</v>
      </c>
      <c r="AB59">
        <v>607.84233192900365</v>
      </c>
      <c r="AC59">
        <v>601.93411468050829</v>
      </c>
      <c r="AD59">
        <v>596.44327233360752</v>
      </c>
      <c r="AE59">
        <v>593.20990208413525</v>
      </c>
      <c r="AF59">
        <v>591.70843617882008</v>
      </c>
      <c r="AG59">
        <v>592.43195078206395</v>
      </c>
      <c r="AH59">
        <v>594.34770017158564</v>
      </c>
      <c r="AI59">
        <v>596.74909053090653</v>
      </c>
      <c r="AJ59">
        <v>598.9573732751071</v>
      </c>
      <c r="AK59">
        <v>600.19671942747777</v>
      </c>
      <c r="AL59">
        <v>600.40536606617968</v>
      </c>
      <c r="AM59">
        <v>599.48514377377649</v>
      </c>
      <c r="AN59">
        <v>597.85464429189324</v>
      </c>
      <c r="AO59">
        <v>595.95321228728096</v>
      </c>
      <c r="AP59">
        <v>594.20684663899283</v>
      </c>
      <c r="AQ59">
        <v>592.98143723710655</v>
      </c>
      <c r="AR59">
        <v>592.36246467035096</v>
      </c>
      <c r="AS59">
        <v>592.33509218989241</v>
      </c>
      <c r="AT59">
        <v>592.69375464931341</v>
      </c>
      <c r="AU59">
        <v>593.19970981831864</v>
      </c>
      <c r="AV59">
        <v>593.63084575571077</v>
      </c>
      <c r="AW59">
        <v>593.81951495519456</v>
      </c>
      <c r="AX59">
        <v>593.71373039273703</v>
      </c>
      <c r="AY59">
        <v>593.33143542841071</v>
      </c>
      <c r="AZ59">
        <v>592.76679826962015</v>
      </c>
      <c r="BA59">
        <v>592.13649256233714</v>
      </c>
    </row>
    <row r="60" spans="1:53" x14ac:dyDescent="0.2">
      <c r="A60" t="s">
        <v>59</v>
      </c>
      <c r="B60" t="s">
        <v>198</v>
      </c>
      <c r="C60" t="s">
        <v>163</v>
      </c>
      <c r="D60" t="s">
        <v>4</v>
      </c>
      <c r="E60">
        <v>388.58329443106771</v>
      </c>
      <c r="F60">
        <v>30.002346009623739</v>
      </c>
      <c r="G60">
        <v>115.16390526707703</v>
      </c>
      <c r="H60">
        <v>122.43041842173879</v>
      </c>
      <c r="I60">
        <v>68.282109448690917</v>
      </c>
      <c r="J60">
        <v>209.05188988670483</v>
      </c>
      <c r="K60">
        <v>123.02540759536501</v>
      </c>
      <c r="L60">
        <v>204.37888032679808</v>
      </c>
      <c r="M60">
        <v>196.11081846622895</v>
      </c>
      <c r="N60">
        <v>210.39025300469186</v>
      </c>
      <c r="O60">
        <v>224.01883203158795</v>
      </c>
      <c r="P60">
        <v>182.50478059321509</v>
      </c>
      <c r="Q60">
        <v>189.84773362497009</v>
      </c>
      <c r="R60">
        <v>162.87697398809624</v>
      </c>
      <c r="S60">
        <v>161.11659938609247</v>
      </c>
      <c r="T60">
        <v>157.41449359120912</v>
      </c>
      <c r="U60">
        <v>155.15857003541231</v>
      </c>
      <c r="V60">
        <v>167.36045444935789</v>
      </c>
      <c r="W60">
        <v>169.7984403889707</v>
      </c>
      <c r="X60">
        <v>179.6009869543077</v>
      </c>
      <c r="Y60">
        <v>181.83600244587907</v>
      </c>
      <c r="Z60">
        <v>182.60104134685241</v>
      </c>
      <c r="AA60">
        <v>181.82656649661922</v>
      </c>
      <c r="AB60">
        <v>176.96009062521676</v>
      </c>
      <c r="AC60">
        <v>173.95493177073533</v>
      </c>
      <c r="AD60">
        <v>169.40028859758073</v>
      </c>
      <c r="AE60">
        <v>167.13591398051594</v>
      </c>
      <c r="AF60">
        <v>166.01720413647536</v>
      </c>
      <c r="AG60">
        <v>166.00688531592891</v>
      </c>
      <c r="AH60">
        <v>167.49312495316872</v>
      </c>
      <c r="AI60">
        <v>168.82296427623314</v>
      </c>
      <c r="AJ60">
        <v>170.47484963525909</v>
      </c>
      <c r="AK60">
        <v>171.33178503663689</v>
      </c>
      <c r="AL60">
        <v>171.51276556770424</v>
      </c>
      <c r="AM60">
        <v>171.0271479731976</v>
      </c>
      <c r="AN60">
        <v>169.89454025629001</v>
      </c>
      <c r="AO60">
        <v>168.66769312560939</v>
      </c>
      <c r="AP60">
        <v>167.41451984764529</v>
      </c>
      <c r="AQ60">
        <v>166.52039002053047</v>
      </c>
      <c r="AR60">
        <v>166.02081871813098</v>
      </c>
      <c r="AS60">
        <v>165.90287466903987</v>
      </c>
      <c r="AT60">
        <v>166.0991630924951</v>
      </c>
      <c r="AU60">
        <v>166.39365874117593</v>
      </c>
      <c r="AV60">
        <v>166.68373720408792</v>
      </c>
      <c r="AW60">
        <v>166.81844489151001</v>
      </c>
      <c r="AX60">
        <v>166.76004578891076</v>
      </c>
      <c r="AY60">
        <v>166.51564875798027</v>
      </c>
      <c r="AZ60">
        <v>166.12940046458252</v>
      </c>
      <c r="BA60">
        <v>165.6924317753047</v>
      </c>
    </row>
    <row r="61" spans="1:53" x14ac:dyDescent="0.2">
      <c r="A61" t="s">
        <v>60</v>
      </c>
      <c r="B61" t="s">
        <v>199</v>
      </c>
      <c r="C61" t="s">
        <v>163</v>
      </c>
      <c r="D61" t="s">
        <v>4</v>
      </c>
      <c r="E61">
        <v>171.35231239529517</v>
      </c>
      <c r="F61">
        <v>111.11217317445764</v>
      </c>
      <c r="G61">
        <v>88.590438984742974</v>
      </c>
      <c r="H61">
        <v>100.01120278508513</v>
      </c>
      <c r="I61">
        <v>-13.607187752683645</v>
      </c>
      <c r="J61">
        <v>21.605872477915376</v>
      </c>
      <c r="K61">
        <v>37.040378533752637</v>
      </c>
      <c r="L61">
        <v>62.682992113128286</v>
      </c>
      <c r="M61">
        <v>80.497335744346984</v>
      </c>
      <c r="N61">
        <v>77.858269436833908</v>
      </c>
      <c r="O61">
        <v>95.385064407564457</v>
      </c>
      <c r="P61">
        <v>86.683716733130453</v>
      </c>
      <c r="Q61">
        <v>83.557707274285917</v>
      </c>
      <c r="R61">
        <v>74.043616732234497</v>
      </c>
      <c r="S61">
        <v>66.165560157357774</v>
      </c>
      <c r="T61">
        <v>67.276309868334778</v>
      </c>
      <c r="U61">
        <v>67.725278077893392</v>
      </c>
      <c r="V61">
        <v>75.981635080577718</v>
      </c>
      <c r="W61">
        <v>83.419357081723078</v>
      </c>
      <c r="X61">
        <v>91.989054242675124</v>
      </c>
      <c r="Y61">
        <v>99.183166151118826</v>
      </c>
      <c r="Z61">
        <v>102.69270956405154</v>
      </c>
      <c r="AA61">
        <v>104.64498690378728</v>
      </c>
      <c r="AB61">
        <v>103.56654755875189</v>
      </c>
      <c r="AC61">
        <v>102.11523361030638</v>
      </c>
      <c r="AD61">
        <v>100.46456586072425</v>
      </c>
      <c r="AE61">
        <v>99.566351470742248</v>
      </c>
      <c r="AF61">
        <v>100.13936738634953</v>
      </c>
      <c r="AG61">
        <v>101.70274341714342</v>
      </c>
      <c r="AH61">
        <v>104.44136404497992</v>
      </c>
      <c r="AI61">
        <v>107.48971812261436</v>
      </c>
      <c r="AJ61">
        <v>110.52069096415137</v>
      </c>
      <c r="AK61">
        <v>113.09036249146446</v>
      </c>
      <c r="AL61">
        <v>114.90554117425428</v>
      </c>
      <c r="AM61">
        <v>116.05954606410008</v>
      </c>
      <c r="AN61">
        <v>116.58734048167433</v>
      </c>
      <c r="AO61">
        <v>116.82432029851159</v>
      </c>
      <c r="AP61">
        <v>117.00153160201739</v>
      </c>
      <c r="AQ61">
        <v>117.3503536904748</v>
      </c>
      <c r="AR61">
        <v>118.01420564526472</v>
      </c>
      <c r="AS61">
        <v>118.98452450105596</v>
      </c>
      <c r="AT61">
        <v>120.21286674229546</v>
      </c>
      <c r="AU61">
        <v>121.55058364343003</v>
      </c>
      <c r="AV61">
        <v>122.86599935580199</v>
      </c>
      <c r="AW61">
        <v>124.04257003840047</v>
      </c>
      <c r="AX61">
        <v>125.01190810119247</v>
      </c>
      <c r="AY61">
        <v>125.77207248469146</v>
      </c>
      <c r="AZ61">
        <v>126.35649985735725</v>
      </c>
      <c r="BA61">
        <v>126.83705856008835</v>
      </c>
    </row>
    <row r="62" spans="1:53" x14ac:dyDescent="0.2">
      <c r="A62" t="s">
        <v>61</v>
      </c>
      <c r="B62" t="s">
        <v>200</v>
      </c>
      <c r="C62" t="s">
        <v>163</v>
      </c>
      <c r="D62" t="s">
        <v>4</v>
      </c>
      <c r="E62">
        <v>435.22892197719818</v>
      </c>
      <c r="F62">
        <v>299.17962212471946</v>
      </c>
      <c r="G62">
        <v>304.41490932398153</v>
      </c>
      <c r="H62">
        <v>304.19296519361092</v>
      </c>
      <c r="I62">
        <v>317.37000961214488</v>
      </c>
      <c r="J62">
        <v>420.47153810805713</v>
      </c>
      <c r="K62">
        <v>392.10677364145585</v>
      </c>
      <c r="L62">
        <v>451.26683941420652</v>
      </c>
      <c r="M62">
        <v>449.77012620326798</v>
      </c>
      <c r="N62">
        <v>459.70715653536149</v>
      </c>
      <c r="O62">
        <v>463.96596985252705</v>
      </c>
      <c r="P62">
        <v>437.54675016371107</v>
      </c>
      <c r="Q62">
        <v>436.65037351168456</v>
      </c>
      <c r="R62">
        <v>419.55852541367818</v>
      </c>
      <c r="S62">
        <v>422.49411690214271</v>
      </c>
      <c r="T62">
        <v>427.79798456687331</v>
      </c>
      <c r="U62">
        <v>436.95736685568704</v>
      </c>
      <c r="V62">
        <v>454.37275506424163</v>
      </c>
      <c r="W62">
        <v>465.75602714724818</v>
      </c>
      <c r="X62">
        <v>479.1593371611678</v>
      </c>
      <c r="Y62">
        <v>485.45617425447904</v>
      </c>
      <c r="Z62">
        <v>488.74189461402005</v>
      </c>
      <c r="AA62">
        <v>489.54973495320854</v>
      </c>
      <c r="AB62">
        <v>487.78099775239997</v>
      </c>
      <c r="AC62">
        <v>487.43436644967494</v>
      </c>
      <c r="AD62">
        <v>487.13792201923303</v>
      </c>
      <c r="AE62">
        <v>489.20181746265479</v>
      </c>
      <c r="AF62">
        <v>492.71952472729123</v>
      </c>
      <c r="AG62">
        <v>497.37410931845255</v>
      </c>
      <c r="AH62">
        <v>502.8827351413683</v>
      </c>
      <c r="AI62">
        <v>507.98364752359402</v>
      </c>
      <c r="AJ62">
        <v>512.69160017913237</v>
      </c>
      <c r="AK62">
        <v>516.2847991787587</v>
      </c>
      <c r="AL62">
        <v>518.90293875319503</v>
      </c>
      <c r="AM62">
        <v>520.6933548313815</v>
      </c>
      <c r="AN62">
        <v>521.89734070453972</v>
      </c>
      <c r="AO62">
        <v>523.02766885364656</v>
      </c>
      <c r="AP62">
        <v>524.28264643252294</v>
      </c>
      <c r="AQ62">
        <v>525.95418700761445</v>
      </c>
      <c r="AR62">
        <v>528.04395600815644</v>
      </c>
      <c r="AS62">
        <v>530.46599837144902</v>
      </c>
      <c r="AT62">
        <v>533.06120205711193</v>
      </c>
      <c r="AU62">
        <v>535.59537368931592</v>
      </c>
      <c r="AV62">
        <v>537.92863479861364</v>
      </c>
      <c r="AW62">
        <v>539.94311533095129</v>
      </c>
      <c r="AX62">
        <v>541.63427783236079</v>
      </c>
      <c r="AY62">
        <v>543.05581676754673</v>
      </c>
      <c r="AZ62">
        <v>544.29916226570776</v>
      </c>
      <c r="BA62">
        <v>545.47659623661207</v>
      </c>
    </row>
    <row r="63" spans="1:53" x14ac:dyDescent="0.2">
      <c r="A63" t="s">
        <v>62</v>
      </c>
      <c r="B63" t="s">
        <v>201</v>
      </c>
      <c r="C63" t="s">
        <v>163</v>
      </c>
      <c r="D63" t="s">
        <v>4</v>
      </c>
      <c r="E63">
        <v>159.76260852445222</v>
      </c>
      <c r="F63">
        <v>59.385813253479924</v>
      </c>
      <c r="G63">
        <v>79.408852762757888</v>
      </c>
      <c r="H63">
        <v>66.856305215133645</v>
      </c>
      <c r="I63">
        <v>79.693176502482103</v>
      </c>
      <c r="J63">
        <v>120.91767064350091</v>
      </c>
      <c r="K63">
        <v>103.2930513383924</v>
      </c>
      <c r="L63">
        <v>131.58994611108264</v>
      </c>
      <c r="M63">
        <v>125.23906555118586</v>
      </c>
      <c r="N63">
        <v>133.65946173662641</v>
      </c>
      <c r="O63">
        <v>133.74210610693524</v>
      </c>
      <c r="P63">
        <v>123.80734905726737</v>
      </c>
      <c r="Q63">
        <v>125.02942533886187</v>
      </c>
      <c r="R63">
        <v>117.17373090751805</v>
      </c>
      <c r="S63">
        <v>119.2862431154592</v>
      </c>
      <c r="T63">
        <v>119.37133254945188</v>
      </c>
      <c r="U63">
        <v>121.7845520513566</v>
      </c>
      <c r="V63">
        <v>126.81660345517786</v>
      </c>
      <c r="W63">
        <v>129.33666556135387</v>
      </c>
      <c r="X63">
        <v>133.51153675683287</v>
      </c>
      <c r="Y63">
        <v>134.65323153001734</v>
      </c>
      <c r="Z63">
        <v>135.4907840665943</v>
      </c>
      <c r="AA63">
        <v>135.30891332255894</v>
      </c>
      <c r="AB63">
        <v>134.30351995270004</v>
      </c>
      <c r="AC63">
        <v>133.86862880359325</v>
      </c>
      <c r="AD63">
        <v>133.20038076171488</v>
      </c>
      <c r="AE63">
        <v>133.46221417205302</v>
      </c>
      <c r="AF63">
        <v>134.06186120766174</v>
      </c>
      <c r="AG63">
        <v>135.10660817689433</v>
      </c>
      <c r="AH63">
        <v>136.45396618092869</v>
      </c>
      <c r="AI63">
        <v>137.66776688755013</v>
      </c>
      <c r="AJ63">
        <v>138.83329789987363</v>
      </c>
      <c r="AK63">
        <v>139.62088799395596</v>
      </c>
      <c r="AL63">
        <v>140.14307283275375</v>
      </c>
      <c r="AM63">
        <v>140.39907958997171</v>
      </c>
      <c r="AN63">
        <v>140.47634257186172</v>
      </c>
      <c r="AO63">
        <v>140.54455421010042</v>
      </c>
      <c r="AP63">
        <v>140.64600547296737</v>
      </c>
      <c r="AQ63">
        <v>140.89470574284093</v>
      </c>
      <c r="AR63">
        <v>141.2754348267537</v>
      </c>
      <c r="AS63">
        <v>141.77287030856738</v>
      </c>
      <c r="AT63">
        <v>142.33602712864922</v>
      </c>
      <c r="AU63">
        <v>142.89045297053448</v>
      </c>
      <c r="AV63">
        <v>143.39696652938818</v>
      </c>
      <c r="AW63">
        <v>143.81251978901338</v>
      </c>
      <c r="AX63">
        <v>144.13763661498166</v>
      </c>
      <c r="AY63">
        <v>144.38479222124144</v>
      </c>
      <c r="AZ63">
        <v>144.5815663712755</v>
      </c>
      <c r="BA63">
        <v>144.76276771582775</v>
      </c>
    </row>
    <row r="64" spans="1:53" x14ac:dyDescent="0.2">
      <c r="A64" t="s">
        <v>63</v>
      </c>
      <c r="B64" t="s">
        <v>202</v>
      </c>
      <c r="C64" t="s">
        <v>163</v>
      </c>
      <c r="D64" t="s">
        <v>4</v>
      </c>
      <c r="E64">
        <v>2036.2123577057707</v>
      </c>
      <c r="F64">
        <v>1600.7097734579968</v>
      </c>
      <c r="G64">
        <v>2119.7105619757776</v>
      </c>
      <c r="H64">
        <v>2043.4495208165501</v>
      </c>
      <c r="I64">
        <v>1982.1552092946683</v>
      </c>
      <c r="J64">
        <v>2600.8186683209651</v>
      </c>
      <c r="K64">
        <v>2392.265686269619</v>
      </c>
      <c r="L64">
        <v>2743.323396113869</v>
      </c>
      <c r="M64">
        <v>2652.270575642634</v>
      </c>
      <c r="N64">
        <v>2724.4556962296988</v>
      </c>
      <c r="O64">
        <v>2759.3152166496156</v>
      </c>
      <c r="P64">
        <v>2612.6683628604646</v>
      </c>
      <c r="Q64">
        <v>2613.1352941482264</v>
      </c>
      <c r="R64">
        <v>2483.6314126638626</v>
      </c>
      <c r="S64">
        <v>2478.0919283304511</v>
      </c>
      <c r="T64">
        <v>2462.4859013044475</v>
      </c>
      <c r="U64">
        <v>2467.3417713395538</v>
      </c>
      <c r="V64">
        <v>2517.5836600424209</v>
      </c>
      <c r="W64">
        <v>2533.4839844819339</v>
      </c>
      <c r="X64">
        <v>2574.6069820628272</v>
      </c>
      <c r="Y64">
        <v>2579.6739704287766</v>
      </c>
      <c r="Z64">
        <v>2578.4143173143152</v>
      </c>
      <c r="AA64">
        <v>2566.7147832578007</v>
      </c>
      <c r="AB64">
        <v>2542.0497754390258</v>
      </c>
      <c r="AC64">
        <v>2525.325712765733</v>
      </c>
      <c r="AD64">
        <v>2504.5482670619385</v>
      </c>
      <c r="AE64">
        <v>2494.6920163741065</v>
      </c>
      <c r="AF64">
        <v>2489.6259568030855</v>
      </c>
      <c r="AG64">
        <v>2490.1278006691091</v>
      </c>
      <c r="AH64">
        <v>2496.0179599464223</v>
      </c>
      <c r="AI64">
        <v>2501.2104542932607</v>
      </c>
      <c r="AJ64">
        <v>2507.0710391083257</v>
      </c>
      <c r="AK64">
        <v>2509.0913319727197</v>
      </c>
      <c r="AL64">
        <v>2508.0694901517954</v>
      </c>
      <c r="AM64">
        <v>2503.885553744994</v>
      </c>
      <c r="AN64">
        <v>2497.1550366770439</v>
      </c>
      <c r="AO64">
        <v>2490.1618055506237</v>
      </c>
      <c r="AP64">
        <v>2483.4697168124844</v>
      </c>
      <c r="AQ64">
        <v>2478.709211892156</v>
      </c>
      <c r="AR64">
        <v>2475.9150584890108</v>
      </c>
      <c r="AS64">
        <v>2474.9588151019975</v>
      </c>
      <c r="AT64">
        <v>2475.3126055779626</v>
      </c>
      <c r="AU64">
        <v>2475.9871361231562</v>
      </c>
      <c r="AV64">
        <v>2476.4515784993323</v>
      </c>
      <c r="AW64">
        <v>2476.0831860043354</v>
      </c>
      <c r="AX64">
        <v>2474.7963775921789</v>
      </c>
      <c r="AY64">
        <v>2472.6926870601656</v>
      </c>
      <c r="AZ64">
        <v>2470.0571844369774</v>
      </c>
      <c r="BA64">
        <v>2467.3148447826493</v>
      </c>
    </row>
    <row r="65" spans="1:53" x14ac:dyDescent="0.2">
      <c r="A65" t="s">
        <v>64</v>
      </c>
      <c r="B65" t="s">
        <v>203</v>
      </c>
      <c r="C65" t="s">
        <v>163</v>
      </c>
      <c r="D65" t="s">
        <v>4</v>
      </c>
      <c r="E65">
        <v>390.80526782328116</v>
      </c>
      <c r="F65">
        <v>229.47658125881202</v>
      </c>
      <c r="G65">
        <v>259.00239950934127</v>
      </c>
      <c r="H65">
        <v>205.42570930482145</v>
      </c>
      <c r="I65">
        <v>190.22410905194741</v>
      </c>
      <c r="J65">
        <v>298.6340425777563</v>
      </c>
      <c r="K65">
        <v>258.21582632674159</v>
      </c>
      <c r="L65">
        <v>317.8140234852998</v>
      </c>
      <c r="M65">
        <v>305.06154617114305</v>
      </c>
      <c r="N65">
        <v>322.4505174435962</v>
      </c>
      <c r="O65">
        <v>332.34264927477284</v>
      </c>
      <c r="P65">
        <v>310.07614067057415</v>
      </c>
      <c r="Q65">
        <v>315.21532461909044</v>
      </c>
      <c r="R65">
        <v>298.11528656420046</v>
      </c>
      <c r="S65">
        <v>302.02004391801904</v>
      </c>
      <c r="T65">
        <v>302.69541116604802</v>
      </c>
      <c r="U65">
        <v>305.70462298212709</v>
      </c>
      <c r="V65">
        <v>316.10821147172061</v>
      </c>
      <c r="W65">
        <v>320.33085041873596</v>
      </c>
      <c r="X65">
        <v>329.26517092298963</v>
      </c>
      <c r="Y65">
        <v>332.32378684150251</v>
      </c>
      <c r="Z65">
        <v>334.74217325604701</v>
      </c>
      <c r="AA65">
        <v>335.63618764098385</v>
      </c>
      <c r="AB65">
        <v>334.27932226695066</v>
      </c>
      <c r="AC65">
        <v>334.15180258028403</v>
      </c>
      <c r="AD65">
        <v>333.03422303478106</v>
      </c>
      <c r="AE65">
        <v>333.55913033645919</v>
      </c>
      <c r="AF65">
        <v>334.68823593842546</v>
      </c>
      <c r="AG65">
        <v>336.60524473380946</v>
      </c>
      <c r="AH65">
        <v>339.33590641199919</v>
      </c>
      <c r="AI65">
        <v>341.85836371094945</v>
      </c>
      <c r="AJ65">
        <v>344.4636933730016</v>
      </c>
      <c r="AK65">
        <v>346.39757709367569</v>
      </c>
      <c r="AL65">
        <v>347.82458196464216</v>
      </c>
      <c r="AM65">
        <v>348.72801040830097</v>
      </c>
      <c r="AN65">
        <v>349.19553056535761</v>
      </c>
      <c r="AO65">
        <v>349.59250606566781</v>
      </c>
      <c r="AP65">
        <v>349.97524233648102</v>
      </c>
      <c r="AQ65">
        <v>350.59769626057744</v>
      </c>
      <c r="AR65">
        <v>351.45240416827244</v>
      </c>
      <c r="AS65">
        <v>352.52428091551735</v>
      </c>
      <c r="AT65">
        <v>353.74421423534494</v>
      </c>
      <c r="AU65">
        <v>354.96754543121068</v>
      </c>
      <c r="AV65">
        <v>356.12693756242516</v>
      </c>
      <c r="AW65">
        <v>357.128719458707</v>
      </c>
      <c r="AX65">
        <v>357.96198577240142</v>
      </c>
      <c r="AY65">
        <v>358.63931896134977</v>
      </c>
      <c r="AZ65">
        <v>359.20038079825707</v>
      </c>
      <c r="BA65">
        <v>359.70893489307463</v>
      </c>
    </row>
    <row r="66" spans="1:53" x14ac:dyDescent="0.2">
      <c r="A66" t="s">
        <v>65</v>
      </c>
      <c r="B66" t="s">
        <v>204</v>
      </c>
      <c r="C66" t="s">
        <v>163</v>
      </c>
      <c r="D66" t="s">
        <v>4</v>
      </c>
      <c r="E66">
        <v>385.32470858265401</v>
      </c>
      <c r="F66">
        <v>106.10593488281704</v>
      </c>
      <c r="G66">
        <v>113.87866662383051</v>
      </c>
      <c r="H66">
        <v>-76.709548936959536</v>
      </c>
      <c r="I66">
        <v>-55.519558254555207</v>
      </c>
      <c r="J66">
        <v>171.7242263142461</v>
      </c>
      <c r="K66">
        <v>174.23153486693258</v>
      </c>
      <c r="L66">
        <v>271.84610744279837</v>
      </c>
      <c r="M66">
        <v>265.96062575499047</v>
      </c>
      <c r="N66">
        <v>317.07250506386225</v>
      </c>
      <c r="O66">
        <v>332.8868506715209</v>
      </c>
      <c r="P66">
        <v>298.11692190847896</v>
      </c>
      <c r="Q66">
        <v>293.59288473335823</v>
      </c>
      <c r="R66">
        <v>259.48390824508368</v>
      </c>
      <c r="S66">
        <v>255.90006680291904</v>
      </c>
      <c r="T66">
        <v>245.68315461868423</v>
      </c>
      <c r="U66">
        <v>244.26795943613507</v>
      </c>
      <c r="V66">
        <v>256.65377397967808</v>
      </c>
      <c r="W66">
        <v>266.84078855605583</v>
      </c>
      <c r="X66">
        <v>286.84653069849304</v>
      </c>
      <c r="Y66">
        <v>298.9109983802407</v>
      </c>
      <c r="Z66">
        <v>308.7977660638839</v>
      </c>
      <c r="AA66">
        <v>312.72040502032968</v>
      </c>
      <c r="AB66">
        <v>310.41472887737956</v>
      </c>
      <c r="AC66">
        <v>306.89371622744505</v>
      </c>
      <c r="AD66">
        <v>300.77792954921046</v>
      </c>
      <c r="AE66">
        <v>297.29611364372386</v>
      </c>
      <c r="AF66">
        <v>295.85407706749317</v>
      </c>
      <c r="AG66">
        <v>297.36169041105114</v>
      </c>
      <c r="AH66">
        <v>301.4482840216686</v>
      </c>
      <c r="AI66">
        <v>306.32351842288483</v>
      </c>
      <c r="AJ66">
        <v>311.73051549188602</v>
      </c>
      <c r="AK66">
        <v>316.07407943800143</v>
      </c>
      <c r="AL66">
        <v>319.25950634924033</v>
      </c>
      <c r="AM66">
        <v>321.0212237605478</v>
      </c>
      <c r="AN66">
        <v>321.52657503048505</v>
      </c>
      <c r="AO66">
        <v>321.38420032111225</v>
      </c>
      <c r="AP66">
        <v>320.90768999306812</v>
      </c>
      <c r="AQ66">
        <v>320.7116982105473</v>
      </c>
      <c r="AR66">
        <v>321.01148828920213</v>
      </c>
      <c r="AS66">
        <v>321.96309916860901</v>
      </c>
      <c r="AT66">
        <v>323.51502453805682</v>
      </c>
      <c r="AU66">
        <v>325.41972221953876</v>
      </c>
      <c r="AV66">
        <v>327.44548739081608</v>
      </c>
      <c r="AW66">
        <v>329.29315887609198</v>
      </c>
      <c r="AX66">
        <v>330.80082321576174</v>
      </c>
      <c r="AY66">
        <v>331.89051507487</v>
      </c>
      <c r="AZ66">
        <v>332.59985801444191</v>
      </c>
      <c r="BA66">
        <v>333.05914769418149</v>
      </c>
    </row>
    <row r="67" spans="1:53" x14ac:dyDescent="0.2">
      <c r="A67" t="s">
        <v>66</v>
      </c>
      <c r="B67" t="s">
        <v>205</v>
      </c>
      <c r="C67" t="s">
        <v>206</v>
      </c>
      <c r="D67" t="s">
        <v>4</v>
      </c>
      <c r="E67">
        <v>190.34690038200384</v>
      </c>
      <c r="F67">
        <v>86.071207842664236</v>
      </c>
      <c r="G67">
        <v>74.624264163470599</v>
      </c>
      <c r="H67">
        <v>103.73889606987774</v>
      </c>
      <c r="I67">
        <v>62.150815878241204</v>
      </c>
      <c r="J67">
        <v>120.1985407110235</v>
      </c>
      <c r="K67">
        <v>109.25246700081489</v>
      </c>
      <c r="L67">
        <v>154.17150620693536</v>
      </c>
      <c r="M67">
        <v>177.49151188446453</v>
      </c>
      <c r="N67">
        <v>186.59055335134644</v>
      </c>
      <c r="O67">
        <v>197.67453154522505</v>
      </c>
      <c r="P67">
        <v>177.52485622658239</v>
      </c>
      <c r="Q67">
        <v>169.47491032635355</v>
      </c>
      <c r="R67">
        <v>149.94680938410613</v>
      </c>
      <c r="S67">
        <v>137.94426826984312</v>
      </c>
      <c r="T67">
        <v>131.92025425939943</v>
      </c>
      <c r="U67">
        <v>127.84507489577024</v>
      </c>
      <c r="V67">
        <v>133.09180971096134</v>
      </c>
      <c r="W67">
        <v>137.04080498129437</v>
      </c>
      <c r="X67">
        <v>143.9644362064212</v>
      </c>
      <c r="Y67">
        <v>148.56691790658795</v>
      </c>
      <c r="Z67">
        <v>150.54452410831871</v>
      </c>
      <c r="AA67">
        <v>150.61642404410657</v>
      </c>
      <c r="AB67">
        <v>147.19063645828953</v>
      </c>
      <c r="AC67">
        <v>143.10303757093806</v>
      </c>
      <c r="AD67">
        <v>138.01213506592148</v>
      </c>
      <c r="AE67">
        <v>133.7662722217483</v>
      </c>
      <c r="AF67">
        <v>130.91240652848899</v>
      </c>
      <c r="AG67">
        <v>129.45298845208745</v>
      </c>
      <c r="AH67">
        <v>129.63750476014152</v>
      </c>
      <c r="AI67">
        <v>130.50694868204067</v>
      </c>
      <c r="AJ67">
        <v>131.75972916056989</v>
      </c>
      <c r="AK67">
        <v>132.6483332915605</v>
      </c>
      <c r="AL67">
        <v>132.84469522105107</v>
      </c>
      <c r="AM67">
        <v>132.29955448199971</v>
      </c>
      <c r="AN67">
        <v>131.03278644231179</v>
      </c>
      <c r="AO67">
        <v>129.41647357203323</v>
      </c>
      <c r="AP67">
        <v>127.69155070506073</v>
      </c>
      <c r="AQ67">
        <v>126.17294200648485</v>
      </c>
      <c r="AR67">
        <v>125.02712803941935</v>
      </c>
      <c r="AS67">
        <v>124.29414401602043</v>
      </c>
      <c r="AT67">
        <v>123.94323058809168</v>
      </c>
      <c r="AU67">
        <v>123.82425115981297</v>
      </c>
      <c r="AV67">
        <v>123.79974759740588</v>
      </c>
      <c r="AW67">
        <v>123.72003247163653</v>
      </c>
      <c r="AX67">
        <v>123.49073657296205</v>
      </c>
      <c r="AY67">
        <v>123.07785103289082</v>
      </c>
      <c r="AZ67">
        <v>122.49552701076323</v>
      </c>
      <c r="BA67">
        <v>121.81004930529906</v>
      </c>
    </row>
    <row r="68" spans="1:53" x14ac:dyDescent="0.2">
      <c r="A68" t="s">
        <v>67</v>
      </c>
      <c r="B68" t="s">
        <v>207</v>
      </c>
      <c r="C68" t="s">
        <v>206</v>
      </c>
      <c r="D68" t="s">
        <v>4</v>
      </c>
      <c r="E68">
        <v>289.41420567380442</v>
      </c>
      <c r="F68">
        <v>204.92574998521957</v>
      </c>
      <c r="G68">
        <v>204.72059219245514</v>
      </c>
      <c r="H68">
        <v>140.06760244640819</v>
      </c>
      <c r="I68">
        <v>133.38832809132577</v>
      </c>
      <c r="J68">
        <v>211.02058283290813</v>
      </c>
      <c r="K68">
        <v>198.07399719505142</v>
      </c>
      <c r="L68">
        <v>248.76876872136305</v>
      </c>
      <c r="M68">
        <v>255.30768427619748</v>
      </c>
      <c r="N68">
        <v>280.17408549156534</v>
      </c>
      <c r="O68">
        <v>294.1964349129475</v>
      </c>
      <c r="P68">
        <v>281.9482691414126</v>
      </c>
      <c r="Q68">
        <v>282.40259616162086</v>
      </c>
      <c r="R68">
        <v>267.20871450717732</v>
      </c>
      <c r="S68">
        <v>265.87210807660585</v>
      </c>
      <c r="T68">
        <v>263.87680018451914</v>
      </c>
      <c r="U68">
        <v>265.72625148214166</v>
      </c>
      <c r="V68">
        <v>274.38924094037736</v>
      </c>
      <c r="W68">
        <v>280.86089885994005</v>
      </c>
      <c r="X68">
        <v>290.96713412914215</v>
      </c>
      <c r="Y68">
        <v>296.99278726176397</v>
      </c>
      <c r="Z68">
        <v>301.65332799274057</v>
      </c>
      <c r="AA68">
        <v>304.02019184293533</v>
      </c>
      <c r="AB68">
        <v>303.7480410718324</v>
      </c>
      <c r="AC68">
        <v>303.30012284213319</v>
      </c>
      <c r="AD68">
        <v>301.74096126968294</v>
      </c>
      <c r="AE68">
        <v>301.22611409862196</v>
      </c>
      <c r="AF68">
        <v>301.46688517528992</v>
      </c>
      <c r="AG68">
        <v>302.80690148639366</v>
      </c>
      <c r="AH68">
        <v>305.26257321703673</v>
      </c>
      <c r="AI68">
        <v>308.05348158358987</v>
      </c>
      <c r="AJ68">
        <v>311.12414729901127</v>
      </c>
      <c r="AK68">
        <v>313.73994950537588</v>
      </c>
      <c r="AL68">
        <v>315.80194412335055</v>
      </c>
      <c r="AM68">
        <v>317.18139611618079</v>
      </c>
      <c r="AN68">
        <v>317.92877257303246</v>
      </c>
      <c r="AO68">
        <v>318.35200603094125</v>
      </c>
      <c r="AP68">
        <v>318.61607884788742</v>
      </c>
      <c r="AQ68">
        <v>319.01819251306495</v>
      </c>
      <c r="AR68">
        <v>319.66069155885867</v>
      </c>
      <c r="AS68">
        <v>320.59369854541956</v>
      </c>
      <c r="AT68">
        <v>321.77767977743656</v>
      </c>
      <c r="AU68">
        <v>323.0828361975644</v>
      </c>
      <c r="AV68">
        <v>324.40275066310966</v>
      </c>
      <c r="AW68">
        <v>325.61041811457335</v>
      </c>
      <c r="AX68">
        <v>326.64502531955895</v>
      </c>
      <c r="AY68">
        <v>327.48426235064323</v>
      </c>
      <c r="AZ68">
        <v>328.1500068689125</v>
      </c>
      <c r="BA68">
        <v>328.70138253468639</v>
      </c>
    </row>
    <row r="69" spans="1:53" x14ac:dyDescent="0.2">
      <c r="A69" t="s">
        <v>68</v>
      </c>
      <c r="B69" t="s">
        <v>208</v>
      </c>
      <c r="C69" t="s">
        <v>206</v>
      </c>
      <c r="D69" t="s">
        <v>4</v>
      </c>
      <c r="E69">
        <v>109.10858256411919</v>
      </c>
      <c r="F69">
        <v>143.10111172601421</v>
      </c>
      <c r="G69">
        <v>95.335147135750816</v>
      </c>
      <c r="H69">
        <v>43.658121424439571</v>
      </c>
      <c r="I69">
        <v>-22.993931476539185</v>
      </c>
      <c r="J69">
        <v>23.705500011470733</v>
      </c>
      <c r="K69">
        <v>38.158361525579672</v>
      </c>
      <c r="L69">
        <v>52.957608281577649</v>
      </c>
      <c r="M69">
        <v>63.001132121489846</v>
      </c>
      <c r="N69">
        <v>64.958846658812973</v>
      </c>
      <c r="O69">
        <v>76.861894806947817</v>
      </c>
      <c r="P69">
        <v>69.015273333322028</v>
      </c>
      <c r="Q69">
        <v>66.190741164254163</v>
      </c>
      <c r="R69">
        <v>61.270542999697419</v>
      </c>
      <c r="S69">
        <v>59.084292775632804</v>
      </c>
      <c r="T69">
        <v>60.528814429183669</v>
      </c>
      <c r="U69">
        <v>58.768144499938685</v>
      </c>
      <c r="V69">
        <v>59.573253000852489</v>
      </c>
      <c r="W69">
        <v>58.577603698124456</v>
      </c>
      <c r="X69">
        <v>58.763064289758844</v>
      </c>
      <c r="Y69">
        <v>59.347441667767121</v>
      </c>
      <c r="Z69">
        <v>59.692083722603009</v>
      </c>
      <c r="AA69">
        <v>60.885816642912957</v>
      </c>
      <c r="AB69">
        <v>61.25716863163629</v>
      </c>
      <c r="AC69">
        <v>61.570893310263742</v>
      </c>
      <c r="AD69">
        <v>61.099581180872264</v>
      </c>
      <c r="AE69">
        <v>60.183538145438447</v>
      </c>
      <c r="AF69">
        <v>59.278200610906715</v>
      </c>
      <c r="AG69">
        <v>58.39702269812026</v>
      </c>
      <c r="AH69">
        <v>58.021386610694528</v>
      </c>
      <c r="AI69">
        <v>57.916676240035429</v>
      </c>
      <c r="AJ69">
        <v>58.112086478807072</v>
      </c>
      <c r="AK69">
        <v>58.406710454067913</v>
      </c>
      <c r="AL69">
        <v>58.62386949512193</v>
      </c>
      <c r="AM69">
        <v>58.745602335420145</v>
      </c>
      <c r="AN69">
        <v>58.68410788827881</v>
      </c>
      <c r="AO69">
        <v>58.526716121916905</v>
      </c>
      <c r="AP69">
        <v>58.292605934041511</v>
      </c>
      <c r="AQ69">
        <v>58.037684409927792</v>
      </c>
      <c r="AR69">
        <v>57.804037672293987</v>
      </c>
      <c r="AS69">
        <v>57.598360681801125</v>
      </c>
      <c r="AT69">
        <v>57.449345199708326</v>
      </c>
      <c r="AU69">
        <v>57.348533943031462</v>
      </c>
      <c r="AV69">
        <v>57.298621491649207</v>
      </c>
      <c r="AW69">
        <v>57.284515776971531</v>
      </c>
      <c r="AX69">
        <v>57.284452318258985</v>
      </c>
      <c r="AY69">
        <v>57.279902722573659</v>
      </c>
      <c r="AZ69">
        <v>57.249238438887673</v>
      </c>
      <c r="BA69">
        <v>57.186764371930913</v>
      </c>
    </row>
    <row r="70" spans="1:53" x14ac:dyDescent="0.2">
      <c r="A70" t="s">
        <v>69</v>
      </c>
      <c r="B70" t="s">
        <v>209</v>
      </c>
      <c r="C70" t="s">
        <v>206</v>
      </c>
      <c r="D70" t="s">
        <v>4</v>
      </c>
      <c r="E70">
        <v>66.562118500368641</v>
      </c>
      <c r="F70">
        <v>26.473477775345696</v>
      </c>
      <c r="G70">
        <v>39.212960951962735</v>
      </c>
      <c r="H70">
        <v>33.921808101820247</v>
      </c>
      <c r="I70">
        <v>26.085851212678016</v>
      </c>
      <c r="J70">
        <v>51.480449905289625</v>
      </c>
      <c r="K70">
        <v>46.581656585150242</v>
      </c>
      <c r="L70">
        <v>65.578612166677885</v>
      </c>
      <c r="M70">
        <v>70.882345763054929</v>
      </c>
      <c r="N70">
        <v>78.520679792644458</v>
      </c>
      <c r="O70">
        <v>83.720069354393871</v>
      </c>
      <c r="P70">
        <v>78.965856802741826</v>
      </c>
      <c r="Q70">
        <v>78.414932518147538</v>
      </c>
      <c r="R70">
        <v>71.659587464427688</v>
      </c>
      <c r="S70">
        <v>68.293568039746319</v>
      </c>
      <c r="T70">
        <v>64.962638561749969</v>
      </c>
      <c r="U70">
        <v>62.765290186368986</v>
      </c>
      <c r="V70">
        <v>63.614379624190967</v>
      </c>
      <c r="W70">
        <v>64.209424162487309</v>
      </c>
      <c r="X70">
        <v>66.558493811726905</v>
      </c>
      <c r="Y70">
        <v>68.037682367504871</v>
      </c>
      <c r="Z70">
        <v>69.103535196414484</v>
      </c>
      <c r="AA70">
        <v>69.409107818326277</v>
      </c>
      <c r="AB70">
        <v>68.538630786570167</v>
      </c>
      <c r="AC70">
        <v>67.373791056603508</v>
      </c>
      <c r="AD70">
        <v>65.642738103255724</v>
      </c>
      <c r="AE70">
        <v>64.139982432311896</v>
      </c>
      <c r="AF70">
        <v>62.920656145319505</v>
      </c>
      <c r="AG70">
        <v>62.139783561365491</v>
      </c>
      <c r="AH70">
        <v>61.891831171555523</v>
      </c>
      <c r="AI70">
        <v>61.912157400848926</v>
      </c>
      <c r="AJ70">
        <v>62.168625043124308</v>
      </c>
      <c r="AK70">
        <v>62.382792275548994</v>
      </c>
      <c r="AL70">
        <v>62.463235788994972</v>
      </c>
      <c r="AM70">
        <v>62.332015064124327</v>
      </c>
      <c r="AN70">
        <v>61.963261987300228</v>
      </c>
      <c r="AO70">
        <v>61.446502906772025</v>
      </c>
      <c r="AP70">
        <v>60.837241951381628</v>
      </c>
      <c r="AQ70">
        <v>60.250520711698854</v>
      </c>
      <c r="AR70">
        <v>59.749041351577716</v>
      </c>
      <c r="AS70">
        <v>59.373675602428342</v>
      </c>
      <c r="AT70">
        <v>59.132811687623224</v>
      </c>
      <c r="AU70">
        <v>58.990790364029273</v>
      </c>
      <c r="AV70">
        <v>58.909298711017435</v>
      </c>
      <c r="AW70">
        <v>58.834443708243889</v>
      </c>
      <c r="AX70">
        <v>58.72944473452948</v>
      </c>
      <c r="AY70">
        <v>58.572288288569304</v>
      </c>
      <c r="AZ70">
        <v>58.359164807305355</v>
      </c>
      <c r="BA70">
        <v>58.105389444847887</v>
      </c>
    </row>
    <row r="71" spans="1:53" x14ac:dyDescent="0.2">
      <c r="A71" t="s">
        <v>70</v>
      </c>
      <c r="B71" t="s">
        <v>210</v>
      </c>
      <c r="C71" t="s">
        <v>206</v>
      </c>
      <c r="D71" t="s">
        <v>4</v>
      </c>
      <c r="E71">
        <v>1491.505794274655</v>
      </c>
      <c r="F71">
        <v>1060.8794072764142</v>
      </c>
      <c r="G71">
        <v>855.81911645792945</v>
      </c>
      <c r="H71">
        <v>520.96785097367763</v>
      </c>
      <c r="I71">
        <v>401.5791454524516</v>
      </c>
      <c r="J71">
        <v>868.89040093160634</v>
      </c>
      <c r="K71">
        <v>883.47184245403878</v>
      </c>
      <c r="L71">
        <v>1204.6066363972809</v>
      </c>
      <c r="M71">
        <v>1344.6434420295554</v>
      </c>
      <c r="N71">
        <v>1484.9621750487756</v>
      </c>
      <c r="O71">
        <v>1541.3293257562373</v>
      </c>
      <c r="P71">
        <v>1406.4465608482788</v>
      </c>
      <c r="Q71">
        <v>1326.0914339566375</v>
      </c>
      <c r="R71">
        <v>1183.5296023939809</v>
      </c>
      <c r="S71">
        <v>1121.1600855927622</v>
      </c>
      <c r="T71">
        <v>1090.7531705033987</v>
      </c>
      <c r="U71">
        <v>1095.1588301080205</v>
      </c>
      <c r="V71">
        <v>1154.228500624987</v>
      </c>
      <c r="W71">
        <v>1209.7491317953691</v>
      </c>
      <c r="X71">
        <v>1281.7534021301378</v>
      </c>
      <c r="Y71">
        <v>1329.0341292065582</v>
      </c>
      <c r="Z71">
        <v>1356.7031293286707</v>
      </c>
      <c r="AA71">
        <v>1363.2354603234658</v>
      </c>
      <c r="AB71">
        <v>1346.1328318971725</v>
      </c>
      <c r="AC71">
        <v>1322.7172976722318</v>
      </c>
      <c r="AD71">
        <v>1293.5145849246826</v>
      </c>
      <c r="AE71">
        <v>1272.9879115456849</v>
      </c>
      <c r="AF71">
        <v>1263.6103480553118</v>
      </c>
      <c r="AG71">
        <v>1266.7180007597897</v>
      </c>
      <c r="AH71">
        <v>1281.4338641483034</v>
      </c>
      <c r="AI71">
        <v>1300.8197168158927</v>
      </c>
      <c r="AJ71">
        <v>1321.5195313209092</v>
      </c>
      <c r="AK71">
        <v>1337.7065788467596</v>
      </c>
      <c r="AL71">
        <v>1347.4696557812872</v>
      </c>
      <c r="AM71">
        <v>1350.4388416781287</v>
      </c>
      <c r="AN71">
        <v>1347.7163097799837</v>
      </c>
      <c r="AO71">
        <v>1342.3027361414602</v>
      </c>
      <c r="AP71">
        <v>1336.4030496026435</v>
      </c>
      <c r="AQ71">
        <v>1332.4569173945363</v>
      </c>
      <c r="AR71">
        <v>1331.5199599087377</v>
      </c>
      <c r="AS71">
        <v>1333.782590653082</v>
      </c>
      <c r="AT71">
        <v>1338.6832432360659</v>
      </c>
      <c r="AU71">
        <v>1344.9562084402337</v>
      </c>
      <c r="AV71">
        <v>1351.4247732451629</v>
      </c>
      <c r="AW71">
        <v>1356.9340849911214</v>
      </c>
      <c r="AX71">
        <v>1360.8462433648099</v>
      </c>
      <c r="AY71">
        <v>1362.9873095938549</v>
      </c>
      <c r="AZ71">
        <v>1363.611042276134</v>
      </c>
      <c r="BA71">
        <v>1363.3180215757418</v>
      </c>
    </row>
    <row r="72" spans="1:53" x14ac:dyDescent="0.2">
      <c r="A72" t="s">
        <v>71</v>
      </c>
      <c r="B72" t="s">
        <v>211</v>
      </c>
      <c r="C72" t="s">
        <v>206</v>
      </c>
      <c r="D72" t="s">
        <v>4</v>
      </c>
      <c r="E72">
        <v>289.64168776747704</v>
      </c>
      <c r="F72">
        <v>161.07797868500913</v>
      </c>
      <c r="G72">
        <v>119.67048443309548</v>
      </c>
      <c r="H72">
        <v>70.458595094432795</v>
      </c>
      <c r="I72">
        <v>100.11606821925919</v>
      </c>
      <c r="J72">
        <v>154.49785891366597</v>
      </c>
      <c r="K72">
        <v>127.39167373454421</v>
      </c>
      <c r="L72">
        <v>150.36296523087859</v>
      </c>
      <c r="M72">
        <v>145.82793353606402</v>
      </c>
      <c r="N72">
        <v>159.39916675912482</v>
      </c>
      <c r="O72">
        <v>157.66356856116218</v>
      </c>
      <c r="P72">
        <v>141.42191165769771</v>
      </c>
      <c r="Q72">
        <v>137.55118386816417</v>
      </c>
      <c r="R72">
        <v>125.01602405991709</v>
      </c>
      <c r="S72">
        <v>123.24872135789828</v>
      </c>
      <c r="T72">
        <v>118.42780235454377</v>
      </c>
      <c r="U72">
        <v>116.19008612008474</v>
      </c>
      <c r="V72">
        <v>117.47625530811897</v>
      </c>
      <c r="W72">
        <v>117.02708324039351</v>
      </c>
      <c r="X72">
        <v>119.15607353066804</v>
      </c>
      <c r="Y72">
        <v>118.50021001521861</v>
      </c>
      <c r="Z72">
        <v>117.82427843343419</v>
      </c>
      <c r="AA72">
        <v>115.99164668763574</v>
      </c>
      <c r="AB72">
        <v>112.95125505481897</v>
      </c>
      <c r="AC72">
        <v>110.05768366102896</v>
      </c>
      <c r="AD72">
        <v>106.53704983605269</v>
      </c>
      <c r="AE72">
        <v>103.89513205549748</v>
      </c>
      <c r="AF72">
        <v>101.71936301119092</v>
      </c>
      <c r="AG72">
        <v>100.29997670692333</v>
      </c>
      <c r="AH72">
        <v>99.536647408134129</v>
      </c>
      <c r="AI72">
        <v>98.93983608876762</v>
      </c>
      <c r="AJ72">
        <v>98.523715158337595</v>
      </c>
      <c r="AK72">
        <v>97.830029858548542</v>
      </c>
      <c r="AL72">
        <v>96.895766567839345</v>
      </c>
      <c r="AM72">
        <v>95.65978120242238</v>
      </c>
      <c r="AN72">
        <v>94.193962652977902</v>
      </c>
      <c r="AO72">
        <v>92.681815810832504</v>
      </c>
      <c r="AP72">
        <v>91.187018548991063</v>
      </c>
      <c r="AQ72">
        <v>89.861845589597479</v>
      </c>
      <c r="AR72">
        <v>88.721961821358462</v>
      </c>
      <c r="AS72">
        <v>87.781957584620699</v>
      </c>
      <c r="AT72">
        <v>87.007681535677648</v>
      </c>
      <c r="AU72">
        <v>86.326472230044757</v>
      </c>
      <c r="AV72">
        <v>85.688746137946509</v>
      </c>
      <c r="AW72">
        <v>85.028679015406652</v>
      </c>
      <c r="AX72">
        <v>84.322029847802256</v>
      </c>
      <c r="AY72">
        <v>83.55859034145864</v>
      </c>
      <c r="AZ72">
        <v>82.752179223216856</v>
      </c>
      <c r="BA72">
        <v>81.934663734865993</v>
      </c>
    </row>
    <row r="73" spans="1:53" x14ac:dyDescent="0.2">
      <c r="A73" t="s">
        <v>72</v>
      </c>
      <c r="B73" t="s">
        <v>212</v>
      </c>
      <c r="C73" t="s">
        <v>206</v>
      </c>
      <c r="D73" t="s">
        <v>4</v>
      </c>
      <c r="E73">
        <v>6010.6785778146959</v>
      </c>
      <c r="F73">
        <v>4936.6488790687517</v>
      </c>
      <c r="G73">
        <v>5000.6274885384591</v>
      </c>
      <c r="H73">
        <v>4415.222491097079</v>
      </c>
      <c r="I73">
        <v>4766.0525220186282</v>
      </c>
      <c r="J73">
        <v>6022.0692770242867</v>
      </c>
      <c r="K73">
        <v>5858.9116129782769</v>
      </c>
      <c r="L73">
        <v>6530.3640886493522</v>
      </c>
      <c r="M73">
        <v>6516.411952874415</v>
      </c>
      <c r="N73">
        <v>6747.409049064051</v>
      </c>
      <c r="O73">
        <v>6739.0951030602064</v>
      </c>
      <c r="P73">
        <v>6372.3592688377703</v>
      </c>
      <c r="Q73">
        <v>6206.1833084258888</v>
      </c>
      <c r="R73">
        <v>5875.4673361093764</v>
      </c>
      <c r="S73">
        <v>5801.5811690870232</v>
      </c>
      <c r="T73">
        <v>5749.0241973671027</v>
      </c>
      <c r="U73">
        <v>5777.4388723831225</v>
      </c>
      <c r="V73">
        <v>5894.0270267507358</v>
      </c>
      <c r="W73">
        <v>5962.7617134588727</v>
      </c>
      <c r="X73">
        <v>6056.1027729535563</v>
      </c>
      <c r="Y73">
        <v>6067.0790098372081</v>
      </c>
      <c r="Z73">
        <v>6047.7828441447864</v>
      </c>
      <c r="AA73">
        <v>5992.9122019454626</v>
      </c>
      <c r="AB73">
        <v>5909.7087240994078</v>
      </c>
      <c r="AC73">
        <v>5836.1344882155527</v>
      </c>
      <c r="AD73">
        <v>5760.6530785456507</v>
      </c>
      <c r="AE73">
        <v>5712.1972333527747</v>
      </c>
      <c r="AF73">
        <v>5682.2834911373693</v>
      </c>
      <c r="AG73">
        <v>5672.4680813479308</v>
      </c>
      <c r="AH73">
        <v>5678.5009260507732</v>
      </c>
      <c r="AI73">
        <v>5686.9706597198738</v>
      </c>
      <c r="AJ73">
        <v>5695.4640374540995</v>
      </c>
      <c r="AK73">
        <v>5693.4068834295585</v>
      </c>
      <c r="AL73">
        <v>5680.7187808369608</v>
      </c>
      <c r="AM73">
        <v>5657.3798140798499</v>
      </c>
      <c r="AN73">
        <v>5626.5327252328771</v>
      </c>
      <c r="AO73">
        <v>5594.3439891073449</v>
      </c>
      <c r="AP73">
        <v>5564.2421623130685</v>
      </c>
      <c r="AQ73">
        <v>5540.4935738556524</v>
      </c>
      <c r="AR73">
        <v>5523.6681961138202</v>
      </c>
      <c r="AS73">
        <v>5513.1745966668614</v>
      </c>
      <c r="AT73">
        <v>5507.0171547097343</v>
      </c>
      <c r="AU73">
        <v>5502.3130663805714</v>
      </c>
      <c r="AV73">
        <v>5497.0276156424852</v>
      </c>
      <c r="AW73">
        <v>5489.3956807643544</v>
      </c>
      <c r="AX73">
        <v>5479.016080145997</v>
      </c>
      <c r="AY73">
        <v>5466.2052217783403</v>
      </c>
      <c r="AZ73">
        <v>5451.8996357839014</v>
      </c>
      <c r="BA73">
        <v>5437.3706205320041</v>
      </c>
    </row>
    <row r="74" spans="1:53" x14ac:dyDescent="0.2">
      <c r="A74" t="s">
        <v>73</v>
      </c>
      <c r="B74" t="s">
        <v>213</v>
      </c>
      <c r="C74" t="s">
        <v>206</v>
      </c>
      <c r="D74" t="s">
        <v>4</v>
      </c>
      <c r="E74">
        <v>662.45941571411765</v>
      </c>
      <c r="F74">
        <v>559.50096790950249</v>
      </c>
      <c r="G74">
        <v>524.58463473721713</v>
      </c>
      <c r="H74">
        <v>373.48367702743735</v>
      </c>
      <c r="I74">
        <v>433.55751697867527</v>
      </c>
      <c r="J74">
        <v>535.534576708499</v>
      </c>
      <c r="K74">
        <v>513.43481909866</v>
      </c>
      <c r="L74">
        <v>561.39532135802131</v>
      </c>
      <c r="M74">
        <v>539.47184274783331</v>
      </c>
      <c r="N74">
        <v>561.94950711714466</v>
      </c>
      <c r="O74">
        <v>541.51857583545279</v>
      </c>
      <c r="P74">
        <v>496.58856961172444</v>
      </c>
      <c r="Q74">
        <v>466.10985638230767</v>
      </c>
      <c r="R74">
        <v>424.62155919397213</v>
      </c>
      <c r="S74">
        <v>413.44225274132293</v>
      </c>
      <c r="T74">
        <v>401.88010786642445</v>
      </c>
      <c r="U74">
        <v>402.36257540300278</v>
      </c>
      <c r="V74">
        <v>408.19207527119426</v>
      </c>
      <c r="W74">
        <v>410.08856253480258</v>
      </c>
      <c r="X74">
        <v>413.18975930329299</v>
      </c>
      <c r="Y74">
        <v>407.12966541606278</v>
      </c>
      <c r="Z74">
        <v>398.973710139248</v>
      </c>
      <c r="AA74">
        <v>386.91671044607534</v>
      </c>
      <c r="AB74">
        <v>373.41382964695339</v>
      </c>
      <c r="AC74">
        <v>361.13896803559629</v>
      </c>
      <c r="AD74">
        <v>349.2370117250851</v>
      </c>
      <c r="AE74">
        <v>340.45102304646537</v>
      </c>
      <c r="AF74">
        <v>333.50834920499494</v>
      </c>
      <c r="AG74">
        <v>328.87199019644117</v>
      </c>
      <c r="AH74">
        <v>325.70281019837739</v>
      </c>
      <c r="AI74">
        <v>322.86637237858895</v>
      </c>
      <c r="AJ74">
        <v>320.00769115782151</v>
      </c>
      <c r="AK74">
        <v>316.07770427014356</v>
      </c>
      <c r="AL74">
        <v>311.17415036532651</v>
      </c>
      <c r="AM74">
        <v>305.26089175992314</v>
      </c>
      <c r="AN74">
        <v>298.7953309863052</v>
      </c>
      <c r="AO74">
        <v>292.38600463391532</v>
      </c>
      <c r="AP74">
        <v>286.41261605003012</v>
      </c>
      <c r="AQ74">
        <v>281.28123260127614</v>
      </c>
      <c r="AR74">
        <v>276.98591557345088</v>
      </c>
      <c r="AS74">
        <v>273.43392291899011</v>
      </c>
      <c r="AT74">
        <v>270.36237346167985</v>
      </c>
      <c r="AU74">
        <v>267.47084740349305</v>
      </c>
      <c r="AV74">
        <v>264.54877729316058</v>
      </c>
      <c r="AW74">
        <v>261.43426784924674</v>
      </c>
      <c r="AX74">
        <v>258.11322740178241</v>
      </c>
      <c r="AY74">
        <v>254.63303327309234</v>
      </c>
      <c r="AZ74">
        <v>251.10438629342534</v>
      </c>
      <c r="BA74">
        <v>247.65495319193286</v>
      </c>
    </row>
    <row r="75" spans="1:53" x14ac:dyDescent="0.2">
      <c r="A75" t="s">
        <v>74</v>
      </c>
      <c r="B75" t="s">
        <v>214</v>
      </c>
      <c r="C75" t="s">
        <v>206</v>
      </c>
      <c r="D75" t="s">
        <v>4</v>
      </c>
      <c r="E75">
        <v>945.40941472555255</v>
      </c>
      <c r="F75">
        <v>500.38443929475829</v>
      </c>
      <c r="G75">
        <v>223.18648499606368</v>
      </c>
      <c r="H75">
        <v>73.686554970854999</v>
      </c>
      <c r="I75">
        <v>214.86668447135526</v>
      </c>
      <c r="J75">
        <v>384.25575303611248</v>
      </c>
      <c r="K75">
        <v>368.19056279911155</v>
      </c>
      <c r="L75">
        <v>486.24665865073996</v>
      </c>
      <c r="M75">
        <v>536.36711095946225</v>
      </c>
      <c r="N75">
        <v>610.84440930379697</v>
      </c>
      <c r="O75">
        <v>608.47237341361563</v>
      </c>
      <c r="P75">
        <v>558.40421457460081</v>
      </c>
      <c r="Q75">
        <v>528.43899214405474</v>
      </c>
      <c r="R75">
        <v>481.22968138896817</v>
      </c>
      <c r="S75">
        <v>467.93408733539962</v>
      </c>
      <c r="T75">
        <v>455.01095196677937</v>
      </c>
      <c r="U75">
        <v>459.16700940471577</v>
      </c>
      <c r="V75">
        <v>476.54185495163307</v>
      </c>
      <c r="W75">
        <v>492.84606243111193</v>
      </c>
      <c r="X75">
        <v>513.90237674820139</v>
      </c>
      <c r="Y75">
        <v>524.73552645901134</v>
      </c>
      <c r="Z75">
        <v>531.69997417674801</v>
      </c>
      <c r="AA75">
        <v>531.25252888704256</v>
      </c>
      <c r="AB75">
        <v>524.72163184673582</v>
      </c>
      <c r="AC75">
        <v>516.12076886764373</v>
      </c>
      <c r="AD75">
        <v>505.43957075384816</v>
      </c>
      <c r="AE75">
        <v>497.81280062690155</v>
      </c>
      <c r="AF75">
        <v>493.16731201817248</v>
      </c>
      <c r="AG75">
        <v>492.76365118143951</v>
      </c>
      <c r="AH75">
        <v>495.8787180894592</v>
      </c>
      <c r="AI75">
        <v>500.630755177146</v>
      </c>
      <c r="AJ75">
        <v>505.95645653802262</v>
      </c>
      <c r="AK75">
        <v>509.81864488038821</v>
      </c>
      <c r="AL75">
        <v>511.75776770936659</v>
      </c>
      <c r="AM75">
        <v>511.46083179811939</v>
      </c>
      <c r="AN75">
        <v>509.41652913061529</v>
      </c>
      <c r="AO75">
        <v>506.55294378537457</v>
      </c>
      <c r="AP75">
        <v>503.59448376272275</v>
      </c>
      <c r="AQ75">
        <v>501.35416711623219</v>
      </c>
      <c r="AR75">
        <v>500.10916170148118</v>
      </c>
      <c r="AS75">
        <v>499.93732391726559</v>
      </c>
      <c r="AT75">
        <v>500.61077320465358</v>
      </c>
      <c r="AU75">
        <v>501.72871271939346</v>
      </c>
      <c r="AV75">
        <v>502.91929872820367</v>
      </c>
      <c r="AW75">
        <v>503.81874358431298</v>
      </c>
      <c r="AX75">
        <v>504.24684881942045</v>
      </c>
      <c r="AY75">
        <v>504.14679722439752</v>
      </c>
      <c r="AZ75">
        <v>503.60670280111174</v>
      </c>
      <c r="BA75">
        <v>502.81070652486534</v>
      </c>
    </row>
    <row r="76" spans="1:53" x14ac:dyDescent="0.2">
      <c r="A76" t="s">
        <v>75</v>
      </c>
      <c r="B76" t="s">
        <v>215</v>
      </c>
      <c r="C76" t="s">
        <v>206</v>
      </c>
      <c r="D76" t="s">
        <v>4</v>
      </c>
      <c r="E76">
        <v>1975.1135521644919</v>
      </c>
      <c r="F76">
        <v>1376.7716723223668</v>
      </c>
      <c r="G76">
        <v>955.11770822971289</v>
      </c>
      <c r="H76">
        <v>444.09938679814258</v>
      </c>
      <c r="I76">
        <v>241.64180094414615</v>
      </c>
      <c r="J76">
        <v>418.87348354865958</v>
      </c>
      <c r="K76">
        <v>350.12489256975709</v>
      </c>
      <c r="L76">
        <v>774.6983606833204</v>
      </c>
      <c r="M76">
        <v>1140.4642774497754</v>
      </c>
      <c r="N76">
        <v>1485.6273613318876</v>
      </c>
      <c r="O76">
        <v>1556.9274818308504</v>
      </c>
      <c r="P76">
        <v>1356.1084454157603</v>
      </c>
      <c r="Q76">
        <v>1141.5666713575008</v>
      </c>
      <c r="R76">
        <v>874.04805734320144</v>
      </c>
      <c r="S76">
        <v>722.32832429757627</v>
      </c>
      <c r="T76">
        <v>646.66576492865488</v>
      </c>
      <c r="U76">
        <v>661.43360730142172</v>
      </c>
      <c r="V76">
        <v>742.46063845582694</v>
      </c>
      <c r="W76">
        <v>817.03877980070661</v>
      </c>
      <c r="X76">
        <v>887.47344781350773</v>
      </c>
      <c r="Y76">
        <v>918.60297173148922</v>
      </c>
      <c r="Z76">
        <v>928.47500973666524</v>
      </c>
      <c r="AA76">
        <v>918.85312982386722</v>
      </c>
      <c r="AB76">
        <v>892.04413195102313</v>
      </c>
      <c r="AC76">
        <v>858.77285070218488</v>
      </c>
      <c r="AD76">
        <v>816.50401428543262</v>
      </c>
      <c r="AE76">
        <v>777.35039032526947</v>
      </c>
      <c r="AF76">
        <v>744.92979304903304</v>
      </c>
      <c r="AG76">
        <v>725.90884864289865</v>
      </c>
      <c r="AH76">
        <v>723.06861869822217</v>
      </c>
      <c r="AI76">
        <v>732.38112961834838</v>
      </c>
      <c r="AJ76">
        <v>749.20333932150265</v>
      </c>
      <c r="AK76">
        <v>764.47207867503721</v>
      </c>
      <c r="AL76">
        <v>772.6156138964094</v>
      </c>
      <c r="AM76">
        <v>770.46137142186501</v>
      </c>
      <c r="AN76">
        <v>758.70332765213323</v>
      </c>
      <c r="AO76">
        <v>741.31309072896249</v>
      </c>
      <c r="AP76">
        <v>722.52309287419871</v>
      </c>
      <c r="AQ76">
        <v>706.56094845628797</v>
      </c>
      <c r="AR76">
        <v>695.47555322486369</v>
      </c>
      <c r="AS76">
        <v>689.64389837814099</v>
      </c>
      <c r="AT76">
        <v>687.99363958874437</v>
      </c>
      <c r="AU76">
        <v>688.63608051979293</v>
      </c>
      <c r="AV76">
        <v>689.83607366100978</v>
      </c>
      <c r="AW76">
        <v>690.12628361810118</v>
      </c>
      <c r="AX76">
        <v>688.74201220177531</v>
      </c>
      <c r="AY76">
        <v>685.44780507325811</v>
      </c>
      <c r="AZ76">
        <v>680.47806315377898</v>
      </c>
      <c r="BA76">
        <v>674.41619875671483</v>
      </c>
    </row>
    <row r="77" spans="1:53" x14ac:dyDescent="0.2">
      <c r="A77" t="s">
        <v>76</v>
      </c>
      <c r="B77" t="s">
        <v>216</v>
      </c>
      <c r="C77" t="s">
        <v>206</v>
      </c>
      <c r="D77" t="s">
        <v>4</v>
      </c>
      <c r="E77">
        <v>197.37603169712597</v>
      </c>
      <c r="F77">
        <v>172.24180804242084</v>
      </c>
      <c r="G77">
        <v>95.318414022243942</v>
      </c>
      <c r="H77">
        <v>56.552972293965098</v>
      </c>
      <c r="I77">
        <v>91.42130782826969</v>
      </c>
      <c r="J77">
        <v>123.88819607750806</v>
      </c>
      <c r="K77">
        <v>134.50481651870368</v>
      </c>
      <c r="L77">
        <v>154.7398832683017</v>
      </c>
      <c r="M77">
        <v>174.69561459333758</v>
      </c>
      <c r="N77">
        <v>196.43229520681442</v>
      </c>
      <c r="O77">
        <v>198.6918620097378</v>
      </c>
      <c r="P77">
        <v>191.16285815033751</v>
      </c>
      <c r="Q77">
        <v>181.26181366473912</v>
      </c>
      <c r="R77">
        <v>171.18892167699497</v>
      </c>
      <c r="S77">
        <v>165.29776334041341</v>
      </c>
      <c r="T77">
        <v>159.97709239662547</v>
      </c>
      <c r="U77">
        <v>158.31687905429257</v>
      </c>
      <c r="V77">
        <v>159.18338644187401</v>
      </c>
      <c r="W77">
        <v>162.05669370783355</v>
      </c>
      <c r="X77">
        <v>166.27390274064476</v>
      </c>
      <c r="Y77">
        <v>169.8681695925155</v>
      </c>
      <c r="Z77">
        <v>172.82634094265617</v>
      </c>
      <c r="AA77">
        <v>173.97943013381217</v>
      </c>
      <c r="AB77">
        <v>173.38070814804459</v>
      </c>
      <c r="AC77">
        <v>171.23262050226938</v>
      </c>
      <c r="AD77">
        <v>168.10920609682591</v>
      </c>
      <c r="AE77">
        <v>165.0969817646361</v>
      </c>
      <c r="AF77">
        <v>162.75611898556281</v>
      </c>
      <c r="AG77">
        <v>161.60968421864348</v>
      </c>
      <c r="AH77">
        <v>161.58090304414847</v>
      </c>
      <c r="AI77">
        <v>162.35724930827402</v>
      </c>
      <c r="AJ77">
        <v>163.49350295533898</v>
      </c>
      <c r="AK77">
        <v>164.48467298461705</v>
      </c>
      <c r="AL77">
        <v>165.05597649755862</v>
      </c>
      <c r="AM77">
        <v>165.05650322638249</v>
      </c>
      <c r="AN77">
        <v>164.55815121189212</v>
      </c>
      <c r="AO77">
        <v>163.72907838410117</v>
      </c>
      <c r="AP77">
        <v>162.77130093048231</v>
      </c>
      <c r="AQ77">
        <v>161.88361050485616</v>
      </c>
      <c r="AR77">
        <v>161.18820959706113</v>
      </c>
      <c r="AS77">
        <v>160.75318672831611</v>
      </c>
      <c r="AT77">
        <v>160.56867930018714</v>
      </c>
      <c r="AU77">
        <v>160.57585558043087</v>
      </c>
      <c r="AV77">
        <v>160.68645624237158</v>
      </c>
      <c r="AW77">
        <v>160.80203257542919</v>
      </c>
      <c r="AX77">
        <v>160.84495411816818</v>
      </c>
      <c r="AY77">
        <v>160.7663396688634</v>
      </c>
      <c r="AZ77">
        <v>160.55898781303549</v>
      </c>
      <c r="BA77">
        <v>160.25042419020591</v>
      </c>
    </row>
    <row r="78" spans="1:53" x14ac:dyDescent="0.2">
      <c r="A78" t="s">
        <v>77</v>
      </c>
      <c r="B78" t="s">
        <v>217</v>
      </c>
      <c r="C78" t="s">
        <v>206</v>
      </c>
      <c r="D78" t="s">
        <v>4</v>
      </c>
      <c r="E78">
        <v>1099.8041201055296</v>
      </c>
      <c r="F78">
        <v>655.1815868389275</v>
      </c>
      <c r="G78">
        <v>643.84543326460596</v>
      </c>
      <c r="H78">
        <v>318.52610943527145</v>
      </c>
      <c r="I78">
        <v>547.36370247008722</v>
      </c>
      <c r="J78">
        <v>707.24764918078336</v>
      </c>
      <c r="K78">
        <v>677.39632014233189</v>
      </c>
      <c r="L78">
        <v>858.18138027347356</v>
      </c>
      <c r="M78">
        <v>865.23138234693135</v>
      </c>
      <c r="N78">
        <v>992.41313454366559</v>
      </c>
      <c r="O78">
        <v>983.02101396554031</v>
      </c>
      <c r="P78">
        <v>946.39806527100222</v>
      </c>
      <c r="Q78">
        <v>922.88189327610462</v>
      </c>
      <c r="R78">
        <v>855.3681890648769</v>
      </c>
      <c r="S78">
        <v>841.00326255717073</v>
      </c>
      <c r="T78">
        <v>804.80571307601747</v>
      </c>
      <c r="U78">
        <v>801.74105200143993</v>
      </c>
      <c r="V78">
        <v>811.37895821650102</v>
      </c>
      <c r="W78">
        <v>825.93067706376337</v>
      </c>
      <c r="X78">
        <v>855.06755727968505</v>
      </c>
      <c r="Y78">
        <v>871.24660726556829</v>
      </c>
      <c r="Z78">
        <v>888.00669965413545</v>
      </c>
      <c r="AA78">
        <v>891.62042312147844</v>
      </c>
      <c r="AB78">
        <v>886.88236581520482</v>
      </c>
      <c r="AC78">
        <v>876.97523653158771</v>
      </c>
      <c r="AD78">
        <v>861.8817515275249</v>
      </c>
      <c r="AE78">
        <v>850.42663525161879</v>
      </c>
      <c r="AF78">
        <v>841.42005728641266</v>
      </c>
      <c r="AG78">
        <v>838.66119960715753</v>
      </c>
      <c r="AH78">
        <v>840.63996839125844</v>
      </c>
      <c r="AI78">
        <v>845.52685868190235</v>
      </c>
      <c r="AJ78">
        <v>852.10676378679364</v>
      </c>
      <c r="AK78">
        <v>857.33003698834125</v>
      </c>
      <c r="AL78">
        <v>860.81488382846771</v>
      </c>
      <c r="AM78">
        <v>861.48509285852651</v>
      </c>
      <c r="AN78">
        <v>859.84615558245878</v>
      </c>
      <c r="AO78">
        <v>856.73068079269524</v>
      </c>
      <c r="AP78">
        <v>852.9162963197108</v>
      </c>
      <c r="AQ78">
        <v>849.56867986489601</v>
      </c>
      <c r="AR78">
        <v>847.12488220695593</v>
      </c>
      <c r="AS78">
        <v>846.00943522406317</v>
      </c>
      <c r="AT78">
        <v>846.10476495912417</v>
      </c>
      <c r="AU78">
        <v>847.05820885341404</v>
      </c>
      <c r="AV78">
        <v>848.43291026984048</v>
      </c>
      <c r="AW78">
        <v>849.68316125812316</v>
      </c>
      <c r="AX78">
        <v>850.48433937865047</v>
      </c>
      <c r="AY78">
        <v>850.61968829232001</v>
      </c>
      <c r="AZ78">
        <v>850.1147309139651</v>
      </c>
      <c r="BA78">
        <v>849.14786511783643</v>
      </c>
    </row>
    <row r="79" spans="1:53" x14ac:dyDescent="0.2">
      <c r="A79" t="s">
        <v>78</v>
      </c>
      <c r="B79" t="s">
        <v>218</v>
      </c>
      <c r="C79" t="s">
        <v>206</v>
      </c>
      <c r="D79" t="s">
        <v>4</v>
      </c>
      <c r="E79">
        <v>266.07213955519478</v>
      </c>
      <c r="F79">
        <v>97.959453925860643</v>
      </c>
      <c r="G79">
        <v>66.324246342922763</v>
      </c>
      <c r="H79">
        <v>-25.173885216916464</v>
      </c>
      <c r="I79">
        <v>76.340653628298114</v>
      </c>
      <c r="J79">
        <v>99.071387590608637</v>
      </c>
      <c r="K79">
        <v>94.863168401296178</v>
      </c>
      <c r="L79">
        <v>139.94711760813209</v>
      </c>
      <c r="M79">
        <v>148.09670939718819</v>
      </c>
      <c r="N79">
        <v>188.22704986059642</v>
      </c>
      <c r="O79">
        <v>177.79098128254302</v>
      </c>
      <c r="P79">
        <v>169.62863961865807</v>
      </c>
      <c r="Q79">
        <v>159.31741529439748</v>
      </c>
      <c r="R79">
        <v>140.47474476301221</v>
      </c>
      <c r="S79">
        <v>133.57735807985529</v>
      </c>
      <c r="T79">
        <v>119.4726708520928</v>
      </c>
      <c r="U79">
        <v>117.33970712240001</v>
      </c>
      <c r="V79">
        <v>117.80095429364506</v>
      </c>
      <c r="W79">
        <v>122.10037910944382</v>
      </c>
      <c r="X79">
        <v>129.84954325359087</v>
      </c>
      <c r="Y79">
        <v>134.35259606311928</v>
      </c>
      <c r="Z79">
        <v>139.01127550173896</v>
      </c>
      <c r="AA79">
        <v>139.22346991350128</v>
      </c>
      <c r="AB79">
        <v>137.22889496542879</v>
      </c>
      <c r="AC79">
        <v>133.19736223604752</v>
      </c>
      <c r="AD79">
        <v>127.91204704095796</v>
      </c>
      <c r="AE79">
        <v>123.66606440624197</v>
      </c>
      <c r="AF79">
        <v>120.19354092506275</v>
      </c>
      <c r="AG79">
        <v>118.68889438728939</v>
      </c>
      <c r="AH79">
        <v>118.50518616683483</v>
      </c>
      <c r="AI79">
        <v>119.31315469345809</v>
      </c>
      <c r="AJ79">
        <v>120.61997599880831</v>
      </c>
      <c r="AK79">
        <v>121.61714596805352</v>
      </c>
      <c r="AL79">
        <v>122.16303894362356</v>
      </c>
      <c r="AM79">
        <v>121.89221807687873</v>
      </c>
      <c r="AN79">
        <v>120.96707396336551</v>
      </c>
      <c r="AO79">
        <v>119.56359264518754</v>
      </c>
      <c r="AP79">
        <v>117.93827549080598</v>
      </c>
      <c r="AQ79">
        <v>116.42718116487406</v>
      </c>
      <c r="AR79">
        <v>115.18565069917719</v>
      </c>
      <c r="AS79">
        <v>114.36670087034821</v>
      </c>
      <c r="AT79">
        <v>113.93944504237652</v>
      </c>
      <c r="AU79">
        <v>113.81269034826948</v>
      </c>
      <c r="AV79">
        <v>113.84270242779907</v>
      </c>
      <c r="AW79">
        <v>113.8610714557136</v>
      </c>
      <c r="AX79">
        <v>113.75987254927486</v>
      </c>
      <c r="AY79">
        <v>113.46639796274023</v>
      </c>
      <c r="AZ79">
        <v>112.98759837076089</v>
      </c>
      <c r="BA79">
        <v>112.37433610843875</v>
      </c>
    </row>
    <row r="80" spans="1:53" x14ac:dyDescent="0.2">
      <c r="A80" t="s">
        <v>79</v>
      </c>
      <c r="B80" t="s">
        <v>219</v>
      </c>
      <c r="C80" t="s">
        <v>206</v>
      </c>
      <c r="D80" t="s">
        <v>4</v>
      </c>
      <c r="E80">
        <v>650.33478007800124</v>
      </c>
      <c r="F80">
        <v>5.2599157048101395</v>
      </c>
      <c r="G80">
        <v>-128.08584187191494</v>
      </c>
      <c r="H80">
        <v>-359.34597352805594</v>
      </c>
      <c r="I80">
        <v>-117.2151231843974</v>
      </c>
      <c r="J80">
        <v>69.990864825786232</v>
      </c>
      <c r="K80">
        <v>40.268349298840988</v>
      </c>
      <c r="L80">
        <v>185.36676494254394</v>
      </c>
      <c r="M80">
        <v>216.61595732602268</v>
      </c>
      <c r="N80">
        <v>333.74322560326721</v>
      </c>
      <c r="O80">
        <v>324.89415708667781</v>
      </c>
      <c r="P80">
        <v>283.31281245743446</v>
      </c>
      <c r="Q80">
        <v>261.15582412368485</v>
      </c>
      <c r="R80">
        <v>203.98924090976277</v>
      </c>
      <c r="S80">
        <v>183.86036864761095</v>
      </c>
      <c r="T80">
        <v>144.23332690693385</v>
      </c>
      <c r="U80">
        <v>133.35147140519078</v>
      </c>
      <c r="V80">
        <v>140.7966282259882</v>
      </c>
      <c r="W80">
        <v>157.90141286124182</v>
      </c>
      <c r="X80">
        <v>190.26332081111258</v>
      </c>
      <c r="Y80">
        <v>212.39524962860355</v>
      </c>
      <c r="Z80">
        <v>232.30666274611514</v>
      </c>
      <c r="AA80">
        <v>238.15830509021012</v>
      </c>
      <c r="AB80">
        <v>233.34187011620364</v>
      </c>
      <c r="AC80">
        <v>222.13009475845922</v>
      </c>
      <c r="AD80">
        <v>206.17141937564153</v>
      </c>
      <c r="AE80">
        <v>194.07332679729896</v>
      </c>
      <c r="AF80">
        <v>185.63007382768484</v>
      </c>
      <c r="AG80">
        <v>183.69054205419528</v>
      </c>
      <c r="AH80">
        <v>186.69101491743078</v>
      </c>
      <c r="AI80">
        <v>192.52772539791789</v>
      </c>
      <c r="AJ80">
        <v>199.81580251562468</v>
      </c>
      <c r="AK80">
        <v>205.79404037383702</v>
      </c>
      <c r="AL80">
        <v>209.95992864878423</v>
      </c>
      <c r="AM80">
        <v>211.39346641063861</v>
      </c>
      <c r="AN80">
        <v>210.4586205402488</v>
      </c>
      <c r="AO80">
        <v>207.90236533510435</v>
      </c>
      <c r="AP80">
        <v>204.47996557688225</v>
      </c>
      <c r="AQ80">
        <v>201.33531616933033</v>
      </c>
      <c r="AR80">
        <v>199.04566165394391</v>
      </c>
      <c r="AS80">
        <v>198.11484780524498</v>
      </c>
      <c r="AT80">
        <v>198.51982025335587</v>
      </c>
      <c r="AU80">
        <v>199.92092129844184</v>
      </c>
      <c r="AV80">
        <v>201.83040443815617</v>
      </c>
      <c r="AW80">
        <v>203.64007098849072</v>
      </c>
      <c r="AX80">
        <v>204.94624136294524</v>
      </c>
      <c r="AY80">
        <v>205.50091506612253</v>
      </c>
      <c r="AZ80">
        <v>205.32336236330775</v>
      </c>
      <c r="BA80">
        <v>204.61644181500333</v>
      </c>
    </row>
    <row r="81" spans="1:53" x14ac:dyDescent="0.2">
      <c r="A81" t="s">
        <v>80</v>
      </c>
      <c r="B81" t="s">
        <v>220</v>
      </c>
      <c r="C81" t="s">
        <v>206</v>
      </c>
      <c r="D81" t="s">
        <v>4</v>
      </c>
      <c r="E81">
        <v>1327.1585263044262</v>
      </c>
      <c r="F81">
        <v>1184.4283947113279</v>
      </c>
      <c r="G81">
        <v>1384.6192513309736</v>
      </c>
      <c r="H81">
        <v>1374.2678114260666</v>
      </c>
      <c r="I81">
        <v>1406.4685168827066</v>
      </c>
      <c r="J81">
        <v>1773.7934304559417</v>
      </c>
      <c r="K81">
        <v>1685.794374123499</v>
      </c>
      <c r="L81">
        <v>1847.5429079895725</v>
      </c>
      <c r="M81">
        <v>1798.847935505574</v>
      </c>
      <c r="N81">
        <v>1803.1394113834815</v>
      </c>
      <c r="O81">
        <v>1793.7229828813724</v>
      </c>
      <c r="P81">
        <v>1677.997491973832</v>
      </c>
      <c r="Q81">
        <v>1643.1041367814637</v>
      </c>
      <c r="R81">
        <v>1557.4825203771177</v>
      </c>
      <c r="S81">
        <v>1545.7877915857518</v>
      </c>
      <c r="T81">
        <v>1547.5341843229864</v>
      </c>
      <c r="U81">
        <v>1565.3637373804961</v>
      </c>
      <c r="V81">
        <v>1610.8580957163276</v>
      </c>
      <c r="W81">
        <v>1634.8501824343134</v>
      </c>
      <c r="X81">
        <v>1662.9142396052823</v>
      </c>
      <c r="Y81">
        <v>1664.5400593747215</v>
      </c>
      <c r="Z81">
        <v>1654.6523620097321</v>
      </c>
      <c r="AA81">
        <v>1636.6365790063887</v>
      </c>
      <c r="AB81">
        <v>1611.6970780644183</v>
      </c>
      <c r="AC81">
        <v>1593.6559168587382</v>
      </c>
      <c r="AD81">
        <v>1577.7799083912528</v>
      </c>
      <c r="AE81">
        <v>1571.2352958675751</v>
      </c>
      <c r="AF81">
        <v>1570.4045183502569</v>
      </c>
      <c r="AG81">
        <v>1573.8262372449879</v>
      </c>
      <c r="AH81">
        <v>1580.2648851185118</v>
      </c>
      <c r="AI81">
        <v>1585.4113734550849</v>
      </c>
      <c r="AJ81">
        <v>1589.2815844058805</v>
      </c>
      <c r="AK81">
        <v>1589.4858700795412</v>
      </c>
      <c r="AL81">
        <v>1586.5481434020232</v>
      </c>
      <c r="AM81">
        <v>1581.0492921816669</v>
      </c>
      <c r="AN81">
        <v>1573.9428029702715</v>
      </c>
      <c r="AO81">
        <v>1567.092307947102</v>
      </c>
      <c r="AP81">
        <v>1561.2804828419069</v>
      </c>
      <c r="AQ81">
        <v>1557.5182581234917</v>
      </c>
      <c r="AR81">
        <v>1555.7506628577869</v>
      </c>
      <c r="AS81">
        <v>1555.5606867848396</v>
      </c>
      <c r="AT81">
        <v>1556.2589363614984</v>
      </c>
      <c r="AU81">
        <v>1556.9331484868894</v>
      </c>
      <c r="AV81">
        <v>1557.043801111221</v>
      </c>
      <c r="AW81">
        <v>1556.1924539826182</v>
      </c>
      <c r="AX81">
        <v>1554.4104047296667</v>
      </c>
      <c r="AY81">
        <v>1551.9447785187754</v>
      </c>
      <c r="AZ81">
        <v>1549.1629327797107</v>
      </c>
      <c r="BA81">
        <v>1546.4762940937162</v>
      </c>
    </row>
    <row r="82" spans="1:53" x14ac:dyDescent="0.2">
      <c r="A82" t="s">
        <v>81</v>
      </c>
      <c r="B82" t="s">
        <v>221</v>
      </c>
      <c r="C82" t="s">
        <v>206</v>
      </c>
      <c r="D82" t="s">
        <v>4</v>
      </c>
      <c r="E82">
        <v>178.42602674111353</v>
      </c>
      <c r="F82">
        <v>116.95829306132165</v>
      </c>
      <c r="G82">
        <v>98.215434380732461</v>
      </c>
      <c r="H82">
        <v>56.025648819621331</v>
      </c>
      <c r="I82">
        <v>48.140084221620775</v>
      </c>
      <c r="J82">
        <v>100.62323617168019</v>
      </c>
      <c r="K82">
        <v>99.493982209430811</v>
      </c>
      <c r="L82">
        <v>123.14909066255163</v>
      </c>
      <c r="M82">
        <v>129.13163514241842</v>
      </c>
      <c r="N82">
        <v>140.67618185283121</v>
      </c>
      <c r="O82">
        <v>147.37473173147828</v>
      </c>
      <c r="P82">
        <v>136.58487623068169</v>
      </c>
      <c r="Q82">
        <v>132.68252707199986</v>
      </c>
      <c r="R82">
        <v>122.42625201953952</v>
      </c>
      <c r="S82">
        <v>119.44242257009573</v>
      </c>
      <c r="T82">
        <v>117.95138837645065</v>
      </c>
      <c r="U82">
        <v>118.52313976374612</v>
      </c>
      <c r="V82">
        <v>123.73579617461581</v>
      </c>
      <c r="W82">
        <v>128.18272626017051</v>
      </c>
      <c r="X82">
        <v>134.39544455749129</v>
      </c>
      <c r="Y82">
        <v>138.39740851911671</v>
      </c>
      <c r="Z82">
        <v>140.97362051630313</v>
      </c>
      <c r="AA82">
        <v>142.03611775110903</v>
      </c>
      <c r="AB82">
        <v>141.26897429893822</v>
      </c>
      <c r="AC82">
        <v>140.23564239233525</v>
      </c>
      <c r="AD82">
        <v>138.68299040741084</v>
      </c>
      <c r="AE82">
        <v>137.82305793712877</v>
      </c>
      <c r="AF82">
        <v>137.70362725286088</v>
      </c>
      <c r="AG82">
        <v>138.40519490617407</v>
      </c>
      <c r="AH82">
        <v>139.90951215310346</v>
      </c>
      <c r="AI82">
        <v>141.67309555358139</v>
      </c>
      <c r="AJ82">
        <v>143.55153291554851</v>
      </c>
      <c r="AK82">
        <v>145.10387633991721</v>
      </c>
      <c r="AL82">
        <v>146.21870494300117</v>
      </c>
      <c r="AM82">
        <v>146.85616653395596</v>
      </c>
      <c r="AN82">
        <v>147.06731596621108</v>
      </c>
      <c r="AO82">
        <v>147.06919838112708</v>
      </c>
      <c r="AP82">
        <v>146.99972587071915</v>
      </c>
      <c r="AQ82">
        <v>147.04712470642019</v>
      </c>
      <c r="AR82">
        <v>147.29009265818826</v>
      </c>
      <c r="AS82">
        <v>147.75070213060499</v>
      </c>
      <c r="AT82">
        <v>148.39601016836417</v>
      </c>
      <c r="AU82">
        <v>149.13252395889393</v>
      </c>
      <c r="AV82">
        <v>149.87759346608001</v>
      </c>
      <c r="AW82">
        <v>150.54404342026686</v>
      </c>
      <c r="AX82">
        <v>151.08620833463524</v>
      </c>
      <c r="AY82">
        <v>151.4917670873881</v>
      </c>
      <c r="AZ82">
        <v>151.77918491514941</v>
      </c>
      <c r="BA82">
        <v>151.99303165414395</v>
      </c>
    </row>
    <row r="83" spans="1:53" x14ac:dyDescent="0.2">
      <c r="A83" t="s">
        <v>82</v>
      </c>
      <c r="B83" t="s">
        <v>222</v>
      </c>
      <c r="C83" t="s">
        <v>206</v>
      </c>
      <c r="D83" t="s">
        <v>4</v>
      </c>
      <c r="E83">
        <v>97.854572191267891</v>
      </c>
      <c r="F83">
        <v>20.98002088642831</v>
      </c>
      <c r="G83">
        <v>28.831573112384969</v>
      </c>
      <c r="H83">
        <v>20.960497277579879</v>
      </c>
      <c r="I83">
        <v>27.139216001996338</v>
      </c>
      <c r="J83">
        <v>58.228440336431298</v>
      </c>
      <c r="K83">
        <v>41.382324519469215</v>
      </c>
      <c r="L83">
        <v>62.406319813138069</v>
      </c>
      <c r="M83">
        <v>61.288904926802175</v>
      </c>
      <c r="N83">
        <v>67.069109675942002</v>
      </c>
      <c r="O83">
        <v>69.211937567540545</v>
      </c>
      <c r="P83">
        <v>62.300331395277844</v>
      </c>
      <c r="Q83">
        <v>64.829117989514145</v>
      </c>
      <c r="R83">
        <v>60.099599317863905</v>
      </c>
      <c r="S83">
        <v>61.782158559774487</v>
      </c>
      <c r="T83">
        <v>62.369902640234322</v>
      </c>
      <c r="U83">
        <v>64.015933491014877</v>
      </c>
      <c r="V83">
        <v>68.216183829447999</v>
      </c>
      <c r="W83">
        <v>70.558979216381431</v>
      </c>
      <c r="X83">
        <v>74.396557640880374</v>
      </c>
      <c r="Y83">
        <v>76.28454380991424</v>
      </c>
      <c r="Z83">
        <v>77.869334306592251</v>
      </c>
      <c r="AA83">
        <v>78.798348145759618</v>
      </c>
      <c r="AB83">
        <v>78.870201911525285</v>
      </c>
      <c r="AC83">
        <v>79.246398118445256</v>
      </c>
      <c r="AD83">
        <v>79.301469883696313</v>
      </c>
      <c r="AE83">
        <v>79.928194948817563</v>
      </c>
      <c r="AF83">
        <v>80.800790385929446</v>
      </c>
      <c r="AG83">
        <v>81.970572435379324</v>
      </c>
      <c r="AH83">
        <v>83.416326206511513</v>
      </c>
      <c r="AI83">
        <v>84.789316073852518</v>
      </c>
      <c r="AJ83">
        <v>86.160704313763929</v>
      </c>
      <c r="AK83">
        <v>87.277430104517634</v>
      </c>
      <c r="AL83">
        <v>88.191090940575748</v>
      </c>
      <c r="AM83">
        <v>88.898951922616277</v>
      </c>
      <c r="AN83">
        <v>89.437059116255881</v>
      </c>
      <c r="AO83">
        <v>89.929113846967638</v>
      </c>
      <c r="AP83">
        <v>90.40131321950939</v>
      </c>
      <c r="AQ83">
        <v>90.942394306011195</v>
      </c>
      <c r="AR83">
        <v>91.555443483870661</v>
      </c>
      <c r="AS83">
        <v>92.238690749776637</v>
      </c>
      <c r="AT83">
        <v>92.968896215762896</v>
      </c>
      <c r="AU83">
        <v>93.696079552085635</v>
      </c>
      <c r="AV83">
        <v>94.393173346907929</v>
      </c>
      <c r="AW83">
        <v>95.025027515582508</v>
      </c>
      <c r="AX83">
        <v>95.584931882541625</v>
      </c>
      <c r="AY83">
        <v>96.076258165854739</v>
      </c>
      <c r="AZ83">
        <v>96.513714764964064</v>
      </c>
      <c r="BA83">
        <v>96.921195139315742</v>
      </c>
    </row>
    <row r="84" spans="1:53" x14ac:dyDescent="0.2">
      <c r="A84" t="s">
        <v>83</v>
      </c>
      <c r="B84" t="s">
        <v>223</v>
      </c>
      <c r="C84" t="s">
        <v>206</v>
      </c>
      <c r="D84" t="s">
        <v>4</v>
      </c>
      <c r="E84">
        <v>552.365201916773</v>
      </c>
      <c r="F84">
        <v>409.02515389252619</v>
      </c>
      <c r="G84">
        <v>485.57992200205001</v>
      </c>
      <c r="H84">
        <v>255.00496331780502</v>
      </c>
      <c r="I84">
        <v>395.84455481583831</v>
      </c>
      <c r="J84">
        <v>489.35836616810644</v>
      </c>
      <c r="K84">
        <v>492.83974006978991</v>
      </c>
      <c r="L84">
        <v>580.35508204837629</v>
      </c>
      <c r="M84">
        <v>564.18097713087229</v>
      </c>
      <c r="N84">
        <v>626.53227114705635</v>
      </c>
      <c r="O84">
        <v>608.62424403915736</v>
      </c>
      <c r="P84">
        <v>583.52997323380328</v>
      </c>
      <c r="Q84">
        <v>561.51083495384546</v>
      </c>
      <c r="R84">
        <v>520.88789571169536</v>
      </c>
      <c r="S84">
        <v>514.67076162137084</v>
      </c>
      <c r="T84">
        <v>498.82231944103535</v>
      </c>
      <c r="U84">
        <v>505.18300862725243</v>
      </c>
      <c r="V84">
        <v>516.4586912659347</v>
      </c>
      <c r="W84">
        <v>529.38102852205782</v>
      </c>
      <c r="X84">
        <v>546.57455446024517</v>
      </c>
      <c r="Y84">
        <v>553.25667103125932</v>
      </c>
      <c r="Z84">
        <v>558.44358776938338</v>
      </c>
      <c r="AA84">
        <v>555.45768069912594</v>
      </c>
      <c r="AB84">
        <v>549.35790609812557</v>
      </c>
      <c r="AC84">
        <v>542.07737747316935</v>
      </c>
      <c r="AD84">
        <v>533.98451315758382</v>
      </c>
      <c r="AE84">
        <v>529.29395451386813</v>
      </c>
      <c r="AF84">
        <v>526.45690421165807</v>
      </c>
      <c r="AG84">
        <v>527.03796442136161</v>
      </c>
      <c r="AH84">
        <v>529.53631718584825</v>
      </c>
      <c r="AI84">
        <v>532.91760291903427</v>
      </c>
      <c r="AJ84">
        <v>536.49386483587409</v>
      </c>
      <c r="AK84">
        <v>538.80184164600735</v>
      </c>
      <c r="AL84">
        <v>539.89765388295405</v>
      </c>
      <c r="AM84">
        <v>539.37509198299051</v>
      </c>
      <c r="AN84">
        <v>537.74916369961795</v>
      </c>
      <c r="AO84">
        <v>535.57869671676553</v>
      </c>
      <c r="AP84">
        <v>533.37129620131077</v>
      </c>
      <c r="AQ84">
        <v>531.74455867614142</v>
      </c>
      <c r="AR84">
        <v>530.83950855835894</v>
      </c>
      <c r="AS84">
        <v>530.75964760651561</v>
      </c>
      <c r="AT84">
        <v>531.28338907679768</v>
      </c>
      <c r="AU84">
        <v>532.11260575034362</v>
      </c>
      <c r="AV84">
        <v>532.95355785082984</v>
      </c>
      <c r="AW84">
        <v>533.52570418949983</v>
      </c>
      <c r="AX84">
        <v>533.72263315575265</v>
      </c>
      <c r="AY84">
        <v>533.51585334230106</v>
      </c>
      <c r="AZ84">
        <v>533.00606866144744</v>
      </c>
      <c r="BA84">
        <v>532.34303753656718</v>
      </c>
    </row>
    <row r="85" spans="1:53" x14ac:dyDescent="0.2">
      <c r="A85" t="s">
        <v>84</v>
      </c>
      <c r="B85" t="s">
        <v>224</v>
      </c>
      <c r="C85" t="s">
        <v>206</v>
      </c>
      <c r="D85" t="s">
        <v>4</v>
      </c>
      <c r="E85">
        <v>288.45537707241851</v>
      </c>
      <c r="F85">
        <v>234.05483988396861</v>
      </c>
      <c r="G85">
        <v>246.53967832474368</v>
      </c>
      <c r="H85">
        <v>174.35357931246233</v>
      </c>
      <c r="I85">
        <v>182.97361111624988</v>
      </c>
      <c r="J85">
        <v>256.81085080884378</v>
      </c>
      <c r="K85">
        <v>242.48116075894012</v>
      </c>
      <c r="L85">
        <v>274.41451243122248</v>
      </c>
      <c r="M85">
        <v>269.3664683038005</v>
      </c>
      <c r="N85">
        <v>284.10255885108529</v>
      </c>
      <c r="O85">
        <v>285.53675841373206</v>
      </c>
      <c r="P85">
        <v>264.66668987382752</v>
      </c>
      <c r="Q85">
        <v>255.1114656706327</v>
      </c>
      <c r="R85">
        <v>234.87864115721177</v>
      </c>
      <c r="S85">
        <v>228.97491210384007</v>
      </c>
      <c r="T85">
        <v>223.2350520008747</v>
      </c>
      <c r="U85">
        <v>221.94996260728669</v>
      </c>
      <c r="V85">
        <v>226.3643954556286</v>
      </c>
      <c r="W85">
        <v>228.87571883819294</v>
      </c>
      <c r="X85">
        <v>233.91522228861598</v>
      </c>
      <c r="Y85">
        <v>234.78394702669488</v>
      </c>
      <c r="Z85">
        <v>234.24467044421593</v>
      </c>
      <c r="AA85">
        <v>231.60526150151887</v>
      </c>
      <c r="AB85">
        <v>227.03722232387253</v>
      </c>
      <c r="AC85">
        <v>222.67730428149369</v>
      </c>
      <c r="AD85">
        <v>217.82926994067927</v>
      </c>
      <c r="AE85">
        <v>214.33098237847847</v>
      </c>
      <c r="AF85">
        <v>211.80522582770027</v>
      </c>
      <c r="AG85">
        <v>210.47547621316099</v>
      </c>
      <c r="AH85">
        <v>210.18334727021571</v>
      </c>
      <c r="AI85">
        <v>210.1891677899836</v>
      </c>
      <c r="AJ85">
        <v>210.3765921085562</v>
      </c>
      <c r="AK85">
        <v>210.09942041766143</v>
      </c>
      <c r="AL85">
        <v>209.30880011258154</v>
      </c>
      <c r="AM85">
        <v>207.93641129436821</v>
      </c>
      <c r="AN85">
        <v>206.10130495657091</v>
      </c>
      <c r="AO85">
        <v>204.11807267178759</v>
      </c>
      <c r="AP85">
        <v>202.1644859522967</v>
      </c>
      <c r="AQ85">
        <v>200.50062332506221</v>
      </c>
      <c r="AR85">
        <v>199.19052087100738</v>
      </c>
      <c r="AS85">
        <v>198.24237790632355</v>
      </c>
      <c r="AT85">
        <v>197.57850762004429</v>
      </c>
      <c r="AU85">
        <v>197.0549142291658</v>
      </c>
      <c r="AV85">
        <v>196.55983183840155</v>
      </c>
      <c r="AW85">
        <v>195.98008159928594</v>
      </c>
      <c r="AX85">
        <v>195.27279871915547</v>
      </c>
      <c r="AY85">
        <v>194.43415024929075</v>
      </c>
      <c r="AZ85">
        <v>193.50043741155568</v>
      </c>
      <c r="BA85">
        <v>192.53518358439848</v>
      </c>
    </row>
    <row r="86" spans="1:53" x14ac:dyDescent="0.2">
      <c r="A86" t="s">
        <v>85</v>
      </c>
      <c r="B86" t="s">
        <v>225</v>
      </c>
      <c r="C86" t="s">
        <v>206</v>
      </c>
      <c r="D86" t="s">
        <v>4</v>
      </c>
      <c r="E86">
        <v>88.941421839037972</v>
      </c>
      <c r="F86">
        <v>10.477657918676867</v>
      </c>
      <c r="G86">
        <v>138.14404863559923</v>
      </c>
      <c r="H86">
        <v>147.45205792844089</v>
      </c>
      <c r="I86">
        <v>162.50972383607535</v>
      </c>
      <c r="J86">
        <v>213.65354171595175</v>
      </c>
      <c r="K86">
        <v>196.341257114417</v>
      </c>
      <c r="L86">
        <v>234.91584564922493</v>
      </c>
      <c r="M86">
        <v>221.66637845960244</v>
      </c>
      <c r="N86">
        <v>230.50015022736233</v>
      </c>
      <c r="O86">
        <v>233.78870628802943</v>
      </c>
      <c r="P86">
        <v>227.50009895433092</v>
      </c>
      <c r="Q86">
        <v>236.7109722289608</v>
      </c>
      <c r="R86">
        <v>233.33821693004847</v>
      </c>
      <c r="S86">
        <v>242.9844768456513</v>
      </c>
      <c r="T86">
        <v>249.45670300922467</v>
      </c>
      <c r="U86">
        <v>258.26500612392738</v>
      </c>
      <c r="V86">
        <v>269.34788459736967</v>
      </c>
      <c r="W86">
        <v>276.04806811019455</v>
      </c>
      <c r="X86">
        <v>284.32139107675687</v>
      </c>
      <c r="Y86">
        <v>288.29869129677536</v>
      </c>
      <c r="Z86">
        <v>291.98096763093594</v>
      </c>
      <c r="AA86">
        <v>294.64338563850555</v>
      </c>
      <c r="AB86">
        <v>296.72749741120333</v>
      </c>
      <c r="AC86">
        <v>300.04428955354126</v>
      </c>
      <c r="AD86">
        <v>303.30233552344203</v>
      </c>
      <c r="AE86">
        <v>307.75743828588747</v>
      </c>
      <c r="AF86">
        <v>312.35454124677659</v>
      </c>
      <c r="AG86">
        <v>317.10262928303456</v>
      </c>
      <c r="AH86">
        <v>321.78939270446148</v>
      </c>
      <c r="AI86">
        <v>325.91926510919154</v>
      </c>
      <c r="AJ86">
        <v>329.74443139999084</v>
      </c>
      <c r="AK86">
        <v>332.96896933872875</v>
      </c>
      <c r="AL86">
        <v>335.85552240059786</v>
      </c>
      <c r="AM86">
        <v>338.45759065612611</v>
      </c>
      <c r="AN86">
        <v>340.89667330293287</v>
      </c>
      <c r="AO86">
        <v>343.36421102282452</v>
      </c>
      <c r="AP86">
        <v>345.86336268923566</v>
      </c>
      <c r="AQ86">
        <v>348.49060153255147</v>
      </c>
      <c r="AR86">
        <v>351.1793055300584</v>
      </c>
      <c r="AS86">
        <v>353.88153241186211</v>
      </c>
      <c r="AT86">
        <v>356.52225330561862</v>
      </c>
      <c r="AU86">
        <v>359.01530144959088</v>
      </c>
      <c r="AV86">
        <v>361.33567988048134</v>
      </c>
      <c r="AW86">
        <v>363.45955279610581</v>
      </c>
      <c r="AX86">
        <v>365.41921943413206</v>
      </c>
      <c r="AY86">
        <v>367.25356980610798</v>
      </c>
      <c r="AZ86">
        <v>369.00883847958403</v>
      </c>
      <c r="BA86">
        <v>370.72798630472437</v>
      </c>
    </row>
    <row r="87" spans="1:53" x14ac:dyDescent="0.2">
      <c r="A87" t="s">
        <v>86</v>
      </c>
      <c r="B87" t="s">
        <v>226</v>
      </c>
      <c r="C87" t="s">
        <v>206</v>
      </c>
      <c r="D87" t="s">
        <v>4</v>
      </c>
      <c r="E87">
        <v>426.3478758267878</v>
      </c>
      <c r="F87">
        <v>476.35914180441995</v>
      </c>
      <c r="G87">
        <v>543.20338246988524</v>
      </c>
      <c r="H87">
        <v>481.23960445613369</v>
      </c>
      <c r="I87">
        <v>520.88020430505287</v>
      </c>
      <c r="J87">
        <v>614.95084152866195</v>
      </c>
      <c r="K87">
        <v>629.52707449775869</v>
      </c>
      <c r="L87">
        <v>683.47067354721594</v>
      </c>
      <c r="M87">
        <v>679.22256216934397</v>
      </c>
      <c r="N87">
        <v>697.52780549036481</v>
      </c>
      <c r="O87">
        <v>689.23155390866225</v>
      </c>
      <c r="P87">
        <v>658.86491625610915</v>
      </c>
      <c r="Q87">
        <v>635.64757203143802</v>
      </c>
      <c r="R87">
        <v>603.22159669362247</v>
      </c>
      <c r="S87">
        <v>593.06301734644148</v>
      </c>
      <c r="T87">
        <v>587.41359200061038</v>
      </c>
      <c r="U87">
        <v>593.13232477681311</v>
      </c>
      <c r="V87">
        <v>605.80369849265617</v>
      </c>
      <c r="W87">
        <v>616.66099305121293</v>
      </c>
      <c r="X87">
        <v>627.87614754680487</v>
      </c>
      <c r="Y87">
        <v>631.07413524916603</v>
      </c>
      <c r="Z87">
        <v>630.14896837197489</v>
      </c>
      <c r="AA87">
        <v>624.4718200844751</v>
      </c>
      <c r="AB87">
        <v>616.27153101923795</v>
      </c>
      <c r="AC87">
        <v>608.56401875609049</v>
      </c>
      <c r="AD87">
        <v>601.47804765011904</v>
      </c>
      <c r="AE87">
        <v>597.3021697380085</v>
      </c>
      <c r="AF87">
        <v>595.32774031851488</v>
      </c>
      <c r="AG87">
        <v>595.62327541210664</v>
      </c>
      <c r="AH87">
        <v>597.37103666276391</v>
      </c>
      <c r="AI87">
        <v>599.40222367552053</v>
      </c>
      <c r="AJ87">
        <v>601.18771240050444</v>
      </c>
      <c r="AK87">
        <v>601.80734182769459</v>
      </c>
      <c r="AL87">
        <v>601.21566718286488</v>
      </c>
      <c r="AM87">
        <v>599.42013037230788</v>
      </c>
      <c r="AN87">
        <v>596.82452834877847</v>
      </c>
      <c r="AO87">
        <v>594.02324149631886</v>
      </c>
      <c r="AP87">
        <v>591.45775015603715</v>
      </c>
      <c r="AQ87">
        <v>589.55930956807811</v>
      </c>
      <c r="AR87">
        <v>588.4157499378631</v>
      </c>
      <c r="AS87">
        <v>587.96715033607654</v>
      </c>
      <c r="AT87">
        <v>587.97532528766817</v>
      </c>
      <c r="AU87">
        <v>588.12977593013568</v>
      </c>
      <c r="AV87">
        <v>588.17970221007045</v>
      </c>
      <c r="AW87">
        <v>587.93354988652584</v>
      </c>
      <c r="AX87">
        <v>587.34382429951586</v>
      </c>
      <c r="AY87">
        <v>586.45244448915264</v>
      </c>
      <c r="AZ87">
        <v>585.37666436131667</v>
      </c>
      <c r="BA87">
        <v>584.26218580575153</v>
      </c>
    </row>
    <row r="88" spans="1:53" x14ac:dyDescent="0.2">
      <c r="A88" t="s">
        <v>87</v>
      </c>
      <c r="B88" t="s">
        <v>227</v>
      </c>
      <c r="C88" t="s">
        <v>206</v>
      </c>
      <c r="D88" t="s">
        <v>4</v>
      </c>
      <c r="E88">
        <v>5297.6903340028466</v>
      </c>
      <c r="F88">
        <v>5133.9966945761898</v>
      </c>
      <c r="G88">
        <v>5408.8255297312835</v>
      </c>
      <c r="H88">
        <v>4621.8708777043066</v>
      </c>
      <c r="I88">
        <v>4825.1737483739162</v>
      </c>
      <c r="J88">
        <v>6273.0381015195271</v>
      </c>
      <c r="K88">
        <v>6267.9362738659829</v>
      </c>
      <c r="L88">
        <v>7018.4706134649605</v>
      </c>
      <c r="M88">
        <v>6997.3848224379344</v>
      </c>
      <c r="N88">
        <v>7242.6432457919991</v>
      </c>
      <c r="O88">
        <v>7297.8491194584467</v>
      </c>
      <c r="P88">
        <v>6971.736565490397</v>
      </c>
      <c r="Q88">
        <v>6856.6511507661999</v>
      </c>
      <c r="R88">
        <v>6574.311175038476</v>
      </c>
      <c r="S88">
        <v>6575.8638875586721</v>
      </c>
      <c r="T88">
        <v>6622.1968128026056</v>
      </c>
      <c r="U88">
        <v>6760.6607288121522</v>
      </c>
      <c r="V88">
        <v>6999.5559325711083</v>
      </c>
      <c r="W88">
        <v>7185.7883680765563</v>
      </c>
      <c r="X88">
        <v>7389.8921116980109</v>
      </c>
      <c r="Y88">
        <v>7494.4464181318963</v>
      </c>
      <c r="Z88">
        <v>7550.7728193500188</v>
      </c>
      <c r="AA88">
        <v>7558.9635319865456</v>
      </c>
      <c r="AB88">
        <v>7531.3840758036313</v>
      </c>
      <c r="AC88">
        <v>7514.7609775111468</v>
      </c>
      <c r="AD88">
        <v>7500.1493270149831</v>
      </c>
      <c r="AE88">
        <v>7518.4512751898683</v>
      </c>
      <c r="AF88">
        <v>7559.7275801948026</v>
      </c>
      <c r="AG88">
        <v>7622.5195597692746</v>
      </c>
      <c r="AH88">
        <v>7700.0143597845235</v>
      </c>
      <c r="AI88">
        <v>7775.9434428607392</v>
      </c>
      <c r="AJ88">
        <v>7846.9668399539332</v>
      </c>
      <c r="AK88">
        <v>7902.1146229475826</v>
      </c>
      <c r="AL88">
        <v>7941.8914047028948</v>
      </c>
      <c r="AM88">
        <v>7967.320405307787</v>
      </c>
      <c r="AN88">
        <v>7982.5777112666401</v>
      </c>
      <c r="AO88">
        <v>7995.0329502347859</v>
      </c>
      <c r="AP88">
        <v>8008.9059028741904</v>
      </c>
      <c r="AQ88">
        <v>8029.0166589451264</v>
      </c>
      <c r="AR88">
        <v>8056.0201825209351</v>
      </c>
      <c r="AS88">
        <v>8089.016280732315</v>
      </c>
      <c r="AT88">
        <v>8125.4799079685645</v>
      </c>
      <c r="AU88">
        <v>8161.8747583283184</v>
      </c>
      <c r="AV88">
        <v>8195.6728034515145</v>
      </c>
      <c r="AW88">
        <v>8224.8437929203119</v>
      </c>
      <c r="AX88">
        <v>8249.0329742177037</v>
      </c>
      <c r="AY88">
        <v>8268.8545623093396</v>
      </c>
      <c r="AZ88">
        <v>8285.6670358936881</v>
      </c>
      <c r="BA88">
        <v>8301.1753856723735</v>
      </c>
    </row>
    <row r="89" spans="1:53" x14ac:dyDescent="0.2">
      <c r="A89" t="s">
        <v>88</v>
      </c>
      <c r="B89" t="s">
        <v>228</v>
      </c>
      <c r="C89" t="s">
        <v>206</v>
      </c>
      <c r="D89" t="s">
        <v>4</v>
      </c>
      <c r="E89">
        <v>1226.9422432900092</v>
      </c>
      <c r="F89">
        <v>255.9760515899645</v>
      </c>
      <c r="G89">
        <v>-383.48777411094437</v>
      </c>
      <c r="H89">
        <v>95.675256033347296</v>
      </c>
      <c r="I89">
        <v>359.64543862906982</v>
      </c>
      <c r="J89">
        <v>620.9583027932531</v>
      </c>
      <c r="K89">
        <v>599.19473341005607</v>
      </c>
      <c r="L89">
        <v>770.92597646069714</v>
      </c>
      <c r="M89">
        <v>906.63377389720961</v>
      </c>
      <c r="N89">
        <v>876.80303265776058</v>
      </c>
      <c r="O89">
        <v>824.67746780598202</v>
      </c>
      <c r="P89">
        <v>686.14768697254067</v>
      </c>
      <c r="Q89">
        <v>607.89788042421822</v>
      </c>
      <c r="R89">
        <v>529.84667230871685</v>
      </c>
      <c r="S89">
        <v>486.86015101926927</v>
      </c>
      <c r="T89">
        <v>493.61888279826394</v>
      </c>
      <c r="U89">
        <v>522.02175628708005</v>
      </c>
      <c r="V89">
        <v>587.21849543219639</v>
      </c>
      <c r="W89">
        <v>642.55978774386938</v>
      </c>
      <c r="X89">
        <v>687.2483441058672</v>
      </c>
      <c r="Y89">
        <v>707.75010283041263</v>
      </c>
      <c r="Z89">
        <v>702.82696966549406</v>
      </c>
      <c r="AA89">
        <v>684.22450740087481</v>
      </c>
      <c r="AB89">
        <v>653.65586689365796</v>
      </c>
      <c r="AC89">
        <v>626.14191122100272</v>
      </c>
      <c r="AD89">
        <v>605.27128411492174</v>
      </c>
      <c r="AE89">
        <v>595.86584705754171</v>
      </c>
      <c r="AF89">
        <v>598.09586910292785</v>
      </c>
      <c r="AG89">
        <v>607.71349935544833</v>
      </c>
      <c r="AH89">
        <v>622.22212254660428</v>
      </c>
      <c r="AI89">
        <v>636.16657502677015</v>
      </c>
      <c r="AJ89">
        <v>647.06644155356253</v>
      </c>
      <c r="AK89">
        <v>652.72689117376001</v>
      </c>
      <c r="AL89">
        <v>652.72010404140815</v>
      </c>
      <c r="AM89">
        <v>648.40640714114636</v>
      </c>
      <c r="AN89">
        <v>641.34519822680556</v>
      </c>
      <c r="AO89">
        <v>634.03470999423473</v>
      </c>
      <c r="AP89">
        <v>628.18927688000736</v>
      </c>
      <c r="AQ89">
        <v>625.06184440092125</v>
      </c>
      <c r="AR89">
        <v>624.97462731696362</v>
      </c>
      <c r="AS89">
        <v>627.33562853120804</v>
      </c>
      <c r="AT89">
        <v>631.16847717846417</v>
      </c>
      <c r="AU89">
        <v>635.17756013970279</v>
      </c>
      <c r="AV89">
        <v>638.36159066482958</v>
      </c>
      <c r="AW89">
        <v>640.08238420820521</v>
      </c>
      <c r="AX89">
        <v>640.20721351010513</v>
      </c>
      <c r="AY89">
        <v>639.05423432274711</v>
      </c>
      <c r="AZ89">
        <v>637.16802172781013</v>
      </c>
      <c r="BA89">
        <v>635.19203185038316</v>
      </c>
    </row>
    <row r="90" spans="1:53" x14ac:dyDescent="0.2">
      <c r="A90" t="s">
        <v>89</v>
      </c>
      <c r="B90" t="s">
        <v>229</v>
      </c>
      <c r="C90" t="s">
        <v>206</v>
      </c>
      <c r="D90" t="s">
        <v>4</v>
      </c>
      <c r="E90">
        <v>1880.6409831116628</v>
      </c>
      <c r="F90">
        <v>321.35300603533381</v>
      </c>
      <c r="G90">
        <v>-302.37912730629478</v>
      </c>
      <c r="H90">
        <v>157.64237596140845</v>
      </c>
      <c r="I90">
        <v>-178.80905230060245</v>
      </c>
      <c r="J90">
        <v>657.47833989333833</v>
      </c>
      <c r="K90">
        <v>619.55915807339795</v>
      </c>
      <c r="L90">
        <v>1109.9057905572308</v>
      </c>
      <c r="M90">
        <v>1373.2608155892628</v>
      </c>
      <c r="N90">
        <v>1394.2749756807243</v>
      </c>
      <c r="O90">
        <v>1475.6177670812267</v>
      </c>
      <c r="P90">
        <v>1177.6282520762913</v>
      </c>
      <c r="Q90">
        <v>1033.1949500139879</v>
      </c>
      <c r="R90">
        <v>792.51920063437194</v>
      </c>
      <c r="S90">
        <v>654.73312927344591</v>
      </c>
      <c r="T90">
        <v>628.79481989034923</v>
      </c>
      <c r="U90">
        <v>636.40554161453952</v>
      </c>
      <c r="V90">
        <v>763.2111016892369</v>
      </c>
      <c r="W90">
        <v>866.46291059878558</v>
      </c>
      <c r="X90">
        <v>981.24678814553295</v>
      </c>
      <c r="Y90">
        <v>1048.5668932450103</v>
      </c>
      <c r="Z90">
        <v>1062.8918767851144</v>
      </c>
      <c r="AA90">
        <v>1047.7129126184448</v>
      </c>
      <c r="AB90">
        <v>992.08519625720521</v>
      </c>
      <c r="AC90">
        <v>937.48578237664879</v>
      </c>
      <c r="AD90">
        <v>883.63835712193918</v>
      </c>
      <c r="AE90">
        <v>849.27988634524388</v>
      </c>
      <c r="AF90">
        <v>838.29614496062652</v>
      </c>
      <c r="AG90">
        <v>844.838580850884</v>
      </c>
      <c r="AH90">
        <v>868.67849261752406</v>
      </c>
      <c r="AI90">
        <v>896.25092271731921</v>
      </c>
      <c r="AJ90">
        <v>923.21704952610651</v>
      </c>
      <c r="AK90">
        <v>941.68226342128514</v>
      </c>
      <c r="AL90">
        <v>948.6157645305052</v>
      </c>
      <c r="AM90">
        <v>945.14899340128625</v>
      </c>
      <c r="AN90">
        <v>932.82341389826286</v>
      </c>
      <c r="AO90">
        <v>917.27859133329048</v>
      </c>
      <c r="AP90">
        <v>902.22957036416074</v>
      </c>
      <c r="AQ90">
        <v>891.58786037678271</v>
      </c>
      <c r="AR90">
        <v>887.10181680431117</v>
      </c>
      <c r="AS90">
        <v>888.42387650118735</v>
      </c>
      <c r="AT90">
        <v>894.2406624830445</v>
      </c>
      <c r="AU90">
        <v>901.87130535743131</v>
      </c>
      <c r="AV90">
        <v>909.104005205318</v>
      </c>
      <c r="AW90">
        <v>914.06076322680372</v>
      </c>
      <c r="AX90">
        <v>915.89240805080772</v>
      </c>
      <c r="AY90">
        <v>914.75357017728459</v>
      </c>
      <c r="AZ90">
        <v>911.40261837764842</v>
      </c>
      <c r="BA90">
        <v>907.09860443475361</v>
      </c>
    </row>
    <row r="91" spans="1:53" x14ac:dyDescent="0.2">
      <c r="A91" t="s">
        <v>90</v>
      </c>
      <c r="B91" t="s">
        <v>230</v>
      </c>
      <c r="C91" t="s">
        <v>206</v>
      </c>
      <c r="D91" t="s">
        <v>4</v>
      </c>
      <c r="E91">
        <v>549.29886862104297</v>
      </c>
      <c r="F91">
        <v>308.93658289802136</v>
      </c>
      <c r="G91">
        <v>-64.222137329859819</v>
      </c>
      <c r="H91">
        <v>-291.42427312549245</v>
      </c>
      <c r="I91">
        <v>-350.36353331588492</v>
      </c>
      <c r="J91">
        <v>297.69091555914969</v>
      </c>
      <c r="K91">
        <v>352.07054557337136</v>
      </c>
      <c r="L91">
        <v>347.69069652355751</v>
      </c>
      <c r="M91">
        <v>365.51875669939352</v>
      </c>
      <c r="N91">
        <v>425.43887915138396</v>
      </c>
      <c r="O91">
        <v>475.81907655662604</v>
      </c>
      <c r="P91">
        <v>319.59746720443002</v>
      </c>
      <c r="Q91">
        <v>237.37362687654468</v>
      </c>
      <c r="R91">
        <v>174.78413954676924</v>
      </c>
      <c r="S91">
        <v>160.64762348299269</v>
      </c>
      <c r="T91">
        <v>168.44635441002484</v>
      </c>
      <c r="U91">
        <v>172.84736412006183</v>
      </c>
      <c r="V91">
        <v>218.27236151333568</v>
      </c>
      <c r="W91">
        <v>254.35150626448853</v>
      </c>
      <c r="X91">
        <v>290.2305150045122</v>
      </c>
      <c r="Y91">
        <v>306.48528735936753</v>
      </c>
      <c r="Z91">
        <v>304.64424355262815</v>
      </c>
      <c r="AA91">
        <v>295.79594249955812</v>
      </c>
      <c r="AB91">
        <v>275.20628465076931</v>
      </c>
      <c r="AC91">
        <v>256.55358262900586</v>
      </c>
      <c r="AD91">
        <v>239.18072990874293</v>
      </c>
      <c r="AE91">
        <v>229.4806345246316</v>
      </c>
      <c r="AF91">
        <v>228.51222537198583</v>
      </c>
      <c r="AG91">
        <v>233.30856848406194</v>
      </c>
      <c r="AH91">
        <v>243.21109550821987</v>
      </c>
      <c r="AI91">
        <v>253.13371737453866</v>
      </c>
      <c r="AJ91">
        <v>261.70599209568081</v>
      </c>
      <c r="AK91">
        <v>266.56453943134608</v>
      </c>
      <c r="AL91">
        <v>267.139125426531</v>
      </c>
      <c r="AM91">
        <v>264.38345925334113</v>
      </c>
      <c r="AN91">
        <v>259.1907325520113</v>
      </c>
      <c r="AO91">
        <v>253.66636417925548</v>
      </c>
      <c r="AP91">
        <v>248.96182941913617</v>
      </c>
      <c r="AQ91">
        <v>246.14014254985352</v>
      </c>
      <c r="AR91">
        <v>245.49258838470496</v>
      </c>
      <c r="AS91">
        <v>246.63992225759691</v>
      </c>
      <c r="AT91">
        <v>249.00186181906753</v>
      </c>
      <c r="AU91">
        <v>251.63444423441942</v>
      </c>
      <c r="AV91">
        <v>253.85378967923427</v>
      </c>
      <c r="AW91">
        <v>255.13741150696677</v>
      </c>
      <c r="AX91">
        <v>255.32050322336656</v>
      </c>
      <c r="AY91">
        <v>254.56154979003105</v>
      </c>
      <c r="AZ91">
        <v>253.18210168410431</v>
      </c>
      <c r="BA91">
        <v>251.63506879105896</v>
      </c>
    </row>
    <row r="92" spans="1:53" x14ac:dyDescent="0.2">
      <c r="A92" t="s">
        <v>91</v>
      </c>
      <c r="B92" t="s">
        <v>231</v>
      </c>
      <c r="C92" t="s">
        <v>206</v>
      </c>
      <c r="D92" t="s">
        <v>4</v>
      </c>
      <c r="E92">
        <v>1147.3453863377783</v>
      </c>
      <c r="F92">
        <v>808.27464908220111</v>
      </c>
      <c r="G92">
        <v>279.18773534002167</v>
      </c>
      <c r="H92">
        <v>461.02916602044809</v>
      </c>
      <c r="I92">
        <v>19.256503360036614</v>
      </c>
      <c r="J92">
        <v>688.33037461798949</v>
      </c>
      <c r="K92">
        <v>748.00063397644669</v>
      </c>
      <c r="L92">
        <v>898.25623869205981</v>
      </c>
      <c r="M92">
        <v>1013.8858265818261</v>
      </c>
      <c r="N92">
        <v>960.31545287927111</v>
      </c>
      <c r="O92">
        <v>1057.9886921203379</v>
      </c>
      <c r="P92">
        <v>891.37586460241766</v>
      </c>
      <c r="Q92">
        <v>821.0142719754848</v>
      </c>
      <c r="R92">
        <v>716.71598434896714</v>
      </c>
      <c r="S92">
        <v>645.5812690859367</v>
      </c>
      <c r="T92">
        <v>645.84704278585036</v>
      </c>
      <c r="U92">
        <v>627.37642798135755</v>
      </c>
      <c r="V92">
        <v>675.39789113132736</v>
      </c>
      <c r="W92">
        <v>707.33443742753627</v>
      </c>
      <c r="X92">
        <v>749.01512960690457</v>
      </c>
      <c r="Y92">
        <v>777.54271261951476</v>
      </c>
      <c r="Z92">
        <v>778.37291919365941</v>
      </c>
      <c r="AA92">
        <v>772.59987310749455</v>
      </c>
      <c r="AB92">
        <v>744.6382068951043</v>
      </c>
      <c r="AC92">
        <v>717.64799958010553</v>
      </c>
      <c r="AD92">
        <v>689.52066562715345</v>
      </c>
      <c r="AE92">
        <v>668.18389184545595</v>
      </c>
      <c r="AF92">
        <v>658.61112820049505</v>
      </c>
      <c r="AG92">
        <v>655.95721303684456</v>
      </c>
      <c r="AH92">
        <v>662.3634314450062</v>
      </c>
      <c r="AI92">
        <v>670.4206720547545</v>
      </c>
      <c r="AJ92">
        <v>678.5164744432243</v>
      </c>
      <c r="AK92">
        <v>683.35824106788584</v>
      </c>
      <c r="AL92">
        <v>683.04592588077435</v>
      </c>
      <c r="AM92">
        <v>678.70076659347694</v>
      </c>
      <c r="AN92">
        <v>670.46218413846555</v>
      </c>
      <c r="AO92">
        <v>661.01407913646551</v>
      </c>
      <c r="AP92">
        <v>651.77914578809248</v>
      </c>
      <c r="AQ92">
        <v>644.33068828118542</v>
      </c>
      <c r="AR92">
        <v>639.5477638291452</v>
      </c>
      <c r="AS92">
        <v>637.1963033550818</v>
      </c>
      <c r="AT92">
        <v>636.92312862469407</v>
      </c>
      <c r="AU92">
        <v>637.59140520605558</v>
      </c>
      <c r="AV92">
        <v>638.31355491533418</v>
      </c>
      <c r="AW92">
        <v>638.28084856417911</v>
      </c>
      <c r="AX92">
        <v>637.0441352776237</v>
      </c>
      <c r="AY92">
        <v>634.63475824575289</v>
      </c>
      <c r="AZ92">
        <v>631.29596545988773</v>
      </c>
      <c r="BA92">
        <v>627.55593646335194</v>
      </c>
    </row>
    <row r="93" spans="1:53" x14ac:dyDescent="0.2">
      <c r="A93" t="s">
        <v>92</v>
      </c>
      <c r="B93" t="s">
        <v>232</v>
      </c>
      <c r="C93" t="s">
        <v>206</v>
      </c>
      <c r="D93" t="s">
        <v>4</v>
      </c>
      <c r="E93">
        <v>517.96152294762749</v>
      </c>
      <c r="F93">
        <v>175.5147571369076</v>
      </c>
      <c r="G93">
        <v>75.927199781140331</v>
      </c>
      <c r="H93">
        <v>300.051185323938</v>
      </c>
      <c r="I93">
        <v>23.875503630274565</v>
      </c>
      <c r="J93">
        <v>245.52838641448795</v>
      </c>
      <c r="K93">
        <v>191.6184822630415</v>
      </c>
      <c r="L93">
        <v>391.05793394701141</v>
      </c>
      <c r="M93">
        <v>535.04096576805227</v>
      </c>
      <c r="N93">
        <v>562.98237442176946</v>
      </c>
      <c r="O93">
        <v>632.36033415058864</v>
      </c>
      <c r="P93">
        <v>549.56818693974174</v>
      </c>
      <c r="Q93">
        <v>519.3896615997819</v>
      </c>
      <c r="R93">
        <v>435.3951291939357</v>
      </c>
      <c r="S93">
        <v>367.8195306528537</v>
      </c>
      <c r="T93">
        <v>335.10632450627327</v>
      </c>
      <c r="U93">
        <v>306.60317293371321</v>
      </c>
      <c r="V93">
        <v>328.05998485567778</v>
      </c>
      <c r="W93">
        <v>348.36851802933205</v>
      </c>
      <c r="X93">
        <v>384.79687993870124</v>
      </c>
      <c r="Y93">
        <v>415.65895077709229</v>
      </c>
      <c r="Z93">
        <v>432.66591537413331</v>
      </c>
      <c r="AA93">
        <v>440.98599304436635</v>
      </c>
      <c r="AB93">
        <v>430.2221710022244</v>
      </c>
      <c r="AC93">
        <v>414.09596773200093</v>
      </c>
      <c r="AD93">
        <v>392.02687358665401</v>
      </c>
      <c r="AE93">
        <v>372.24321784147645</v>
      </c>
      <c r="AF93">
        <v>359.0321844418844</v>
      </c>
      <c r="AG93">
        <v>352.15042911819216</v>
      </c>
      <c r="AH93">
        <v>353.65388287571403</v>
      </c>
      <c r="AI93">
        <v>359.18834686672676</v>
      </c>
      <c r="AJ93">
        <v>367.2390616075412</v>
      </c>
      <c r="AK93">
        <v>374.37673037995842</v>
      </c>
      <c r="AL93">
        <v>378.4938264396265</v>
      </c>
      <c r="AM93">
        <v>379.1579705384321</v>
      </c>
      <c r="AN93">
        <v>376.01149462061579</v>
      </c>
      <c r="AO93">
        <v>370.60752412122343</v>
      </c>
      <c r="AP93">
        <v>364.07648976039769</v>
      </c>
      <c r="AQ93">
        <v>357.97632343818589</v>
      </c>
      <c r="AR93">
        <v>353.38240840357599</v>
      </c>
      <c r="AS93">
        <v>350.69123302117418</v>
      </c>
      <c r="AT93">
        <v>349.9713254572589</v>
      </c>
      <c r="AU93">
        <v>350.60169187143265</v>
      </c>
      <c r="AV93">
        <v>351.9150434517652</v>
      </c>
      <c r="AW93">
        <v>353.13266933043195</v>
      </c>
      <c r="AX93">
        <v>353.67799219117444</v>
      </c>
      <c r="AY93">
        <v>353.28879410162017</v>
      </c>
      <c r="AZ93">
        <v>351.94920897909054</v>
      </c>
      <c r="BA93">
        <v>349.93943724731548</v>
      </c>
    </row>
    <row r="94" spans="1:53" x14ac:dyDescent="0.2">
      <c r="A94" t="s">
        <v>93</v>
      </c>
      <c r="B94" t="s">
        <v>233</v>
      </c>
      <c r="C94" t="s">
        <v>206</v>
      </c>
      <c r="D94" t="s">
        <v>4</v>
      </c>
      <c r="E94">
        <v>1384.782676195724</v>
      </c>
      <c r="F94">
        <v>770.2118109381986</v>
      </c>
      <c r="G94">
        <v>583.81352369006083</v>
      </c>
      <c r="H94">
        <v>714.66770439331515</v>
      </c>
      <c r="I94">
        <v>623.94857681119504</v>
      </c>
      <c r="J94">
        <v>1060.3880579042773</v>
      </c>
      <c r="K94">
        <v>984.01589216544642</v>
      </c>
      <c r="L94">
        <v>1194.2280781894988</v>
      </c>
      <c r="M94">
        <v>1267.3365307279319</v>
      </c>
      <c r="N94">
        <v>1279.4341997571946</v>
      </c>
      <c r="O94">
        <v>1303.3280037790375</v>
      </c>
      <c r="P94">
        <v>1154.7226927024367</v>
      </c>
      <c r="Q94">
        <v>1094.3901222825743</v>
      </c>
      <c r="R94">
        <v>980.45728896249659</v>
      </c>
      <c r="S94">
        <v>923.66158257134657</v>
      </c>
      <c r="T94">
        <v>903.28190493003001</v>
      </c>
      <c r="U94">
        <v>895.3616514226884</v>
      </c>
      <c r="V94">
        <v>938.51565663283691</v>
      </c>
      <c r="W94">
        <v>967.59714495348464</v>
      </c>
      <c r="X94">
        <v>1006.7195047646551</v>
      </c>
      <c r="Y94">
        <v>1024.3667760637768</v>
      </c>
      <c r="Z94">
        <v>1023.2199297893161</v>
      </c>
      <c r="AA94">
        <v>1010.8149971063787</v>
      </c>
      <c r="AB94">
        <v>981.52495647869887</v>
      </c>
      <c r="AC94">
        <v>953.57761805657515</v>
      </c>
      <c r="AD94">
        <v>924.56921863211608</v>
      </c>
      <c r="AE94">
        <v>904.05795451693007</v>
      </c>
      <c r="AF94">
        <v>892.77795318946573</v>
      </c>
      <c r="AG94">
        <v>888.91117719237889</v>
      </c>
      <c r="AH94">
        <v>892.58307996324834</v>
      </c>
      <c r="AI94">
        <v>897.8516765214921</v>
      </c>
      <c r="AJ94">
        <v>903.40720360384898</v>
      </c>
      <c r="AK94">
        <v>905.58845871768722</v>
      </c>
      <c r="AL94">
        <v>903.37888107220215</v>
      </c>
      <c r="AM94">
        <v>897.14241176761789</v>
      </c>
      <c r="AN94">
        <v>887.46526505696454</v>
      </c>
      <c r="AO94">
        <v>876.72000113611352</v>
      </c>
      <c r="AP94">
        <v>866.26982773190036</v>
      </c>
      <c r="AQ94">
        <v>857.76060395678007</v>
      </c>
      <c r="AR94">
        <v>851.82575239818823</v>
      </c>
      <c r="AS94">
        <v>848.34462503888972</v>
      </c>
      <c r="AT94">
        <v>846.81302384015635</v>
      </c>
      <c r="AU94">
        <v>846.14758707944304</v>
      </c>
      <c r="AV94">
        <v>845.49820176590038</v>
      </c>
      <c r="AW94">
        <v>844.08821719737443</v>
      </c>
      <c r="AX94">
        <v>841.57547085329952</v>
      </c>
      <c r="AY94">
        <v>837.99705303850772</v>
      </c>
      <c r="AZ94">
        <v>833.63447235893432</v>
      </c>
      <c r="BA94">
        <v>828.98459635458585</v>
      </c>
    </row>
    <row r="95" spans="1:53" x14ac:dyDescent="0.2">
      <c r="A95" t="s">
        <v>94</v>
      </c>
      <c r="B95" t="s">
        <v>234</v>
      </c>
      <c r="C95" t="s">
        <v>206</v>
      </c>
      <c r="D95" t="s">
        <v>4</v>
      </c>
      <c r="E95">
        <v>3656.1712900471844</v>
      </c>
      <c r="F95">
        <v>2168.8238659775143</v>
      </c>
      <c r="G95">
        <v>1927.9761032503541</v>
      </c>
      <c r="H95">
        <v>2252.4645899861407</v>
      </c>
      <c r="I95">
        <v>2013.5879434512037</v>
      </c>
      <c r="J95">
        <v>3035.1657673393693</v>
      </c>
      <c r="K95">
        <v>2827.121675490715</v>
      </c>
      <c r="L95">
        <v>3366.1573862344676</v>
      </c>
      <c r="M95">
        <v>3485.3886265176443</v>
      </c>
      <c r="N95">
        <v>3493.8432703308672</v>
      </c>
      <c r="O95">
        <v>3548.973521918208</v>
      </c>
      <c r="P95">
        <v>3207.4475285769627</v>
      </c>
      <c r="Q95">
        <v>3103.2629797642799</v>
      </c>
      <c r="R95">
        <v>2867.1001266187218</v>
      </c>
      <c r="S95">
        <v>2792.4477822168178</v>
      </c>
      <c r="T95">
        <v>2801.0185697014208</v>
      </c>
      <c r="U95">
        <v>2833.4354541934285</v>
      </c>
      <c r="V95">
        <v>2972.9230946028401</v>
      </c>
      <c r="W95">
        <v>3057.5992576797521</v>
      </c>
      <c r="X95">
        <v>3156.4936780310181</v>
      </c>
      <c r="Y95">
        <v>3194.8476550684982</v>
      </c>
      <c r="Z95">
        <v>3190.9848760576519</v>
      </c>
      <c r="AA95">
        <v>3166.1056548047763</v>
      </c>
      <c r="AB95">
        <v>3109.2143090127638</v>
      </c>
      <c r="AC95">
        <v>3064.045330234866</v>
      </c>
      <c r="AD95">
        <v>3020.0724678093261</v>
      </c>
      <c r="AE95">
        <v>2997.8716238348547</v>
      </c>
      <c r="AF95">
        <v>2995.0939087840879</v>
      </c>
      <c r="AG95">
        <v>3006.168920292911</v>
      </c>
      <c r="AH95">
        <v>3030.9581578101615</v>
      </c>
      <c r="AI95">
        <v>3055.5696449922789</v>
      </c>
      <c r="AJ95">
        <v>3078.3760729146948</v>
      </c>
      <c r="AK95">
        <v>3091.6025986507216</v>
      </c>
      <c r="AL95">
        <v>3094.2749423259297</v>
      </c>
      <c r="AM95">
        <v>3088.0739476462277</v>
      </c>
      <c r="AN95">
        <v>3074.9222668507869</v>
      </c>
      <c r="AO95">
        <v>3060.6198267652594</v>
      </c>
      <c r="AP95">
        <v>3047.9978164695285</v>
      </c>
      <c r="AQ95">
        <v>3040.4354531026729</v>
      </c>
      <c r="AR95">
        <v>3038.656307190347</v>
      </c>
      <c r="AS95">
        <v>3041.7629149712611</v>
      </c>
      <c r="AT95">
        <v>3048.178514082254</v>
      </c>
      <c r="AU95">
        <v>3055.2602854191073</v>
      </c>
      <c r="AV95">
        <v>3061.2499103562386</v>
      </c>
      <c r="AW95">
        <v>3064.7029883520927</v>
      </c>
      <c r="AX95">
        <v>3065.2705415849641</v>
      </c>
      <c r="AY95">
        <v>3063.390511052949</v>
      </c>
      <c r="AZ95">
        <v>3059.9159045690799</v>
      </c>
      <c r="BA95">
        <v>3056.0349272390495</v>
      </c>
    </row>
    <row r="96" spans="1:53" x14ac:dyDescent="0.2">
      <c r="A96" t="s">
        <v>95</v>
      </c>
      <c r="B96" t="s">
        <v>235</v>
      </c>
      <c r="C96" t="s">
        <v>206</v>
      </c>
      <c r="D96" t="s">
        <v>4</v>
      </c>
      <c r="E96">
        <v>410.38341851646311</v>
      </c>
      <c r="F96">
        <v>278.07335482081515</v>
      </c>
      <c r="G96">
        <v>27.812440028587787</v>
      </c>
      <c r="H96">
        <v>63.28048041726732</v>
      </c>
      <c r="I96">
        <v>83.884031119000142</v>
      </c>
      <c r="J96">
        <v>255.43580745941571</v>
      </c>
      <c r="K96">
        <v>279.90605324179307</v>
      </c>
      <c r="L96">
        <v>323.22366949965453</v>
      </c>
      <c r="M96">
        <v>356.64313400831782</v>
      </c>
      <c r="N96">
        <v>346.76425076609934</v>
      </c>
      <c r="O96">
        <v>340.13723257015096</v>
      </c>
      <c r="P96">
        <v>280.66818562325784</v>
      </c>
      <c r="Q96">
        <v>243.89986941118036</v>
      </c>
      <c r="R96">
        <v>211.59742586833349</v>
      </c>
      <c r="S96">
        <v>197.07223489771584</v>
      </c>
      <c r="T96">
        <v>203.29566108488245</v>
      </c>
      <c r="U96">
        <v>213.54593918604425</v>
      </c>
      <c r="V96">
        <v>238.04191959255036</v>
      </c>
      <c r="W96">
        <v>257.74205974585954</v>
      </c>
      <c r="X96">
        <v>273.85389662213151</v>
      </c>
      <c r="Y96">
        <v>280.95918549196841</v>
      </c>
      <c r="Z96">
        <v>278.11105814918585</v>
      </c>
      <c r="AA96">
        <v>270.84942421872046</v>
      </c>
      <c r="AB96">
        <v>258.95407085761826</v>
      </c>
      <c r="AC96">
        <v>248.42326714625932</v>
      </c>
      <c r="AD96">
        <v>240.14243117803406</v>
      </c>
      <c r="AE96">
        <v>236.02108954751694</v>
      </c>
      <c r="AF96">
        <v>236.43023575646268</v>
      </c>
      <c r="AG96">
        <v>239.66833378605091</v>
      </c>
      <c r="AH96">
        <v>244.97269766045994</v>
      </c>
      <c r="AI96">
        <v>250.07782908437159</v>
      </c>
      <c r="AJ96">
        <v>254.03594643034148</v>
      </c>
      <c r="AK96">
        <v>255.95961549814035</v>
      </c>
      <c r="AL96">
        <v>255.64069972081657</v>
      </c>
      <c r="AM96">
        <v>253.66498142660785</v>
      </c>
      <c r="AN96">
        <v>250.62903224962713</v>
      </c>
      <c r="AO96">
        <v>247.55412203334689</v>
      </c>
      <c r="AP96">
        <v>245.0939806221192</v>
      </c>
      <c r="AQ96">
        <v>243.71410315537199</v>
      </c>
      <c r="AR96">
        <v>243.51790615242726</v>
      </c>
      <c r="AS96">
        <v>244.24559016282905</v>
      </c>
      <c r="AT96">
        <v>245.52324366751273</v>
      </c>
      <c r="AU96">
        <v>246.8521221781306</v>
      </c>
      <c r="AV96">
        <v>247.86328312877015</v>
      </c>
      <c r="AW96">
        <v>248.32375631725901</v>
      </c>
      <c r="AX96">
        <v>248.18752517224146</v>
      </c>
      <c r="AY96">
        <v>247.57887140363491</v>
      </c>
      <c r="AZ96">
        <v>246.70007468410836</v>
      </c>
      <c r="BA96">
        <v>245.79423304945183</v>
      </c>
    </row>
    <row r="97" spans="1:53" x14ac:dyDescent="0.2">
      <c r="A97" t="s">
        <v>96</v>
      </c>
      <c r="B97" t="s">
        <v>236</v>
      </c>
      <c r="C97" t="s">
        <v>206</v>
      </c>
      <c r="D97" t="s">
        <v>4</v>
      </c>
      <c r="E97">
        <v>287.66184259175878</v>
      </c>
      <c r="F97">
        <v>92.133401465026793</v>
      </c>
      <c r="G97">
        <v>78.609431318454924</v>
      </c>
      <c r="H97">
        <v>54.575387559762078</v>
      </c>
      <c r="I97">
        <v>118.33220753053443</v>
      </c>
      <c r="J97">
        <v>158.25906712997505</v>
      </c>
      <c r="K97">
        <v>151.08348695610559</v>
      </c>
      <c r="L97">
        <v>198.31863847238836</v>
      </c>
      <c r="M97">
        <v>202.62216409661983</v>
      </c>
      <c r="N97">
        <v>220.76137417352729</v>
      </c>
      <c r="O97">
        <v>212.23564639477007</v>
      </c>
      <c r="P97">
        <v>196.9947235151694</v>
      </c>
      <c r="Q97">
        <v>189.37443770384556</v>
      </c>
      <c r="R97">
        <v>173.40905485351857</v>
      </c>
      <c r="S97">
        <v>170.8785339907146</v>
      </c>
      <c r="T97">
        <v>167.13283410719183</v>
      </c>
      <c r="U97">
        <v>171.52060006002102</v>
      </c>
      <c r="V97">
        <v>179.89758603755823</v>
      </c>
      <c r="W97">
        <v>187.71856461004418</v>
      </c>
      <c r="X97">
        <v>196.84135372986196</v>
      </c>
      <c r="Y97">
        <v>201.12406359525141</v>
      </c>
      <c r="Z97">
        <v>203.71408458164541</v>
      </c>
      <c r="AA97">
        <v>202.90305573696</v>
      </c>
      <c r="AB97">
        <v>200.20986617859089</v>
      </c>
      <c r="AC97">
        <v>197.31251005095191</v>
      </c>
      <c r="AD97">
        <v>194.35939419466013</v>
      </c>
      <c r="AE97">
        <v>193.16936776050753</v>
      </c>
      <c r="AF97">
        <v>193.17963210560436</v>
      </c>
      <c r="AG97">
        <v>194.67305021252201</v>
      </c>
      <c r="AH97">
        <v>197.05016495837341</v>
      </c>
      <c r="AI97">
        <v>199.61934878527245</v>
      </c>
      <c r="AJ97">
        <v>202.06999822135302</v>
      </c>
      <c r="AK97">
        <v>203.78067026055567</v>
      </c>
      <c r="AL97">
        <v>204.77690085078208</v>
      </c>
      <c r="AM97">
        <v>205.00825352938031</v>
      </c>
      <c r="AN97">
        <v>204.72002597962526</v>
      </c>
      <c r="AO97">
        <v>204.23421501857001</v>
      </c>
      <c r="AP97">
        <v>203.78793089991635</v>
      </c>
      <c r="AQ97">
        <v>203.65066454606398</v>
      </c>
      <c r="AR97">
        <v>203.88009103504075</v>
      </c>
      <c r="AS97">
        <v>204.48156317790671</v>
      </c>
      <c r="AT97">
        <v>205.338138284053</v>
      </c>
      <c r="AU97">
        <v>206.28611004891701</v>
      </c>
      <c r="AV97">
        <v>207.18219109511782</v>
      </c>
      <c r="AW97">
        <v>207.89988537125697</v>
      </c>
      <c r="AX97">
        <v>208.39728643620305</v>
      </c>
      <c r="AY97">
        <v>208.68058729117649</v>
      </c>
      <c r="AZ97">
        <v>208.81034322307107</v>
      </c>
      <c r="BA97">
        <v>208.87035289876226</v>
      </c>
    </row>
    <row r="98" spans="1:53" x14ac:dyDescent="0.2">
      <c r="A98" t="s">
        <v>97</v>
      </c>
      <c r="B98" t="s">
        <v>237</v>
      </c>
      <c r="C98" t="s">
        <v>206</v>
      </c>
      <c r="D98" t="s">
        <v>4</v>
      </c>
      <c r="E98">
        <v>342.81010882328542</v>
      </c>
      <c r="F98">
        <v>192.52207837706027</v>
      </c>
      <c r="G98">
        <v>-125.47407602014938</v>
      </c>
      <c r="H98">
        <v>-30.56897290578647</v>
      </c>
      <c r="I98">
        <v>-138.1600896222281</v>
      </c>
      <c r="J98">
        <v>46.616601084883158</v>
      </c>
      <c r="K98">
        <v>58.154811934951631</v>
      </c>
      <c r="L98">
        <v>100.60430536819536</v>
      </c>
      <c r="M98">
        <v>167.91340678174541</v>
      </c>
      <c r="N98">
        <v>151.17365128308452</v>
      </c>
      <c r="O98">
        <v>176.08549173360637</v>
      </c>
      <c r="P98">
        <v>123.76787965664244</v>
      </c>
      <c r="Q98">
        <v>100.98909328136324</v>
      </c>
      <c r="R98">
        <v>76.198014312083515</v>
      </c>
      <c r="S98">
        <v>55.65723270710474</v>
      </c>
      <c r="T98">
        <v>61.344451405872654</v>
      </c>
      <c r="U98">
        <v>60.906879451013893</v>
      </c>
      <c r="V98">
        <v>80.708255778664878</v>
      </c>
      <c r="W98">
        <v>95.842187345896619</v>
      </c>
      <c r="X98">
        <v>111.11365667805192</v>
      </c>
      <c r="Y98">
        <v>122.7452431093015</v>
      </c>
      <c r="Z98">
        <v>124.58713972171449</v>
      </c>
      <c r="AA98">
        <v>124.49377959207621</v>
      </c>
      <c r="AB98">
        <v>117.56768123950111</v>
      </c>
      <c r="AC98">
        <v>110.72873904552283</v>
      </c>
      <c r="AD98">
        <v>104.15055161044597</v>
      </c>
      <c r="AE98">
        <v>99.67236440163262</v>
      </c>
      <c r="AF98">
        <v>99.238365757075357</v>
      </c>
      <c r="AG98">
        <v>100.9697174008294</v>
      </c>
      <c r="AH98">
        <v>105.43353173315201</v>
      </c>
      <c r="AI98">
        <v>110.30921103485311</v>
      </c>
      <c r="AJ98">
        <v>114.85381778492639</v>
      </c>
      <c r="AK98">
        <v>118.16775486550944</v>
      </c>
      <c r="AL98">
        <v>119.59172101390084</v>
      </c>
      <c r="AM98">
        <v>119.61606482787401</v>
      </c>
      <c r="AN98">
        <v>118.37648251665145</v>
      </c>
      <c r="AO98">
        <v>116.76361111150294</v>
      </c>
      <c r="AP98">
        <v>115.29793028579586</v>
      </c>
      <c r="AQ98">
        <v>114.43625959406266</v>
      </c>
      <c r="AR98">
        <v>114.44739391078407</v>
      </c>
      <c r="AS98">
        <v>115.20123505167524</v>
      </c>
      <c r="AT98">
        <v>116.54466885818697</v>
      </c>
      <c r="AU98">
        <v>118.09752685501134</v>
      </c>
      <c r="AV98">
        <v>119.56157810524591</v>
      </c>
      <c r="AW98">
        <v>120.69652983132235</v>
      </c>
      <c r="AX98">
        <v>121.37287060786404</v>
      </c>
      <c r="AY98">
        <v>121.62495346395048</v>
      </c>
      <c r="AZ98">
        <v>121.55018744576158</v>
      </c>
      <c r="BA98">
        <v>121.32925050284622</v>
      </c>
    </row>
    <row r="99" spans="1:53" x14ac:dyDescent="0.2">
      <c r="A99" t="s">
        <v>98</v>
      </c>
      <c r="B99" t="s">
        <v>238</v>
      </c>
      <c r="C99" t="s">
        <v>206</v>
      </c>
      <c r="D99" t="s">
        <v>4</v>
      </c>
      <c r="E99">
        <v>586.26590705793319</v>
      </c>
      <c r="F99">
        <v>298.81755338324609</v>
      </c>
      <c r="G99">
        <v>232.04653407416396</v>
      </c>
      <c r="H99">
        <v>268.65092898400889</v>
      </c>
      <c r="I99">
        <v>306.88485937751733</v>
      </c>
      <c r="J99">
        <v>388.18117314422551</v>
      </c>
      <c r="K99">
        <v>358.3682310044714</v>
      </c>
      <c r="L99">
        <v>407.75292483004409</v>
      </c>
      <c r="M99">
        <v>416.56043915464159</v>
      </c>
      <c r="N99">
        <v>422.91719406122218</v>
      </c>
      <c r="O99">
        <v>420.56106161340614</v>
      </c>
      <c r="P99">
        <v>392.15482207294349</v>
      </c>
      <c r="Q99">
        <v>384.84510117885515</v>
      </c>
      <c r="R99">
        <v>366.52269186518879</v>
      </c>
      <c r="S99">
        <v>363.34564259048312</v>
      </c>
      <c r="T99">
        <v>363.22214989430427</v>
      </c>
      <c r="U99">
        <v>366.54140849397919</v>
      </c>
      <c r="V99">
        <v>377.54387548581104</v>
      </c>
      <c r="W99">
        <v>384.46721754730714</v>
      </c>
      <c r="X99">
        <v>392.99586018842086</v>
      </c>
      <c r="Y99">
        <v>396.08349106073433</v>
      </c>
      <c r="Z99">
        <v>396.38916097643425</v>
      </c>
      <c r="AA99">
        <v>394.45147364934655</v>
      </c>
      <c r="AB99">
        <v>389.96829746884458</v>
      </c>
      <c r="AC99">
        <v>386.24237629090771</v>
      </c>
      <c r="AD99">
        <v>382.52663765678079</v>
      </c>
      <c r="AE99">
        <v>380.83777930266854</v>
      </c>
      <c r="AF99">
        <v>380.73648870494242</v>
      </c>
      <c r="AG99">
        <v>381.9595248117609</v>
      </c>
      <c r="AH99">
        <v>384.25725823548203</v>
      </c>
      <c r="AI99">
        <v>386.49644410055373</v>
      </c>
      <c r="AJ99">
        <v>388.52049212650104</v>
      </c>
      <c r="AK99">
        <v>389.65360034969996</v>
      </c>
      <c r="AL99">
        <v>389.91575164784513</v>
      </c>
      <c r="AM99">
        <v>389.43060109206846</v>
      </c>
      <c r="AN99">
        <v>388.41818515439229</v>
      </c>
      <c r="AO99">
        <v>387.34195320524344</v>
      </c>
      <c r="AP99">
        <v>386.41965169725916</v>
      </c>
      <c r="AQ99">
        <v>385.922328248182</v>
      </c>
      <c r="AR99">
        <v>385.88280766270742</v>
      </c>
      <c r="AS99">
        <v>386.23644924179121</v>
      </c>
      <c r="AT99">
        <v>386.84818865714232</v>
      </c>
      <c r="AU99">
        <v>387.50909394193326</v>
      </c>
      <c r="AV99">
        <v>388.07803119119262</v>
      </c>
      <c r="AW99">
        <v>388.43394655022598</v>
      </c>
      <c r="AX99">
        <v>388.55001717985863</v>
      </c>
      <c r="AY99">
        <v>388.45828922884954</v>
      </c>
      <c r="AZ99">
        <v>388.23145023015752</v>
      </c>
      <c r="BA99">
        <v>387.96874163723243</v>
      </c>
    </row>
    <row r="100" spans="1:53" x14ac:dyDescent="0.2">
      <c r="A100" t="s">
        <v>99</v>
      </c>
      <c r="B100" t="s">
        <v>239</v>
      </c>
      <c r="C100" t="s">
        <v>206</v>
      </c>
      <c r="D100" t="s">
        <v>4</v>
      </c>
      <c r="E100">
        <v>2450.6497904064122</v>
      </c>
      <c r="F100">
        <v>1736.1289052763327</v>
      </c>
      <c r="G100">
        <v>1680.0905570831292</v>
      </c>
      <c r="H100">
        <v>1778.1734841803377</v>
      </c>
      <c r="I100">
        <v>1883.2941428869919</v>
      </c>
      <c r="J100">
        <v>2461.7721599880529</v>
      </c>
      <c r="K100">
        <v>2395.2827858755145</v>
      </c>
      <c r="L100">
        <v>2674.1766132743055</v>
      </c>
      <c r="M100">
        <v>2685.5055007505648</v>
      </c>
      <c r="N100">
        <v>2700.4817934587454</v>
      </c>
      <c r="O100">
        <v>2690.2479761762861</v>
      </c>
      <c r="P100">
        <v>2513.0813728549192</v>
      </c>
      <c r="Q100">
        <v>2454.157142526914</v>
      </c>
      <c r="R100">
        <v>2339.2328120922193</v>
      </c>
      <c r="S100">
        <v>2326.3001720365287</v>
      </c>
      <c r="T100">
        <v>2344.9701003669406</v>
      </c>
      <c r="U100">
        <v>2384.4014971873994</v>
      </c>
      <c r="V100">
        <v>2465.8336036362839</v>
      </c>
      <c r="W100">
        <v>2515.4299590060832</v>
      </c>
      <c r="X100">
        <v>2565.684957858577</v>
      </c>
      <c r="Y100">
        <v>2576.9285471850199</v>
      </c>
      <c r="Z100">
        <v>2566.7503717600339</v>
      </c>
      <c r="AA100">
        <v>2543.5090995081287</v>
      </c>
      <c r="AB100">
        <v>2508.176939271154</v>
      </c>
      <c r="AC100">
        <v>2481.8947752145505</v>
      </c>
      <c r="AD100">
        <v>2459.7616548540573</v>
      </c>
      <c r="AE100">
        <v>2451.9851042988876</v>
      </c>
      <c r="AF100">
        <v>2454.6318294852449</v>
      </c>
      <c r="AG100">
        <v>2464.6108308276689</v>
      </c>
      <c r="AH100">
        <v>2479.7546838813532</v>
      </c>
      <c r="AI100">
        <v>2492.9717243826967</v>
      </c>
      <c r="AJ100">
        <v>2503.4069114957924</v>
      </c>
      <c r="AK100">
        <v>2507.4700768042512</v>
      </c>
      <c r="AL100">
        <v>2505.7002266022419</v>
      </c>
      <c r="AM100">
        <v>2499.4013584404729</v>
      </c>
      <c r="AN100">
        <v>2490.3277951303862</v>
      </c>
      <c r="AO100">
        <v>2481.6022420798249</v>
      </c>
      <c r="AP100">
        <v>2474.6890982335331</v>
      </c>
      <c r="AQ100">
        <v>2471.1179127660885</v>
      </c>
      <c r="AR100">
        <v>2470.8331068703087</v>
      </c>
      <c r="AS100">
        <v>2473.0674767395453</v>
      </c>
      <c r="AT100">
        <v>2476.6673060293865</v>
      </c>
      <c r="AU100">
        <v>2480.1452055205355</v>
      </c>
      <c r="AV100">
        <v>2482.5838755588666</v>
      </c>
      <c r="AW100">
        <v>2483.3499197625451</v>
      </c>
      <c r="AX100">
        <v>2482.4686098051939</v>
      </c>
      <c r="AY100">
        <v>2480.3508430998891</v>
      </c>
      <c r="AZ100">
        <v>2477.6061997534757</v>
      </c>
      <c r="BA100">
        <v>2474.9247826699198</v>
      </c>
    </row>
    <row r="101" spans="1:53" x14ac:dyDescent="0.2">
      <c r="A101" t="s">
        <v>100</v>
      </c>
      <c r="B101" t="s">
        <v>240</v>
      </c>
      <c r="C101" t="s">
        <v>206</v>
      </c>
      <c r="D101" t="s">
        <v>4</v>
      </c>
      <c r="E101">
        <v>1156.5474849207762</v>
      </c>
      <c r="F101">
        <v>991.9669229970176</v>
      </c>
      <c r="G101">
        <v>946.48848806794308</v>
      </c>
      <c r="H101">
        <v>1011.5769036585964</v>
      </c>
      <c r="I101">
        <v>1086.8411887883294</v>
      </c>
      <c r="J101">
        <v>1345.2819880136162</v>
      </c>
      <c r="K101">
        <v>1356.4920863674424</v>
      </c>
      <c r="L101">
        <v>1443.6004871936157</v>
      </c>
      <c r="M101">
        <v>1450.8533756301968</v>
      </c>
      <c r="N101">
        <v>1443.0244953952467</v>
      </c>
      <c r="O101">
        <v>1431.1053961574987</v>
      </c>
      <c r="P101">
        <v>1353.7927192256918</v>
      </c>
      <c r="Q101">
        <v>1317.5308188029508</v>
      </c>
      <c r="R101">
        <v>1273.0349495099404</v>
      </c>
      <c r="S101">
        <v>1266.4096444664021</v>
      </c>
      <c r="T101">
        <v>1278.6385511063124</v>
      </c>
      <c r="U101">
        <v>1297.3546854844415</v>
      </c>
      <c r="V101">
        <v>1330.4988239587678</v>
      </c>
      <c r="W101">
        <v>1350.5466964905979</v>
      </c>
      <c r="X101">
        <v>1366.4671855845743</v>
      </c>
      <c r="Y101">
        <v>1366.7138238953287</v>
      </c>
      <c r="Z101">
        <v>1356.7175467586874</v>
      </c>
      <c r="AA101">
        <v>1342.2375894372574</v>
      </c>
      <c r="AB101">
        <v>1324.2585605115312</v>
      </c>
      <c r="AC101">
        <v>1310.8575459581434</v>
      </c>
      <c r="AD101">
        <v>1300.8180072560026</v>
      </c>
      <c r="AE101">
        <v>1296.9840688529816</v>
      </c>
      <c r="AF101">
        <v>1297.9300275441137</v>
      </c>
      <c r="AG101">
        <v>1301.7023917077336</v>
      </c>
      <c r="AH101">
        <v>1307.1563331425912</v>
      </c>
      <c r="AI101">
        <v>1311.4512209588268</v>
      </c>
      <c r="AJ101">
        <v>1314.0467727251073</v>
      </c>
      <c r="AK101">
        <v>1313.8293160548997</v>
      </c>
      <c r="AL101">
        <v>1311.0704614451495</v>
      </c>
      <c r="AM101">
        <v>1306.5660748561759</v>
      </c>
      <c r="AN101">
        <v>1301.1879809148757</v>
      </c>
      <c r="AO101">
        <v>1296.2579915113338</v>
      </c>
      <c r="AP101">
        <v>1292.4275107210806</v>
      </c>
      <c r="AQ101">
        <v>1290.2011152680118</v>
      </c>
      <c r="AR101">
        <v>1289.4726871154212</v>
      </c>
      <c r="AS101">
        <v>1289.7915395538926</v>
      </c>
      <c r="AT101">
        <v>1290.5904126135572</v>
      </c>
      <c r="AU101">
        <v>1291.2212891133065</v>
      </c>
      <c r="AV101">
        <v>1291.298880927349</v>
      </c>
      <c r="AW101">
        <v>1290.6170166876195</v>
      </c>
      <c r="AX101">
        <v>1289.2409243383649</v>
      </c>
      <c r="AY101">
        <v>1287.4036059816699</v>
      </c>
      <c r="AZ101">
        <v>1285.3991997416208</v>
      </c>
      <c r="BA101">
        <v>1283.5277702620294</v>
      </c>
    </row>
    <row r="102" spans="1:53" x14ac:dyDescent="0.2">
      <c r="A102" t="s">
        <v>101</v>
      </c>
      <c r="B102" t="s">
        <v>241</v>
      </c>
      <c r="C102" t="s">
        <v>206</v>
      </c>
      <c r="D102" t="s">
        <v>4</v>
      </c>
      <c r="E102">
        <v>42.576082880529185</v>
      </c>
      <c r="F102">
        <v>24.154034870926502</v>
      </c>
      <c r="G102">
        <v>41.175231620181179</v>
      </c>
      <c r="H102">
        <v>78.520723963992069</v>
      </c>
      <c r="I102">
        <v>81.229040449015116</v>
      </c>
      <c r="J102">
        <v>96.473306505495529</v>
      </c>
      <c r="K102">
        <v>101.27889768190929</v>
      </c>
      <c r="L102">
        <v>112.60962221623147</v>
      </c>
      <c r="M102">
        <v>114.5082921366314</v>
      </c>
      <c r="N102">
        <v>109.66787019496029</v>
      </c>
      <c r="O102">
        <v>107.60408316986634</v>
      </c>
      <c r="P102">
        <v>101.08927518708811</v>
      </c>
      <c r="Q102">
        <v>98.091594525787102</v>
      </c>
      <c r="R102">
        <v>94.564863677695442</v>
      </c>
      <c r="S102">
        <v>94.014287201251392</v>
      </c>
      <c r="T102">
        <v>96.57847727822957</v>
      </c>
      <c r="U102">
        <v>100.06793524047734</v>
      </c>
      <c r="V102">
        <v>105.10351057778978</v>
      </c>
      <c r="W102">
        <v>108.76528261316641</v>
      </c>
      <c r="X102">
        <v>111.47385985546535</v>
      </c>
      <c r="Y102">
        <v>112.46911320475881</v>
      </c>
      <c r="Z102">
        <v>111.9967582909448</v>
      </c>
      <c r="AA102">
        <v>110.93451490162229</v>
      </c>
      <c r="AB102">
        <v>109.50044132627494</v>
      </c>
      <c r="AC102">
        <v>108.62426101226781</v>
      </c>
      <c r="AD102">
        <v>108.32738162870545</v>
      </c>
      <c r="AE102">
        <v>108.76049215363857</v>
      </c>
      <c r="AF102">
        <v>109.77092406548267</v>
      </c>
      <c r="AG102">
        <v>111.03970263422671</v>
      </c>
      <c r="AH102">
        <v>112.40992295754317</v>
      </c>
      <c r="AI102">
        <v>113.57851892354671</v>
      </c>
      <c r="AJ102">
        <v>114.46965896751469</v>
      </c>
      <c r="AK102">
        <v>115.00901349643128</v>
      </c>
      <c r="AL102">
        <v>115.23012733466405</v>
      </c>
      <c r="AM102">
        <v>115.24506184059487</v>
      </c>
      <c r="AN102">
        <v>115.15700160486844</v>
      </c>
      <c r="AO102">
        <v>115.11116210716246</v>
      </c>
      <c r="AP102">
        <v>115.18788073330896</v>
      </c>
      <c r="AQ102">
        <v>115.43724480943409</v>
      </c>
      <c r="AR102">
        <v>115.84935681975881</v>
      </c>
      <c r="AS102">
        <v>116.36688092173745</v>
      </c>
      <c r="AT102">
        <v>116.91990558628581</v>
      </c>
      <c r="AU102">
        <v>117.43092754004299</v>
      </c>
      <c r="AV102">
        <v>117.85184479658956</v>
      </c>
      <c r="AW102">
        <v>118.1614250494754</v>
      </c>
      <c r="AX102">
        <v>118.37011542764711</v>
      </c>
      <c r="AY102">
        <v>118.51068890830607</v>
      </c>
      <c r="AZ102">
        <v>118.62225138389907</v>
      </c>
      <c r="BA102">
        <v>118.74243339041591</v>
      </c>
    </row>
    <row r="103" spans="1:53" x14ac:dyDescent="0.2">
      <c r="A103" t="s">
        <v>102</v>
      </c>
      <c r="B103" t="s">
        <v>242</v>
      </c>
      <c r="C103" t="s">
        <v>206</v>
      </c>
      <c r="D103" t="s">
        <v>4</v>
      </c>
      <c r="E103">
        <v>18312.017191151201</v>
      </c>
      <c r="F103">
        <v>13663.302375711235</v>
      </c>
      <c r="G103">
        <v>13554.304129225175</v>
      </c>
      <c r="H103">
        <v>12845.152196813751</v>
      </c>
      <c r="I103">
        <v>13605.048526327311</v>
      </c>
      <c r="J103">
        <v>17884.279989750841</v>
      </c>
      <c r="K103">
        <v>17289.62334992459</v>
      </c>
      <c r="L103">
        <v>19418.625071001276</v>
      </c>
      <c r="M103">
        <v>19301.749753866407</v>
      </c>
      <c r="N103">
        <v>19605.339488013808</v>
      </c>
      <c r="O103">
        <v>19532.702272394763</v>
      </c>
      <c r="P103">
        <v>18264.195040104729</v>
      </c>
      <c r="Q103">
        <v>17853.736261861781</v>
      </c>
      <c r="R103">
        <v>16965.841375069089</v>
      </c>
      <c r="S103">
        <v>16914.918310347693</v>
      </c>
      <c r="T103">
        <v>17033.151407741247</v>
      </c>
      <c r="U103">
        <v>17355.64353549376</v>
      </c>
      <c r="V103">
        <v>17985.143837767373</v>
      </c>
      <c r="W103">
        <v>18394.661324324636</v>
      </c>
      <c r="X103">
        <v>18836.929848606051</v>
      </c>
      <c r="Y103">
        <v>18978.333688524304</v>
      </c>
      <c r="Z103">
        <v>18975.218225669905</v>
      </c>
      <c r="AA103">
        <v>18859.67502160482</v>
      </c>
      <c r="AB103">
        <v>18650.816167122946</v>
      </c>
      <c r="AC103">
        <v>18501.448306170871</v>
      </c>
      <c r="AD103">
        <v>18373.181626221678</v>
      </c>
      <c r="AE103">
        <v>18351.905655462197</v>
      </c>
      <c r="AF103">
        <v>18403.920844740234</v>
      </c>
      <c r="AG103">
        <v>18514.129965983466</v>
      </c>
      <c r="AH103">
        <v>18664.091436331819</v>
      </c>
      <c r="AI103">
        <v>18801.840176812864</v>
      </c>
      <c r="AJ103">
        <v>18921.046827377369</v>
      </c>
      <c r="AK103">
        <v>18992.198168128503</v>
      </c>
      <c r="AL103">
        <v>19019.734809085654</v>
      </c>
      <c r="AM103">
        <v>19010.978570034422</v>
      </c>
      <c r="AN103">
        <v>18979.063270654857</v>
      </c>
      <c r="AO103">
        <v>18946.873970530392</v>
      </c>
      <c r="AP103">
        <v>18925.407735031829</v>
      </c>
      <c r="AQ103">
        <v>18927.024687497116</v>
      </c>
      <c r="AR103">
        <v>18951.659344200267</v>
      </c>
      <c r="AS103">
        <v>18994.574271349506</v>
      </c>
      <c r="AT103">
        <v>19047.47221477624</v>
      </c>
      <c r="AU103">
        <v>19099.484234688174</v>
      </c>
      <c r="AV103">
        <v>19143.706938739066</v>
      </c>
      <c r="AW103">
        <v>19175.031505444316</v>
      </c>
      <c r="AX103">
        <v>19193.362824084754</v>
      </c>
      <c r="AY103">
        <v>19201.374326109864</v>
      </c>
      <c r="AZ103">
        <v>19203.457378784096</v>
      </c>
      <c r="BA103">
        <v>19204.716755048241</v>
      </c>
    </row>
    <row r="104" spans="1:53" x14ac:dyDescent="0.2">
      <c r="A104" t="s">
        <v>103</v>
      </c>
      <c r="B104" t="s">
        <v>243</v>
      </c>
      <c r="C104" t="s">
        <v>244</v>
      </c>
      <c r="D104" t="s">
        <v>4</v>
      </c>
      <c r="E104">
        <v>601.17762059341328</v>
      </c>
      <c r="F104">
        <v>380.48399485472515</v>
      </c>
      <c r="G104">
        <v>224.35490785011234</v>
      </c>
      <c r="H104">
        <v>-64.293637633419763</v>
      </c>
      <c r="I104">
        <v>-97.392960232181949</v>
      </c>
      <c r="J104">
        <v>280.93857716576815</v>
      </c>
      <c r="K104">
        <v>225.22518833578235</v>
      </c>
      <c r="L104">
        <v>366.19149528868383</v>
      </c>
      <c r="M104">
        <v>347.29884680340638</v>
      </c>
      <c r="N104">
        <v>373.69909825161233</v>
      </c>
      <c r="O104">
        <v>385.44090076670636</v>
      </c>
      <c r="P104">
        <v>292.76500938849989</v>
      </c>
      <c r="Q104">
        <v>272.41494833770116</v>
      </c>
      <c r="R104">
        <v>211.76086615523371</v>
      </c>
      <c r="S104">
        <v>212.09065266570923</v>
      </c>
      <c r="T104">
        <v>220.71144130963154</v>
      </c>
      <c r="U104">
        <v>237.14767677515297</v>
      </c>
      <c r="V104">
        <v>277.31204119003002</v>
      </c>
      <c r="W104">
        <v>300.41494408789021</v>
      </c>
      <c r="X104">
        <v>330.05192421213849</v>
      </c>
      <c r="Y104">
        <v>340.05952801774487</v>
      </c>
      <c r="Z104">
        <v>341.45118756942367</v>
      </c>
      <c r="AA104">
        <v>336.38634039192118</v>
      </c>
      <c r="AB104">
        <v>323.90211044769637</v>
      </c>
      <c r="AC104">
        <v>315.47472825166494</v>
      </c>
      <c r="AD104">
        <v>307.06871780301719</v>
      </c>
      <c r="AE104">
        <v>305.47082247326051</v>
      </c>
      <c r="AF104">
        <v>308.51968508393065</v>
      </c>
      <c r="AG104">
        <v>315.30592210611837</v>
      </c>
      <c r="AH104">
        <v>325.0927072310223</v>
      </c>
      <c r="AI104">
        <v>334.0638606616385</v>
      </c>
      <c r="AJ104">
        <v>342.12436212190545</v>
      </c>
      <c r="AK104">
        <v>347.10856949796454</v>
      </c>
      <c r="AL104">
        <v>349.33427718721754</v>
      </c>
      <c r="AM104">
        <v>349.27148084657711</v>
      </c>
      <c r="AN104">
        <v>347.63962320715228</v>
      </c>
      <c r="AO104">
        <v>345.97688588142665</v>
      </c>
      <c r="AP104">
        <v>344.87789896513243</v>
      </c>
      <c r="AQ104">
        <v>345.17598299265563</v>
      </c>
      <c r="AR104">
        <v>346.86758159750968</v>
      </c>
      <c r="AS104">
        <v>349.68084186414586</v>
      </c>
      <c r="AT104">
        <v>353.15290016872871</v>
      </c>
      <c r="AU104">
        <v>356.60174699186399</v>
      </c>
      <c r="AV104">
        <v>359.6204054339442</v>
      </c>
      <c r="AW104">
        <v>361.86256261220797</v>
      </c>
      <c r="AX104">
        <v>363.30097076465347</v>
      </c>
      <c r="AY104">
        <v>364.078348015622</v>
      </c>
      <c r="AZ104">
        <v>364.44612300232484</v>
      </c>
      <c r="BA104">
        <v>364.7237838541792</v>
      </c>
    </row>
    <row r="105" spans="1:53" x14ac:dyDescent="0.2">
      <c r="A105" t="s">
        <v>104</v>
      </c>
      <c r="B105" t="s">
        <v>245</v>
      </c>
      <c r="C105" t="s">
        <v>244</v>
      </c>
      <c r="D105" t="s">
        <v>4</v>
      </c>
      <c r="E105">
        <v>162.26741728567129</v>
      </c>
      <c r="F105">
        <v>71.423928219464258</v>
      </c>
      <c r="G105">
        <v>22.234086932546351</v>
      </c>
      <c r="H105">
        <v>-7.530500628195675</v>
      </c>
      <c r="I105">
        <v>30.527288796454858</v>
      </c>
      <c r="J105">
        <v>71.355863910554831</v>
      </c>
      <c r="K105">
        <v>66.700114099924122</v>
      </c>
      <c r="L105">
        <v>88.489901028805974</v>
      </c>
      <c r="M105">
        <v>91.766161546459941</v>
      </c>
      <c r="N105">
        <v>103.08608244358139</v>
      </c>
      <c r="O105">
        <v>100.13506811485541</v>
      </c>
      <c r="P105">
        <v>89.663479717634729</v>
      </c>
      <c r="Q105">
        <v>86.154058919167767</v>
      </c>
      <c r="R105">
        <v>79.715979025660161</v>
      </c>
      <c r="S105">
        <v>81.562334582547876</v>
      </c>
      <c r="T105">
        <v>83.151597632230136</v>
      </c>
      <c r="U105">
        <v>88.182809887887387</v>
      </c>
      <c r="V105">
        <v>95.47779086748514</v>
      </c>
      <c r="W105">
        <v>101.65601841630462</v>
      </c>
      <c r="X105">
        <v>108.11587655690582</v>
      </c>
      <c r="Y105">
        <v>111.49242347440689</v>
      </c>
      <c r="Z105">
        <v>113.6110774141784</v>
      </c>
      <c r="AA105">
        <v>114.01809488610975</v>
      </c>
      <c r="AB105">
        <v>113.42077565539232</v>
      </c>
      <c r="AC105">
        <v>112.96299020818198</v>
      </c>
      <c r="AD105">
        <v>112.62225012880708</v>
      </c>
      <c r="AE105">
        <v>113.38368191105</v>
      </c>
      <c r="AF105">
        <v>114.90199707649789</v>
      </c>
      <c r="AG105">
        <v>117.17989361102768</v>
      </c>
      <c r="AH105">
        <v>119.85833188988173</v>
      </c>
      <c r="AI105">
        <v>122.46163937559143</v>
      </c>
      <c r="AJ105">
        <v>124.83026207247498</v>
      </c>
      <c r="AK105">
        <v>126.64394731740272</v>
      </c>
      <c r="AL105">
        <v>127.95874855880879</v>
      </c>
      <c r="AM105">
        <v>128.81927540261049</v>
      </c>
      <c r="AN105">
        <v>129.39829030200912</v>
      </c>
      <c r="AO105">
        <v>129.9126421765661</v>
      </c>
      <c r="AP105">
        <v>130.49259090518541</v>
      </c>
      <c r="AQ105">
        <v>131.27106938396795</v>
      </c>
      <c r="AR105">
        <v>132.25401261644399</v>
      </c>
      <c r="AS105">
        <v>133.41232863943574</v>
      </c>
      <c r="AT105">
        <v>134.66239430243039</v>
      </c>
      <c r="AU105">
        <v>135.90063214590998</v>
      </c>
      <c r="AV105">
        <v>137.04947817573643</v>
      </c>
      <c r="AW105">
        <v>138.04832020871189</v>
      </c>
      <c r="AX105">
        <v>138.88776864471674</v>
      </c>
      <c r="AY105">
        <v>139.5867354038987</v>
      </c>
      <c r="AZ105">
        <v>140.1899474093839</v>
      </c>
      <c r="BA105">
        <v>140.75137094622906</v>
      </c>
    </row>
    <row r="106" spans="1:53" x14ac:dyDescent="0.2">
      <c r="A106" t="s">
        <v>105</v>
      </c>
      <c r="B106" t="s">
        <v>246</v>
      </c>
      <c r="C106" t="s">
        <v>244</v>
      </c>
      <c r="D106" t="s">
        <v>4</v>
      </c>
      <c r="E106">
        <v>2155.3021575583994</v>
      </c>
      <c r="F106">
        <v>1161.1964588460626</v>
      </c>
      <c r="G106">
        <v>822.30333503270879</v>
      </c>
      <c r="H106">
        <v>880.99508029078072</v>
      </c>
      <c r="I106">
        <v>829.33898687864769</v>
      </c>
      <c r="J106">
        <v>1490.5544123400668</v>
      </c>
      <c r="K106">
        <v>1335.0437047394207</v>
      </c>
      <c r="L106">
        <v>1629.1616674098832</v>
      </c>
      <c r="M106">
        <v>1646.9840324850293</v>
      </c>
      <c r="N106">
        <v>1652.5564473489073</v>
      </c>
      <c r="O106">
        <v>1669.9382707091734</v>
      </c>
      <c r="P106">
        <v>1473.8674416741528</v>
      </c>
      <c r="Q106">
        <v>1436.2916773595211</v>
      </c>
      <c r="R106">
        <v>1323.8419854597405</v>
      </c>
      <c r="S106">
        <v>1316.2356144468774</v>
      </c>
      <c r="T106">
        <v>1340.8451393380776</v>
      </c>
      <c r="U106">
        <v>1374.4796254207656</v>
      </c>
      <c r="V106">
        <v>1461.4820989203522</v>
      </c>
      <c r="W106">
        <v>1510.9518435791308</v>
      </c>
      <c r="X106">
        <v>1568.6621277493198</v>
      </c>
      <c r="Y106">
        <v>1588.5675622804633</v>
      </c>
      <c r="Z106">
        <v>1587.3366889804238</v>
      </c>
      <c r="AA106">
        <v>1575.2834239844694</v>
      </c>
      <c r="AB106">
        <v>1547.5483717194193</v>
      </c>
      <c r="AC106">
        <v>1529.0689032294845</v>
      </c>
      <c r="AD106">
        <v>1512.2603480779687</v>
      </c>
      <c r="AE106">
        <v>1509.2410050998312</v>
      </c>
      <c r="AF106">
        <v>1516.6263285174928</v>
      </c>
      <c r="AG106">
        <v>1530.9197350186703</v>
      </c>
      <c r="AH106">
        <v>1551.1862097696014</v>
      </c>
      <c r="AI106">
        <v>1569.3699262926516</v>
      </c>
      <c r="AJ106">
        <v>1585.2028345150909</v>
      </c>
      <c r="AK106">
        <v>1594.6982239914398</v>
      </c>
      <c r="AL106">
        <v>1598.2971120891241</v>
      </c>
      <c r="AM106">
        <v>1597.384170673731</v>
      </c>
      <c r="AN106">
        <v>1593.3621979836294</v>
      </c>
      <c r="AO106">
        <v>1589.4756640531923</v>
      </c>
      <c r="AP106">
        <v>1586.9739316342918</v>
      </c>
      <c r="AQ106">
        <v>1587.4485945107178</v>
      </c>
      <c r="AR106">
        <v>1590.9065420689435</v>
      </c>
      <c r="AS106">
        <v>1596.646619525897</v>
      </c>
      <c r="AT106">
        <v>1603.6882868376088</v>
      </c>
      <c r="AU106">
        <v>1610.5818232703355</v>
      </c>
      <c r="AV106">
        <v>1616.4801793117151</v>
      </c>
      <c r="AW106">
        <v>1620.7178548979098</v>
      </c>
      <c r="AX106">
        <v>1623.2659589071225</v>
      </c>
      <c r="AY106">
        <v>1624.4803042636195</v>
      </c>
      <c r="AZ106">
        <v>1624.905149308154</v>
      </c>
      <c r="BA106">
        <v>1625.2156058937394</v>
      </c>
    </row>
    <row r="107" spans="1:53" x14ac:dyDescent="0.2">
      <c r="A107" t="s">
        <v>106</v>
      </c>
      <c r="B107" t="s">
        <v>247</v>
      </c>
      <c r="C107" t="s">
        <v>244</v>
      </c>
      <c r="D107" t="s">
        <v>4</v>
      </c>
      <c r="E107">
        <v>234.59469655763817</v>
      </c>
      <c r="F107">
        <v>87.872947927024001</v>
      </c>
      <c r="G107">
        <v>-26.078775316368858</v>
      </c>
      <c r="H107">
        <v>-18.182132616428881</v>
      </c>
      <c r="I107">
        <v>-59.16962430298905</v>
      </c>
      <c r="J107">
        <v>22.605033815489417</v>
      </c>
      <c r="K107">
        <v>26.624303095749269</v>
      </c>
      <c r="L107">
        <v>80.471443683709154</v>
      </c>
      <c r="M107">
        <v>118.50220603103557</v>
      </c>
      <c r="N107">
        <v>131.73198159291601</v>
      </c>
      <c r="O107">
        <v>142.92051582631063</v>
      </c>
      <c r="P107">
        <v>115.37019247317636</v>
      </c>
      <c r="Q107">
        <v>99.053756896286842</v>
      </c>
      <c r="R107">
        <v>73.063880769081365</v>
      </c>
      <c r="S107">
        <v>54.025326173598849</v>
      </c>
      <c r="T107">
        <v>43.323002294922162</v>
      </c>
      <c r="U107">
        <v>35.710788167690403</v>
      </c>
      <c r="V107">
        <v>40.806999243708788</v>
      </c>
      <c r="W107">
        <v>47.195973179155587</v>
      </c>
      <c r="X107">
        <v>57.762928051039154</v>
      </c>
      <c r="Y107">
        <v>66.281596469305356</v>
      </c>
      <c r="Z107">
        <v>70.643775056980971</v>
      </c>
      <c r="AA107">
        <v>71.436889886554397</v>
      </c>
      <c r="AB107">
        <v>66.724546686280021</v>
      </c>
      <c r="AC107">
        <v>59.999390582641809</v>
      </c>
      <c r="AD107">
        <v>51.826159902991392</v>
      </c>
      <c r="AE107">
        <v>44.770063848948269</v>
      </c>
      <c r="AF107">
        <v>40.062021275126533</v>
      </c>
      <c r="AG107">
        <v>37.739624416981691</v>
      </c>
      <c r="AH107">
        <v>37.960652134441006</v>
      </c>
      <c r="AI107">
        <v>39.403133148746264</v>
      </c>
      <c r="AJ107">
        <v>41.383209274602997</v>
      </c>
      <c r="AK107">
        <v>42.873396979597707</v>
      </c>
      <c r="AL107">
        <v>43.319742196400107</v>
      </c>
      <c r="AM107">
        <v>42.630548399038773</v>
      </c>
      <c r="AN107">
        <v>40.844583752018778</v>
      </c>
      <c r="AO107">
        <v>38.446895147086501</v>
      </c>
      <c r="AP107">
        <v>35.825590802132382</v>
      </c>
      <c r="AQ107">
        <v>33.437987553740477</v>
      </c>
      <c r="AR107">
        <v>31.580388295605346</v>
      </c>
      <c r="AS107">
        <v>30.3583783988569</v>
      </c>
      <c r="AT107">
        <v>29.754203281357235</v>
      </c>
      <c r="AU107">
        <v>29.568200799315974</v>
      </c>
      <c r="AV107">
        <v>29.576234722019468</v>
      </c>
      <c r="AW107">
        <v>29.534334394856081</v>
      </c>
      <c r="AX107">
        <v>29.268338373950588</v>
      </c>
      <c r="AY107">
        <v>28.703638251110192</v>
      </c>
      <c r="AZ107">
        <v>27.852705372183006</v>
      </c>
      <c r="BA107">
        <v>26.814722829409121</v>
      </c>
    </row>
    <row r="108" spans="1:53" x14ac:dyDescent="0.2">
      <c r="A108" t="s">
        <v>107</v>
      </c>
      <c r="B108" t="s">
        <v>248</v>
      </c>
      <c r="C108" t="s">
        <v>244</v>
      </c>
      <c r="D108" t="s">
        <v>4</v>
      </c>
      <c r="E108">
        <v>469.49538774251693</v>
      </c>
      <c r="F108">
        <v>230.17534693451594</v>
      </c>
      <c r="G108">
        <v>261.5565124345556</v>
      </c>
      <c r="H108">
        <v>218.08475239074275</v>
      </c>
      <c r="I108">
        <v>302.67989858526539</v>
      </c>
      <c r="J108">
        <v>390.47636439130628</v>
      </c>
      <c r="K108">
        <v>379.97488605656599</v>
      </c>
      <c r="L108">
        <v>448.46261246200856</v>
      </c>
      <c r="M108">
        <v>438.80531027844978</v>
      </c>
      <c r="N108">
        <v>458.43686024219289</v>
      </c>
      <c r="O108">
        <v>444.32555807976593</v>
      </c>
      <c r="P108">
        <v>415.25178837300916</v>
      </c>
      <c r="Q108">
        <v>404.31689328065346</v>
      </c>
      <c r="R108">
        <v>381.12030799919495</v>
      </c>
      <c r="S108">
        <v>384.09317035899107</v>
      </c>
      <c r="T108">
        <v>386.14832465339265</v>
      </c>
      <c r="U108">
        <v>398.94373104742158</v>
      </c>
      <c r="V108">
        <v>416.64100359038684</v>
      </c>
      <c r="W108">
        <v>429.72564626836271</v>
      </c>
      <c r="X108">
        <v>443.27175409076477</v>
      </c>
      <c r="Y108">
        <v>447.46354723593907</v>
      </c>
      <c r="Z108">
        <v>448.74977225095625</v>
      </c>
      <c r="AA108">
        <v>445.66787147532688</v>
      </c>
      <c r="AB108">
        <v>440.76157450221132</v>
      </c>
      <c r="AC108">
        <v>437.17340266404562</v>
      </c>
      <c r="AD108">
        <v>434.34318090424028</v>
      </c>
      <c r="AE108">
        <v>434.8127044179314</v>
      </c>
      <c r="AF108">
        <v>437.10808288217521</v>
      </c>
      <c r="AG108">
        <v>441.26551669541948</v>
      </c>
      <c r="AH108">
        <v>446.25698647126512</v>
      </c>
      <c r="AI108">
        <v>450.87479433052567</v>
      </c>
      <c r="AJ108">
        <v>454.84806706845995</v>
      </c>
      <c r="AK108">
        <v>457.3489445609556</v>
      </c>
      <c r="AL108">
        <v>458.65306416892025</v>
      </c>
      <c r="AM108">
        <v>458.87993977188694</v>
      </c>
      <c r="AN108">
        <v>458.52066139840866</v>
      </c>
      <c r="AO108">
        <v>458.15638557924837</v>
      </c>
      <c r="AP108">
        <v>458.10763880188773</v>
      </c>
      <c r="AQ108">
        <v>458.71446667801047</v>
      </c>
      <c r="AR108">
        <v>459.93679659689673</v>
      </c>
      <c r="AS108">
        <v>461.66020244212802</v>
      </c>
      <c r="AT108">
        <v>463.62319244685534</v>
      </c>
      <c r="AU108">
        <v>465.53354593105877</v>
      </c>
      <c r="AV108">
        <v>467.19432550485925</v>
      </c>
      <c r="AW108">
        <v>468.46442059853831</v>
      </c>
      <c r="AX108">
        <v>469.35269315572992</v>
      </c>
      <c r="AY108">
        <v>469.93422042766565</v>
      </c>
      <c r="AZ108">
        <v>470.3434182389671</v>
      </c>
      <c r="BA108">
        <v>470.72425170410662</v>
      </c>
    </row>
    <row r="109" spans="1:53" x14ac:dyDescent="0.2">
      <c r="A109" t="s">
        <v>108</v>
      </c>
      <c r="B109" t="s">
        <v>249</v>
      </c>
      <c r="C109" t="s">
        <v>244</v>
      </c>
      <c r="D109" t="s">
        <v>4</v>
      </c>
      <c r="E109">
        <v>984.22569062918888</v>
      </c>
      <c r="F109">
        <v>568.75069558926407</v>
      </c>
      <c r="G109">
        <v>454.53730578437478</v>
      </c>
      <c r="H109">
        <v>482.6983466579415</v>
      </c>
      <c r="I109">
        <v>566.49009078511961</v>
      </c>
      <c r="J109">
        <v>783.91099310206732</v>
      </c>
      <c r="K109">
        <v>722.23683648758231</v>
      </c>
      <c r="L109">
        <v>834.65047048070505</v>
      </c>
      <c r="M109">
        <v>820.03800412687997</v>
      </c>
      <c r="N109">
        <v>813.08794714328883</v>
      </c>
      <c r="O109">
        <v>788.40288071651185</v>
      </c>
      <c r="P109">
        <v>708.78208757054767</v>
      </c>
      <c r="Q109">
        <v>691.18662046664144</v>
      </c>
      <c r="R109">
        <v>654.3716840831878</v>
      </c>
      <c r="S109">
        <v>667.70306171992331</v>
      </c>
      <c r="T109">
        <v>692.90326303350298</v>
      </c>
      <c r="U109">
        <v>728.81626935436236</v>
      </c>
      <c r="V109">
        <v>779.84716871424746</v>
      </c>
      <c r="W109">
        <v>814.52161413828105</v>
      </c>
      <c r="X109">
        <v>847.26258809886633</v>
      </c>
      <c r="Y109">
        <v>860.68094955129754</v>
      </c>
      <c r="Z109">
        <v>864.78161811364714</v>
      </c>
      <c r="AA109">
        <v>862.92152161929459</v>
      </c>
      <c r="AB109">
        <v>856.94434435104949</v>
      </c>
      <c r="AC109">
        <v>856.09245240661528</v>
      </c>
      <c r="AD109">
        <v>858.1951539583938</v>
      </c>
      <c r="AE109">
        <v>867.52229549209721</v>
      </c>
      <c r="AF109">
        <v>881.41062252737674</v>
      </c>
      <c r="AG109">
        <v>898.11516908330452</v>
      </c>
      <c r="AH109">
        <v>916.03241925345833</v>
      </c>
      <c r="AI109">
        <v>931.93468181344053</v>
      </c>
      <c r="AJ109">
        <v>945.51608846396766</v>
      </c>
      <c r="AK109">
        <v>955.42634877803368</v>
      </c>
      <c r="AL109">
        <v>962.33149045882874</v>
      </c>
      <c r="AM109">
        <v>967.08031221646218</v>
      </c>
      <c r="AN109">
        <v>970.70953066096388</v>
      </c>
      <c r="AO109">
        <v>974.65259407650819</v>
      </c>
      <c r="AP109">
        <v>979.50560537924559</v>
      </c>
      <c r="AQ109">
        <v>985.82016638321647</v>
      </c>
      <c r="AR109">
        <v>993.39558474708065</v>
      </c>
      <c r="AS109">
        <v>1001.7644194594569</v>
      </c>
      <c r="AT109">
        <v>1010.3149287586232</v>
      </c>
      <c r="AU109">
        <v>1018.3642973235869</v>
      </c>
      <c r="AV109">
        <v>1025.5341426166035</v>
      </c>
      <c r="AW109">
        <v>1031.6109415413118</v>
      </c>
      <c r="AX109">
        <v>1036.6971361155036</v>
      </c>
      <c r="AY109">
        <v>1041.0560694227597</v>
      </c>
      <c r="AZ109">
        <v>1045.0234517182057</v>
      </c>
      <c r="BA109">
        <v>1048.9364644352354</v>
      </c>
    </row>
    <row r="110" spans="1:53" x14ac:dyDescent="0.2">
      <c r="A110" t="s">
        <v>109</v>
      </c>
      <c r="B110" t="s">
        <v>250</v>
      </c>
      <c r="C110" t="s">
        <v>244</v>
      </c>
      <c r="D110" t="s">
        <v>4</v>
      </c>
      <c r="E110">
        <v>401.63593849145821</v>
      </c>
      <c r="F110">
        <v>215.39879385691199</v>
      </c>
      <c r="G110">
        <v>124.93819205301796</v>
      </c>
      <c r="H110">
        <v>113.1967032187586</v>
      </c>
      <c r="I110">
        <v>123.86103595376544</v>
      </c>
      <c r="J110">
        <v>208.34076757586257</v>
      </c>
      <c r="K110">
        <v>182.41533963731044</v>
      </c>
      <c r="L110">
        <v>220.12767282104161</v>
      </c>
      <c r="M110">
        <v>214.84346620819284</v>
      </c>
      <c r="N110">
        <v>211.24519918901507</v>
      </c>
      <c r="O110">
        <v>204.72727467725997</v>
      </c>
      <c r="P110">
        <v>174.28359198122246</v>
      </c>
      <c r="Q110">
        <v>168.6243235509572</v>
      </c>
      <c r="R110">
        <v>157.07563990843991</v>
      </c>
      <c r="S110">
        <v>164.93618512242259</v>
      </c>
      <c r="T110">
        <v>178.64495983071146</v>
      </c>
      <c r="U110">
        <v>195.62323119695873</v>
      </c>
      <c r="V110">
        <v>218.74927750544822</v>
      </c>
      <c r="W110">
        <v>235.29775080124892</v>
      </c>
      <c r="X110">
        <v>250.86278686778286</v>
      </c>
      <c r="Y110">
        <v>259.03496733581017</v>
      </c>
      <c r="Z110">
        <v>263.29934261604291</v>
      </c>
      <c r="AA110">
        <v>265.40627853393448</v>
      </c>
      <c r="AB110">
        <v>265.79883992268105</v>
      </c>
      <c r="AC110">
        <v>268.15555733553492</v>
      </c>
      <c r="AD110">
        <v>271.61300393637896</v>
      </c>
      <c r="AE110">
        <v>277.7522362304062</v>
      </c>
      <c r="AF110">
        <v>285.65204324018117</v>
      </c>
      <c r="AG110">
        <v>294.54596341213067</v>
      </c>
      <c r="AH110">
        <v>303.86465002919653</v>
      </c>
      <c r="AI110">
        <v>312.31381898670793</v>
      </c>
      <c r="AJ110">
        <v>319.76143663756187</v>
      </c>
      <c r="AK110">
        <v>325.69547475998604</v>
      </c>
      <c r="AL110">
        <v>330.35474102917351</v>
      </c>
      <c r="AM110">
        <v>334.1019813673235</v>
      </c>
      <c r="AN110">
        <v>337.34189698371091</v>
      </c>
      <c r="AO110">
        <v>340.65102113100949</v>
      </c>
      <c r="AP110">
        <v>344.26843578849548</v>
      </c>
      <c r="AQ110">
        <v>348.40431943749235</v>
      </c>
      <c r="AR110">
        <v>352.98156230738834</v>
      </c>
      <c r="AS110">
        <v>357.80818474795842</v>
      </c>
      <c r="AT110">
        <v>362.64587672354526</v>
      </c>
      <c r="AU110">
        <v>367.22730889280285</v>
      </c>
      <c r="AV110">
        <v>371.40754662433102</v>
      </c>
      <c r="AW110">
        <v>375.10852817708826</v>
      </c>
      <c r="AX110">
        <v>378.37320178652874</v>
      </c>
      <c r="AY110">
        <v>381.30890545796348</v>
      </c>
      <c r="AZ110">
        <v>384.04848756779199</v>
      </c>
      <c r="BA110">
        <v>386.72562984290715</v>
      </c>
    </row>
    <row r="111" spans="1:53" x14ac:dyDescent="0.2">
      <c r="A111" t="s">
        <v>110</v>
      </c>
      <c r="B111" t="s">
        <v>251</v>
      </c>
      <c r="C111" t="s">
        <v>244</v>
      </c>
      <c r="D111" t="s">
        <v>4</v>
      </c>
      <c r="E111">
        <v>264.97900875461062</v>
      </c>
      <c r="F111">
        <v>56.320413133641473</v>
      </c>
      <c r="G111">
        <v>48.140006495154722</v>
      </c>
      <c r="H111">
        <v>90.096709593547899</v>
      </c>
      <c r="I111">
        <v>91.046663471123395</v>
      </c>
      <c r="J111">
        <v>159.61481858586387</v>
      </c>
      <c r="K111">
        <v>121.52939868968132</v>
      </c>
      <c r="L111">
        <v>157.64429174873527</v>
      </c>
      <c r="M111">
        <v>145.43798230363959</v>
      </c>
      <c r="N111">
        <v>136.68237927791651</v>
      </c>
      <c r="O111">
        <v>131.52446526750737</v>
      </c>
      <c r="P111">
        <v>106.39402000199782</v>
      </c>
      <c r="Q111">
        <v>107.64593750109871</v>
      </c>
      <c r="R111">
        <v>98.571789388551679</v>
      </c>
      <c r="S111">
        <v>105.12802278626376</v>
      </c>
      <c r="T111">
        <v>113.58639187903425</v>
      </c>
      <c r="U111">
        <v>122.32368663266023</v>
      </c>
      <c r="V111">
        <v>135.74651971668396</v>
      </c>
      <c r="W111">
        <v>141.98170235224808</v>
      </c>
      <c r="X111">
        <v>148.56136387725351</v>
      </c>
      <c r="Y111">
        <v>149.54070991761483</v>
      </c>
      <c r="Z111">
        <v>148.66111190308385</v>
      </c>
      <c r="AA111">
        <v>147.21815830767491</v>
      </c>
      <c r="AB111">
        <v>144.89482958395178</v>
      </c>
      <c r="AC111">
        <v>144.82732449331974</v>
      </c>
      <c r="AD111">
        <v>145.46334464561724</v>
      </c>
      <c r="AE111">
        <v>148.10765838032631</v>
      </c>
      <c r="AF111">
        <v>151.70806553215397</v>
      </c>
      <c r="AG111">
        <v>155.65506595234379</v>
      </c>
      <c r="AH111">
        <v>159.71598360990151</v>
      </c>
      <c r="AI111">
        <v>162.92799129150143</v>
      </c>
      <c r="AJ111">
        <v>165.50172047511811</v>
      </c>
      <c r="AK111">
        <v>167.10965879675578</v>
      </c>
      <c r="AL111">
        <v>168.06165661598493</v>
      </c>
      <c r="AM111">
        <v>168.64881456256794</v>
      </c>
      <c r="AN111">
        <v>169.10544120332492</v>
      </c>
      <c r="AO111">
        <v>169.81465057532591</v>
      </c>
      <c r="AP111">
        <v>170.83097001795818</v>
      </c>
      <c r="AQ111">
        <v>172.25321778429731</v>
      </c>
      <c r="AR111">
        <v>173.96538358612895</v>
      </c>
      <c r="AS111">
        <v>175.81013700448966</v>
      </c>
      <c r="AT111">
        <v>177.63274465870006</v>
      </c>
      <c r="AU111">
        <v>179.26313143925034</v>
      </c>
      <c r="AV111">
        <v>180.64402379969309</v>
      </c>
      <c r="AW111">
        <v>181.75013812397069</v>
      </c>
      <c r="AX111">
        <v>182.63874111889433</v>
      </c>
      <c r="AY111">
        <v>183.39530838927632</v>
      </c>
      <c r="AZ111">
        <v>184.10683402590723</v>
      </c>
      <c r="BA111">
        <v>184.85337010838299</v>
      </c>
    </row>
    <row r="112" spans="1:53" x14ac:dyDescent="0.2">
      <c r="A112" t="s">
        <v>111</v>
      </c>
      <c r="B112" t="s">
        <v>252</v>
      </c>
      <c r="C112" t="s">
        <v>244</v>
      </c>
      <c r="D112" t="s">
        <v>4</v>
      </c>
      <c r="E112">
        <v>161.53747352532713</v>
      </c>
      <c r="F112">
        <v>74.585807239726719</v>
      </c>
      <c r="G112">
        <v>49.568554757973899</v>
      </c>
      <c r="H112">
        <v>44.597853708944662</v>
      </c>
      <c r="I112">
        <v>50.508501810233817</v>
      </c>
      <c r="J112">
        <v>94.713897380107568</v>
      </c>
      <c r="K112">
        <v>84.036851235314629</v>
      </c>
      <c r="L112">
        <v>104.69614402168058</v>
      </c>
      <c r="M112">
        <v>101.1629083276091</v>
      </c>
      <c r="N112">
        <v>100.97943050622122</v>
      </c>
      <c r="O112">
        <v>98.357613408545646</v>
      </c>
      <c r="P112">
        <v>83.869312484274374</v>
      </c>
      <c r="Q112">
        <v>80.947050451369535</v>
      </c>
      <c r="R112">
        <v>73.78443714894118</v>
      </c>
      <c r="S112">
        <v>75.965322551091006</v>
      </c>
      <c r="T112">
        <v>80.034930412745183</v>
      </c>
      <c r="U112">
        <v>85.759634003797103</v>
      </c>
      <c r="V112">
        <v>94.504964659088898</v>
      </c>
      <c r="W112">
        <v>100.28349940169679</v>
      </c>
      <c r="X112">
        <v>106.08902688345223</v>
      </c>
      <c r="Y112">
        <v>108.47525315426191</v>
      </c>
      <c r="Z112">
        <v>109.25454014215737</v>
      </c>
      <c r="AA112">
        <v>108.98011350244468</v>
      </c>
      <c r="AB112">
        <v>107.83951575771732</v>
      </c>
      <c r="AC112">
        <v>107.5688228936076</v>
      </c>
      <c r="AD112">
        <v>107.69135237011169</v>
      </c>
      <c r="AE112">
        <v>109.06534756852682</v>
      </c>
      <c r="AF112">
        <v>111.23654495847155</v>
      </c>
      <c r="AG112">
        <v>113.925255526828</v>
      </c>
      <c r="AH112">
        <v>116.88721950560577</v>
      </c>
      <c r="AI112">
        <v>119.52630201348818</v>
      </c>
      <c r="AJ112">
        <v>121.80420741908965</v>
      </c>
      <c r="AK112">
        <v>123.45314704183251</v>
      </c>
      <c r="AL112">
        <v>124.58116548765234</v>
      </c>
      <c r="AM112">
        <v>125.32585802274563</v>
      </c>
      <c r="AN112">
        <v>125.85641263167658</v>
      </c>
      <c r="AO112">
        <v>126.42924597030502</v>
      </c>
      <c r="AP112">
        <v>127.1460873021562</v>
      </c>
      <c r="AQ112">
        <v>128.1135080390751</v>
      </c>
      <c r="AR112">
        <v>129.30245378204566</v>
      </c>
      <c r="AS112">
        <v>130.63784746679207</v>
      </c>
      <c r="AT112">
        <v>132.01869617853728</v>
      </c>
      <c r="AU112">
        <v>133.32560223049751</v>
      </c>
      <c r="AV112">
        <v>134.49220798835375</v>
      </c>
      <c r="AW112">
        <v>135.47655331007468</v>
      </c>
      <c r="AX112">
        <v>136.29223454501403</v>
      </c>
      <c r="AY112">
        <v>136.98119735216511</v>
      </c>
      <c r="AZ112">
        <v>137.5991707965992</v>
      </c>
      <c r="BA112">
        <v>138.20469584183959</v>
      </c>
    </row>
    <row r="113" spans="1:53" x14ac:dyDescent="0.2">
      <c r="A113" t="s">
        <v>112</v>
      </c>
      <c r="B113" t="s">
        <v>253</v>
      </c>
      <c r="C113" t="s">
        <v>244</v>
      </c>
      <c r="D113" t="s">
        <v>4</v>
      </c>
      <c r="E113">
        <v>3848.6315558461852</v>
      </c>
      <c r="F113">
        <v>2586.4969922209093</v>
      </c>
      <c r="G113">
        <v>2671.5464129162065</v>
      </c>
      <c r="H113">
        <v>2690.8444889297048</v>
      </c>
      <c r="I113">
        <v>2861.3939918091073</v>
      </c>
      <c r="J113">
        <v>3876.3119923212648</v>
      </c>
      <c r="K113">
        <v>3637.0155193200503</v>
      </c>
      <c r="L113">
        <v>4194.4778803294585</v>
      </c>
      <c r="M113">
        <v>4120.3301793857399</v>
      </c>
      <c r="N113">
        <v>4181.3798733995691</v>
      </c>
      <c r="O113">
        <v>4156.8929874527075</v>
      </c>
      <c r="P113">
        <v>3854.9156363928332</v>
      </c>
      <c r="Q113">
        <v>3789.2658967314278</v>
      </c>
      <c r="R113">
        <v>3578.7031597221207</v>
      </c>
      <c r="S113">
        <v>3575.961314938349</v>
      </c>
      <c r="T113">
        <v>3595.1302468575695</v>
      </c>
      <c r="U113">
        <v>3658.7203433397131</v>
      </c>
      <c r="V113">
        <v>3794.47859043469</v>
      </c>
      <c r="W113">
        <v>3870.5279731968049</v>
      </c>
      <c r="X113">
        <v>3961.5664208169983</v>
      </c>
      <c r="Y113">
        <v>3980.2621824295093</v>
      </c>
      <c r="Z113">
        <v>3970.7541276207153</v>
      </c>
      <c r="AA113">
        <v>3937.2346607303275</v>
      </c>
      <c r="AB113">
        <v>3882.8039393173631</v>
      </c>
      <c r="AC113">
        <v>3844.8521702683115</v>
      </c>
      <c r="AD113">
        <v>3810.5880723322834</v>
      </c>
      <c r="AE113">
        <v>3801.854370535511</v>
      </c>
      <c r="AF113">
        <v>3808.6260495628694</v>
      </c>
      <c r="AG113">
        <v>3827.8600656573408</v>
      </c>
      <c r="AH113">
        <v>3855.6359833816064</v>
      </c>
      <c r="AI113">
        <v>3879.7419176336721</v>
      </c>
      <c r="AJ113">
        <v>3899.9794827281762</v>
      </c>
      <c r="AK113">
        <v>3909.3932094221632</v>
      </c>
      <c r="AL113">
        <v>3909.7067950020178</v>
      </c>
      <c r="AM113">
        <v>3902.5474738184948</v>
      </c>
      <c r="AN113">
        <v>3890.7639455466001</v>
      </c>
      <c r="AO113">
        <v>3879.506270413638</v>
      </c>
      <c r="AP113">
        <v>3870.8352127198482</v>
      </c>
      <c r="AQ113">
        <v>3867.4985133315363</v>
      </c>
      <c r="AR113">
        <v>3869.2579917963708</v>
      </c>
      <c r="AS113">
        <v>3875.0341514621364</v>
      </c>
      <c r="AT113">
        <v>3882.9970914799296</v>
      </c>
      <c r="AU113">
        <v>3890.7294904920714</v>
      </c>
      <c r="AV113">
        <v>3896.8080610681168</v>
      </c>
      <c r="AW113">
        <v>3900.1251213183859</v>
      </c>
      <c r="AX113">
        <v>3900.7361761449133</v>
      </c>
      <c r="AY113">
        <v>3899.2593027761841</v>
      </c>
      <c r="AZ113">
        <v>3896.6717544447488</v>
      </c>
      <c r="BA113">
        <v>3894.0986725128832</v>
      </c>
    </row>
    <row r="114" spans="1:53" x14ac:dyDescent="0.2">
      <c r="A114" t="s">
        <v>113</v>
      </c>
      <c r="B114" t="s">
        <v>254</v>
      </c>
      <c r="C114" t="s">
        <v>244</v>
      </c>
      <c r="D114" t="s">
        <v>4</v>
      </c>
      <c r="E114">
        <v>1186.8627554947864</v>
      </c>
      <c r="F114">
        <v>182.48459424437414</v>
      </c>
      <c r="G114">
        <v>179.58489227815352</v>
      </c>
      <c r="H114">
        <v>668.49606678633677</v>
      </c>
      <c r="I114">
        <v>741.95239426344551</v>
      </c>
      <c r="J114">
        <v>995.65963290129844</v>
      </c>
      <c r="K114">
        <v>852.24746540353397</v>
      </c>
      <c r="L114">
        <v>1012.6437807688859</v>
      </c>
      <c r="M114">
        <v>1001.3024250598648</v>
      </c>
      <c r="N114">
        <v>940.10731695535731</v>
      </c>
      <c r="O114">
        <v>913.35949857617277</v>
      </c>
      <c r="P114">
        <v>804.38036128886392</v>
      </c>
      <c r="Q114">
        <v>802.41507735073287</v>
      </c>
      <c r="R114">
        <v>761.19518132601354</v>
      </c>
      <c r="S114">
        <v>771.29219619476521</v>
      </c>
      <c r="T114">
        <v>798.39746914948796</v>
      </c>
      <c r="U114">
        <v>823.98378198794387</v>
      </c>
      <c r="V114">
        <v>871.82653838440717</v>
      </c>
      <c r="W114">
        <v>890.38215557216245</v>
      </c>
      <c r="X114">
        <v>907.59623661072362</v>
      </c>
      <c r="Y114">
        <v>903.37488920639737</v>
      </c>
      <c r="Z114">
        <v>889.16990137450875</v>
      </c>
      <c r="AA114">
        <v>873.47376132008105</v>
      </c>
      <c r="AB114">
        <v>853.78742216388127</v>
      </c>
      <c r="AC114">
        <v>843.7134219586685</v>
      </c>
      <c r="AD114">
        <v>837.69474339039948</v>
      </c>
      <c r="AE114">
        <v>840.06521064548849</v>
      </c>
      <c r="AF114">
        <v>847.22325671893964</v>
      </c>
      <c r="AG114">
        <v>855.81146209842223</v>
      </c>
      <c r="AH114">
        <v>865.14744349873183</v>
      </c>
      <c r="AI114">
        <v>871.19658119730582</v>
      </c>
      <c r="AJ114">
        <v>874.68430687228522</v>
      </c>
      <c r="AK114">
        <v>874.48652564156396</v>
      </c>
      <c r="AL114">
        <v>871.66637355434409</v>
      </c>
      <c r="AM114">
        <v>867.57772613294424</v>
      </c>
      <c r="AN114">
        <v>863.1113807556801</v>
      </c>
      <c r="AO114">
        <v>859.87208038493588</v>
      </c>
      <c r="AP114">
        <v>858.14540259070225</v>
      </c>
      <c r="AQ114">
        <v>858.3157672104129</v>
      </c>
      <c r="AR114">
        <v>859.96730032093319</v>
      </c>
      <c r="AS114">
        <v>862.40562725402913</v>
      </c>
      <c r="AT114">
        <v>864.97915956175166</v>
      </c>
      <c r="AU114">
        <v>866.94472631161727</v>
      </c>
      <c r="AV114">
        <v>868.0233499899939</v>
      </c>
      <c r="AW114">
        <v>868.10139759361061</v>
      </c>
      <c r="AX114">
        <v>867.39892783214009</v>
      </c>
      <c r="AY114">
        <v>866.28399186602371</v>
      </c>
      <c r="AZ114">
        <v>865.12417001152107</v>
      </c>
      <c r="BA114">
        <v>864.2607686412025</v>
      </c>
    </row>
    <row r="115" spans="1:53" x14ac:dyDescent="0.2">
      <c r="A115" t="s">
        <v>114</v>
      </c>
      <c r="B115" t="s">
        <v>255</v>
      </c>
      <c r="C115" t="s">
        <v>244</v>
      </c>
      <c r="D115" t="s">
        <v>4</v>
      </c>
      <c r="E115">
        <v>1640.7695313309503</v>
      </c>
      <c r="F115">
        <v>899.77035248869686</v>
      </c>
      <c r="G115">
        <v>555.87381325894262</v>
      </c>
      <c r="H115">
        <v>758.69086234437179</v>
      </c>
      <c r="I115">
        <v>976.98998242518337</v>
      </c>
      <c r="J115">
        <v>1269.0730343854777</v>
      </c>
      <c r="K115">
        <v>1232.7120172668203</v>
      </c>
      <c r="L115">
        <v>1379.492465684262</v>
      </c>
      <c r="M115">
        <v>1399.3194444695139</v>
      </c>
      <c r="N115">
        <v>1378.1531768295022</v>
      </c>
      <c r="O115">
        <v>1325.5745692783435</v>
      </c>
      <c r="P115">
        <v>1198.3617973529897</v>
      </c>
      <c r="Q115">
        <v>1141.8874534583711</v>
      </c>
      <c r="R115">
        <v>1076.8989871000845</v>
      </c>
      <c r="S115">
        <v>1072.9679096068912</v>
      </c>
      <c r="T115">
        <v>1096.8539404397281</v>
      </c>
      <c r="U115">
        <v>1138.2210510312339</v>
      </c>
      <c r="V115">
        <v>1201.2006770664736</v>
      </c>
      <c r="W115">
        <v>1244.661354986521</v>
      </c>
      <c r="X115">
        <v>1279.3819882622658</v>
      </c>
      <c r="Y115">
        <v>1287.0488263991642</v>
      </c>
      <c r="Z115">
        <v>1277.6507902425299</v>
      </c>
      <c r="AA115">
        <v>1258.7086888510166</v>
      </c>
      <c r="AB115">
        <v>1233.9141027525936</v>
      </c>
      <c r="AC115">
        <v>1215.9183297927191</v>
      </c>
      <c r="AD115">
        <v>1204.1377991488794</v>
      </c>
      <c r="AE115">
        <v>1203.3952772389403</v>
      </c>
      <c r="AF115">
        <v>1210.9330835351191</v>
      </c>
      <c r="AG115">
        <v>1223.5839869575011</v>
      </c>
      <c r="AH115">
        <v>1238.6664034782709</v>
      </c>
      <c r="AI115">
        <v>1251.5241901345134</v>
      </c>
      <c r="AJ115">
        <v>1260.9603805083063</v>
      </c>
      <c r="AK115">
        <v>1265.1788059971452</v>
      </c>
      <c r="AL115">
        <v>1264.8079215044825</v>
      </c>
      <c r="AM115">
        <v>1261.2265882950335</v>
      </c>
      <c r="AN115">
        <v>1256.1071307665275</v>
      </c>
      <c r="AO115">
        <v>1251.6466987507001</v>
      </c>
      <c r="AP115">
        <v>1248.9978128954947</v>
      </c>
      <c r="AQ115">
        <v>1248.99498714989</v>
      </c>
      <c r="AR115">
        <v>1251.4361515113906</v>
      </c>
      <c r="AS115">
        <v>1255.5694271810412</v>
      </c>
      <c r="AT115">
        <v>1260.3952757454138</v>
      </c>
      <c r="AU115">
        <v>1264.8160668972848</v>
      </c>
      <c r="AV115">
        <v>1268.1507101376803</v>
      </c>
      <c r="AW115">
        <v>1270.0403680407574</v>
      </c>
      <c r="AX115">
        <v>1270.5982990003288</v>
      </c>
      <c r="AY115">
        <v>1270.2280804491018</v>
      </c>
      <c r="AZ115">
        <v>1269.4582378570142</v>
      </c>
      <c r="BA115">
        <v>1268.8205629654965</v>
      </c>
    </row>
    <row r="116" spans="1:53" x14ac:dyDescent="0.2">
      <c r="A116" t="s">
        <v>115</v>
      </c>
      <c r="B116" t="s">
        <v>256</v>
      </c>
      <c r="C116" t="s">
        <v>244</v>
      </c>
      <c r="D116" t="s">
        <v>4</v>
      </c>
      <c r="E116">
        <v>329.09938006941297</v>
      </c>
      <c r="F116">
        <v>57.427990303689896</v>
      </c>
      <c r="G116">
        <v>-122.95052467370178</v>
      </c>
      <c r="H116">
        <v>144.51632333334112</v>
      </c>
      <c r="I116">
        <v>180.53155279242159</v>
      </c>
      <c r="J116">
        <v>245.24589540230951</v>
      </c>
      <c r="K116">
        <v>188.67582835876519</v>
      </c>
      <c r="L116">
        <v>202.67416854554824</v>
      </c>
      <c r="M116">
        <v>222.91590862478671</v>
      </c>
      <c r="N116">
        <v>178.96505115249366</v>
      </c>
      <c r="O116">
        <v>167.19008778328475</v>
      </c>
      <c r="P116">
        <v>125.65834443737694</v>
      </c>
      <c r="Q116">
        <v>119.5971594266823</v>
      </c>
      <c r="R116">
        <v>114.60455802801394</v>
      </c>
      <c r="S116">
        <v>114.7491834115815</v>
      </c>
      <c r="T116">
        <v>129.46290640895626</v>
      </c>
      <c r="U116">
        <v>137.33218893577504</v>
      </c>
      <c r="V116">
        <v>152.3658981888633</v>
      </c>
      <c r="W116">
        <v>157.01811215318423</v>
      </c>
      <c r="X116">
        <v>157.11389744255069</v>
      </c>
      <c r="Y116">
        <v>152.5150648076592</v>
      </c>
      <c r="Z116">
        <v>143.07367816487147</v>
      </c>
      <c r="AA116">
        <v>135.46832915585642</v>
      </c>
      <c r="AB116">
        <v>127.3749783463482</v>
      </c>
      <c r="AC116">
        <v>123.06241231948425</v>
      </c>
      <c r="AD116">
        <v>121.22038584419572</v>
      </c>
      <c r="AE116">
        <v>121.63410308927089</v>
      </c>
      <c r="AF116">
        <v>123.90938056514717</v>
      </c>
      <c r="AG116">
        <v>125.99789342073589</v>
      </c>
      <c r="AH116">
        <v>127.99631244921352</v>
      </c>
      <c r="AI116">
        <v>128.65512136911443</v>
      </c>
      <c r="AJ116">
        <v>128.13793161812561</v>
      </c>
      <c r="AK116">
        <v>126.50579008308445</v>
      </c>
      <c r="AL116">
        <v>123.99182374554655</v>
      </c>
      <c r="AM116">
        <v>121.3219544092462</v>
      </c>
      <c r="AN116">
        <v>118.76795379216256</v>
      </c>
      <c r="AO116">
        <v>116.85417711585173</v>
      </c>
      <c r="AP116">
        <v>115.6665756385304</v>
      </c>
      <c r="AQ116">
        <v>115.17752660090763</v>
      </c>
      <c r="AR116">
        <v>115.21283821601223</v>
      </c>
      <c r="AS116">
        <v>115.42879032139975</v>
      </c>
      <c r="AT116">
        <v>115.58969093286622</v>
      </c>
      <c r="AU116">
        <v>115.45464995890028</v>
      </c>
      <c r="AV116">
        <v>114.95759940217057</v>
      </c>
      <c r="AW116">
        <v>114.12958190445481</v>
      </c>
      <c r="AX116">
        <v>113.08149449291423</v>
      </c>
      <c r="AY116">
        <v>111.97925381538239</v>
      </c>
      <c r="AZ116">
        <v>110.95360376766597</v>
      </c>
      <c r="BA116">
        <v>110.10944078299845</v>
      </c>
    </row>
    <row r="117" spans="1:53" x14ac:dyDescent="0.2">
      <c r="A117" t="s">
        <v>116</v>
      </c>
      <c r="B117" t="s">
        <v>257</v>
      </c>
      <c r="C117" t="s">
        <v>244</v>
      </c>
      <c r="D117" t="s">
        <v>4</v>
      </c>
      <c r="E117">
        <v>2245.3069033476868</v>
      </c>
      <c r="F117">
        <v>820.12641832057329</v>
      </c>
      <c r="G117">
        <v>419.45710444179394</v>
      </c>
      <c r="H117">
        <v>804.802176184156</v>
      </c>
      <c r="I117">
        <v>1291.2537171935942</v>
      </c>
      <c r="J117">
        <v>1734.5336312023492</v>
      </c>
      <c r="K117">
        <v>1648.7372361599876</v>
      </c>
      <c r="L117">
        <v>1840.5404813345745</v>
      </c>
      <c r="M117">
        <v>1872.6008886432176</v>
      </c>
      <c r="N117">
        <v>1847.0213852311565</v>
      </c>
      <c r="O117">
        <v>1790.6063846129107</v>
      </c>
      <c r="P117">
        <v>1631.2013647119643</v>
      </c>
      <c r="Q117">
        <v>1593.986634230735</v>
      </c>
      <c r="R117">
        <v>1539.4319549036504</v>
      </c>
      <c r="S117">
        <v>1565.6261668896757</v>
      </c>
      <c r="T117">
        <v>1617.1827379742292</v>
      </c>
      <c r="U117">
        <v>1680.859010773052</v>
      </c>
      <c r="V117">
        <v>1768.4162078280967</v>
      </c>
      <c r="W117">
        <v>1821.9581726071519</v>
      </c>
      <c r="X117">
        <v>1863.858279871796</v>
      </c>
      <c r="Y117">
        <v>1869.8342772696997</v>
      </c>
      <c r="Z117">
        <v>1856.8177507294884</v>
      </c>
      <c r="AA117">
        <v>1835.6668604866211</v>
      </c>
      <c r="AB117">
        <v>1809.5392401940337</v>
      </c>
      <c r="AC117">
        <v>1795.2260941220304</v>
      </c>
      <c r="AD117">
        <v>1789.2661068805276</v>
      </c>
      <c r="AE117">
        <v>1797.4240870409365</v>
      </c>
      <c r="AF117">
        <v>1814.7076836647313</v>
      </c>
      <c r="AG117">
        <v>1836.4163410425376</v>
      </c>
      <c r="AH117">
        <v>1859.3834609423361</v>
      </c>
      <c r="AI117">
        <v>1877.7279846369884</v>
      </c>
      <c r="AJ117">
        <v>1890.9487614192622</v>
      </c>
      <c r="AK117">
        <v>1897.2935782132868</v>
      </c>
      <c r="AL117">
        <v>1898.2637396994176</v>
      </c>
      <c r="AM117">
        <v>1895.9863014480713</v>
      </c>
      <c r="AN117">
        <v>1892.5794991105611</v>
      </c>
      <c r="AO117">
        <v>1890.7235493953174</v>
      </c>
      <c r="AP117">
        <v>1891.4481994677599</v>
      </c>
      <c r="AQ117">
        <v>1895.4678141407999</v>
      </c>
      <c r="AR117">
        <v>1902.1855985348441</v>
      </c>
      <c r="AS117">
        <v>1910.4635531104307</v>
      </c>
      <c r="AT117">
        <v>1919.0266847341913</v>
      </c>
      <c r="AU117">
        <v>1926.5717065250954</v>
      </c>
      <c r="AV117">
        <v>1932.4402523016279</v>
      </c>
      <c r="AW117">
        <v>1936.3711513891942</v>
      </c>
      <c r="AX117">
        <v>1938.6806633662839</v>
      </c>
      <c r="AY117">
        <v>1939.9797241137264</v>
      </c>
      <c r="AZ117">
        <v>1940.954323352556</v>
      </c>
      <c r="BA117">
        <v>1942.236177930278</v>
      </c>
    </row>
    <row r="118" spans="1:53" x14ac:dyDescent="0.2">
      <c r="A118" t="s">
        <v>117</v>
      </c>
      <c r="B118" t="s">
        <v>258</v>
      </c>
      <c r="C118" t="s">
        <v>244</v>
      </c>
      <c r="D118" t="s">
        <v>4</v>
      </c>
      <c r="E118">
        <v>807.52763935590644</v>
      </c>
      <c r="F118">
        <v>398.77478794328238</v>
      </c>
      <c r="G118">
        <v>805.32343282367344</v>
      </c>
      <c r="H118">
        <v>800.05385623020618</v>
      </c>
      <c r="I118">
        <v>903.60242608069314</v>
      </c>
      <c r="J118">
        <v>1238.0440501931366</v>
      </c>
      <c r="K118">
        <v>1202.458362178917</v>
      </c>
      <c r="L118">
        <v>1402.6768019211745</v>
      </c>
      <c r="M118">
        <v>1354.8534282275646</v>
      </c>
      <c r="N118">
        <v>1390.3601610839426</v>
      </c>
      <c r="O118">
        <v>1390.144193146778</v>
      </c>
      <c r="P118">
        <v>1325.8041174225414</v>
      </c>
      <c r="Q118">
        <v>1332.7499192105438</v>
      </c>
      <c r="R118">
        <v>1286.866322713649</v>
      </c>
      <c r="S118">
        <v>1309.5960712762073</v>
      </c>
      <c r="T118">
        <v>1327.2337829250332</v>
      </c>
      <c r="U118">
        <v>1359.19069143361</v>
      </c>
      <c r="V118">
        <v>1405.6901484785965</v>
      </c>
      <c r="W118">
        <v>1430.7919273102111</v>
      </c>
      <c r="X118">
        <v>1460.1714791766124</v>
      </c>
      <c r="Y118">
        <v>1465.2834630432874</v>
      </c>
      <c r="Z118">
        <v>1464.2989249194611</v>
      </c>
      <c r="AA118">
        <v>1456.064848021133</v>
      </c>
      <c r="AB118">
        <v>1443.6992578896018</v>
      </c>
      <c r="AC118">
        <v>1437.7203938417711</v>
      </c>
      <c r="AD118">
        <v>1433.2306116002921</v>
      </c>
      <c r="AE118">
        <v>1436.7374962040778</v>
      </c>
      <c r="AF118">
        <v>1443.5677376662441</v>
      </c>
      <c r="AG118">
        <v>1453.0979457415992</v>
      </c>
      <c r="AH118">
        <v>1463.7071365244858</v>
      </c>
      <c r="AI118">
        <v>1472.138228872222</v>
      </c>
      <c r="AJ118">
        <v>1478.9028811804903</v>
      </c>
      <c r="AK118">
        <v>1482.2246976983456</v>
      </c>
      <c r="AL118">
        <v>1483.2113219668463</v>
      </c>
      <c r="AM118">
        <v>1482.3749823682283</v>
      </c>
      <c r="AN118">
        <v>1480.6538280278273</v>
      </c>
      <c r="AO118">
        <v>1479.419904375786</v>
      </c>
      <c r="AP118">
        <v>1479.0591021536077</v>
      </c>
      <c r="AQ118">
        <v>1480.2330621399124</v>
      </c>
      <c r="AR118">
        <v>1482.6668793197127</v>
      </c>
      <c r="AS118">
        <v>1485.9928977921311</v>
      </c>
      <c r="AT118">
        <v>1489.6384258718272</v>
      </c>
      <c r="AU118">
        <v>1492.944129894262</v>
      </c>
      <c r="AV118">
        <v>1495.5866352594021</v>
      </c>
      <c r="AW118">
        <v>1497.3321912224842</v>
      </c>
      <c r="AX118">
        <v>1498.3015495087247</v>
      </c>
      <c r="AY118">
        <v>1498.7307686395234</v>
      </c>
      <c r="AZ118">
        <v>1498.9341939795056</v>
      </c>
      <c r="BA118">
        <v>1499.2252809334559</v>
      </c>
    </row>
    <row r="119" spans="1:53" x14ac:dyDescent="0.2">
      <c r="A119" t="s">
        <v>118</v>
      </c>
      <c r="B119" t="s">
        <v>259</v>
      </c>
      <c r="C119" t="s">
        <v>244</v>
      </c>
      <c r="D119" t="s">
        <v>4</v>
      </c>
      <c r="E119">
        <v>703.79710489593106</v>
      </c>
      <c r="F119">
        <v>330.50219610726373</v>
      </c>
      <c r="G119">
        <v>356.91047879944375</v>
      </c>
      <c r="H119">
        <v>300.32010528197111</v>
      </c>
      <c r="I119">
        <v>358.99522645875015</v>
      </c>
      <c r="J119">
        <v>619.74833544168587</v>
      </c>
      <c r="K119">
        <v>563.02136540423157</v>
      </c>
      <c r="L119">
        <v>679.9631404920591</v>
      </c>
      <c r="M119">
        <v>650.22787851606711</v>
      </c>
      <c r="N119">
        <v>663.64843301289136</v>
      </c>
      <c r="O119">
        <v>659.63725341990335</v>
      </c>
      <c r="P119">
        <v>595.02931108037649</v>
      </c>
      <c r="Q119">
        <v>592.12717018623573</v>
      </c>
      <c r="R119">
        <v>558.19689407822716</v>
      </c>
      <c r="S119">
        <v>574.4380395350247</v>
      </c>
      <c r="T119">
        <v>592.51240801586005</v>
      </c>
      <c r="U119">
        <v>617.73322324710443</v>
      </c>
      <c r="V119">
        <v>656.25289358331133</v>
      </c>
      <c r="W119">
        <v>677.79649820337738</v>
      </c>
      <c r="X119">
        <v>701.28567843958876</v>
      </c>
      <c r="Y119">
        <v>706.96686899137353</v>
      </c>
      <c r="Z119">
        <v>706.73987670567567</v>
      </c>
      <c r="AA119">
        <v>702.08934763187324</v>
      </c>
      <c r="AB119">
        <v>694.08277198860844</v>
      </c>
      <c r="AC119">
        <v>691.2567009390782</v>
      </c>
      <c r="AD119">
        <v>689.96923785810623</v>
      </c>
      <c r="AE119">
        <v>694.79003869799874</v>
      </c>
      <c r="AF119">
        <v>702.67293447580505</v>
      </c>
      <c r="AG119">
        <v>712.55730180083151</v>
      </c>
      <c r="AH119">
        <v>723.36316125359554</v>
      </c>
      <c r="AI119">
        <v>732.34909253416242</v>
      </c>
      <c r="AJ119">
        <v>739.79765913545441</v>
      </c>
      <c r="AK119">
        <v>744.42704710391558</v>
      </c>
      <c r="AL119">
        <v>746.99466186437041</v>
      </c>
      <c r="AM119">
        <v>748.08429933178763</v>
      </c>
      <c r="AN119">
        <v>748.44007163930576</v>
      </c>
      <c r="AO119">
        <v>749.20956151683504</v>
      </c>
      <c r="AP119">
        <v>750.72175478279246</v>
      </c>
      <c r="AQ119">
        <v>753.4457752742062</v>
      </c>
      <c r="AR119">
        <v>757.16106801579588</v>
      </c>
      <c r="AS119">
        <v>761.51464928494408</v>
      </c>
      <c r="AT119">
        <v>766.0443156986978</v>
      </c>
      <c r="AU119">
        <v>770.21607771966183</v>
      </c>
      <c r="AV119">
        <v>773.77521168522696</v>
      </c>
      <c r="AW119">
        <v>776.55652592726688</v>
      </c>
      <c r="AX119">
        <v>778.66203106293528</v>
      </c>
      <c r="AY119">
        <v>780.29684378868262</v>
      </c>
      <c r="AZ119">
        <v>781.71535528100105</v>
      </c>
      <c r="BA119">
        <v>783.17199627897253</v>
      </c>
    </row>
    <row r="120" spans="1:53" x14ac:dyDescent="0.2">
      <c r="A120" t="s">
        <v>119</v>
      </c>
      <c r="B120" t="s">
        <v>260</v>
      </c>
      <c r="C120" t="s">
        <v>244</v>
      </c>
      <c r="D120" t="s">
        <v>4</v>
      </c>
      <c r="E120">
        <v>1186.3363887004716</v>
      </c>
      <c r="F120">
        <v>746.85600667518054</v>
      </c>
      <c r="G120">
        <v>857.33218432505544</v>
      </c>
      <c r="H120">
        <v>668.49789472342582</v>
      </c>
      <c r="I120">
        <v>845.56573389832397</v>
      </c>
      <c r="J120">
        <v>1244.5401100834188</v>
      </c>
      <c r="K120">
        <v>1147.9880391001127</v>
      </c>
      <c r="L120">
        <v>1304.2352235666463</v>
      </c>
      <c r="M120">
        <v>1234.8592652874793</v>
      </c>
      <c r="N120">
        <v>1272.6115603724236</v>
      </c>
      <c r="O120">
        <v>1249.1521631623475</v>
      </c>
      <c r="P120">
        <v>1141.3997962323597</v>
      </c>
      <c r="Q120">
        <v>1118.2968390602418</v>
      </c>
      <c r="R120">
        <v>1049.3608598084998</v>
      </c>
      <c r="S120">
        <v>1063.1717497278432</v>
      </c>
      <c r="T120">
        <v>1073.0933091290331</v>
      </c>
      <c r="U120">
        <v>1101.3607762940901</v>
      </c>
      <c r="V120">
        <v>1148.5289989734731</v>
      </c>
      <c r="W120">
        <v>1174.0356690782394</v>
      </c>
      <c r="X120">
        <v>1203.9969217909145</v>
      </c>
      <c r="Y120">
        <v>1205.9561784992104</v>
      </c>
      <c r="Z120">
        <v>1200.4076513282935</v>
      </c>
      <c r="AA120">
        <v>1186.457106100919</v>
      </c>
      <c r="AB120">
        <v>1167.8841637059204</v>
      </c>
      <c r="AC120">
        <v>1156.3819572850591</v>
      </c>
      <c r="AD120">
        <v>1146.9320472784302</v>
      </c>
      <c r="AE120">
        <v>1147.1440769840526</v>
      </c>
      <c r="AF120">
        <v>1152.0345922607842</v>
      </c>
      <c r="AG120">
        <v>1160.8579841011381</v>
      </c>
      <c r="AH120">
        <v>1171.5209469038091</v>
      </c>
      <c r="AI120">
        <v>1180.1088706098876</v>
      </c>
      <c r="AJ120">
        <v>1186.8593245958648</v>
      </c>
      <c r="AK120">
        <v>1189.56691351466</v>
      </c>
      <c r="AL120">
        <v>1189.3513015734677</v>
      </c>
      <c r="AM120">
        <v>1186.8094968897281</v>
      </c>
      <c r="AN120">
        <v>1183.1298656358481</v>
      </c>
      <c r="AO120">
        <v>1180.00444259544</v>
      </c>
      <c r="AP120">
        <v>1178.0131630997791</v>
      </c>
      <c r="AQ120">
        <v>1177.9754147561073</v>
      </c>
      <c r="AR120">
        <v>1179.6039296214988</v>
      </c>
      <c r="AS120">
        <v>1182.4534773126011</v>
      </c>
      <c r="AT120">
        <v>1185.8134851980619</v>
      </c>
      <c r="AU120">
        <v>1188.8704032851247</v>
      </c>
      <c r="AV120">
        <v>1191.192751827786</v>
      </c>
      <c r="AW120">
        <v>1192.474104743937</v>
      </c>
      <c r="AX120">
        <v>1192.829903184045</v>
      </c>
      <c r="AY120">
        <v>1192.5292133850787</v>
      </c>
      <c r="AZ120">
        <v>1191.9476572641026</v>
      </c>
      <c r="BA120">
        <v>1191.4686058777747</v>
      </c>
    </row>
    <row r="121" spans="1:53" x14ac:dyDescent="0.2">
      <c r="A121" t="s">
        <v>120</v>
      </c>
      <c r="B121" t="s">
        <v>261</v>
      </c>
      <c r="C121" t="s">
        <v>244</v>
      </c>
      <c r="D121" t="s">
        <v>4</v>
      </c>
      <c r="E121">
        <v>1631.0540368293828</v>
      </c>
      <c r="F121">
        <v>630.46933398254941</v>
      </c>
      <c r="G121">
        <v>82.329341166781461</v>
      </c>
      <c r="H121">
        <v>840.03404456179601</v>
      </c>
      <c r="I121">
        <v>873.98661156101366</v>
      </c>
      <c r="J121">
        <v>1354.3096915013975</v>
      </c>
      <c r="K121">
        <v>1307.8246976575576</v>
      </c>
      <c r="L121">
        <v>1404.8882770022271</v>
      </c>
      <c r="M121">
        <v>1451.4263268276948</v>
      </c>
      <c r="N121">
        <v>1355.8852522812899</v>
      </c>
      <c r="O121">
        <v>1329.9848755336013</v>
      </c>
      <c r="P121">
        <v>1128.6182552737298</v>
      </c>
      <c r="Q121">
        <v>1065.7045236233935</v>
      </c>
      <c r="R121">
        <v>999.54391293838808</v>
      </c>
      <c r="S121">
        <v>979.97777155940059</v>
      </c>
      <c r="T121">
        <v>1022.2732737485234</v>
      </c>
      <c r="U121">
        <v>1055.5994499060073</v>
      </c>
      <c r="V121">
        <v>1129.8527799059243</v>
      </c>
      <c r="W121">
        <v>1170.1254399313107</v>
      </c>
      <c r="X121">
        <v>1197.5763174108456</v>
      </c>
      <c r="Y121">
        <v>1196.9824005857374</v>
      </c>
      <c r="Z121">
        <v>1170.0184582965385</v>
      </c>
      <c r="AA121">
        <v>1140.1284792382182</v>
      </c>
      <c r="AB121">
        <v>1101.6122788136113</v>
      </c>
      <c r="AC121">
        <v>1075.3368757246237</v>
      </c>
      <c r="AD121">
        <v>1058.1532350879611</v>
      </c>
      <c r="AE121">
        <v>1053.5325422163148</v>
      </c>
      <c r="AF121">
        <v>1060.10600253954</v>
      </c>
      <c r="AG121">
        <v>1070.481457756774</v>
      </c>
      <c r="AH121">
        <v>1083.6509777567733</v>
      </c>
      <c r="AI121">
        <v>1092.9215708051643</v>
      </c>
      <c r="AJ121">
        <v>1097.6858668552845</v>
      </c>
      <c r="AK121">
        <v>1096.5782259474138</v>
      </c>
      <c r="AL121">
        <v>1090.0831981961235</v>
      </c>
      <c r="AM121">
        <v>1080.7635984458816</v>
      </c>
      <c r="AN121">
        <v>1070.1283964366769</v>
      </c>
      <c r="AO121">
        <v>1061.0094242016528</v>
      </c>
      <c r="AP121">
        <v>1054.5104182693838</v>
      </c>
      <c r="AQ121">
        <v>1051.3374166005508</v>
      </c>
      <c r="AR121">
        <v>1051.2036547843727</v>
      </c>
      <c r="AS121">
        <v>1052.9186761295502</v>
      </c>
      <c r="AT121">
        <v>1055.354017897703</v>
      </c>
      <c r="AU121">
        <v>1057.1496984662838</v>
      </c>
      <c r="AV121">
        <v>1057.5895294020636</v>
      </c>
      <c r="AW121">
        <v>1056.3702443735931</v>
      </c>
      <c r="AX121">
        <v>1053.6978415968342</v>
      </c>
      <c r="AY121">
        <v>1050.1651941258278</v>
      </c>
      <c r="AZ121">
        <v>1046.4051882888243</v>
      </c>
      <c r="BA121">
        <v>1043.0518558312615</v>
      </c>
    </row>
    <row r="122" spans="1:53" x14ac:dyDescent="0.2">
      <c r="A122" t="s">
        <v>121</v>
      </c>
      <c r="B122" t="s">
        <v>262</v>
      </c>
      <c r="C122" t="s">
        <v>244</v>
      </c>
      <c r="D122" t="s">
        <v>4</v>
      </c>
      <c r="E122">
        <v>204.63130452823791</v>
      </c>
      <c r="F122">
        <v>141.715158813644</v>
      </c>
      <c r="G122">
        <v>159.39149594473841</v>
      </c>
      <c r="H122">
        <v>61.219927398936385</v>
      </c>
      <c r="I122">
        <v>108.48946876765845</v>
      </c>
      <c r="J122">
        <v>215.31550931389492</v>
      </c>
      <c r="K122">
        <v>190.3603177986418</v>
      </c>
      <c r="L122">
        <v>225.67929274226614</v>
      </c>
      <c r="M122">
        <v>213.58869109228289</v>
      </c>
      <c r="N122">
        <v>233.93493929879614</v>
      </c>
      <c r="O122">
        <v>234.11477514040467</v>
      </c>
      <c r="P122">
        <v>213.33838983671379</v>
      </c>
      <c r="Q122">
        <v>211.89967119082004</v>
      </c>
      <c r="R122">
        <v>198.62919691369768</v>
      </c>
      <c r="S122">
        <v>204.27280450573087</v>
      </c>
      <c r="T122">
        <v>206.61490708306323</v>
      </c>
      <c r="U122">
        <v>213.38316522349095</v>
      </c>
      <c r="V122">
        <v>224.7019333421585</v>
      </c>
      <c r="W122">
        <v>231.80121553002587</v>
      </c>
      <c r="X122">
        <v>240.96449617093646</v>
      </c>
      <c r="Y122">
        <v>244.01203439850875</v>
      </c>
      <c r="Z122">
        <v>245.84761927327</v>
      </c>
      <c r="AA122">
        <v>245.53244255302914</v>
      </c>
      <c r="AB122">
        <v>243.83335432730544</v>
      </c>
      <c r="AC122">
        <v>243.24058809979002</v>
      </c>
      <c r="AD122">
        <v>242.55816785648855</v>
      </c>
      <c r="AE122">
        <v>243.80460067011143</v>
      </c>
      <c r="AF122">
        <v>245.90280968866591</v>
      </c>
      <c r="AG122">
        <v>248.9229526239256</v>
      </c>
      <c r="AH122">
        <v>252.44215836334246</v>
      </c>
      <c r="AI122">
        <v>255.61798740817034</v>
      </c>
      <c r="AJ122">
        <v>258.51907367682423</v>
      </c>
      <c r="AK122">
        <v>260.57046250120237</v>
      </c>
      <c r="AL122">
        <v>261.99309737211053</v>
      </c>
      <c r="AM122">
        <v>262.83759811855572</v>
      </c>
      <c r="AN122">
        <v>263.3305482652512</v>
      </c>
      <c r="AO122">
        <v>263.82239347603416</v>
      </c>
      <c r="AP122">
        <v>264.43190341747737</v>
      </c>
      <c r="AQ122">
        <v>265.36882591094371</v>
      </c>
      <c r="AR122">
        <v>266.59607713479073</v>
      </c>
      <c r="AS122">
        <v>268.05929861561623</v>
      </c>
      <c r="AT122">
        <v>269.63233035463219</v>
      </c>
      <c r="AU122">
        <v>271.15418780541444</v>
      </c>
      <c r="AV122">
        <v>272.53400049830793</v>
      </c>
      <c r="AW122">
        <v>273.69073592592002</v>
      </c>
      <c r="AX122">
        <v>274.63249142322923</v>
      </c>
      <c r="AY122">
        <v>275.39744810339334</v>
      </c>
      <c r="AZ122">
        <v>276.05395769279795</v>
      </c>
      <c r="BA122">
        <v>276.67999194258647</v>
      </c>
    </row>
    <row r="123" spans="1:53" x14ac:dyDescent="0.2">
      <c r="A123" t="s">
        <v>122</v>
      </c>
      <c r="B123" t="s">
        <v>263</v>
      </c>
      <c r="C123" t="s">
        <v>244</v>
      </c>
      <c r="D123" t="s">
        <v>4</v>
      </c>
      <c r="E123">
        <v>937.9135972834481</v>
      </c>
      <c r="F123">
        <v>326.73851894470556</v>
      </c>
      <c r="G123">
        <v>5.0151404229633085</v>
      </c>
      <c r="H123">
        <v>-416.09580591831741</v>
      </c>
      <c r="I123">
        <v>59.394063202559316</v>
      </c>
      <c r="J123">
        <v>495.69991906044299</v>
      </c>
      <c r="K123">
        <v>420.39492512731357</v>
      </c>
      <c r="L123">
        <v>490.10267869649692</v>
      </c>
      <c r="M123">
        <v>418.88028524174371</v>
      </c>
      <c r="N123">
        <v>506.3930748973608</v>
      </c>
      <c r="O123">
        <v>456.38231899702583</v>
      </c>
      <c r="P123">
        <v>352.99029808387729</v>
      </c>
      <c r="Q123">
        <v>312.81828397750496</v>
      </c>
      <c r="R123">
        <v>262.95042398488732</v>
      </c>
      <c r="S123">
        <v>292.77304829233805</v>
      </c>
      <c r="T123">
        <v>304.10196312597697</v>
      </c>
      <c r="U123">
        <v>339.62230914978579</v>
      </c>
      <c r="V123">
        <v>382.63255029994082</v>
      </c>
      <c r="W123">
        <v>412.57472267925436</v>
      </c>
      <c r="X123">
        <v>442.23879138627672</v>
      </c>
      <c r="Y123">
        <v>444.23091558222779</v>
      </c>
      <c r="Z123">
        <v>440.63374768550966</v>
      </c>
      <c r="AA123">
        <v>426.93415328224756</v>
      </c>
      <c r="AB123">
        <v>411.54331980839777</v>
      </c>
      <c r="AC123">
        <v>401.37677180057932</v>
      </c>
      <c r="AD123">
        <v>394.23656229139084</v>
      </c>
      <c r="AE123">
        <v>396.78933659244103</v>
      </c>
      <c r="AF123">
        <v>403.84797296899109</v>
      </c>
      <c r="AG123">
        <v>415.33455314469722</v>
      </c>
      <c r="AH123">
        <v>427.73374836348614</v>
      </c>
      <c r="AI123">
        <v>438.00825746592074</v>
      </c>
      <c r="AJ123">
        <v>445.81150220618184</v>
      </c>
      <c r="AK123">
        <v>449.34361467811669</v>
      </c>
      <c r="AL123">
        <v>449.96409619922974</v>
      </c>
      <c r="AM123">
        <v>448.23413449598638</v>
      </c>
      <c r="AN123">
        <v>445.70882031131691</v>
      </c>
      <c r="AO123">
        <v>443.85138246114076</v>
      </c>
      <c r="AP123">
        <v>443.29708672370811</v>
      </c>
      <c r="AQ123">
        <v>444.69009916041455</v>
      </c>
      <c r="AR123">
        <v>447.63433882551061</v>
      </c>
      <c r="AS123">
        <v>451.68307519824884</v>
      </c>
      <c r="AT123">
        <v>456.06043904112619</v>
      </c>
      <c r="AU123">
        <v>460.03100481959569</v>
      </c>
      <c r="AV123">
        <v>463.17121749745178</v>
      </c>
      <c r="AW123">
        <v>465.22656817208048</v>
      </c>
      <c r="AX123">
        <v>466.34504823259647</v>
      </c>
      <c r="AY123">
        <v>466.80241271094917</v>
      </c>
      <c r="AZ123">
        <v>466.99609489433072</v>
      </c>
      <c r="BA123">
        <v>467.29762376525656</v>
      </c>
    </row>
    <row r="124" spans="1:53" x14ac:dyDescent="0.2">
      <c r="A124" t="s">
        <v>123</v>
      </c>
      <c r="B124" t="s">
        <v>264</v>
      </c>
      <c r="C124" t="s">
        <v>244</v>
      </c>
      <c r="D124" t="s">
        <v>4</v>
      </c>
      <c r="E124">
        <v>3895.3899325669072</v>
      </c>
      <c r="F124">
        <v>2739.8023965039538</v>
      </c>
      <c r="G124">
        <v>3390.9477252385232</v>
      </c>
      <c r="H124">
        <v>2813.4818898847589</v>
      </c>
      <c r="I124">
        <v>3024.1996696207725</v>
      </c>
      <c r="J124">
        <v>4358.9212072449691</v>
      </c>
      <c r="K124">
        <v>4045.0602367208453</v>
      </c>
      <c r="L124">
        <v>4693.0400770143906</v>
      </c>
      <c r="M124">
        <v>4500.8142262818101</v>
      </c>
      <c r="N124">
        <v>4644.1834622286515</v>
      </c>
      <c r="O124">
        <v>4645.9191933081438</v>
      </c>
      <c r="P124">
        <v>4306.5212441150625</v>
      </c>
      <c r="Q124">
        <v>4258.6594856129586</v>
      </c>
      <c r="R124">
        <v>4007.2387769517272</v>
      </c>
      <c r="S124">
        <v>4033.2608481951552</v>
      </c>
      <c r="T124">
        <v>4054.5903067987997</v>
      </c>
      <c r="U124">
        <v>4134.1428401082085</v>
      </c>
      <c r="V124">
        <v>4296.1611869220405</v>
      </c>
      <c r="W124">
        <v>4385.2287115442432</v>
      </c>
      <c r="X124">
        <v>4502.9146745344933</v>
      </c>
      <c r="Y124">
        <v>4529.9320259254291</v>
      </c>
      <c r="Z124">
        <v>4530.8330107877391</v>
      </c>
      <c r="AA124">
        <v>4502.3176328630225</v>
      </c>
      <c r="AB124">
        <v>4450.3982853574871</v>
      </c>
      <c r="AC124">
        <v>4418.8635572456196</v>
      </c>
      <c r="AD124">
        <v>4388.5554692016904</v>
      </c>
      <c r="AE124">
        <v>4388.2758146887218</v>
      </c>
      <c r="AF124">
        <v>4403.2814275151732</v>
      </c>
      <c r="AG124">
        <v>4432.1595039962385</v>
      </c>
      <c r="AH124">
        <v>4470.1711015374867</v>
      </c>
      <c r="AI124">
        <v>4503.3557551226586</v>
      </c>
      <c r="AJ124">
        <v>4532.7421308713192</v>
      </c>
      <c r="AK124">
        <v>4549.6281851650483</v>
      </c>
      <c r="AL124">
        <v>4556.7124281873948</v>
      </c>
      <c r="AM124">
        <v>4555.2526615840852</v>
      </c>
      <c r="AN124">
        <v>4548.4001493413889</v>
      </c>
      <c r="AO124">
        <v>4541.9371832538591</v>
      </c>
      <c r="AP124">
        <v>4537.8912824685794</v>
      </c>
      <c r="AQ124">
        <v>4539.584739638889</v>
      </c>
      <c r="AR124">
        <v>4546.6165308840173</v>
      </c>
      <c r="AS124">
        <v>4557.9377109996403</v>
      </c>
      <c r="AT124">
        <v>4571.5312646279563</v>
      </c>
      <c r="AU124">
        <v>4584.7004506708199</v>
      </c>
      <c r="AV124">
        <v>4595.9268568717725</v>
      </c>
      <c r="AW124">
        <v>4603.92528856022</v>
      </c>
      <c r="AX124">
        <v>4608.7994715212953</v>
      </c>
      <c r="AY124">
        <v>4611.2128149759374</v>
      </c>
      <c r="AZ124">
        <v>4612.2529962230956</v>
      </c>
      <c r="BA124">
        <v>4613.172771644442</v>
      </c>
    </row>
    <row r="125" spans="1:53" x14ac:dyDescent="0.2">
      <c r="A125" t="s">
        <v>124</v>
      </c>
      <c r="B125" t="s">
        <v>265</v>
      </c>
      <c r="C125" t="s">
        <v>244</v>
      </c>
      <c r="D125" t="s">
        <v>4</v>
      </c>
      <c r="E125">
        <v>178.52400211110412</v>
      </c>
      <c r="F125">
        <v>77.559837788005211</v>
      </c>
      <c r="G125">
        <v>82.941390348656924</v>
      </c>
      <c r="H125">
        <v>0.82145824748502283</v>
      </c>
      <c r="I125">
        <v>127.87266985563892</v>
      </c>
      <c r="J125">
        <v>214.89837735654081</v>
      </c>
      <c r="K125">
        <v>183.9684629814108</v>
      </c>
      <c r="L125">
        <v>191.53140323525716</v>
      </c>
      <c r="M125">
        <v>164.77032343860159</v>
      </c>
      <c r="N125">
        <v>189.23421660122781</v>
      </c>
      <c r="O125">
        <v>179.49115970574326</v>
      </c>
      <c r="P125">
        <v>161.7289366631359</v>
      </c>
      <c r="Q125">
        <v>156.41211155942</v>
      </c>
      <c r="R125">
        <v>147.64486467946284</v>
      </c>
      <c r="S125">
        <v>158.85273934808689</v>
      </c>
      <c r="T125">
        <v>163.03521782516208</v>
      </c>
      <c r="U125">
        <v>172.79051190380017</v>
      </c>
      <c r="V125">
        <v>182.1519807271431</v>
      </c>
      <c r="W125">
        <v>188.09471537415934</v>
      </c>
      <c r="X125">
        <v>194.04615725435036</v>
      </c>
      <c r="Y125">
        <v>193.49514564918695</v>
      </c>
      <c r="Z125">
        <v>192.67326668334385</v>
      </c>
      <c r="AA125">
        <v>189.95972314049791</v>
      </c>
      <c r="AB125">
        <v>187.76907791406398</v>
      </c>
      <c r="AC125">
        <v>187.15422104703245</v>
      </c>
      <c r="AD125">
        <v>187.22288409850387</v>
      </c>
      <c r="AE125">
        <v>189.31755108036529</v>
      </c>
      <c r="AF125">
        <v>191.88094430324722</v>
      </c>
      <c r="AG125">
        <v>195.0660330209482</v>
      </c>
      <c r="AH125">
        <v>198.06275353334581</v>
      </c>
      <c r="AI125">
        <v>200.40628680843983</v>
      </c>
      <c r="AJ125">
        <v>202.19190493918768</v>
      </c>
      <c r="AK125">
        <v>203.10032132828832</v>
      </c>
      <c r="AL125">
        <v>203.5462152056096</v>
      </c>
      <c r="AM125">
        <v>203.6129958152066</v>
      </c>
      <c r="AN125">
        <v>203.63695713826738</v>
      </c>
      <c r="AO125">
        <v>203.87360379463829</v>
      </c>
      <c r="AP125">
        <v>204.39931951345969</v>
      </c>
      <c r="AQ125">
        <v>205.31259373776825</v>
      </c>
      <c r="AR125">
        <v>206.47657602836418</v>
      </c>
      <c r="AS125">
        <v>207.78742675761686</v>
      </c>
      <c r="AT125">
        <v>209.07434842649695</v>
      </c>
      <c r="AU125">
        <v>210.20259540481322</v>
      </c>
      <c r="AV125">
        <v>211.11450009088645</v>
      </c>
      <c r="AW125">
        <v>211.78682781646074</v>
      </c>
      <c r="AX125">
        <v>212.28127658932584</v>
      </c>
      <c r="AY125">
        <v>212.66799659318389</v>
      </c>
      <c r="AZ125">
        <v>213.03242686244505</v>
      </c>
      <c r="BA125">
        <v>213.44068319989131</v>
      </c>
    </row>
    <row r="126" spans="1:53" x14ac:dyDescent="0.2">
      <c r="A126" t="s">
        <v>125</v>
      </c>
      <c r="B126" t="s">
        <v>266</v>
      </c>
      <c r="C126" t="s">
        <v>244</v>
      </c>
      <c r="D126" t="s">
        <v>4</v>
      </c>
      <c r="E126">
        <v>372.74560396110434</v>
      </c>
      <c r="F126">
        <v>526.58964623042164</v>
      </c>
      <c r="G126">
        <v>616.02889146859718</v>
      </c>
      <c r="H126">
        <v>536.37933245705483</v>
      </c>
      <c r="I126">
        <v>572.54504766049638</v>
      </c>
      <c r="J126">
        <v>723.31883954556019</v>
      </c>
      <c r="K126">
        <v>736.45921712595191</v>
      </c>
      <c r="L126">
        <v>767.98010032562286</v>
      </c>
      <c r="M126">
        <v>736.09088718000464</v>
      </c>
      <c r="N126">
        <v>744.43585019636396</v>
      </c>
      <c r="O126">
        <v>741.82117820575365</v>
      </c>
      <c r="P126">
        <v>709.57617077029158</v>
      </c>
      <c r="Q126">
        <v>692.49264253880551</v>
      </c>
      <c r="R126">
        <v>667.86253141607131</v>
      </c>
      <c r="S126">
        <v>668.78349001197307</v>
      </c>
      <c r="T126">
        <v>671.29282385152078</v>
      </c>
      <c r="U126">
        <v>677.99000847876619</v>
      </c>
      <c r="V126">
        <v>688.11850523858243</v>
      </c>
      <c r="W126">
        <v>691.62541620125216</v>
      </c>
      <c r="X126">
        <v>694.54465380049226</v>
      </c>
      <c r="Y126">
        <v>689.06255137513415</v>
      </c>
      <c r="Z126">
        <v>680.84970515856173</v>
      </c>
      <c r="AA126">
        <v>670.74891379867483</v>
      </c>
      <c r="AB126">
        <v>660.39168233107921</v>
      </c>
      <c r="AC126">
        <v>652.77265621374022</v>
      </c>
      <c r="AD126">
        <v>646.48851928744136</v>
      </c>
      <c r="AE126">
        <v>643.10543571692085</v>
      </c>
      <c r="AF126">
        <v>641.17844923708856</v>
      </c>
      <c r="AG126">
        <v>640.32229591325461</v>
      </c>
      <c r="AH126">
        <v>639.87479345562326</v>
      </c>
      <c r="AI126">
        <v>638.79503015077773</v>
      </c>
      <c r="AJ126">
        <v>637.11187933131657</v>
      </c>
      <c r="AK126">
        <v>634.31279408428736</v>
      </c>
      <c r="AL126">
        <v>630.72701014988854</v>
      </c>
      <c r="AM126">
        <v>626.5927585187892</v>
      </c>
      <c r="AN126">
        <v>622.31048644860095</v>
      </c>
      <c r="AO126">
        <v>618.39236151586522</v>
      </c>
      <c r="AP126">
        <v>615.03772765513656</v>
      </c>
      <c r="AQ126">
        <v>612.44284359228163</v>
      </c>
      <c r="AR126">
        <v>610.4818346382109</v>
      </c>
      <c r="AS126">
        <v>608.95989785424626</v>
      </c>
      <c r="AT126">
        <v>607.61814651850148</v>
      </c>
      <c r="AU126">
        <v>606.19782063877994</v>
      </c>
      <c r="AV126">
        <v>604.57045476359292</v>
      </c>
      <c r="AW126">
        <v>602.67399764873608</v>
      </c>
      <c r="AX126">
        <v>600.57193742949255</v>
      </c>
      <c r="AY126">
        <v>598.37180405433594</v>
      </c>
      <c r="AZ126">
        <v>596.19943071672833</v>
      </c>
      <c r="BA126">
        <v>594.16711361621196</v>
      </c>
    </row>
    <row r="127" spans="1:53" x14ac:dyDescent="0.2">
      <c r="A127" t="s">
        <v>126</v>
      </c>
      <c r="B127" t="s">
        <v>267</v>
      </c>
      <c r="C127" t="s">
        <v>268</v>
      </c>
      <c r="D127" t="s">
        <v>4</v>
      </c>
      <c r="E127">
        <v>56.012327138673434</v>
      </c>
      <c r="F127">
        <v>4.1106035328176729</v>
      </c>
      <c r="G127">
        <v>19.744435304108709</v>
      </c>
      <c r="H127">
        <v>7.3817162273037207</v>
      </c>
      <c r="I127">
        <v>14.096593159960316</v>
      </c>
      <c r="J127">
        <v>26.987735724515947</v>
      </c>
      <c r="K127">
        <v>20.37005400150009</v>
      </c>
      <c r="L127">
        <v>34.262046361929606</v>
      </c>
      <c r="M127">
        <v>31.249852195988382</v>
      </c>
      <c r="N127">
        <v>36.554513718236635</v>
      </c>
      <c r="O127">
        <v>36.200975660686289</v>
      </c>
      <c r="P127">
        <v>33.165891749443091</v>
      </c>
      <c r="Q127">
        <v>33.993138611688998</v>
      </c>
      <c r="R127">
        <v>30.745999338938212</v>
      </c>
      <c r="S127">
        <v>32.006466923983069</v>
      </c>
      <c r="T127">
        <v>31.877053202264282</v>
      </c>
      <c r="U127">
        <v>33.317345952028965</v>
      </c>
      <c r="V127">
        <v>35.631358738794397</v>
      </c>
      <c r="W127">
        <v>37.136545683322858</v>
      </c>
      <c r="X127">
        <v>39.434600952292485</v>
      </c>
      <c r="Y127">
        <v>40.40373634004871</v>
      </c>
      <c r="Z127">
        <v>41.358859964547158</v>
      </c>
      <c r="AA127">
        <v>41.703043936279663</v>
      </c>
      <c r="AB127">
        <v>41.684385624569835</v>
      </c>
      <c r="AC127">
        <v>41.787435219249623</v>
      </c>
      <c r="AD127">
        <v>41.728428815159965</v>
      </c>
      <c r="AE127">
        <v>42.053197874882791</v>
      </c>
      <c r="AF127">
        <v>42.489449767973618</v>
      </c>
      <c r="AG127">
        <v>43.158796108549296</v>
      </c>
      <c r="AH127">
        <v>43.966897459018867</v>
      </c>
      <c r="AI127">
        <v>44.751410147845306</v>
      </c>
      <c r="AJ127">
        <v>45.530554333846936</v>
      </c>
      <c r="AK127">
        <v>46.145800485749533</v>
      </c>
      <c r="AL127">
        <v>46.643885647268064</v>
      </c>
      <c r="AM127">
        <v>47.002809398548941</v>
      </c>
      <c r="AN127">
        <v>47.264966065546851</v>
      </c>
      <c r="AO127">
        <v>47.496891519958901</v>
      </c>
      <c r="AP127">
        <v>47.7223407295021</v>
      </c>
      <c r="AQ127">
        <v>47.997432288705575</v>
      </c>
      <c r="AR127">
        <v>48.320093519382681</v>
      </c>
      <c r="AS127">
        <v>48.692553178389232</v>
      </c>
      <c r="AT127">
        <v>49.094466009052361</v>
      </c>
      <c r="AU127">
        <v>49.496261954432335</v>
      </c>
      <c r="AV127">
        <v>49.879217395126254</v>
      </c>
      <c r="AW127">
        <v>50.221487800599213</v>
      </c>
      <c r="AX127">
        <v>50.520241667501928</v>
      </c>
      <c r="AY127">
        <v>50.777162517277958</v>
      </c>
      <c r="AZ127">
        <v>51.002907601811806</v>
      </c>
      <c r="BA127">
        <v>51.211985648595011</v>
      </c>
    </row>
    <row r="128" spans="1:53" x14ac:dyDescent="0.2">
      <c r="A128" t="s">
        <v>127</v>
      </c>
      <c r="B128" t="s">
        <v>269</v>
      </c>
      <c r="C128" t="s">
        <v>268</v>
      </c>
      <c r="D128" t="s">
        <v>4</v>
      </c>
      <c r="E128">
        <v>813.56680167837897</v>
      </c>
      <c r="F128">
        <v>573.82879867759277</v>
      </c>
      <c r="G128">
        <v>419.79299346909932</v>
      </c>
      <c r="H128">
        <v>435.75838633115859</v>
      </c>
      <c r="I128">
        <v>356.11048633324373</v>
      </c>
      <c r="J128">
        <v>591.14540534644971</v>
      </c>
      <c r="K128">
        <v>522.20622651684744</v>
      </c>
      <c r="L128">
        <v>598.41134754680047</v>
      </c>
      <c r="M128">
        <v>597.19563183804951</v>
      </c>
      <c r="N128">
        <v>581.33717304908043</v>
      </c>
      <c r="O128">
        <v>594.70674627470203</v>
      </c>
      <c r="P128">
        <v>525.75697882938096</v>
      </c>
      <c r="Q128">
        <v>519.12862289283237</v>
      </c>
      <c r="R128">
        <v>489.95515630834967</v>
      </c>
      <c r="S128">
        <v>495.65430765352204</v>
      </c>
      <c r="T128">
        <v>517.16313173847266</v>
      </c>
      <c r="U128">
        <v>536.12573707207741</v>
      </c>
      <c r="V128">
        <v>573.83845901235486</v>
      </c>
      <c r="W128">
        <v>595.28933554734624</v>
      </c>
      <c r="X128">
        <v>617.93578859103275</v>
      </c>
      <c r="Y128">
        <v>627.5833090884305</v>
      </c>
      <c r="Z128">
        <v>628.9938414904218</v>
      </c>
      <c r="AA128">
        <v>628.40032005669002</v>
      </c>
      <c r="AB128">
        <v>622.9181905104042</v>
      </c>
      <c r="AC128">
        <v>621.88582510494416</v>
      </c>
      <c r="AD128">
        <v>622.02943544537231</v>
      </c>
      <c r="AE128">
        <v>626.8167880652619</v>
      </c>
      <c r="AF128">
        <v>635.08013162496411</v>
      </c>
      <c r="AG128">
        <v>644.89248527058146</v>
      </c>
      <c r="AH128">
        <v>656.18400136628327</v>
      </c>
      <c r="AI128">
        <v>666.04640549153203</v>
      </c>
      <c r="AJ128">
        <v>674.61319038036004</v>
      </c>
      <c r="AK128">
        <v>680.77586033224065</v>
      </c>
      <c r="AL128">
        <v>684.78998038119005</v>
      </c>
      <c r="AM128">
        <v>687.38182726429091</v>
      </c>
      <c r="AN128">
        <v>689.02819405287732</v>
      </c>
      <c r="AO128">
        <v>690.88838563557545</v>
      </c>
      <c r="AP128">
        <v>693.31637893785842</v>
      </c>
      <c r="AQ128">
        <v>696.74760090621157</v>
      </c>
      <c r="AR128">
        <v>701.09977134924463</v>
      </c>
      <c r="AS128">
        <v>706.02360470525878</v>
      </c>
      <c r="AT128">
        <v>711.15643553280381</v>
      </c>
      <c r="AU128">
        <v>715.99231537890478</v>
      </c>
      <c r="AV128">
        <v>720.28374345565283</v>
      </c>
      <c r="AW128">
        <v>723.86722994345689</v>
      </c>
      <c r="AX128">
        <v>726.79237085102579</v>
      </c>
      <c r="AY128">
        <v>729.23689994977121</v>
      </c>
      <c r="AZ128">
        <v>731.40980078803398</v>
      </c>
      <c r="BA128">
        <v>733.54633541267208</v>
      </c>
    </row>
    <row r="129" spans="1:53" x14ac:dyDescent="0.2">
      <c r="A129" t="s">
        <v>128</v>
      </c>
      <c r="B129" t="s">
        <v>270</v>
      </c>
      <c r="C129" t="s">
        <v>268</v>
      </c>
      <c r="D129" t="s">
        <v>4</v>
      </c>
      <c r="E129">
        <v>416.89562182422083</v>
      </c>
      <c r="F129">
        <v>115.28206462593505</v>
      </c>
      <c r="G129">
        <v>105.89229105270135</v>
      </c>
      <c r="H129">
        <v>153.80842644752767</v>
      </c>
      <c r="I129">
        <v>142.79419895665339</v>
      </c>
      <c r="J129">
        <v>282.07663272440465</v>
      </c>
      <c r="K129">
        <v>235.95241160204145</v>
      </c>
      <c r="L129">
        <v>315.04380531591596</v>
      </c>
      <c r="M129">
        <v>322.68623521998262</v>
      </c>
      <c r="N129">
        <v>330.60325568589894</v>
      </c>
      <c r="O129">
        <v>342.79736014172954</v>
      </c>
      <c r="P129">
        <v>307.484314437286</v>
      </c>
      <c r="Q129">
        <v>310.47883675352159</v>
      </c>
      <c r="R129">
        <v>290.08586729310196</v>
      </c>
      <c r="S129">
        <v>291.56982207972743</v>
      </c>
      <c r="T129">
        <v>296.6959086205149</v>
      </c>
      <c r="U129">
        <v>302.90661897480607</v>
      </c>
      <c r="V129">
        <v>321.59268276208201</v>
      </c>
      <c r="W129">
        <v>331.83011491858878</v>
      </c>
      <c r="X129">
        <v>345.88037744831036</v>
      </c>
      <c r="Y129">
        <v>352.30262654786139</v>
      </c>
      <c r="Z129">
        <v>355.19690636490253</v>
      </c>
      <c r="AA129">
        <v>356.00146416089444</v>
      </c>
      <c r="AB129">
        <v>352.97786990472514</v>
      </c>
      <c r="AC129">
        <v>351.67634780085513</v>
      </c>
      <c r="AD129">
        <v>349.91505965108854</v>
      </c>
      <c r="AE129">
        <v>350.6941463839002</v>
      </c>
      <c r="AF129">
        <v>353.21458862389738</v>
      </c>
      <c r="AG129">
        <v>356.96189258371021</v>
      </c>
      <c r="AH129">
        <v>361.98837312702761</v>
      </c>
      <c r="AI129">
        <v>366.62210042895805</v>
      </c>
      <c r="AJ129">
        <v>371.00907011655772</v>
      </c>
      <c r="AK129">
        <v>374.23262827306598</v>
      </c>
      <c r="AL129">
        <v>376.38595946175877</v>
      </c>
      <c r="AM129">
        <v>377.66062267762481</v>
      </c>
      <c r="AN129">
        <v>378.23137668215372</v>
      </c>
      <c r="AO129">
        <v>378.71942225705084</v>
      </c>
      <c r="AP129">
        <v>379.30879424860672</v>
      </c>
      <c r="AQ129">
        <v>380.35017950350942</v>
      </c>
      <c r="AR129">
        <v>381.86915226553481</v>
      </c>
      <c r="AS129">
        <v>383.77829212829511</v>
      </c>
      <c r="AT129">
        <v>385.93607301743384</v>
      </c>
      <c r="AU129">
        <v>388.07861824328114</v>
      </c>
      <c r="AV129">
        <v>390.05859413859747</v>
      </c>
      <c r="AW129">
        <v>391.7318147761564</v>
      </c>
      <c r="AX129">
        <v>393.07668183180647</v>
      </c>
      <c r="AY129">
        <v>394.14023542172231</v>
      </c>
      <c r="AZ129">
        <v>395.00858568509898</v>
      </c>
      <c r="BA129">
        <v>395.80450170588324</v>
      </c>
    </row>
    <row r="130" spans="1:53" x14ac:dyDescent="0.2">
      <c r="A130" t="s">
        <v>129</v>
      </c>
      <c r="B130" t="s">
        <v>271</v>
      </c>
      <c r="C130" t="s">
        <v>268</v>
      </c>
      <c r="D130" t="s">
        <v>4</v>
      </c>
      <c r="E130">
        <v>387.83643128957522</v>
      </c>
      <c r="F130">
        <v>-24.224919123007151</v>
      </c>
      <c r="G130">
        <v>-27.665209186325729</v>
      </c>
      <c r="H130">
        <v>-63.968069762409996</v>
      </c>
      <c r="I130">
        <v>-23.778525847645223</v>
      </c>
      <c r="J130">
        <v>122.32322448537597</v>
      </c>
      <c r="K130">
        <v>70.432308609212811</v>
      </c>
      <c r="L130">
        <v>180.04552343421284</v>
      </c>
      <c r="M130">
        <v>178.98643343598044</v>
      </c>
      <c r="N130">
        <v>202.26830364170982</v>
      </c>
      <c r="O130">
        <v>203.96779372880368</v>
      </c>
      <c r="P130">
        <v>162.68246328014874</v>
      </c>
      <c r="Q130">
        <v>162.93065410929154</v>
      </c>
      <c r="R130">
        <v>133.42892198058149</v>
      </c>
      <c r="S130">
        <v>136.410632030046</v>
      </c>
      <c r="T130">
        <v>138.37172909976854</v>
      </c>
      <c r="U130">
        <v>148.36032410665157</v>
      </c>
      <c r="V130">
        <v>171.38058068722108</v>
      </c>
      <c r="W130">
        <v>186.2402930396994</v>
      </c>
      <c r="X130">
        <v>206.40245002587801</v>
      </c>
      <c r="Y130">
        <v>215.75468940642634</v>
      </c>
      <c r="Z130">
        <v>221.5924436861763</v>
      </c>
      <c r="AA130">
        <v>222.79828782148664</v>
      </c>
      <c r="AB130">
        <v>219.38060564918001</v>
      </c>
      <c r="AC130">
        <v>217.38255750823629</v>
      </c>
      <c r="AD130">
        <v>214.73028320292653</v>
      </c>
      <c r="AE130">
        <v>215.75142601572981</v>
      </c>
      <c r="AF130">
        <v>218.98366710982228</v>
      </c>
      <c r="AG130">
        <v>224.39590807858488</v>
      </c>
      <c r="AH130">
        <v>231.46822792003709</v>
      </c>
      <c r="AI130">
        <v>238.23085441859388</v>
      </c>
      <c r="AJ130">
        <v>244.66616400905397</v>
      </c>
      <c r="AK130">
        <v>249.46667409796214</v>
      </c>
      <c r="AL130">
        <v>252.84467340996838</v>
      </c>
      <c r="AM130">
        <v>254.89776787694169</v>
      </c>
      <c r="AN130">
        <v>255.9819097265374</v>
      </c>
      <c r="AO130">
        <v>256.85899384781669</v>
      </c>
      <c r="AP130">
        <v>257.82501287673256</v>
      </c>
      <c r="AQ130">
        <v>259.38272024967307</v>
      </c>
      <c r="AR130">
        <v>261.56806513456502</v>
      </c>
      <c r="AS130">
        <v>264.32091392427384</v>
      </c>
      <c r="AT130">
        <v>267.43515595740405</v>
      </c>
      <c r="AU130">
        <v>270.57187493499248</v>
      </c>
      <c r="AV130">
        <v>273.51108737815412</v>
      </c>
      <c r="AW130">
        <v>276.03629474030203</v>
      </c>
      <c r="AX130">
        <v>278.10474228995025</v>
      </c>
      <c r="AY130">
        <v>279.75928246459188</v>
      </c>
      <c r="AZ130">
        <v>281.11910450909556</v>
      </c>
      <c r="BA130">
        <v>282.35074828720036</v>
      </c>
    </row>
    <row r="131" spans="1:53" x14ac:dyDescent="0.2">
      <c r="A131" t="s">
        <v>130</v>
      </c>
      <c r="B131" t="s">
        <v>272</v>
      </c>
      <c r="C131" t="s">
        <v>268</v>
      </c>
      <c r="D131" t="s">
        <v>4</v>
      </c>
      <c r="E131">
        <v>1037.2431954821977</v>
      </c>
      <c r="F131">
        <v>261.43765131124184</v>
      </c>
      <c r="G131">
        <v>54.043683929184652</v>
      </c>
      <c r="H131">
        <v>425.49071344113526</v>
      </c>
      <c r="I131">
        <v>431.73925052240435</v>
      </c>
      <c r="J131">
        <v>661.22199452967857</v>
      </c>
      <c r="K131">
        <v>421.25544823698471</v>
      </c>
      <c r="L131">
        <v>569.23067539403598</v>
      </c>
      <c r="M131">
        <v>639.29895177776507</v>
      </c>
      <c r="N131">
        <v>628.14040021660298</v>
      </c>
      <c r="O131">
        <v>624.96161737195064</v>
      </c>
      <c r="P131">
        <v>520.84939205258968</v>
      </c>
      <c r="Q131">
        <v>542.15056008034821</v>
      </c>
      <c r="R131">
        <v>514.46268159506099</v>
      </c>
      <c r="S131">
        <v>510.45260377620718</v>
      </c>
      <c r="T131">
        <v>514.5072539222582</v>
      </c>
      <c r="U131">
        <v>516.97752765526798</v>
      </c>
      <c r="V131">
        <v>553.80572207403691</v>
      </c>
      <c r="W131">
        <v>566.8270880185114</v>
      </c>
      <c r="X131">
        <v>584.76737157996695</v>
      </c>
      <c r="Y131">
        <v>589.1129914471328</v>
      </c>
      <c r="Z131">
        <v>587.8336746412491</v>
      </c>
      <c r="AA131">
        <v>586.48059002052128</v>
      </c>
      <c r="AB131">
        <v>576.62788211496638</v>
      </c>
      <c r="AC131">
        <v>571.36827925244984</v>
      </c>
      <c r="AD131">
        <v>565.60007040231824</v>
      </c>
      <c r="AE131">
        <v>565.0067385105533</v>
      </c>
      <c r="AF131">
        <v>567.927583118303</v>
      </c>
      <c r="AG131">
        <v>572.14741581400926</v>
      </c>
      <c r="AH131">
        <v>578.71584200821451</v>
      </c>
      <c r="AI131">
        <v>584.11290564205217</v>
      </c>
      <c r="AJ131">
        <v>589.08166106442809</v>
      </c>
      <c r="AK131">
        <v>591.94248997170189</v>
      </c>
      <c r="AL131">
        <v>592.89036396300992</v>
      </c>
      <c r="AM131">
        <v>592.62240621921387</v>
      </c>
      <c r="AN131">
        <v>591.31774942840343</v>
      </c>
      <c r="AO131">
        <v>590.22295124823404</v>
      </c>
      <c r="AP131">
        <v>589.49938021236323</v>
      </c>
      <c r="AQ131">
        <v>589.70971958709288</v>
      </c>
      <c r="AR131">
        <v>590.84517061103213</v>
      </c>
      <c r="AS131">
        <v>592.63966991709697</v>
      </c>
      <c r="AT131">
        <v>594.85245973244537</v>
      </c>
      <c r="AU131">
        <v>596.9761540080143</v>
      </c>
      <c r="AV131">
        <v>598.79840825239864</v>
      </c>
      <c r="AW131">
        <v>600.10054623117207</v>
      </c>
      <c r="AX131">
        <v>600.8791677239808</v>
      </c>
      <c r="AY131">
        <v>601.25733909008079</v>
      </c>
      <c r="AZ131">
        <v>601.39014518677607</v>
      </c>
      <c r="BA131">
        <v>601.50121473435627</v>
      </c>
    </row>
    <row r="132" spans="1:53" x14ac:dyDescent="0.2">
      <c r="A132" t="s">
        <v>131</v>
      </c>
      <c r="B132" t="s">
        <v>273</v>
      </c>
      <c r="C132" t="s">
        <v>268</v>
      </c>
      <c r="D132" t="s">
        <v>4</v>
      </c>
      <c r="E132">
        <v>217.38600576904139</v>
      </c>
      <c r="F132">
        <v>31.459452071848958</v>
      </c>
      <c r="G132">
        <v>-14.36067949107019</v>
      </c>
      <c r="H132">
        <v>33.847246939132141</v>
      </c>
      <c r="I132">
        <v>45.197995006546897</v>
      </c>
      <c r="J132">
        <v>91.607371291741259</v>
      </c>
      <c r="K132">
        <v>34.054316403660252</v>
      </c>
      <c r="L132">
        <v>57.818451347095461</v>
      </c>
      <c r="M132">
        <v>67.223025588172234</v>
      </c>
      <c r="N132">
        <v>68.195733949518484</v>
      </c>
      <c r="O132">
        <v>70.050087192049872</v>
      </c>
      <c r="P132">
        <v>54.921748711767357</v>
      </c>
      <c r="Q132">
        <v>65.581738870632876</v>
      </c>
      <c r="R132">
        <v>64.624378382453699</v>
      </c>
      <c r="S132">
        <v>68.697538991904793</v>
      </c>
      <c r="T132">
        <v>72.510397065267668</v>
      </c>
      <c r="U132">
        <v>74.990483953200552</v>
      </c>
      <c r="V132">
        <v>82.422062820753098</v>
      </c>
      <c r="W132">
        <v>84.662163576060323</v>
      </c>
      <c r="X132">
        <v>88.858069584550762</v>
      </c>
      <c r="Y132">
        <v>90.984560992543678</v>
      </c>
      <c r="Z132">
        <v>92.812392570314685</v>
      </c>
      <c r="AA132">
        <v>94.956352634218391</v>
      </c>
      <c r="AB132">
        <v>95.87301282080432</v>
      </c>
      <c r="AC132">
        <v>97.844235290104535</v>
      </c>
      <c r="AD132">
        <v>99.404498368400681</v>
      </c>
      <c r="AE132">
        <v>101.59555612638249</v>
      </c>
      <c r="AF132">
        <v>103.99434685007911</v>
      </c>
      <c r="AG132">
        <v>106.34112084241262</v>
      </c>
      <c r="AH132">
        <v>108.89417542880292</v>
      </c>
      <c r="AI132">
        <v>111.06828178386236</v>
      </c>
      <c r="AJ132">
        <v>113.1567923055144</v>
      </c>
      <c r="AK132">
        <v>114.91017630680666</v>
      </c>
      <c r="AL132">
        <v>116.44191032383715</v>
      </c>
      <c r="AM132">
        <v>117.85708530330209</v>
      </c>
      <c r="AN132">
        <v>119.14601081569351</v>
      </c>
      <c r="AO132">
        <v>120.48213506498678</v>
      </c>
      <c r="AP132">
        <v>121.82079062183163</v>
      </c>
      <c r="AQ132">
        <v>123.22333720874445</v>
      </c>
      <c r="AR132">
        <v>124.65627158432321</v>
      </c>
      <c r="AS132">
        <v>126.079387048077</v>
      </c>
      <c r="AT132">
        <v>127.47689535414652</v>
      </c>
      <c r="AU132">
        <v>128.79355943039158</v>
      </c>
      <c r="AV132">
        <v>130.03011622957018</v>
      </c>
      <c r="AW132">
        <v>131.17096525500634</v>
      </c>
      <c r="AX132">
        <v>132.22897213252406</v>
      </c>
      <c r="AY132">
        <v>133.22364647237112</v>
      </c>
      <c r="AZ132">
        <v>134.17089395094615</v>
      </c>
      <c r="BA132">
        <v>135.09491558646326</v>
      </c>
    </row>
    <row r="133" spans="1:53" x14ac:dyDescent="0.2">
      <c r="A133" t="s">
        <v>132</v>
      </c>
      <c r="B133" t="s">
        <v>274</v>
      </c>
      <c r="C133" t="s">
        <v>268</v>
      </c>
      <c r="D133" t="s">
        <v>4</v>
      </c>
      <c r="E133">
        <v>127.0474289245943</v>
      </c>
      <c r="F133">
        <v>32.383357691126989</v>
      </c>
      <c r="G133">
        <v>-84.896336703554894</v>
      </c>
      <c r="H133">
        <v>-32.611691409191181</v>
      </c>
      <c r="I133">
        <v>-98.488656139052026</v>
      </c>
      <c r="J133">
        <v>-2.5059655764333679</v>
      </c>
      <c r="K133">
        <v>9.3009010492847928</v>
      </c>
      <c r="L133">
        <v>51.36465275093078</v>
      </c>
      <c r="M133">
        <v>92.414281034261933</v>
      </c>
      <c r="N133">
        <v>90.080701941623218</v>
      </c>
      <c r="O133">
        <v>105.8960967597482</v>
      </c>
      <c r="P133">
        <v>79.059923380413338</v>
      </c>
      <c r="Q133">
        <v>67.708283389428146</v>
      </c>
      <c r="R133">
        <v>50.525961892408787</v>
      </c>
      <c r="S133">
        <v>36.477706027014499</v>
      </c>
      <c r="T133">
        <v>35.518937869831134</v>
      </c>
      <c r="U133">
        <v>33.539593520707896</v>
      </c>
      <c r="V133">
        <v>44.684079082092538</v>
      </c>
      <c r="W133">
        <v>54.993643083648152</v>
      </c>
      <c r="X133">
        <v>67.252312959668274</v>
      </c>
      <c r="Y133">
        <v>77.348037701482824</v>
      </c>
      <c r="Z133">
        <v>81.791761637708532</v>
      </c>
      <c r="AA133">
        <v>83.779788734387466</v>
      </c>
      <c r="AB133">
        <v>80.752027988655612</v>
      </c>
      <c r="AC133">
        <v>76.870998891581223</v>
      </c>
      <c r="AD133">
        <v>72.538727649848909</v>
      </c>
      <c r="AE133">
        <v>69.480867825058894</v>
      </c>
      <c r="AF133">
        <v>68.909271499928423</v>
      </c>
      <c r="AG133">
        <v>70.062305908222669</v>
      </c>
      <c r="AH133">
        <v>73.186299855019541</v>
      </c>
      <c r="AI133">
        <v>76.870112785843219</v>
      </c>
      <c r="AJ133">
        <v>80.581059170031068</v>
      </c>
      <c r="AK133">
        <v>83.604090900072578</v>
      </c>
      <c r="AL133">
        <v>85.482211419494746</v>
      </c>
      <c r="AM133">
        <v>86.363527286421672</v>
      </c>
      <c r="AN133">
        <v>86.294929146097516</v>
      </c>
      <c r="AO133">
        <v>85.787625705474326</v>
      </c>
      <c r="AP133">
        <v>85.184510220007894</v>
      </c>
      <c r="AQ133">
        <v>84.844131293984447</v>
      </c>
      <c r="AR133">
        <v>85.001305745119154</v>
      </c>
      <c r="AS133">
        <v>85.664171267638835</v>
      </c>
      <c r="AT133">
        <v>86.778814068610274</v>
      </c>
      <c r="AU133">
        <v>88.124240601853217</v>
      </c>
      <c r="AV133">
        <v>89.493864171031291</v>
      </c>
      <c r="AW133">
        <v>90.692849059773536</v>
      </c>
      <c r="AX133">
        <v>91.597170862293112</v>
      </c>
      <c r="AY133">
        <v>92.188509312096954</v>
      </c>
      <c r="AZ133">
        <v>92.510354392446899</v>
      </c>
      <c r="BA133">
        <v>92.67416634088238</v>
      </c>
    </row>
    <row r="134" spans="1:53" x14ac:dyDescent="0.2">
      <c r="A134" t="s">
        <v>133</v>
      </c>
      <c r="B134" t="s">
        <v>275</v>
      </c>
      <c r="C134" t="s">
        <v>268</v>
      </c>
      <c r="D134" t="s">
        <v>4</v>
      </c>
      <c r="E134">
        <v>787.69850854777349</v>
      </c>
      <c r="F134">
        <v>541.20535440129811</v>
      </c>
      <c r="G134">
        <v>448.0208980440384</v>
      </c>
      <c r="H134">
        <v>404.9367261380749</v>
      </c>
      <c r="I134">
        <v>429.54308096836331</v>
      </c>
      <c r="J134">
        <v>614.59985214679455</v>
      </c>
      <c r="K134">
        <v>563.12718021203307</v>
      </c>
      <c r="L134">
        <v>657.42423349695173</v>
      </c>
      <c r="M134">
        <v>672.04017548862646</v>
      </c>
      <c r="N134">
        <v>698.922764651546</v>
      </c>
      <c r="O134">
        <v>705.90443040637672</v>
      </c>
      <c r="P134">
        <v>656.44581473361177</v>
      </c>
      <c r="Q134">
        <v>650.25234251402173</v>
      </c>
      <c r="R134">
        <v>620.69127011530793</v>
      </c>
      <c r="S134">
        <v>623.1183064217081</v>
      </c>
      <c r="T134">
        <v>630.53047719610015</v>
      </c>
      <c r="U134">
        <v>645.45788283511934</v>
      </c>
      <c r="V134">
        <v>675.84109219270488</v>
      </c>
      <c r="W134">
        <v>697.33672650210201</v>
      </c>
      <c r="X134">
        <v>721.99875758773362</v>
      </c>
      <c r="Y134">
        <v>735.03050418758528</v>
      </c>
      <c r="Z134">
        <v>742.55527330905591</v>
      </c>
      <c r="AA134">
        <v>745.40035726825386</v>
      </c>
      <c r="AB134">
        <v>743.04874742308368</v>
      </c>
      <c r="AC134">
        <v>742.17050478617364</v>
      </c>
      <c r="AD134">
        <v>741.0106967766028</v>
      </c>
      <c r="AE134">
        <v>743.72208053671375</v>
      </c>
      <c r="AF134">
        <v>749.25062870827605</v>
      </c>
      <c r="AG134">
        <v>757.16994493656478</v>
      </c>
      <c r="AH134">
        <v>767.02433236678519</v>
      </c>
      <c r="AI134">
        <v>776.5811555224293</v>
      </c>
      <c r="AJ134">
        <v>785.59982109101918</v>
      </c>
      <c r="AK134">
        <v>792.68445532183125</v>
      </c>
      <c r="AL134">
        <v>797.89181108293974</v>
      </c>
      <c r="AM134">
        <v>801.43591559818708</v>
      </c>
      <c r="AN134">
        <v>803.75250753670298</v>
      </c>
      <c r="AO134">
        <v>805.77674701350759</v>
      </c>
      <c r="AP134">
        <v>807.94458036044603</v>
      </c>
      <c r="AQ134">
        <v>810.82058975883035</v>
      </c>
      <c r="AR134">
        <v>814.47243416720357</v>
      </c>
      <c r="AS134">
        <v>818.77934217835536</v>
      </c>
      <c r="AT134">
        <v>823.47234572581374</v>
      </c>
      <c r="AU134">
        <v>828.13473571677071</v>
      </c>
      <c r="AV134">
        <v>832.49139101988828</v>
      </c>
      <c r="AW134">
        <v>836.30478807160944</v>
      </c>
      <c r="AX134">
        <v>839.5301037841889</v>
      </c>
      <c r="AY134">
        <v>842.23625132343386</v>
      </c>
      <c r="AZ134">
        <v>844.57218232092396</v>
      </c>
      <c r="BA134">
        <v>846.73815663788696</v>
      </c>
    </row>
    <row r="135" spans="1:53" x14ac:dyDescent="0.2">
      <c r="A135" t="s">
        <v>134</v>
      </c>
      <c r="B135" t="s">
        <v>276</v>
      </c>
      <c r="C135" t="s">
        <v>268</v>
      </c>
      <c r="D135" t="s">
        <v>4</v>
      </c>
      <c r="E135">
        <v>524.20030557834457</v>
      </c>
      <c r="F135">
        <v>48.018486546784125</v>
      </c>
      <c r="G135">
        <v>-134.01556979500398</v>
      </c>
      <c r="H135">
        <v>88.185421324000899</v>
      </c>
      <c r="I135">
        <v>110.63907685926642</v>
      </c>
      <c r="J135">
        <v>236.58493279950829</v>
      </c>
      <c r="K135">
        <v>108.80120351260668</v>
      </c>
      <c r="L135">
        <v>172.4024334527773</v>
      </c>
      <c r="M135">
        <v>217.92187567921991</v>
      </c>
      <c r="N135">
        <v>210.90848171683388</v>
      </c>
      <c r="O135">
        <v>222.57120190596771</v>
      </c>
      <c r="P135">
        <v>178.79050555734162</v>
      </c>
      <c r="Q135">
        <v>197.58968615477858</v>
      </c>
      <c r="R135">
        <v>193.04099159668695</v>
      </c>
      <c r="S135">
        <v>197.43082681975233</v>
      </c>
      <c r="T135">
        <v>207.94740575345151</v>
      </c>
      <c r="U135">
        <v>212.16522107860337</v>
      </c>
      <c r="V135">
        <v>232.94251336435426</v>
      </c>
      <c r="W135">
        <v>241.80159359092286</v>
      </c>
      <c r="X135">
        <v>253.89457705313012</v>
      </c>
      <c r="Y135">
        <v>260.62654532352371</v>
      </c>
      <c r="Z135">
        <v>263.95832552572807</v>
      </c>
      <c r="AA135">
        <v>268.08578708638407</v>
      </c>
      <c r="AB135">
        <v>267.98516036252983</v>
      </c>
      <c r="AC135">
        <v>270.25736691721926</v>
      </c>
      <c r="AD135">
        <v>271.98341195666961</v>
      </c>
      <c r="AE135">
        <v>275.59446891443213</v>
      </c>
      <c r="AF135">
        <v>280.6987957664237</v>
      </c>
      <c r="AG135">
        <v>285.9808788982678</v>
      </c>
      <c r="AH135">
        <v>292.2111291175874</v>
      </c>
      <c r="AI135">
        <v>297.61996184840086</v>
      </c>
      <c r="AJ135">
        <v>302.7025394315063</v>
      </c>
      <c r="AK135">
        <v>306.81162505698813</v>
      </c>
      <c r="AL135">
        <v>310.02336998885738</v>
      </c>
      <c r="AM135">
        <v>312.73956705985228</v>
      </c>
      <c r="AN135">
        <v>314.94574475648443</v>
      </c>
      <c r="AO135">
        <v>317.21011821783338</v>
      </c>
      <c r="AP135">
        <v>319.54355540240584</v>
      </c>
      <c r="AQ135">
        <v>322.15835663389845</v>
      </c>
      <c r="AR135">
        <v>325.04771467589489</v>
      </c>
      <c r="AS135">
        <v>328.07903367121406</v>
      </c>
      <c r="AT135">
        <v>331.18357175332682</v>
      </c>
      <c r="AU135">
        <v>334.15174013628706</v>
      </c>
      <c r="AV135">
        <v>336.91737135986637</v>
      </c>
      <c r="AW135">
        <v>339.40021339616129</v>
      </c>
      <c r="AX135">
        <v>341.6035151697231</v>
      </c>
      <c r="AY135">
        <v>343.58728700433636</v>
      </c>
      <c r="AZ135">
        <v>345.41230642771393</v>
      </c>
      <c r="BA135">
        <v>347.17370775151153</v>
      </c>
    </row>
    <row r="136" spans="1:53" x14ac:dyDescent="0.2">
      <c r="A136" t="s">
        <v>135</v>
      </c>
      <c r="B136" t="s">
        <v>277</v>
      </c>
      <c r="C136" t="s">
        <v>268</v>
      </c>
      <c r="D136" t="s">
        <v>4</v>
      </c>
      <c r="E136">
        <v>77.39166687948196</v>
      </c>
      <c r="F136">
        <v>26.731686395340159</v>
      </c>
      <c r="G136">
        <v>11.689175569494132</v>
      </c>
      <c r="H136">
        <v>10.538289462259085</v>
      </c>
      <c r="I136">
        <v>5.2240729114495101</v>
      </c>
      <c r="J136">
        <v>31.645651642231424</v>
      </c>
      <c r="K136">
        <v>23.745824261161161</v>
      </c>
      <c r="L136">
        <v>33.787955573653505</v>
      </c>
      <c r="M136">
        <v>34.505518846154601</v>
      </c>
      <c r="N136">
        <v>35.162979579746157</v>
      </c>
      <c r="O136">
        <v>38.068380239457575</v>
      </c>
      <c r="P136">
        <v>32.597448575138614</v>
      </c>
      <c r="Q136">
        <v>34.12784038909043</v>
      </c>
      <c r="R136">
        <v>32.39857426109733</v>
      </c>
      <c r="S136">
        <v>33.984999090067781</v>
      </c>
      <c r="T136">
        <v>36.126983717106114</v>
      </c>
      <c r="U136">
        <v>37.672625911442786</v>
      </c>
      <c r="V136">
        <v>41.047004155216584</v>
      </c>
      <c r="W136">
        <v>42.808311015893551</v>
      </c>
      <c r="X136">
        <v>45.163632397078487</v>
      </c>
      <c r="Y136">
        <v>46.447275465408801</v>
      </c>
      <c r="Z136">
        <v>47.245175337829743</v>
      </c>
      <c r="AA136">
        <v>47.93523275776284</v>
      </c>
      <c r="AB136">
        <v>48.083929376393414</v>
      </c>
      <c r="AC136">
        <v>48.575483452980649</v>
      </c>
      <c r="AD136">
        <v>48.98177989480579</v>
      </c>
      <c r="AE136">
        <v>49.731182877880258</v>
      </c>
      <c r="AF136">
        <v>50.706105218157617</v>
      </c>
      <c r="AG136">
        <v>51.784525789580741</v>
      </c>
      <c r="AH136">
        <v>53.00374855223005</v>
      </c>
      <c r="AI136">
        <v>54.096791649882583</v>
      </c>
      <c r="AJ136">
        <v>55.11479124835428</v>
      </c>
      <c r="AK136">
        <v>55.940468211526422</v>
      </c>
      <c r="AL136">
        <v>56.603995502148557</v>
      </c>
      <c r="AM136">
        <v>57.15632945915592</v>
      </c>
      <c r="AN136">
        <v>57.620831293112737</v>
      </c>
      <c r="AO136">
        <v>58.090393615469161</v>
      </c>
      <c r="AP136">
        <v>58.577000812139772</v>
      </c>
      <c r="AQ136">
        <v>59.118647077091723</v>
      </c>
      <c r="AR136">
        <v>59.708242561367811</v>
      </c>
      <c r="AS136">
        <v>60.324941314141455</v>
      </c>
      <c r="AT136">
        <v>60.949849939395641</v>
      </c>
      <c r="AU136">
        <v>61.547785630334253</v>
      </c>
      <c r="AV136">
        <v>62.105182953278529</v>
      </c>
      <c r="AW136">
        <v>62.607925249799358</v>
      </c>
      <c r="AX136">
        <v>63.057956617793415</v>
      </c>
      <c r="AY136">
        <v>63.465308491245828</v>
      </c>
      <c r="AZ136">
        <v>63.842425149558466</v>
      </c>
      <c r="BA136">
        <v>64.206054542957247</v>
      </c>
    </row>
    <row r="137" spans="1:53" x14ac:dyDescent="0.2">
      <c r="A137" t="s">
        <v>136</v>
      </c>
      <c r="B137" t="s">
        <v>278</v>
      </c>
      <c r="C137" t="s">
        <v>268</v>
      </c>
      <c r="D137" t="s">
        <v>4</v>
      </c>
      <c r="E137">
        <v>98.733135411675335</v>
      </c>
      <c r="F137">
        <v>46.112458111328266</v>
      </c>
      <c r="G137">
        <v>40.658787742720669</v>
      </c>
      <c r="H137">
        <v>25.094680360490869</v>
      </c>
      <c r="I137">
        <v>24.010540321278807</v>
      </c>
      <c r="J137">
        <v>49.779575244144503</v>
      </c>
      <c r="K137">
        <v>42.52402613908847</v>
      </c>
      <c r="L137">
        <v>58.511807358480191</v>
      </c>
      <c r="M137">
        <v>59.568069162776808</v>
      </c>
      <c r="N137">
        <v>65.412019809990198</v>
      </c>
      <c r="O137">
        <v>67.913008903377602</v>
      </c>
      <c r="P137">
        <v>62.073378228050487</v>
      </c>
      <c r="Q137">
        <v>61.832764912373747</v>
      </c>
      <c r="R137">
        <v>56.882983374730451</v>
      </c>
      <c r="S137">
        <v>56.861943807854551</v>
      </c>
      <c r="T137">
        <v>56.838705568346462</v>
      </c>
      <c r="U137">
        <v>58.013700020177673</v>
      </c>
      <c r="V137">
        <v>61.45324952007136</v>
      </c>
      <c r="W137">
        <v>63.877468230816461</v>
      </c>
      <c r="X137">
        <v>67.326761929319048</v>
      </c>
      <c r="Y137">
        <v>69.260795265786783</v>
      </c>
      <c r="Z137">
        <v>70.65406188444436</v>
      </c>
      <c r="AA137">
        <v>71.313569918415283</v>
      </c>
      <c r="AB137">
        <v>71.133836349067153</v>
      </c>
      <c r="AC137">
        <v>71.018814361933707</v>
      </c>
      <c r="AD137">
        <v>70.648479330412258</v>
      </c>
      <c r="AE137">
        <v>70.730213519210125</v>
      </c>
      <c r="AF137">
        <v>71.125820585874621</v>
      </c>
      <c r="AG137">
        <v>71.88540985778846</v>
      </c>
      <c r="AH137">
        <v>72.979762312913323</v>
      </c>
      <c r="AI137">
        <v>74.112500628365652</v>
      </c>
      <c r="AJ137">
        <v>75.265515283464069</v>
      </c>
      <c r="AK137">
        <v>76.206732741562888</v>
      </c>
      <c r="AL137">
        <v>76.928947909843799</v>
      </c>
      <c r="AM137">
        <v>77.420622981614386</v>
      </c>
      <c r="AN137">
        <v>77.718883177034883</v>
      </c>
      <c r="AO137">
        <v>77.940376550965894</v>
      </c>
      <c r="AP137">
        <v>78.139430386837859</v>
      </c>
      <c r="AQ137">
        <v>78.407325611836569</v>
      </c>
      <c r="AR137">
        <v>78.765605668035633</v>
      </c>
      <c r="AS137">
        <v>79.217202860043045</v>
      </c>
      <c r="AT137">
        <v>79.739083110787703</v>
      </c>
      <c r="AU137">
        <v>80.281708978486137</v>
      </c>
      <c r="AV137">
        <v>80.809092156264455</v>
      </c>
      <c r="AW137">
        <v>81.282199690335332</v>
      </c>
      <c r="AX137">
        <v>81.686698938532643</v>
      </c>
      <c r="AY137">
        <v>82.022022300060058</v>
      </c>
      <c r="AZ137">
        <v>82.30114150008869</v>
      </c>
      <c r="BA137">
        <v>82.547554135334821</v>
      </c>
    </row>
    <row r="138" spans="1:53" x14ac:dyDescent="0.2">
      <c r="A138" t="s">
        <v>137</v>
      </c>
      <c r="B138" t="s">
        <v>279</v>
      </c>
      <c r="C138" t="s">
        <v>268</v>
      </c>
      <c r="D138" t="s">
        <v>4</v>
      </c>
      <c r="E138">
        <v>2404.7655351086187</v>
      </c>
      <c r="F138">
        <v>1683.4033665044014</v>
      </c>
      <c r="G138">
        <v>1255.34368560907</v>
      </c>
      <c r="H138">
        <v>1409.9424221407876</v>
      </c>
      <c r="I138">
        <v>899.17470408354006</v>
      </c>
      <c r="J138">
        <v>1923.0201459076904</v>
      </c>
      <c r="K138">
        <v>1812.9200726551264</v>
      </c>
      <c r="L138">
        <v>2147.1509491843526</v>
      </c>
      <c r="M138">
        <v>2273.5683297202158</v>
      </c>
      <c r="N138">
        <v>2271.842669353704</v>
      </c>
      <c r="O138">
        <v>2440.8788627348827</v>
      </c>
      <c r="P138">
        <v>2231.8502296250408</v>
      </c>
      <c r="Q138">
        <v>2227.4802206650784</v>
      </c>
      <c r="R138">
        <v>2120.9000554523914</v>
      </c>
      <c r="S138">
        <v>2102.6877028026988</v>
      </c>
      <c r="T138">
        <v>2152.7748538466567</v>
      </c>
      <c r="U138">
        <v>2177.3923463851679</v>
      </c>
      <c r="V138">
        <v>2290.9631671284665</v>
      </c>
      <c r="W138">
        <v>2359.1235003294773</v>
      </c>
      <c r="X138">
        <v>2446.4644994093551</v>
      </c>
      <c r="Y138">
        <v>2502.1026839845599</v>
      </c>
      <c r="Z138">
        <v>2526.583228383904</v>
      </c>
      <c r="AA138">
        <v>2544.3671032826624</v>
      </c>
      <c r="AB138">
        <v>2534.4508761049706</v>
      </c>
      <c r="AC138">
        <v>2532.2294236006583</v>
      </c>
      <c r="AD138">
        <v>2526.7239799794324</v>
      </c>
      <c r="AE138">
        <v>2532.121553682719</v>
      </c>
      <c r="AF138">
        <v>2549.8818015161969</v>
      </c>
      <c r="AG138">
        <v>2574.0970999354677</v>
      </c>
      <c r="AH138">
        <v>2607.7940100869973</v>
      </c>
      <c r="AI138">
        <v>2640.3498324448892</v>
      </c>
      <c r="AJ138">
        <v>2671.8308259224873</v>
      </c>
      <c r="AK138">
        <v>2697.3405074252923</v>
      </c>
      <c r="AL138">
        <v>2715.804327193498</v>
      </c>
      <c r="AM138">
        <v>2728.8584097897697</v>
      </c>
      <c r="AN138">
        <v>2736.8453462463831</v>
      </c>
      <c r="AO138">
        <v>2743.6052231807585</v>
      </c>
      <c r="AP138">
        <v>2750.4765604283984</v>
      </c>
      <c r="AQ138">
        <v>2759.5050050531272</v>
      </c>
      <c r="AR138">
        <v>2771.3152789883211</v>
      </c>
      <c r="AS138">
        <v>2785.3758240732723</v>
      </c>
      <c r="AT138">
        <v>2801.0879261017676</v>
      </c>
      <c r="AU138">
        <v>2816.8988097869042</v>
      </c>
      <c r="AV138">
        <v>2831.8750033462384</v>
      </c>
      <c r="AW138">
        <v>2845.1233665030754</v>
      </c>
      <c r="AX138">
        <v>2856.3378235599216</v>
      </c>
      <c r="AY138">
        <v>2865.731910594222</v>
      </c>
      <c r="AZ138">
        <v>2873.7160102911921</v>
      </c>
      <c r="BA138">
        <v>2881.0026442053113</v>
      </c>
    </row>
    <row r="139" spans="1:53" x14ac:dyDescent="0.2">
      <c r="A139" t="s">
        <v>138</v>
      </c>
      <c r="B139" t="s">
        <v>280</v>
      </c>
      <c r="C139" t="s">
        <v>268</v>
      </c>
      <c r="D139" t="s">
        <v>4</v>
      </c>
      <c r="E139">
        <v>311.87595160619929</v>
      </c>
      <c r="F139">
        <v>93.560498438653681</v>
      </c>
      <c r="G139">
        <v>102.64104904605882</v>
      </c>
      <c r="H139">
        <v>12.998794943737673</v>
      </c>
      <c r="I139">
        <v>-16.637195743972239</v>
      </c>
      <c r="J139">
        <v>125.34418037501943</v>
      </c>
      <c r="K139">
        <v>78.69592709113121</v>
      </c>
      <c r="L139">
        <v>156.88712535080248</v>
      </c>
      <c r="M139">
        <v>157.68504971230993</v>
      </c>
      <c r="N139">
        <v>187.67425850354292</v>
      </c>
      <c r="O139">
        <v>212.50894776292699</v>
      </c>
      <c r="P139">
        <v>192.09345328420363</v>
      </c>
      <c r="Q139">
        <v>205.78361492344453</v>
      </c>
      <c r="R139">
        <v>191.00588957061984</v>
      </c>
      <c r="S139">
        <v>198.73114892047636</v>
      </c>
      <c r="T139">
        <v>202.88901352330132</v>
      </c>
      <c r="U139">
        <v>208.30566753703923</v>
      </c>
      <c r="V139">
        <v>224.57529957590546</v>
      </c>
      <c r="W139">
        <v>234.28454390933743</v>
      </c>
      <c r="X139">
        <v>250.95171619479359</v>
      </c>
      <c r="Y139">
        <v>261.485946656328</v>
      </c>
      <c r="Z139">
        <v>270.90315324796859</v>
      </c>
      <c r="AA139">
        <v>278.20093185848759</v>
      </c>
      <c r="AB139">
        <v>281.57106797845699</v>
      </c>
      <c r="AC139">
        <v>285.51930964676581</v>
      </c>
      <c r="AD139">
        <v>287.49684799427291</v>
      </c>
      <c r="AE139">
        <v>290.99008948873171</v>
      </c>
      <c r="AF139">
        <v>295.21748849639027</v>
      </c>
      <c r="AG139">
        <v>300.45812887067416</v>
      </c>
      <c r="AH139">
        <v>306.95540448738905</v>
      </c>
      <c r="AI139">
        <v>313.38016707460531</v>
      </c>
      <c r="AJ139">
        <v>320.02540694545763</v>
      </c>
      <c r="AK139">
        <v>325.88452684661803</v>
      </c>
      <c r="AL139">
        <v>331.01767617692224</v>
      </c>
      <c r="AM139">
        <v>335.35479050800467</v>
      </c>
      <c r="AN139">
        <v>338.91642916018338</v>
      </c>
      <c r="AO139">
        <v>342.14011333003725</v>
      </c>
      <c r="AP139">
        <v>345.10468992762918</v>
      </c>
      <c r="AQ139">
        <v>348.16211501079306</v>
      </c>
      <c r="AR139">
        <v>351.37838157752361</v>
      </c>
      <c r="AS139">
        <v>354.79541110785658</v>
      </c>
      <c r="AT139">
        <v>358.38783602795814</v>
      </c>
      <c r="AU139">
        <v>362.00024834993218</v>
      </c>
      <c r="AV139">
        <v>365.54563300924747</v>
      </c>
      <c r="AW139">
        <v>368.88220121634959</v>
      </c>
      <c r="AX139">
        <v>371.95625145979278</v>
      </c>
      <c r="AY139">
        <v>374.75020991859094</v>
      </c>
      <c r="AZ139">
        <v>377.28956652520685</v>
      </c>
      <c r="BA139">
        <v>379.64853074512234</v>
      </c>
    </row>
    <row r="140" spans="1:53" x14ac:dyDescent="0.2">
      <c r="A140" t="s">
        <v>139</v>
      </c>
      <c r="B140" t="s">
        <v>281</v>
      </c>
      <c r="C140" t="s">
        <v>268</v>
      </c>
      <c r="D140" t="s">
        <v>4</v>
      </c>
      <c r="E140">
        <v>910.79226441381525</v>
      </c>
      <c r="F140">
        <v>254.17038875623462</v>
      </c>
      <c r="G140">
        <v>5.9296703257326125E-2</v>
      </c>
      <c r="H140">
        <v>246.21398508440748</v>
      </c>
      <c r="I140">
        <v>334.39630724714709</v>
      </c>
      <c r="J140">
        <v>595.3450436499096</v>
      </c>
      <c r="K140">
        <v>585.28971013158673</v>
      </c>
      <c r="L140">
        <v>721.44721006172654</v>
      </c>
      <c r="M140">
        <v>799.64478988556095</v>
      </c>
      <c r="N140">
        <v>796.89555344521136</v>
      </c>
      <c r="O140">
        <v>800.8222768916271</v>
      </c>
      <c r="P140">
        <v>723.26051901119479</v>
      </c>
      <c r="Q140">
        <v>702.06689980145916</v>
      </c>
      <c r="R140">
        <v>666.23000481256008</v>
      </c>
      <c r="S140">
        <v>657.9329919883063</v>
      </c>
      <c r="T140">
        <v>674.94208502269112</v>
      </c>
      <c r="U140">
        <v>696.25315184964666</v>
      </c>
      <c r="V140">
        <v>741.96825192946085</v>
      </c>
      <c r="W140">
        <v>775.96792754968669</v>
      </c>
      <c r="X140">
        <v>808.29455507544083</v>
      </c>
      <c r="Y140">
        <v>826.24303421157686</v>
      </c>
      <c r="Z140">
        <v>830.6606802105664</v>
      </c>
      <c r="AA140">
        <v>828.76989077383291</v>
      </c>
      <c r="AB140">
        <v>818.6033846963262</v>
      </c>
      <c r="AC140">
        <v>810.82034229468536</v>
      </c>
      <c r="AD140">
        <v>805.14186732519215</v>
      </c>
      <c r="AE140">
        <v>805.61873029695175</v>
      </c>
      <c r="AF140">
        <v>812.21057468463869</v>
      </c>
      <c r="AG140">
        <v>822.48286544415748</v>
      </c>
      <c r="AH140">
        <v>835.67469257970606</v>
      </c>
      <c r="AI140">
        <v>848.12353221295643</v>
      </c>
      <c r="AJ140">
        <v>858.91296604824174</v>
      </c>
      <c r="AK140">
        <v>866.54521518695617</v>
      </c>
      <c r="AL140">
        <v>870.8945919081882</v>
      </c>
      <c r="AM140">
        <v>872.81339566800773</v>
      </c>
      <c r="AN140">
        <v>873.05675992738145</v>
      </c>
      <c r="AO140">
        <v>873.13997365959608</v>
      </c>
      <c r="AP140">
        <v>873.86263291389389</v>
      </c>
      <c r="AQ140">
        <v>875.9344847829999</v>
      </c>
      <c r="AR140">
        <v>879.48484007212926</v>
      </c>
      <c r="AS140">
        <v>884.17201417607021</v>
      </c>
      <c r="AT140">
        <v>889.51507951612018</v>
      </c>
      <c r="AU140">
        <v>894.80816977473137</v>
      </c>
      <c r="AV140">
        <v>899.56235814009028</v>
      </c>
      <c r="AW140">
        <v>903.43414082323318</v>
      </c>
      <c r="AX140">
        <v>906.35876725879984</v>
      </c>
      <c r="AY140">
        <v>908.50594398456315</v>
      </c>
      <c r="AZ140">
        <v>910.15480726783539</v>
      </c>
      <c r="BA140">
        <v>911.65614630431696</v>
      </c>
    </row>
    <row r="141" spans="1:53" x14ac:dyDescent="0.2">
      <c r="A141" t="s">
        <v>140</v>
      </c>
      <c r="B141" t="s">
        <v>282</v>
      </c>
      <c r="C141" t="s">
        <v>268</v>
      </c>
      <c r="D141" t="s">
        <v>4</v>
      </c>
      <c r="E141">
        <v>1470.1560932310297</v>
      </c>
      <c r="F141">
        <v>998.59231365367134</v>
      </c>
      <c r="G141">
        <v>964.73307326343274</v>
      </c>
      <c r="H141">
        <v>920.08872841869527</v>
      </c>
      <c r="I141">
        <v>916.87382410384669</v>
      </c>
      <c r="J141">
        <v>1352.2937603663383</v>
      </c>
      <c r="K141">
        <v>1314.4828249208765</v>
      </c>
      <c r="L141">
        <v>1543.3051293316184</v>
      </c>
      <c r="M141">
        <v>1573.0563233946882</v>
      </c>
      <c r="N141">
        <v>1622.258921548512</v>
      </c>
      <c r="O141">
        <v>1657.3060527072912</v>
      </c>
      <c r="P141">
        <v>1559.6265980545199</v>
      </c>
      <c r="Q141">
        <v>1544.5024406901643</v>
      </c>
      <c r="R141">
        <v>1475.6696519441646</v>
      </c>
      <c r="S141">
        <v>1476.9598011379614</v>
      </c>
      <c r="T141">
        <v>1496.0468483254499</v>
      </c>
      <c r="U141">
        <v>1529.2388340076745</v>
      </c>
      <c r="V141">
        <v>1597.1511122523418</v>
      </c>
      <c r="W141">
        <v>1646.0245998786515</v>
      </c>
      <c r="X141">
        <v>1701.8753360566056</v>
      </c>
      <c r="Y141">
        <v>1732.3679538137803</v>
      </c>
      <c r="Z141">
        <v>1748.5354075077287</v>
      </c>
      <c r="AA141">
        <v>1753.9898689215681</v>
      </c>
      <c r="AB141">
        <v>1747.5844320646361</v>
      </c>
      <c r="AC141">
        <v>1744.7311994210445</v>
      </c>
      <c r="AD141">
        <v>1741.7038994994532</v>
      </c>
      <c r="AE141">
        <v>1747.2274184235127</v>
      </c>
      <c r="AF141">
        <v>1759.3354417753744</v>
      </c>
      <c r="AG141">
        <v>1776.721497322626</v>
      </c>
      <c r="AH141">
        <v>1798.4715317844586</v>
      </c>
      <c r="AI141">
        <v>1819.5295527972455</v>
      </c>
      <c r="AJ141">
        <v>1839.3228447530796</v>
      </c>
      <c r="AK141">
        <v>1854.8687974255797</v>
      </c>
      <c r="AL141">
        <v>1866.1957305356841</v>
      </c>
      <c r="AM141">
        <v>1873.8201218166491</v>
      </c>
      <c r="AN141">
        <v>1878.6475458514062</v>
      </c>
      <c r="AO141">
        <v>1882.7736120959917</v>
      </c>
      <c r="AP141">
        <v>1887.2117611023823</v>
      </c>
      <c r="AQ141">
        <v>1893.2358316948673</v>
      </c>
      <c r="AR141">
        <v>1901.0484425805239</v>
      </c>
      <c r="AS141">
        <v>1910.376536452477</v>
      </c>
      <c r="AT141">
        <v>1920.6219660506115</v>
      </c>
      <c r="AU141">
        <v>1930.8317899426613</v>
      </c>
      <c r="AV141">
        <v>1940.3631737979626</v>
      </c>
      <c r="AW141">
        <v>1948.6719075074718</v>
      </c>
      <c r="AX141">
        <v>1955.6458647280635</v>
      </c>
      <c r="AY141">
        <v>1961.4468523657683</v>
      </c>
      <c r="AZ141">
        <v>1966.4157701796626</v>
      </c>
      <c r="BA141">
        <v>1971.0108072818305</v>
      </c>
    </row>
    <row r="143" spans="1:53" x14ac:dyDescent="0.2">
      <c r="E143">
        <f>SUM(E5:E141)</f>
        <v>110583.62091521129</v>
      </c>
      <c r="F143">
        <f t="shared" ref="F143:BA143" si="0">SUM(F5:F141)</f>
        <v>77387.97226343448</v>
      </c>
      <c r="G143">
        <f t="shared" si="0"/>
        <v>69055.985002697053</v>
      </c>
      <c r="H143">
        <f t="shared" si="0"/>
        <v>68451.944738521284</v>
      </c>
      <c r="I143">
        <f t="shared" si="0"/>
        <v>70028.289493234595</v>
      </c>
      <c r="J143">
        <f t="shared" si="0"/>
        <v>98995.593832797793</v>
      </c>
      <c r="K143">
        <f t="shared" si="0"/>
        <v>93880.478809783031</v>
      </c>
      <c r="L143">
        <f t="shared" si="0"/>
        <v>107505.63999127393</v>
      </c>
      <c r="M143">
        <f t="shared" si="0"/>
        <v>109491.06843548059</v>
      </c>
      <c r="N143">
        <f t="shared" si="0"/>
        <v>112133.43555685025</v>
      </c>
      <c r="O143">
        <f t="shared" si="0"/>
        <v>113016.49182737523</v>
      </c>
      <c r="P143">
        <f t="shared" si="0"/>
        <v>104321.62312129137</v>
      </c>
      <c r="Q143">
        <f t="shared" si="0"/>
        <v>101544.47494651709</v>
      </c>
      <c r="R143">
        <f t="shared" si="0"/>
        <v>95635.844656576097</v>
      </c>
      <c r="S143">
        <f t="shared" si="0"/>
        <v>94595.526776194369</v>
      </c>
      <c r="T143">
        <f t="shared" si="0"/>
        <v>94978.169561411938</v>
      </c>
      <c r="U143">
        <f t="shared" si="0"/>
        <v>96378.05881379082</v>
      </c>
      <c r="V143">
        <f t="shared" si="0"/>
        <v>100233.00655052139</v>
      </c>
      <c r="W143">
        <f t="shared" si="0"/>
        <v>102758.09617988612</v>
      </c>
      <c r="X143">
        <f t="shared" si="0"/>
        <v>105636.82870125136</v>
      </c>
      <c r="Y143">
        <f t="shared" si="0"/>
        <v>106750.03692913953</v>
      </c>
      <c r="Z143">
        <f t="shared" si="0"/>
        <v>106865.73330180682</v>
      </c>
      <c r="AA143">
        <f t="shared" si="0"/>
        <v>106307.3204058538</v>
      </c>
      <c r="AB143">
        <f t="shared" si="0"/>
        <v>104986.03047392445</v>
      </c>
      <c r="AC143">
        <f t="shared" si="0"/>
        <v>103951.64981153044</v>
      </c>
      <c r="AD143">
        <f t="shared" si="0"/>
        <v>102955.43247571027</v>
      </c>
      <c r="AE143">
        <f t="shared" si="0"/>
        <v>102578.6974387167</v>
      </c>
      <c r="AF143">
        <f t="shared" si="0"/>
        <v>102696.09149601476</v>
      </c>
      <c r="AG143">
        <f t="shared" si="0"/>
        <v>103206.53689592163</v>
      </c>
      <c r="AH143">
        <f t="shared" si="0"/>
        <v>104047.35559153753</v>
      </c>
      <c r="AI143">
        <f t="shared" si="0"/>
        <v>104866.59448677293</v>
      </c>
      <c r="AJ143">
        <f t="shared" si="0"/>
        <v>105614.54601760386</v>
      </c>
      <c r="AK143">
        <f t="shared" si="0"/>
        <v>106082.55086681765</v>
      </c>
      <c r="AL143">
        <f t="shared" si="0"/>
        <v>106266.4085422667</v>
      </c>
      <c r="AM143">
        <f t="shared" si="0"/>
        <v>106205.74220443492</v>
      </c>
      <c r="AN143">
        <f t="shared" si="0"/>
        <v>105968.20078367434</v>
      </c>
      <c r="AO143">
        <f t="shared" si="0"/>
        <v>105704.52610142453</v>
      </c>
      <c r="AP143">
        <f t="shared" si="0"/>
        <v>105489.76030274286</v>
      </c>
      <c r="AQ143">
        <f t="shared" si="0"/>
        <v>105411.75421361497</v>
      </c>
      <c r="AR143">
        <f t="shared" si="0"/>
        <v>105482.70555225176</v>
      </c>
      <c r="AS143">
        <f t="shared" si="0"/>
        <v>105678.8679199083</v>
      </c>
      <c r="AT143">
        <f t="shared" si="0"/>
        <v>105954.40845419833</v>
      </c>
      <c r="AU143">
        <f t="shared" si="0"/>
        <v>106240.15501060782</v>
      </c>
      <c r="AV143">
        <f t="shared" si="0"/>
        <v>106489.90039165717</v>
      </c>
      <c r="AW143">
        <f t="shared" si="0"/>
        <v>106666.22826118996</v>
      </c>
      <c r="AX143">
        <f t="shared" si="0"/>
        <v>106762.10171576448</v>
      </c>
      <c r="AY143">
        <f t="shared" si="0"/>
        <v>106789.85674812052</v>
      </c>
      <c r="AZ143">
        <f t="shared" si="0"/>
        <v>106773.79332704321</v>
      </c>
      <c r="BA143">
        <f t="shared" si="0"/>
        <v>106745.85925000989</v>
      </c>
    </row>
  </sheetData>
  <phoneticPr fontId="1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"/>
  <sheetViews>
    <sheetView topLeftCell="AK1" workbookViewId="0">
      <selection activeCell="A2" sqref="A2:AX6"/>
    </sheetView>
  </sheetViews>
  <sheetFormatPr defaultRowHeight="12.75" x14ac:dyDescent="0.2"/>
  <cols>
    <col min="1" max="1" width="7.140625" customWidth="1"/>
    <col min="2" max="47" width="13.28515625" bestFit="1" customWidth="1"/>
    <col min="48" max="48" width="7.140625" customWidth="1"/>
    <col min="49" max="50" width="13.28515625" bestFit="1" customWidth="1"/>
  </cols>
  <sheetData>
    <row r="1" spans="1:50" x14ac:dyDescent="0.2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</row>
    <row r="2" spans="1:50" x14ac:dyDescent="0.2">
      <c r="A2" t="s">
        <v>142</v>
      </c>
      <c r="B2">
        <f>SUMIF('Point Estimates'!$C$5:$C$141,Planilha1!$A2,'Point Estimates'!E$5:E$141)</f>
        <v>5424.6878805490978</v>
      </c>
      <c r="C2">
        <f>SUMIF('Point Estimates'!$C$5:$C$141,Planilha1!$A2,'Point Estimates'!F$5:F$141)</f>
        <v>4260.5298401377713</v>
      </c>
      <c r="D2">
        <f>SUMIF('Point Estimates'!$C$5:$C$141,Planilha1!$A2,'Point Estimates'!G$5:G$141)</f>
        <v>3955.1216460387654</v>
      </c>
      <c r="E2">
        <f>SUMIF('Point Estimates'!$C$5:$C$141,Planilha1!$A2,'Point Estimates'!H$5:H$141)</f>
        <v>3658.4182252446631</v>
      </c>
      <c r="F2">
        <f>SUMIF('Point Estimates'!$C$5:$C$141,Planilha1!$A2,'Point Estimates'!I$5:I$141)</f>
        <v>3273.9396351087603</v>
      </c>
      <c r="G2">
        <f>SUMIF('Point Estimates'!$C$5:$C$141,Planilha1!$A2,'Point Estimates'!J$5:J$141)</f>
        <v>4442.6281751901988</v>
      </c>
      <c r="H2">
        <f>SUMIF('Point Estimates'!$C$5:$C$141,Planilha1!$A2,'Point Estimates'!K$5:K$141)</f>
        <v>4085.6327759405735</v>
      </c>
      <c r="I2">
        <f>SUMIF('Point Estimates'!$C$5:$C$141,Planilha1!$A2,'Point Estimates'!L$5:L$141)</f>
        <v>4583.2329747171179</v>
      </c>
      <c r="J2">
        <f>SUMIF('Point Estimates'!$C$5:$C$141,Planilha1!$A2,'Point Estimates'!M$5:M$141)</f>
        <v>4578.0452152775561</v>
      </c>
      <c r="K2">
        <f>SUMIF('Point Estimates'!$C$5:$C$141,Planilha1!$A2,'Point Estimates'!N$5:N$141)</f>
        <v>4647.9107391798234</v>
      </c>
      <c r="L2">
        <f>SUMIF('Point Estimates'!$C$5:$C$141,Planilha1!$A2,'Point Estimates'!O$5:O$141)</f>
        <v>4770.3389430755851</v>
      </c>
      <c r="M2">
        <f>SUMIF('Point Estimates'!$C$5:$C$141,Planilha1!$A2,'Point Estimates'!P$5:P$141)</f>
        <v>4464.9718957779087</v>
      </c>
      <c r="N2">
        <f>SUMIF('Point Estimates'!$C$5:$C$141,Planilha1!$A2,'Point Estimates'!Q$5:Q$141)</f>
        <v>4433.6220937411817</v>
      </c>
      <c r="O2">
        <f>SUMIF('Point Estimates'!$C$5:$C$141,Planilha1!$A2,'Point Estimates'!R$5:R$141)</f>
        <v>4227.7259477650914</v>
      </c>
      <c r="P2">
        <f>SUMIF('Point Estimates'!$C$5:$C$141,Planilha1!$A2,'Point Estimates'!S$5:S$141)</f>
        <v>4207.6836000932017</v>
      </c>
      <c r="Q2">
        <f>SUMIF('Point Estimates'!$C$5:$C$141,Planilha1!$A2,'Point Estimates'!T$5:T$141)</f>
        <v>4226.3200607214685</v>
      </c>
      <c r="R2">
        <f>SUMIF('Point Estimates'!$C$5:$C$141,Planilha1!$A2,'Point Estimates'!U$5:U$141)</f>
        <v>4248.5208462294268</v>
      </c>
      <c r="S2">
        <f>SUMIF('Point Estimates'!$C$5:$C$141,Planilha1!$A2,'Point Estimates'!V$5:V$141)</f>
        <v>4368.3634357271967</v>
      </c>
      <c r="T2">
        <f>SUMIF('Point Estimates'!$C$5:$C$141,Planilha1!$A2,'Point Estimates'!W$5:W$141)</f>
        <v>4422.7106536188039</v>
      </c>
      <c r="U2">
        <f>SUMIF('Point Estimates'!$C$5:$C$141,Planilha1!$A2,'Point Estimates'!X$5:X$141)</f>
        <v>4508.6929511882208</v>
      </c>
      <c r="V2">
        <f>SUMIF('Point Estimates'!$C$5:$C$141,Planilha1!$A2,'Point Estimates'!Y$5:Y$141)</f>
        <v>4537.0985489530567</v>
      </c>
      <c r="W2">
        <f>SUMIF('Point Estimates'!$C$5:$C$141,Planilha1!$A2,'Point Estimates'!Z$5:Z$141)</f>
        <v>4538.9471582794367</v>
      </c>
      <c r="X2">
        <f>SUMIF('Point Estimates'!$C$5:$C$141,Planilha1!$A2,'Point Estimates'!AA$5:AA$141)</f>
        <v>4527.5319562678915</v>
      </c>
      <c r="Y2">
        <f>SUMIF('Point Estimates'!$C$5:$C$141,Planilha1!$A2,'Point Estimates'!AB$5:AB$141)</f>
        <v>4487.386855722576</v>
      </c>
      <c r="Z2">
        <f>SUMIF('Point Estimates'!$C$5:$C$141,Planilha1!$A2,'Point Estimates'!AC$5:AC$141)</f>
        <v>4460.4817132739499</v>
      </c>
      <c r="AA2">
        <f>SUMIF('Point Estimates'!$C$5:$C$141,Planilha1!$A2,'Point Estimates'!AD$5:AD$141)</f>
        <v>4428.0691397580431</v>
      </c>
      <c r="AB2">
        <f>SUMIF('Point Estimates'!$C$5:$C$141,Planilha1!$A2,'Point Estimates'!AE$5:AE$141)</f>
        <v>4413.3583407758742</v>
      </c>
      <c r="AC2">
        <f>SUMIF('Point Estimates'!$C$5:$C$141,Planilha1!$A2,'Point Estimates'!AF$5:AF$141)</f>
        <v>4411.5375327140036</v>
      </c>
      <c r="AD2">
        <f>SUMIF('Point Estimates'!$C$5:$C$141,Planilha1!$A2,'Point Estimates'!AG$5:AG$141)</f>
        <v>4419.6348166159587</v>
      </c>
      <c r="AE2">
        <f>SUMIF('Point Estimates'!$C$5:$C$141,Planilha1!$A2,'Point Estimates'!AH$5:AH$141)</f>
        <v>4439.3067875341203</v>
      </c>
      <c r="AF2">
        <f>SUMIF('Point Estimates'!$C$5:$C$141,Planilha1!$A2,'Point Estimates'!AI$5:AI$141)</f>
        <v>4457.7544823169046</v>
      </c>
      <c r="AG2">
        <f>SUMIF('Point Estimates'!$C$5:$C$141,Planilha1!$A2,'Point Estimates'!AJ$5:AJ$141)</f>
        <v>4475.9814880171461</v>
      </c>
      <c r="AH2">
        <f>SUMIF('Point Estimates'!$C$5:$C$141,Planilha1!$A2,'Point Estimates'!AK$5:AK$141)</f>
        <v>4486.3133009999137</v>
      </c>
      <c r="AI2">
        <f>SUMIF('Point Estimates'!$C$5:$C$141,Planilha1!$A2,'Point Estimates'!AL$5:AL$141)</f>
        <v>4488.7587145743064</v>
      </c>
      <c r="AJ2">
        <f>SUMIF('Point Estimates'!$C$5:$C$141,Planilha1!$A2,'Point Estimates'!AM$5:AM$141)</f>
        <v>4484.4239625218333</v>
      </c>
      <c r="AK2">
        <f>SUMIF('Point Estimates'!$C$5:$C$141,Planilha1!$A2,'Point Estimates'!AN$5:AN$141)</f>
        <v>4474.452948258112</v>
      </c>
      <c r="AL2">
        <f>SUMIF('Point Estimates'!$C$5:$C$141,Planilha1!$A2,'Point Estimates'!AO$5:AO$141)</f>
        <v>4463.8083394786599</v>
      </c>
      <c r="AM2">
        <f>SUMIF('Point Estimates'!$C$5:$C$141,Planilha1!$A2,'Point Estimates'!AP$5:AP$141)</f>
        <v>4454.1011779807068</v>
      </c>
      <c r="AN2">
        <f>SUMIF('Point Estimates'!$C$5:$C$141,Planilha1!$A2,'Point Estimates'!AQ$5:AQ$141)</f>
        <v>4448.2262838228698</v>
      </c>
      <c r="AO2">
        <f>SUMIF('Point Estimates'!$C$5:$C$141,Planilha1!$A2,'Point Estimates'!AR$5:AR$141)</f>
        <v>4446.5027182614458</v>
      </c>
      <c r="AP2">
        <f>SUMIF('Point Estimates'!$C$5:$C$141,Planilha1!$A2,'Point Estimates'!AS$5:AS$141)</f>
        <v>4448.2803544701528</v>
      </c>
      <c r="AQ2">
        <f>SUMIF('Point Estimates'!$C$5:$C$141,Planilha1!$A2,'Point Estimates'!AT$5:AT$141)</f>
        <v>4452.491936917414</v>
      </c>
      <c r="AR2">
        <f>SUMIF('Point Estimates'!$C$5:$C$141,Planilha1!$A2,'Point Estimates'!AU$5:AU$141)</f>
        <v>4457.0885434991978</v>
      </c>
      <c r="AS2">
        <f>SUMIF('Point Estimates'!$C$5:$C$141,Planilha1!$A2,'Point Estimates'!AV$5:AV$141)</f>
        <v>4460.9335192736025</v>
      </c>
      <c r="AT2">
        <f>SUMIF('Point Estimates'!$C$5:$C$141,Planilha1!$A2,'Point Estimates'!AW$5:AW$141)</f>
        <v>4462.8948022257937</v>
      </c>
      <c r="AU2">
        <f>SUMIF('Point Estimates'!$C$5:$C$141,Planilha1!$A2,'Point Estimates'!AX$5:AX$141)</f>
        <v>4462.7585535742401</v>
      </c>
      <c r="AV2">
        <f>SUMIF('Point Estimates'!$C$5:$C$141,Planilha1!$A2,'Point Estimates'!AY$5:AY$141)</f>
        <v>4460.8230458534335</v>
      </c>
      <c r="AW2">
        <f>SUMIF('Point Estimates'!$C$5:$C$141,Planilha1!$A2,'Point Estimates'!AZ$5:AZ$141)</f>
        <v>4457.6718577216379</v>
      </c>
      <c r="AX2">
        <f>SUMIF('Point Estimates'!$C$5:$C$141,Planilha1!$A2,'Point Estimates'!BA$5:BA$141)</f>
        <v>4454.1937385843776</v>
      </c>
    </row>
    <row r="3" spans="1:50" x14ac:dyDescent="0.2">
      <c r="A3" t="s">
        <v>163</v>
      </c>
      <c r="B3">
        <f>SUMIF('Point Estimates'!$C$5:$C$141,Planilha1!$A3,'Point Estimates'!E$5:E$141)</f>
        <v>14460.405180507647</v>
      </c>
      <c r="C3">
        <f>SUMIF('Point Estimates'!$C$5:$C$141,Planilha1!$A3,'Point Estimates'!F$5:F$141)</f>
        <v>15470.901040840117</v>
      </c>
      <c r="D3">
        <f>SUMIF('Point Estimates'!$C$5:$C$141,Planilha1!$A3,'Point Estimates'!G$5:G$141)</f>
        <v>14241.767665023604</v>
      </c>
      <c r="E3">
        <f>SUMIF('Point Estimates'!$C$5:$C$141,Planilha1!$A3,'Point Estimates'!H$5:H$141)</f>
        <v>15203.588557265708</v>
      </c>
      <c r="F3">
        <f>SUMIF('Point Estimates'!$C$5:$C$141,Planilha1!$A3,'Point Estimates'!I$5:I$141)</f>
        <v>14356.811378840001</v>
      </c>
      <c r="G3">
        <f>SUMIF('Point Estimates'!$C$5:$C$141,Planilha1!$A3,'Point Estimates'!J$5:J$141)</f>
        <v>16950.343595127681</v>
      </c>
      <c r="H3">
        <f>SUMIF('Point Estimates'!$C$5:$C$141,Planilha1!$A3,'Point Estimates'!K$5:K$141)</f>
        <v>16042.785734117133</v>
      </c>
      <c r="I3">
        <f>SUMIF('Point Estimates'!$C$5:$C$141,Planilha1!$A3,'Point Estimates'!L$5:L$141)</f>
        <v>16756.248049486319</v>
      </c>
      <c r="J3">
        <f>SUMIF('Point Estimates'!$C$5:$C$141,Planilha1!$A3,'Point Estimates'!M$5:M$141)</f>
        <v>17370.139657247611</v>
      </c>
      <c r="K3">
        <f>SUMIF('Point Estimates'!$C$5:$C$141,Planilha1!$A3,'Point Estimates'!N$5:N$141)</f>
        <v>17694.783331542734</v>
      </c>
      <c r="L3">
        <f>SUMIF('Point Estimates'!$C$5:$C$141,Planilha1!$A3,'Point Estimates'!O$5:O$141)</f>
        <v>18078.91442839595</v>
      </c>
      <c r="M3">
        <f>SUMIF('Point Estimates'!$C$5:$C$141,Planilha1!$A3,'Point Estimates'!P$5:P$141)</f>
        <v>17201.523376005876</v>
      </c>
      <c r="N3">
        <f>SUMIF('Point Estimates'!$C$5:$C$141,Planilha1!$A3,'Point Estimates'!Q$5:Q$141)</f>
        <v>16877.859910708943</v>
      </c>
      <c r="O3">
        <f>SUMIF('Point Estimates'!$C$5:$C$141,Planilha1!$A3,'Point Estimates'!R$5:R$141)</f>
        <v>16386.151489022952</v>
      </c>
      <c r="P3">
        <f>SUMIF('Point Estimates'!$C$5:$C$141,Planilha1!$A3,'Point Estimates'!S$5:S$141)</f>
        <v>16213.859168798521</v>
      </c>
      <c r="Q3">
        <f>SUMIF('Point Estimates'!$C$5:$C$141,Planilha1!$A3,'Point Estimates'!T$5:T$141)</f>
        <v>16251.017580247166</v>
      </c>
      <c r="R3">
        <f>SUMIF('Point Estimates'!$C$5:$C$141,Planilha1!$A3,'Point Estimates'!U$5:U$141)</f>
        <v>16272.171560301906</v>
      </c>
      <c r="S3">
        <f>SUMIF('Point Estimates'!$C$5:$C$141,Planilha1!$A3,'Point Estimates'!V$5:V$141)</f>
        <v>16572.934087104961</v>
      </c>
      <c r="T3">
        <f>SUMIF('Point Estimates'!$C$5:$C$141,Planilha1!$A3,'Point Estimates'!W$5:W$141)</f>
        <v>16760.548448205722</v>
      </c>
      <c r="U3">
        <f>SUMIF('Point Estimates'!$C$5:$C$141,Planilha1!$A3,'Point Estimates'!X$5:X$141)</f>
        <v>16975.056161265766</v>
      </c>
      <c r="V3">
        <f>SUMIF('Point Estimates'!$C$5:$C$141,Planilha1!$A3,'Point Estimates'!Y$5:Y$141)</f>
        <v>17067.783955265793</v>
      </c>
      <c r="W3">
        <f>SUMIF('Point Estimates'!$C$5:$C$141,Planilha1!$A3,'Point Estimates'!Z$5:Z$141)</f>
        <v>17055.77253219745</v>
      </c>
      <c r="X3">
        <f>SUMIF('Point Estimates'!$C$5:$C$141,Planilha1!$A3,'Point Estimates'!AA$5:AA$141)</f>
        <v>17012.520809827671</v>
      </c>
      <c r="Y3">
        <f>SUMIF('Point Estimates'!$C$5:$C$141,Planilha1!$A3,'Point Estimates'!AB$5:AB$141)</f>
        <v>16890.345203109246</v>
      </c>
      <c r="Z3">
        <f>SUMIF('Point Estimates'!$C$5:$C$141,Planilha1!$A3,'Point Estimates'!AC$5:AC$141)</f>
        <v>16788.663138356827</v>
      </c>
      <c r="AA3">
        <f>SUMIF('Point Estimates'!$C$5:$C$141,Planilha1!$A3,'Point Estimates'!AD$5:AD$141)</f>
        <v>16683.878222674342</v>
      </c>
      <c r="AB3">
        <f>SUMIF('Point Estimates'!$C$5:$C$141,Planilha1!$A3,'Point Estimates'!AE$5:AE$141)</f>
        <v>16620.494129899107</v>
      </c>
      <c r="AC3">
        <f>SUMIF('Point Estimates'!$C$5:$C$141,Planilha1!$A3,'Point Estimates'!AF$5:AF$141)</f>
        <v>16603.795266198777</v>
      </c>
      <c r="AD3">
        <f>SUMIF('Point Estimates'!$C$5:$C$141,Planilha1!$A3,'Point Estimates'!AG$5:AG$141)</f>
        <v>16617.999499864578</v>
      </c>
      <c r="AE3">
        <f>SUMIF('Point Estimates'!$C$5:$C$141,Planilha1!$A3,'Point Estimates'!AH$5:AH$141)</f>
        <v>16667.685412588882</v>
      </c>
      <c r="AF3">
        <f>SUMIF('Point Estimates'!$C$5:$C$141,Planilha1!$A3,'Point Estimates'!AI$5:AI$141)</f>
        <v>16720.027178054748</v>
      </c>
      <c r="AG3">
        <f>SUMIF('Point Estimates'!$C$5:$C$141,Planilha1!$A3,'Point Estimates'!AJ$5:AJ$141)</f>
        <v>16770.228666100549</v>
      </c>
      <c r="AH3">
        <f>SUMIF('Point Estimates'!$C$5:$C$141,Planilha1!$A3,'Point Estimates'!AK$5:AK$141)</f>
        <v>16800.56672132717</v>
      </c>
      <c r="AI3">
        <f>SUMIF('Point Estimates'!$C$5:$C$141,Planilha1!$A3,'Point Estimates'!AL$5:AL$141)</f>
        <v>16806.082848085174</v>
      </c>
      <c r="AJ3">
        <f>SUMIF('Point Estimates'!$C$5:$C$141,Planilha1!$A3,'Point Estimates'!AM$5:AM$141)</f>
        <v>16791.281748919111</v>
      </c>
      <c r="AK3">
        <f>SUMIF('Point Estimates'!$C$5:$C$141,Planilha1!$A3,'Point Estimates'!AN$5:AN$141)</f>
        <v>16759.636975411104</v>
      </c>
      <c r="AL3">
        <f>SUMIF('Point Estimates'!$C$5:$C$141,Planilha1!$A3,'Point Estimates'!AO$5:AO$141)</f>
        <v>16724.80962858272</v>
      </c>
      <c r="AM3">
        <f>SUMIF('Point Estimates'!$C$5:$C$141,Planilha1!$A3,'Point Estimates'!AP$5:AP$141)</f>
        <v>16693.472261237184</v>
      </c>
      <c r="AN3">
        <f>SUMIF('Point Estimates'!$C$5:$C$141,Planilha1!$A3,'Point Estimates'!AQ$5:AQ$141)</f>
        <v>16673.126187590635</v>
      </c>
      <c r="AO3">
        <f>SUMIF('Point Estimates'!$C$5:$C$141,Planilha1!$A3,'Point Estimates'!AR$5:AR$141)</f>
        <v>16665.899512625259</v>
      </c>
      <c r="AP3">
        <f>SUMIF('Point Estimates'!$C$5:$C$141,Planilha1!$A3,'Point Estimates'!AS$5:AS$141)</f>
        <v>16669.646130486686</v>
      </c>
      <c r="AQ3">
        <f>SUMIF('Point Estimates'!$C$5:$C$141,Planilha1!$A3,'Point Estimates'!AT$5:AT$141)</f>
        <v>16681.2057194316</v>
      </c>
      <c r="AR3">
        <f>SUMIF('Point Estimates'!$C$5:$C$141,Planilha1!$A3,'Point Estimates'!AU$5:AU$141)</f>
        <v>16694.723784008736</v>
      </c>
      <c r="AS3">
        <f>SUMIF('Point Estimates'!$C$5:$C$141,Planilha1!$A3,'Point Estimates'!AV$5:AV$141)</f>
        <v>16706.31592132126</v>
      </c>
      <c r="AT3">
        <f>SUMIF('Point Estimates'!$C$5:$C$141,Planilha1!$A3,'Point Estimates'!AW$5:AW$141)</f>
        <v>16712.750810315902</v>
      </c>
      <c r="AU3">
        <f>SUMIF('Point Estimates'!$C$5:$C$141,Planilha1!$A3,'Point Estimates'!AX$5:AX$141)</f>
        <v>16712.989737864646</v>
      </c>
      <c r="AV3">
        <f>SUMIF('Point Estimates'!$C$5:$C$141,Planilha1!$A3,'Point Estimates'!AY$5:AY$141)</f>
        <v>16707.842841821941</v>
      </c>
      <c r="AW3">
        <f>SUMIF('Point Estimates'!$C$5:$C$141,Planilha1!$A3,'Point Estimates'!AZ$5:AZ$141)</f>
        <v>16698.959907680648</v>
      </c>
      <c r="AX3">
        <f>SUMIF('Point Estimates'!$C$5:$C$141,Planilha1!$A3,'Point Estimates'!BA$5:BA$141)</f>
        <v>16688.899561891689</v>
      </c>
    </row>
    <row r="4" spans="1:50" x14ac:dyDescent="0.2">
      <c r="A4" t="s">
        <v>206</v>
      </c>
      <c r="B4">
        <f>SUMIF('Point Estimates'!$C$5:$C$141,Planilha1!$A4,'Point Estimates'!E$5:E$141)</f>
        <v>56453.121453811196</v>
      </c>
      <c r="C4">
        <f>SUMIF('Point Estimates'!$C$5:$C$141,Planilha1!$A4,'Point Estimates'!F$5:F$141)</f>
        <v>39658.947203692733</v>
      </c>
      <c r="D4">
        <f>SUMIF('Point Estimates'!$C$5:$C$141,Planilha1!$A4,'Point Estimates'!G$5:G$141)</f>
        <v>35656.128212293595</v>
      </c>
      <c r="E4">
        <f>SUMIF('Point Estimates'!$C$5:$C$141,Planilha1!$A4,'Point Estimates'!H$5:H$141)</f>
        <v>33100.506384495893</v>
      </c>
      <c r="F4">
        <f>SUMIF('Point Estimates'!$C$5:$C$141,Planilha1!$A4,'Point Estimates'!I$5:I$141)</f>
        <v>34061.980289207699</v>
      </c>
      <c r="G4">
        <f>SUMIF('Point Estimates'!$C$5:$C$141,Planilha1!$A4,'Point Estimates'!J$5:J$141)</f>
        <v>48813.021567601725</v>
      </c>
      <c r="H4">
        <f>SUMIF('Point Estimates'!$C$5:$C$141,Planilha1!$A4,'Point Estimates'!K$5:K$141)</f>
        <v>47408.191551400698</v>
      </c>
      <c r="I4">
        <f>SUMIF('Point Estimates'!$C$5:$C$141,Planilha1!$A4,'Point Estimates'!L$5:L$141)</f>
        <v>55149.244150505088</v>
      </c>
      <c r="J4">
        <f>SUMIF('Point Estimates'!$C$5:$C$141,Planilha1!$A4,'Point Estimates'!M$5:M$141)</f>
        <v>56559.019943588588</v>
      </c>
      <c r="K4">
        <f>SUMIF('Point Estimates'!$C$5:$C$141,Planilha1!$A4,'Point Estimates'!N$5:N$141)</f>
        <v>58456.664575779272</v>
      </c>
      <c r="L4">
        <f>SUMIF('Point Estimates'!$C$5:$C$141,Planilha1!$A4,'Point Estimates'!O$5:O$141)</f>
        <v>58836.641431332318</v>
      </c>
      <c r="M4">
        <f>SUMIF('Point Estimates'!$C$5:$C$141,Planilha1!$A4,'Point Estimates'!P$5:P$141)</f>
        <v>54324.698242670835</v>
      </c>
      <c r="N4">
        <f>SUMIF('Point Estimates'!$C$5:$C$141,Planilha1!$A4,'Point Estimates'!Q$5:Q$141)</f>
        <v>52372.437162387461</v>
      </c>
      <c r="O4">
        <f>SUMIF('Point Estimates'!$C$5:$C$141,Planilha1!$A4,'Point Estimates'!R$5:R$141)</f>
        <v>48788.884637367097</v>
      </c>
      <c r="P4">
        <f>SUMIF('Point Estimates'!$C$5:$C$141,Planilha1!$A4,'Point Estimates'!S$5:S$141)</f>
        <v>47807.544184931015</v>
      </c>
      <c r="Q4">
        <f>SUMIF('Point Estimates'!$C$5:$C$141,Planilha1!$A4,'Point Estimates'!T$5:T$141)</f>
        <v>47644.966792254636</v>
      </c>
      <c r="R4">
        <f>SUMIF('Point Estimates'!$C$5:$C$141,Planilha1!$A4,'Point Estimates'!U$5:U$141)</f>
        <v>48268.73254210061</v>
      </c>
      <c r="S4">
        <f>SUMIF('Point Estimates'!$C$5:$C$141,Planilha1!$A4,'Point Estimates'!V$5:V$141)</f>
        <v>50219.465638612222</v>
      </c>
      <c r="T4">
        <f>SUMIF('Point Estimates'!$C$5:$C$141,Planilha1!$A4,'Point Estimates'!W$5:W$141)</f>
        <v>51627.982146595299</v>
      </c>
      <c r="U4">
        <f>SUMIF('Point Estimates'!$C$5:$C$141,Planilha1!$A4,'Point Estimates'!X$5:X$141)</f>
        <v>53238.682412595866</v>
      </c>
      <c r="V4">
        <f>SUMIF('Point Estimates'!$C$5:$C$141,Planilha1!$A4,'Point Estimates'!Y$5:Y$141)</f>
        <v>53917.54637288885</v>
      </c>
      <c r="W4">
        <f>SUMIF('Point Estimates'!$C$5:$C$141,Planilha1!$A4,'Point Estimates'!Z$5:Z$141)</f>
        <v>54042.780802549983</v>
      </c>
      <c r="X4">
        <f>SUMIF('Point Estimates'!$C$5:$C$141,Planilha1!$A4,'Point Estimates'!AA$5:AA$141)</f>
        <v>53726.981410765089</v>
      </c>
      <c r="Y4">
        <f>SUMIF('Point Estimates'!$C$5:$C$141,Planilha1!$A4,'Point Estimates'!AB$5:AB$141)</f>
        <v>52969.154222587153</v>
      </c>
      <c r="Z4">
        <f>SUMIF('Point Estimates'!$C$5:$C$141,Planilha1!$A4,'Point Estimates'!AC$5:AC$141)</f>
        <v>52300.167113627176</v>
      </c>
      <c r="AA4">
        <f>SUMIF('Point Estimates'!$C$5:$C$141,Planilha1!$A4,'Point Estimates'!AD$5:AD$141)</f>
        <v>51632.510293101819</v>
      </c>
      <c r="AB4">
        <f>SUMIF('Point Estimates'!$C$5:$C$141,Planilha1!$A4,'Point Estimates'!AE$5:AE$141)</f>
        <v>51289.714752676315</v>
      </c>
      <c r="AC4">
        <f>SUMIF('Point Estimates'!$C$5:$C$141,Planilha1!$A4,'Point Estimates'!AF$5:AF$141)</f>
        <v>51224.635285959928</v>
      </c>
      <c r="AD4">
        <f>SUMIF('Point Estimates'!$C$5:$C$141,Planilha1!$A4,'Point Estimates'!AG$5:AG$141)</f>
        <v>51407.240380681134</v>
      </c>
      <c r="AE4">
        <f>SUMIF('Point Estimates'!$C$5:$C$141,Planilha1!$A4,'Point Estimates'!AH$5:AH$141)</f>
        <v>51797.633421625564</v>
      </c>
      <c r="AF4">
        <f>SUMIF('Point Estimates'!$C$5:$C$141,Planilha1!$A4,'Point Estimates'!AI$5:AI$141)</f>
        <v>52211.894238860536</v>
      </c>
      <c r="AG4">
        <f>SUMIF('Point Estimates'!$C$5:$C$141,Planilha1!$A4,'Point Estimates'!AJ$5:AJ$141)</f>
        <v>52605.617387396385</v>
      </c>
      <c r="AH4">
        <f>SUMIF('Point Estimates'!$C$5:$C$141,Planilha1!$A4,'Point Estimates'!AK$5:AK$141)</f>
        <v>52855.342912804132</v>
      </c>
      <c r="AI4">
        <f>SUMIF('Point Estimates'!$C$5:$C$141,Planilha1!$A4,'Point Estimates'!AL$5:AL$141)</f>
        <v>52946.815562689677</v>
      </c>
      <c r="AJ4">
        <f>SUMIF('Point Estimates'!$C$5:$C$141,Planilha1!$A4,'Point Estimates'!AM$5:AM$141)</f>
        <v>52891.286343151405</v>
      </c>
      <c r="AK4">
        <f>SUMIF('Point Estimates'!$C$5:$C$141,Planilha1!$A4,'Point Estimates'!AN$5:AN$141)</f>
        <v>52725.494004800261</v>
      </c>
      <c r="AL4">
        <f>SUMIF('Point Estimates'!$C$5:$C$141,Planilha1!$A4,'Point Estimates'!AO$5:AO$141)</f>
        <v>52531.136152577528</v>
      </c>
      <c r="AM4">
        <f>SUMIF('Point Estimates'!$C$5:$C$141,Planilha1!$A4,'Point Estimates'!AP$5:AP$141)</f>
        <v>52356.165733351183</v>
      </c>
      <c r="AN4">
        <f>SUMIF('Point Estimates'!$C$5:$C$141,Planilha1!$A4,'Point Estimates'!AQ$5:AQ$141)</f>
        <v>52254.31957353231</v>
      </c>
      <c r="AO4">
        <f>SUMIF('Point Estimates'!$C$5:$C$141,Planilha1!$A4,'Point Estimates'!AR$5:AR$141)</f>
        <v>52238.031475635027</v>
      </c>
      <c r="AP4">
        <f>SUMIF('Point Estimates'!$C$5:$C$141,Planilha1!$A4,'Point Estimates'!AS$5:AS$141)</f>
        <v>52298.63491812619</v>
      </c>
      <c r="AQ4">
        <f>SUMIF('Point Estimates'!$C$5:$C$141,Planilha1!$A4,'Point Estimates'!AT$5:AT$141)</f>
        <v>52411.774940506089</v>
      </c>
      <c r="AR4">
        <f>SUMIF('Point Estimates'!$C$5:$C$141,Planilha1!$A4,'Point Estimates'!AU$5:AU$141)</f>
        <v>52539.305372317584</v>
      </c>
      <c r="AS4">
        <f>SUMIF('Point Estimates'!$C$5:$C$141,Planilha1!$A4,'Point Estimates'!AV$5:AV$141)</f>
        <v>52653.087039285645</v>
      </c>
      <c r="AT4">
        <f>SUMIF('Point Estimates'!$C$5:$C$141,Planilha1!$A4,'Point Estimates'!AW$5:AW$141)</f>
        <v>52729.67695988201</v>
      </c>
      <c r="AU4">
        <f>SUMIF('Point Estimates'!$C$5:$C$141,Planilha1!$A4,'Point Estimates'!AX$5:AX$141)</f>
        <v>52762.282940652512</v>
      </c>
      <c r="AV4">
        <f>SUMIF('Point Estimates'!$C$5:$C$141,Planilha1!$A4,'Point Estimates'!AY$5:AY$141)</f>
        <v>52755.432422853562</v>
      </c>
      <c r="AW4">
        <f>SUMIF('Point Estimates'!$C$5:$C$141,Planilha1!$A4,'Point Estimates'!AZ$5:AZ$141)</f>
        <v>52721.630881788675</v>
      </c>
      <c r="AX4">
        <f>SUMIF('Point Estimates'!$C$5:$C$141,Planilha1!$A4,'Point Estimates'!BA$5:BA$141)</f>
        <v>52678.447038834754</v>
      </c>
    </row>
    <row r="5" spans="1:50" x14ac:dyDescent="0.2">
      <c r="A5" t="s">
        <v>244</v>
      </c>
      <c r="B5">
        <f>SUMIF('Point Estimates'!$C$5:$C$141,Planilha1!$A5,'Point Estimates'!E$5:E$141)</f>
        <v>24603.805127459746</v>
      </c>
      <c r="C5">
        <f>SUMIF('Point Estimates'!$C$5:$C$141,Planilha1!$A5,'Point Estimates'!F$5:F$141)</f>
        <v>13311.522617168584</v>
      </c>
      <c r="D5">
        <f>SUMIF('Point Estimates'!$C$5:$C$141,Planilha1!$A5,'Point Estimates'!G$5:G$141)</f>
        <v>12041.285904783903</v>
      </c>
      <c r="E5">
        <f>SUMIF('Point Estimates'!$C$5:$C$141,Planilha1!$A5,'Point Estimates'!H$5:H$141)</f>
        <v>12411.725795427899</v>
      </c>
      <c r="F5">
        <f>SUMIF('Point Estimates'!$C$5:$C$141,Planilha1!$A5,'Point Estimates'!I$5:I$141)</f>
        <v>14764.662437335097</v>
      </c>
      <c r="G5">
        <f>SUMIF('Point Estimates'!$C$5:$C$141,Planilha1!$A5,'Point Estimates'!J$5:J$141)</f>
        <v>22088.130954220836</v>
      </c>
      <c r="H5">
        <f>SUMIF('Point Estimates'!$C$5:$C$141,Planilha1!$A5,'Point Estimates'!K$5:K$141)</f>
        <v>20500.710312981471</v>
      </c>
      <c r="I5">
        <f>SUMIF('Point Estimates'!$C$5:$C$141,Planilha1!$A5,'Point Estimates'!L$5:L$141)</f>
        <v>23719.821470604118</v>
      </c>
      <c r="J5">
        <f>SUMIF('Point Estimates'!$C$5:$C$141,Planilha1!$A5,'Point Estimates'!M$5:M$141)</f>
        <v>23266.819076387077</v>
      </c>
      <c r="K5">
        <f>SUMIF('Point Estimates'!$C$5:$C$141,Planilha1!$A5,'Point Estimates'!N$5:N$141)</f>
        <v>23507.81917953668</v>
      </c>
      <c r="L5">
        <f>SUMIF('Point Estimates'!$C$5:$C$141,Planilha1!$A5,'Point Estimates'!O$5:O$141)</f>
        <v>23206.043185889757</v>
      </c>
      <c r="M5">
        <f>SUMIF('Point Estimates'!$C$5:$C$141,Planilha1!$A5,'Point Estimates'!P$5:P$141)</f>
        <v>21009.770947326633</v>
      </c>
      <c r="N5">
        <f>SUMIF('Point Estimates'!$C$5:$C$141,Planilha1!$A5,'Point Estimates'!Q$5:Q$141)</f>
        <v>20534.948134921273</v>
      </c>
      <c r="O5">
        <f>SUMIF('Point Estimates'!$C$5:$C$141,Planilha1!$A5,'Point Estimates'!R$5:R$141)</f>
        <v>19302.434194502526</v>
      </c>
      <c r="P5">
        <f>SUMIF('Point Estimates'!$C$5:$C$141,Planilha1!$A5,'Point Estimates'!S$5:S$141)</f>
        <v>19447.463023900447</v>
      </c>
      <c r="Q5">
        <f>SUMIF('Point Estimates'!$C$5:$C$141,Planilha1!$A5,'Point Estimates'!T$5:T$141)</f>
        <v>19791.124343717194</v>
      </c>
      <c r="R5">
        <f>SUMIF('Point Estimates'!$C$5:$C$141,Planilha1!$A5,'Point Estimates'!U$5:U$141)</f>
        <v>20377.916804299279</v>
      </c>
      <c r="S5">
        <f>SUMIF('Point Estimates'!$C$5:$C$141,Planilha1!$A5,'Point Estimates'!V$5:V$141)</f>
        <v>21422.946753781129</v>
      </c>
      <c r="T5">
        <f>SUMIF('Point Estimates'!$C$5:$C$141,Planilha1!$A5,'Point Estimates'!W$5:W$141)</f>
        <v>22028.651076592218</v>
      </c>
      <c r="U5">
        <f>SUMIF('Point Estimates'!$C$5:$C$141,Planilha1!$A5,'Point Estimates'!X$5:X$141)</f>
        <v>22667.896369356364</v>
      </c>
      <c r="V5">
        <f>SUMIF('Point Estimates'!$C$5:$C$141,Planilha1!$A5,'Point Estimates'!Y$5:Y$141)</f>
        <v>22800.55336159937</v>
      </c>
      <c r="W5">
        <f>SUMIF('Point Estimates'!$C$5:$C$141,Planilha1!$A5,'Point Estimates'!Z$5:Z$141)</f>
        <v>22717.557623017405</v>
      </c>
      <c r="X5">
        <f>SUMIF('Point Estimates'!$C$5:$C$141,Planilha1!$A5,'Point Estimates'!AA$5:AA$141)</f>
        <v>22488.103639761248</v>
      </c>
      <c r="Y5">
        <f>SUMIF('Point Estimates'!$C$5:$C$141,Planilha1!$A5,'Point Estimates'!AB$5:AB$141)</f>
        <v>22136.468783536697</v>
      </c>
      <c r="Z5">
        <f>SUMIF('Point Estimates'!$C$5:$C$141,Planilha1!$A5,'Point Estimates'!AC$5:AC$141)</f>
        <v>21918.199722723602</v>
      </c>
      <c r="AA5">
        <f>SUMIF('Point Estimates'!$C$5:$C$141,Planilha1!$A5,'Point Estimates'!AD$5:AD$141)</f>
        <v>21751.337353884119</v>
      </c>
      <c r="AB5">
        <f>SUMIF('Point Estimates'!$C$5:$C$141,Planilha1!$A5,'Point Estimates'!AE$5:AE$141)</f>
        <v>21767.99575682353</v>
      </c>
      <c r="AC5">
        <f>SUMIF('Point Estimates'!$C$5:$C$141,Planilha1!$A5,'Point Estimates'!AF$5:AF$141)</f>
        <v>21897.097715795753</v>
      </c>
      <c r="AD5">
        <f>SUMIF('Point Estimates'!$C$5:$C$141,Planilha1!$A5,'Point Estimates'!AG$5:AG$141)</f>
        <v>22103.121923098766</v>
      </c>
      <c r="AE5">
        <f>SUMIF('Point Estimates'!$C$5:$C$141,Planilha1!$A5,'Point Estimates'!AH$5:AH$141)</f>
        <v>22354.211541336481</v>
      </c>
      <c r="AF5">
        <f>SUMIF('Point Estimates'!$C$5:$C$141,Planilha1!$A5,'Point Estimates'!AI$5:AI$141)</f>
        <v>22565.42302266329</v>
      </c>
      <c r="AG5">
        <f>SUMIF('Point Estimates'!$C$5:$C$141,Planilha1!$A5,'Point Estimates'!AJ$5:AJ$141)</f>
        <v>22735.305273986352</v>
      </c>
      <c r="AH5">
        <f>SUMIF('Point Estimates'!$C$5:$C$141,Planilha1!$A5,'Point Estimates'!AK$5:AK$141)</f>
        <v>22822.967883102494</v>
      </c>
      <c r="AI5">
        <f>SUMIF('Point Estimates'!$C$5:$C$141,Planilha1!$A5,'Point Estimates'!AL$5:AL$141)</f>
        <v>22843.911982012956</v>
      </c>
      <c r="AJ5">
        <f>SUMIF('Point Estimates'!$C$5:$C$141,Planilha1!$A5,'Point Estimates'!AM$5:AM$141)</f>
        <v>22815.364950934982</v>
      </c>
      <c r="AK5">
        <f>SUMIF('Point Estimates'!$C$5:$C$141,Planilha1!$A5,'Point Estimates'!AN$5:AN$141)</f>
        <v>22759.84767133891</v>
      </c>
      <c r="AL5">
        <f>SUMIF('Point Estimates'!$C$5:$C$141,Planilha1!$A5,'Point Estimates'!AO$5:AO$141)</f>
        <v>22713.639017842364</v>
      </c>
      <c r="AM5">
        <f>SUMIF('Point Estimates'!$C$5:$C$141,Planilha1!$A5,'Point Estimates'!AP$5:AP$141)</f>
        <v>22690.483710992747</v>
      </c>
      <c r="AN5">
        <f>SUMIF('Point Estimates'!$C$5:$C$141,Planilha1!$A5,'Point Estimates'!AQ$5:AQ$141)</f>
        <v>22706.484692007798</v>
      </c>
      <c r="AO5">
        <f>SUMIF('Point Estimates'!$C$5:$C$141,Planilha1!$A5,'Point Estimates'!AR$5:AR$141)</f>
        <v>22757.691075229868</v>
      </c>
      <c r="AP5">
        <f>SUMIF('Point Estimates'!$C$5:$C$141,Planilha1!$A5,'Point Estimates'!AS$5:AS$141)</f>
        <v>22833.987618822786</v>
      </c>
      <c r="AQ5">
        <f>SUMIF('Point Estimates'!$C$5:$C$141,Planilha1!$A5,'Point Estimates'!AT$5:AT$141)</f>
        <v>22921.247899445538</v>
      </c>
      <c r="AR5">
        <f>SUMIF('Point Estimates'!$C$5:$C$141,Planilha1!$A5,'Point Estimates'!AU$5:AU$141)</f>
        <v>23002.349297914348</v>
      </c>
      <c r="AS5">
        <f>SUMIF('Point Estimates'!$C$5:$C$141,Planilha1!$A5,'Point Estimates'!AV$5:AV$141)</f>
        <v>23067.83967497334</v>
      </c>
      <c r="AT5">
        <f>SUMIF('Point Estimates'!$C$5:$C$141,Planilha1!$A5,'Point Estimates'!AW$5:AW$141)</f>
        <v>23111.377758501774</v>
      </c>
      <c r="AU5">
        <f>SUMIF('Point Estimates'!$C$5:$C$141,Planilha1!$A5,'Point Estimates'!AX$5:AX$141)</f>
        <v>23134.694154797169</v>
      </c>
      <c r="AV5">
        <f>SUMIF('Point Estimates'!$C$5:$C$141,Planilha1!$A5,'Point Estimates'!AY$5:AY$141)</f>
        <v>23143.429576381408</v>
      </c>
      <c r="AW5">
        <f>SUMIF('Point Estimates'!$C$5:$C$141,Planilha1!$A5,'Point Estimates'!AZ$5:AZ$141)</f>
        <v>23145.214678075856</v>
      </c>
      <c r="AX5">
        <f>SUMIF('Point Estimates'!$C$5:$C$141,Planilha1!$A5,'Point Estimates'!BA$5:BA$141)</f>
        <v>23148.151441378744</v>
      </c>
    </row>
    <row r="6" spans="1:50" x14ac:dyDescent="0.2">
      <c r="A6" t="s">
        <v>268</v>
      </c>
      <c r="B6">
        <f>SUMIF('Point Estimates'!$C$5:$C$141,Planilha1!$A6,'Point Estimates'!E$5:E$141)</f>
        <v>9641.6012728836195</v>
      </c>
      <c r="C6">
        <f>SUMIF('Point Estimates'!$C$5:$C$141,Planilha1!$A6,'Point Estimates'!F$5:F$141)</f>
        <v>4686.0715615952677</v>
      </c>
      <c r="D6">
        <f>SUMIF('Point Estimates'!$C$5:$C$141,Planilha1!$A6,'Point Estimates'!G$5:G$141)</f>
        <v>3161.6815745572112</v>
      </c>
      <c r="E6">
        <f>SUMIF('Point Estimates'!$C$5:$C$141,Planilha1!$A6,'Point Estimates'!H$5:H$141)</f>
        <v>4077.7057760871098</v>
      </c>
      <c r="F6">
        <f>SUMIF('Point Estimates'!$C$5:$C$141,Planilha1!$A6,'Point Estimates'!I$5:I$141)</f>
        <v>3570.8957527430307</v>
      </c>
      <c r="G6">
        <f>SUMIF('Point Estimates'!$C$5:$C$141,Planilha1!$A6,'Point Estimates'!J$5:J$141)</f>
        <v>6701.4695406573692</v>
      </c>
      <c r="H6">
        <f>SUMIF('Point Estimates'!$C$5:$C$141,Planilha1!$A6,'Point Estimates'!K$5:K$141)</f>
        <v>5843.1584353431417</v>
      </c>
      <c r="I6">
        <f>SUMIF('Point Estimates'!$C$5:$C$141,Planilha1!$A6,'Point Estimates'!L$5:L$141)</f>
        <v>7297.0933459612843</v>
      </c>
      <c r="J6">
        <f>SUMIF('Point Estimates'!$C$5:$C$141,Planilha1!$A6,'Point Estimates'!M$5:M$141)</f>
        <v>7717.0445429797528</v>
      </c>
      <c r="K6">
        <f>SUMIF('Point Estimates'!$C$5:$C$141,Planilha1!$A6,'Point Estimates'!N$5:N$141)</f>
        <v>7826.2577308117579</v>
      </c>
      <c r="L6">
        <f>SUMIF('Point Estimates'!$C$5:$C$141,Planilha1!$A6,'Point Estimates'!O$5:O$141)</f>
        <v>8124.5538386815779</v>
      </c>
      <c r="M6">
        <f>SUMIF('Point Estimates'!$C$5:$C$141,Planilha1!$A6,'Point Estimates'!P$5:P$141)</f>
        <v>7320.6586595101307</v>
      </c>
      <c r="N6">
        <f>SUMIF('Point Estimates'!$C$5:$C$141,Planilha1!$A6,'Point Estimates'!Q$5:Q$141)</f>
        <v>7325.6076447581545</v>
      </c>
      <c r="O6">
        <f>SUMIF('Point Estimates'!$C$5:$C$141,Planilha1!$A6,'Point Estimates'!R$5:R$141)</f>
        <v>6930.6483879184534</v>
      </c>
      <c r="P6">
        <f>SUMIF('Point Estimates'!$C$5:$C$141,Planilha1!$A6,'Point Estimates'!S$5:S$141)</f>
        <v>6918.9767984712307</v>
      </c>
      <c r="Q6">
        <f>SUMIF('Point Estimates'!$C$5:$C$141,Planilha1!$A6,'Point Estimates'!T$5:T$141)</f>
        <v>7064.7407844714817</v>
      </c>
      <c r="R6">
        <f>SUMIF('Point Estimates'!$C$5:$C$141,Planilha1!$A6,'Point Estimates'!U$5:U$141)</f>
        <v>7210.7170608596116</v>
      </c>
      <c r="S6">
        <f>SUMIF('Point Estimates'!$C$5:$C$141,Planilha1!$A6,'Point Estimates'!V$5:V$141)</f>
        <v>7649.2966352958565</v>
      </c>
      <c r="T6">
        <f>SUMIF('Point Estimates'!$C$5:$C$141,Planilha1!$A6,'Point Estimates'!W$5:W$141)</f>
        <v>7918.2038548740638</v>
      </c>
      <c r="U6">
        <f>SUMIF('Point Estimates'!$C$5:$C$141,Planilha1!$A6,'Point Estimates'!X$5:X$141)</f>
        <v>8246.5008068451571</v>
      </c>
      <c r="V6">
        <f>SUMIF('Point Estimates'!$C$5:$C$141,Planilha1!$A6,'Point Estimates'!Y$5:Y$141)</f>
        <v>8427.0546904324765</v>
      </c>
      <c r="W6">
        <f>SUMIF('Point Estimates'!$C$5:$C$141,Planilha1!$A6,'Point Estimates'!Z$5:Z$141)</f>
        <v>8510.6751857625459</v>
      </c>
      <c r="X6">
        <f>SUMIF('Point Estimates'!$C$5:$C$141,Planilha1!$A6,'Point Estimates'!AA$5:AA$141)</f>
        <v>8552.1825892318466</v>
      </c>
      <c r="Y6">
        <f>SUMIF('Point Estimates'!$C$5:$C$141,Planilha1!$A6,'Point Estimates'!AB$5:AB$141)</f>
        <v>8502.6754089687693</v>
      </c>
      <c r="Z6">
        <f>SUMIF('Point Estimates'!$C$5:$C$141,Planilha1!$A6,'Point Estimates'!AC$5:AC$141)</f>
        <v>8484.1381235488825</v>
      </c>
      <c r="AA6">
        <f>SUMIF('Point Estimates'!$C$5:$C$141,Planilha1!$A6,'Point Estimates'!AD$5:AD$141)</f>
        <v>8459.6374662919552</v>
      </c>
      <c r="AB6">
        <f>SUMIF('Point Estimates'!$C$5:$C$141,Planilha1!$A6,'Point Estimates'!AE$5:AE$141)</f>
        <v>8487.134458541921</v>
      </c>
      <c r="AC6">
        <f>SUMIF('Point Estimates'!$C$5:$C$141,Planilha1!$A6,'Point Estimates'!AF$5:AF$141)</f>
        <v>8559.0256953462995</v>
      </c>
      <c r="AD6">
        <f>SUMIF('Point Estimates'!$C$5:$C$141,Planilha1!$A6,'Point Estimates'!AG$5:AG$141)</f>
        <v>8658.5402756611966</v>
      </c>
      <c r="AE6">
        <f>SUMIF('Point Estimates'!$C$5:$C$141,Planilha1!$A6,'Point Estimates'!AH$5:AH$141)</f>
        <v>8788.518428452473</v>
      </c>
      <c r="AF6">
        <f>SUMIF('Point Estimates'!$C$5:$C$141,Planilha1!$A6,'Point Estimates'!AI$5:AI$141)</f>
        <v>8911.4955648774594</v>
      </c>
      <c r="AG6">
        <f>SUMIF('Point Estimates'!$C$5:$C$141,Planilha1!$A6,'Point Estimates'!AJ$5:AJ$141)</f>
        <v>9027.4132021034038</v>
      </c>
      <c r="AH6">
        <f>SUMIF('Point Estimates'!$C$5:$C$141,Planilha1!$A6,'Point Estimates'!AK$5:AK$141)</f>
        <v>9117.3600485839543</v>
      </c>
      <c r="AI6">
        <f>SUMIF('Point Estimates'!$C$5:$C$141,Planilha1!$A6,'Point Estimates'!AL$5:AL$141)</f>
        <v>9180.8394349046084</v>
      </c>
      <c r="AJ6">
        <f>SUMIF('Point Estimates'!$C$5:$C$141,Planilha1!$A6,'Point Estimates'!AM$5:AM$141)</f>
        <v>9223.3851989075847</v>
      </c>
      <c r="AK6">
        <f>SUMIF('Point Estimates'!$C$5:$C$141,Planilha1!$A6,'Point Estimates'!AN$5:AN$141)</f>
        <v>9248.7691838659994</v>
      </c>
      <c r="AL6">
        <f>SUMIF('Point Estimates'!$C$5:$C$141,Planilha1!$A6,'Point Estimates'!AO$5:AO$141)</f>
        <v>9271.1329629432548</v>
      </c>
      <c r="AM6">
        <f>SUMIF('Point Estimates'!$C$5:$C$141,Planilha1!$A6,'Point Estimates'!AP$5:AP$141)</f>
        <v>9295.537419181037</v>
      </c>
      <c r="AN6">
        <f>SUMIF('Point Estimates'!$C$5:$C$141,Planilha1!$A6,'Point Estimates'!AQ$5:AQ$141)</f>
        <v>9329.5974766613654</v>
      </c>
      <c r="AO6">
        <f>SUMIF('Point Estimates'!$C$5:$C$141,Planilha1!$A6,'Point Estimates'!AR$5:AR$141)</f>
        <v>9374.5807705002007</v>
      </c>
      <c r="AP6">
        <f>SUMIF('Point Estimates'!$C$5:$C$141,Planilha1!$A6,'Point Estimates'!AS$5:AS$141)</f>
        <v>9428.3188980024606</v>
      </c>
      <c r="AQ6">
        <f>SUMIF('Point Estimates'!$C$5:$C$141,Planilha1!$A6,'Point Estimates'!AT$5:AT$141)</f>
        <v>9487.6879578976768</v>
      </c>
      <c r="AR6">
        <f>SUMIF('Point Estimates'!$C$5:$C$141,Planilha1!$A6,'Point Estimates'!AU$5:AU$141)</f>
        <v>9546.6880128679768</v>
      </c>
      <c r="AS6">
        <f>SUMIF('Point Estimates'!$C$5:$C$141,Planilha1!$A6,'Point Estimates'!AV$5:AV$141)</f>
        <v>9601.7242368033676</v>
      </c>
      <c r="AT6">
        <f>SUMIF('Point Estimates'!$C$5:$C$141,Planilha1!$A6,'Point Estimates'!AW$5:AW$141)</f>
        <v>9649.5279302645013</v>
      </c>
      <c r="AU6">
        <f>SUMIF('Point Estimates'!$C$5:$C$141,Planilha1!$A6,'Point Estimates'!AX$5:AX$141)</f>
        <v>9689.3763288759001</v>
      </c>
      <c r="AV6">
        <f>SUMIF('Point Estimates'!$C$5:$C$141,Planilha1!$A6,'Point Estimates'!AY$5:AY$141)</f>
        <v>9722.3288612101333</v>
      </c>
      <c r="AW6">
        <f>SUMIF('Point Estimates'!$C$5:$C$141,Planilha1!$A6,'Point Estimates'!AZ$5:AZ$141)</f>
        <v>9750.3160017763912</v>
      </c>
      <c r="AX6">
        <f>SUMIF('Point Estimates'!$C$5:$C$141,Planilha1!$A6,'Point Estimates'!BA$5:BA$141)</f>
        <v>9776.167469320324</v>
      </c>
    </row>
    <row r="8" spans="1:50" x14ac:dyDescent="0.2">
      <c r="B8">
        <f>SUM(B2:B6)</f>
        <v>110583.6209152113</v>
      </c>
      <c r="C8">
        <f t="shared" ref="C8:AX8" si="0">SUM(C2:C6)</f>
        <v>77387.972263434465</v>
      </c>
      <c r="D8">
        <f t="shared" si="0"/>
        <v>69055.985002697082</v>
      </c>
      <c r="E8">
        <f t="shared" si="0"/>
        <v>68451.94473852127</v>
      </c>
      <c r="F8">
        <f t="shared" si="0"/>
        <v>70028.289493234581</v>
      </c>
      <c r="G8">
        <f t="shared" si="0"/>
        <v>98995.593832797807</v>
      </c>
      <c r="H8">
        <f t="shared" si="0"/>
        <v>93880.478809783017</v>
      </c>
      <c r="I8">
        <f t="shared" si="0"/>
        <v>107505.63999127393</v>
      </c>
      <c r="J8">
        <f t="shared" si="0"/>
        <v>109491.06843548059</v>
      </c>
      <c r="K8">
        <f t="shared" si="0"/>
        <v>112133.43555685027</v>
      </c>
      <c r="L8">
        <f t="shared" si="0"/>
        <v>113016.4918273752</v>
      </c>
      <c r="M8">
        <f t="shared" si="0"/>
        <v>104321.62312129137</v>
      </c>
      <c r="N8">
        <f t="shared" si="0"/>
        <v>101544.47494651702</v>
      </c>
      <c r="O8">
        <f t="shared" si="0"/>
        <v>95635.844656576111</v>
      </c>
      <c r="P8">
        <f t="shared" si="0"/>
        <v>94595.526776194427</v>
      </c>
      <c r="Q8">
        <f t="shared" si="0"/>
        <v>94978.169561411938</v>
      </c>
      <c r="R8">
        <f t="shared" si="0"/>
        <v>96378.058813790834</v>
      </c>
      <c r="S8">
        <f t="shared" si="0"/>
        <v>100233.00655052137</v>
      </c>
      <c r="T8">
        <f t="shared" si="0"/>
        <v>102758.09617988611</v>
      </c>
      <c r="U8">
        <f t="shared" si="0"/>
        <v>105636.82870125138</v>
      </c>
      <c r="V8">
        <f t="shared" si="0"/>
        <v>106750.03692913955</v>
      </c>
      <c r="W8">
        <f t="shared" si="0"/>
        <v>106865.73330180682</v>
      </c>
      <c r="X8">
        <f t="shared" si="0"/>
        <v>106307.32040585374</v>
      </c>
      <c r="Y8">
        <f t="shared" si="0"/>
        <v>104986.03047392445</v>
      </c>
      <c r="Z8">
        <f t="shared" si="0"/>
        <v>103951.64981153043</v>
      </c>
      <c r="AA8">
        <f t="shared" si="0"/>
        <v>102955.43247571029</v>
      </c>
      <c r="AB8">
        <f t="shared" si="0"/>
        <v>102578.69743871674</v>
      </c>
      <c r="AC8">
        <f t="shared" si="0"/>
        <v>102696.09149601475</v>
      </c>
      <c r="AD8">
        <f t="shared" si="0"/>
        <v>103206.53689592163</v>
      </c>
      <c r="AE8">
        <f t="shared" si="0"/>
        <v>104047.35559153752</v>
      </c>
      <c r="AF8">
        <f t="shared" si="0"/>
        <v>104866.59448677294</v>
      </c>
      <c r="AG8">
        <f t="shared" si="0"/>
        <v>105614.54601760383</v>
      </c>
      <c r="AH8">
        <f t="shared" si="0"/>
        <v>106082.55086681766</v>
      </c>
      <c r="AI8">
        <f t="shared" si="0"/>
        <v>106266.40854226673</v>
      </c>
      <c r="AJ8">
        <f t="shared" si="0"/>
        <v>106205.74220443491</v>
      </c>
      <c r="AK8">
        <f t="shared" si="0"/>
        <v>105968.20078367439</v>
      </c>
      <c r="AL8">
        <f t="shared" si="0"/>
        <v>105704.52610142453</v>
      </c>
      <c r="AM8">
        <f t="shared" si="0"/>
        <v>105489.76030274286</v>
      </c>
      <c r="AN8">
        <f t="shared" si="0"/>
        <v>105411.75421361499</v>
      </c>
      <c r="AO8">
        <f t="shared" si="0"/>
        <v>105482.70555225181</v>
      </c>
      <c r="AP8">
        <f t="shared" si="0"/>
        <v>105678.86791990827</v>
      </c>
      <c r="AQ8">
        <f t="shared" si="0"/>
        <v>105954.40845419832</v>
      </c>
      <c r="AR8">
        <f t="shared" si="0"/>
        <v>106240.15501060785</v>
      </c>
      <c r="AS8">
        <f t="shared" si="0"/>
        <v>106489.90039165721</v>
      </c>
      <c r="AT8">
        <f t="shared" si="0"/>
        <v>106666.22826118997</v>
      </c>
      <c r="AU8">
        <f t="shared" si="0"/>
        <v>106762.10171576447</v>
      </c>
      <c r="AV8">
        <f t="shared" si="0"/>
        <v>106789.85674812047</v>
      </c>
      <c r="AW8">
        <f t="shared" si="0"/>
        <v>106773.7933270432</v>
      </c>
      <c r="AX8">
        <f t="shared" si="0"/>
        <v>106745.8592500099</v>
      </c>
    </row>
    <row r="9" spans="1:50" x14ac:dyDescent="0.2">
      <c r="B9">
        <f>'Point Estimates'!E143</f>
        <v>110583.62091521129</v>
      </c>
      <c r="C9">
        <f>'Point Estimates'!F143</f>
        <v>77387.97226343448</v>
      </c>
      <c r="D9">
        <f>'Point Estimates'!G143</f>
        <v>69055.985002697053</v>
      </c>
      <c r="E9">
        <f>'Point Estimates'!H143</f>
        <v>68451.944738521284</v>
      </c>
      <c r="F9">
        <f>'Point Estimates'!I143</f>
        <v>70028.289493234595</v>
      </c>
      <c r="G9">
        <f>'Point Estimates'!J143</f>
        <v>98995.593832797793</v>
      </c>
      <c r="H9">
        <f>'Point Estimates'!K143</f>
        <v>93880.478809783031</v>
      </c>
      <c r="I9">
        <f>'Point Estimates'!L143</f>
        <v>107505.63999127393</v>
      </c>
      <c r="J9">
        <f>'Point Estimates'!M143</f>
        <v>109491.06843548059</v>
      </c>
      <c r="K9">
        <f>'Point Estimates'!N143</f>
        <v>112133.43555685025</v>
      </c>
      <c r="L9">
        <f>'Point Estimates'!O143</f>
        <v>113016.49182737523</v>
      </c>
      <c r="M9">
        <f>'Point Estimates'!P143</f>
        <v>104321.62312129137</v>
      </c>
      <c r="N9">
        <f>'Point Estimates'!Q143</f>
        <v>101544.47494651709</v>
      </c>
      <c r="O9">
        <f>'Point Estimates'!R143</f>
        <v>95635.844656576097</v>
      </c>
      <c r="P9">
        <f>'Point Estimates'!S143</f>
        <v>94595.526776194369</v>
      </c>
      <c r="Q9">
        <f>'Point Estimates'!T143</f>
        <v>94978.169561411938</v>
      </c>
      <c r="R9">
        <f>'Point Estimates'!U143</f>
        <v>96378.05881379082</v>
      </c>
      <c r="S9">
        <f>'Point Estimates'!V143</f>
        <v>100233.00655052139</v>
      </c>
      <c r="T9">
        <f>'Point Estimates'!W143</f>
        <v>102758.09617988612</v>
      </c>
      <c r="U9">
        <f>'Point Estimates'!X143</f>
        <v>105636.82870125136</v>
      </c>
      <c r="V9">
        <f>'Point Estimates'!Y143</f>
        <v>106750.03692913953</v>
      </c>
      <c r="W9">
        <f>'Point Estimates'!Z143</f>
        <v>106865.73330180682</v>
      </c>
      <c r="X9">
        <f>'Point Estimates'!AA143</f>
        <v>106307.3204058538</v>
      </c>
      <c r="Y9">
        <f>'Point Estimates'!AB143</f>
        <v>104986.03047392445</v>
      </c>
      <c r="Z9">
        <f>'Point Estimates'!AC143</f>
        <v>103951.64981153044</v>
      </c>
      <c r="AA9">
        <f>'Point Estimates'!AD143</f>
        <v>102955.43247571027</v>
      </c>
      <c r="AB9">
        <f>'Point Estimates'!AE143</f>
        <v>102578.6974387167</v>
      </c>
      <c r="AC9">
        <f>'Point Estimates'!AF143</f>
        <v>102696.09149601476</v>
      </c>
      <c r="AD9">
        <f>'Point Estimates'!AG143</f>
        <v>103206.53689592163</v>
      </c>
      <c r="AE9">
        <f>'Point Estimates'!AH143</f>
        <v>104047.35559153753</v>
      </c>
      <c r="AF9">
        <f>'Point Estimates'!AI143</f>
        <v>104866.59448677293</v>
      </c>
      <c r="AG9">
        <f>'Point Estimates'!AJ143</f>
        <v>105614.54601760386</v>
      </c>
      <c r="AH9">
        <f>'Point Estimates'!AK143</f>
        <v>106082.55086681765</v>
      </c>
      <c r="AI9">
        <f>'Point Estimates'!AL143</f>
        <v>106266.4085422667</v>
      </c>
      <c r="AJ9">
        <f>'Point Estimates'!AM143</f>
        <v>106205.74220443492</v>
      </c>
      <c r="AK9">
        <f>'Point Estimates'!AN143</f>
        <v>105968.20078367434</v>
      </c>
      <c r="AL9">
        <f>'Point Estimates'!AO143</f>
        <v>105704.52610142453</v>
      </c>
      <c r="AM9">
        <f>'Point Estimates'!AP143</f>
        <v>105489.76030274286</v>
      </c>
      <c r="AN9">
        <f>'Point Estimates'!AQ143</f>
        <v>105411.75421361497</v>
      </c>
      <c r="AO9">
        <f>'Point Estimates'!AR143</f>
        <v>105482.70555225176</v>
      </c>
      <c r="AP9">
        <f>'Point Estimates'!AS143</f>
        <v>105678.8679199083</v>
      </c>
      <c r="AQ9">
        <f>'Point Estimates'!AT143</f>
        <v>105954.40845419833</v>
      </c>
      <c r="AR9">
        <f>'Point Estimates'!AU143</f>
        <v>106240.15501060782</v>
      </c>
      <c r="AS9">
        <f>'Point Estimates'!AV143</f>
        <v>106489.90039165717</v>
      </c>
      <c r="AT9">
        <f>'Point Estimates'!AW143</f>
        <v>106666.22826118996</v>
      </c>
      <c r="AU9">
        <f>'Point Estimates'!AX143</f>
        <v>106762.10171576448</v>
      </c>
      <c r="AV9">
        <f>'Point Estimates'!AY143</f>
        <v>106789.85674812052</v>
      </c>
      <c r="AW9">
        <f>'Point Estimates'!AZ143</f>
        <v>106773.79332704321</v>
      </c>
      <c r="AX9">
        <f>'Point Estimates'!BA143</f>
        <v>106745.85925000989</v>
      </c>
    </row>
    <row r="11" spans="1:50" x14ac:dyDescent="0.2">
      <c r="A11" t="b">
        <f>AND(B11:AX11)</f>
        <v>0</v>
      </c>
      <c r="B11" t="b">
        <f>EXACT(B8,B9)</f>
        <v>1</v>
      </c>
      <c r="C11" t="b">
        <f t="shared" ref="C11:AX11" si="1">EXACT(C8,C9)</f>
        <v>1</v>
      </c>
      <c r="D11" t="b">
        <f t="shared" si="1"/>
        <v>1</v>
      </c>
      <c r="E11" t="b">
        <f t="shared" si="1"/>
        <v>1</v>
      </c>
      <c r="F11" t="b">
        <f t="shared" si="1"/>
        <v>1</v>
      </c>
      <c r="G11" t="b">
        <f t="shared" si="1"/>
        <v>1</v>
      </c>
      <c r="H11" t="b">
        <f t="shared" si="1"/>
        <v>1</v>
      </c>
      <c r="I11" t="b">
        <f t="shared" si="1"/>
        <v>1</v>
      </c>
      <c r="J11" t="b">
        <f t="shared" si="1"/>
        <v>1</v>
      </c>
      <c r="K11" t="b">
        <f t="shared" si="1"/>
        <v>1</v>
      </c>
      <c r="L11" t="b">
        <f t="shared" si="1"/>
        <v>1</v>
      </c>
      <c r="M11" t="b">
        <f t="shared" si="1"/>
        <v>1</v>
      </c>
      <c r="N11" t="b">
        <f t="shared" si="1"/>
        <v>1</v>
      </c>
      <c r="O11" t="b">
        <f t="shared" si="1"/>
        <v>1</v>
      </c>
      <c r="P11" t="b">
        <f t="shared" si="1"/>
        <v>1</v>
      </c>
      <c r="Q11" t="b">
        <f t="shared" si="1"/>
        <v>1</v>
      </c>
      <c r="R11" t="b">
        <f t="shared" si="1"/>
        <v>1</v>
      </c>
      <c r="S11" t="b">
        <f t="shared" si="1"/>
        <v>1</v>
      </c>
      <c r="T11" t="b">
        <f t="shared" si="1"/>
        <v>1</v>
      </c>
      <c r="U11" t="b">
        <f t="shared" si="1"/>
        <v>1</v>
      </c>
      <c r="V11" t="b">
        <f t="shared" si="1"/>
        <v>1</v>
      </c>
      <c r="W11" t="b">
        <f t="shared" si="1"/>
        <v>1</v>
      </c>
      <c r="X11" t="b">
        <f t="shared" si="1"/>
        <v>1</v>
      </c>
      <c r="Y11" t="b">
        <f t="shared" si="1"/>
        <v>1</v>
      </c>
      <c r="Z11" t="b">
        <f t="shared" si="1"/>
        <v>1</v>
      </c>
      <c r="AA11" t="b">
        <f t="shared" si="1"/>
        <v>1</v>
      </c>
      <c r="AB11" t="b">
        <f t="shared" si="1"/>
        <v>1</v>
      </c>
      <c r="AC11" t="b">
        <f t="shared" si="1"/>
        <v>1</v>
      </c>
      <c r="AD11" t="b">
        <f t="shared" si="1"/>
        <v>1</v>
      </c>
      <c r="AE11" t="b">
        <f t="shared" si="1"/>
        <v>1</v>
      </c>
      <c r="AF11" t="b">
        <f t="shared" si="1"/>
        <v>1</v>
      </c>
      <c r="AG11" t="b">
        <f t="shared" si="1"/>
        <v>1</v>
      </c>
      <c r="AH11" t="b">
        <f t="shared" si="1"/>
        <v>1</v>
      </c>
      <c r="AI11" t="b">
        <f t="shared" si="1"/>
        <v>1</v>
      </c>
      <c r="AJ11" t="b">
        <f t="shared" si="1"/>
        <v>1</v>
      </c>
      <c r="AK11" t="b">
        <f t="shared" si="1"/>
        <v>1</v>
      </c>
      <c r="AL11" t="b">
        <f t="shared" si="1"/>
        <v>1</v>
      </c>
      <c r="AM11" t="b">
        <f t="shared" si="1"/>
        <v>1</v>
      </c>
      <c r="AN11" t="b">
        <f t="shared" si="1"/>
        <v>1</v>
      </c>
      <c r="AO11" t="b">
        <f t="shared" si="1"/>
        <v>1</v>
      </c>
      <c r="AP11" t="b">
        <f t="shared" si="1"/>
        <v>1</v>
      </c>
      <c r="AQ11" t="b">
        <f t="shared" si="1"/>
        <v>1</v>
      </c>
      <c r="AR11" t="b">
        <f t="shared" si="1"/>
        <v>1</v>
      </c>
      <c r="AS11" t="b">
        <f t="shared" si="1"/>
        <v>1</v>
      </c>
      <c r="AT11" t="b">
        <f t="shared" si="1"/>
        <v>1</v>
      </c>
      <c r="AU11" t="b">
        <f t="shared" si="1"/>
        <v>1</v>
      </c>
      <c r="AV11" t="b">
        <f t="shared" si="1"/>
        <v>0</v>
      </c>
      <c r="AW11" t="b">
        <f t="shared" si="1"/>
        <v>1</v>
      </c>
      <c r="AX11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Graphs</vt:lpstr>
      <vt:lpstr>Point Estimates</vt:lpstr>
      <vt:lpstr>Planilha1</vt:lpstr>
      <vt:lpstr>Gráfico1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Bruno Tebaldi</cp:lastModifiedBy>
  <dcterms:created xsi:type="dcterms:W3CDTF">2009-05-23T21:11:24Z</dcterms:created>
  <dcterms:modified xsi:type="dcterms:W3CDTF">2017-03-01T12:52:51Z</dcterms:modified>
</cp:coreProperties>
</file>